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mill\OneDrive\Documents\Footy\"/>
    </mc:Choice>
  </mc:AlternateContent>
  <xr:revisionPtr revIDLastSave="0" documentId="13_ncr:1_{31862739-83AD-40FF-95DB-AB8CB3993811}" xr6:coauthVersionLast="47" xr6:coauthVersionMax="47" xr10:uidLastSave="{00000000-0000-0000-0000-000000000000}"/>
  <bookViews>
    <workbookView xWindow="-120" yWindow="-120" windowWidth="29040" windowHeight="15840" tabRatio="500" activeTab="4" xr2:uid="{00000000-000D-0000-FFFF-FFFF00000000}"/>
  </bookViews>
  <sheets>
    <sheet name="Information" sheetId="4" r:id="rId1"/>
    <sheet name="Data Entry" sheetId="1" r:id="rId2"/>
    <sheet name="GameSheetCP" sheetId="5" r:id="rId3"/>
    <sheet name="StatsCP" sheetId="7" r:id="rId4"/>
    <sheet name="Summary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" i="3" l="1"/>
  <c r="D76" i="3"/>
  <c r="D75" i="3"/>
  <c r="C76" i="3"/>
  <c r="C75" i="3"/>
  <c r="B76" i="3"/>
  <c r="B75" i="3"/>
  <c r="E44" i="3"/>
  <c r="D44" i="3"/>
  <c r="C44" i="3"/>
  <c r="B44" i="3"/>
  <c r="B45" i="3"/>
  <c r="Y3" i="5"/>
  <c r="Y4" i="5"/>
  <c r="Y5" i="5"/>
  <c r="Y6" i="5"/>
  <c r="Y7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55" i="5"/>
  <c r="Y56" i="5"/>
  <c r="Y57" i="5"/>
  <c r="Y58" i="5"/>
  <c r="Y59" i="5"/>
  <c r="Y60" i="5"/>
  <c r="Y61" i="5"/>
  <c r="Y62" i="5"/>
  <c r="Y63" i="5"/>
  <c r="Y64" i="5"/>
  <c r="Y65" i="5"/>
  <c r="Y66" i="5"/>
  <c r="Y67" i="5"/>
  <c r="Y68" i="5"/>
  <c r="Y69" i="5"/>
  <c r="Y70" i="5"/>
  <c r="Y71" i="5"/>
  <c r="Y72" i="5"/>
  <c r="Y73" i="5"/>
  <c r="Y74" i="5"/>
  <c r="Y75" i="5"/>
  <c r="Y76" i="5"/>
  <c r="Y77" i="5"/>
  <c r="Y78" i="5"/>
  <c r="Y79" i="5"/>
  <c r="Y80" i="5"/>
  <c r="Y81" i="5"/>
  <c r="Y82" i="5"/>
  <c r="Y83" i="5"/>
  <c r="Y84" i="5"/>
  <c r="Y85" i="5"/>
  <c r="Y86" i="5"/>
  <c r="Y87" i="5"/>
  <c r="Y88" i="5"/>
  <c r="Y89" i="5"/>
  <c r="Y90" i="5"/>
  <c r="Y91" i="5"/>
  <c r="Y92" i="5"/>
  <c r="Y93" i="5"/>
  <c r="Y94" i="5"/>
  <c r="Y95" i="5"/>
  <c r="Y96" i="5"/>
  <c r="Y97" i="5"/>
  <c r="Y98" i="5"/>
  <c r="Y99" i="5"/>
  <c r="Y100" i="5"/>
  <c r="Y101" i="5"/>
  <c r="Y102" i="5"/>
  <c r="Y103" i="5"/>
  <c r="Y104" i="5"/>
  <c r="Y105" i="5"/>
  <c r="Y106" i="5"/>
  <c r="Y107" i="5"/>
  <c r="Y108" i="5"/>
  <c r="Y109" i="5"/>
  <c r="Y110" i="5"/>
  <c r="Y111" i="5"/>
  <c r="Y112" i="5"/>
  <c r="Y113" i="5"/>
  <c r="Y114" i="5"/>
  <c r="Y115" i="5"/>
  <c r="Y116" i="5"/>
  <c r="Y117" i="5"/>
  <c r="Y118" i="5"/>
  <c r="Y119" i="5"/>
  <c r="Y120" i="5"/>
  <c r="Y121" i="5"/>
  <c r="Y122" i="5"/>
  <c r="Y123" i="5"/>
  <c r="Y124" i="5"/>
  <c r="Y125" i="5"/>
  <c r="Y126" i="5"/>
  <c r="Y127" i="5"/>
  <c r="Y128" i="5"/>
  <c r="Y129" i="5"/>
  <c r="Y130" i="5"/>
  <c r="Y131" i="5"/>
  <c r="Y132" i="5"/>
  <c r="Y133" i="5"/>
  <c r="Y134" i="5"/>
  <c r="Y135" i="5"/>
  <c r="Y136" i="5"/>
  <c r="Y137" i="5"/>
  <c r="Y138" i="5"/>
  <c r="Y139" i="5"/>
  <c r="Y140" i="5"/>
  <c r="Y141" i="5"/>
  <c r="Y142" i="5"/>
  <c r="Y143" i="5"/>
  <c r="Y144" i="5"/>
  <c r="Y145" i="5"/>
  <c r="Y146" i="5"/>
  <c r="Y147" i="5"/>
  <c r="Y2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9" i="5"/>
  <c r="A5" i="5"/>
  <c r="A6" i="5"/>
  <c r="A7" i="5"/>
  <c r="A8" i="5"/>
  <c r="A3" i="5"/>
  <c r="A4" i="5"/>
  <c r="A2" i="5"/>
  <c r="D23" i="3"/>
  <c r="D22" i="3"/>
  <c r="D21" i="3"/>
  <c r="D14" i="3"/>
  <c r="D15" i="3"/>
  <c r="D16" i="3"/>
  <c r="D28" i="3"/>
  <c r="D29" i="3"/>
  <c r="D30" i="3"/>
  <c r="D31" i="3"/>
  <c r="D36" i="3"/>
  <c r="D37" i="3"/>
  <c r="D38" i="3"/>
  <c r="D43" i="3"/>
  <c r="D45" i="3"/>
  <c r="D50" i="3"/>
  <c r="D51" i="3"/>
  <c r="D52" i="3"/>
  <c r="D63" i="3"/>
  <c r="D64" i="3"/>
  <c r="D69" i="3"/>
  <c r="D70" i="3"/>
  <c r="C70" i="3"/>
  <c r="C69" i="3"/>
  <c r="C64" i="3"/>
  <c r="C63" i="3"/>
  <c r="C58" i="3"/>
  <c r="C57" i="3"/>
  <c r="C52" i="3"/>
  <c r="C51" i="3"/>
  <c r="C50" i="3"/>
  <c r="C45" i="3"/>
  <c r="C43" i="3"/>
  <c r="C38" i="3"/>
  <c r="C37" i="3"/>
  <c r="C36" i="3"/>
  <c r="C31" i="3"/>
  <c r="C30" i="3"/>
  <c r="C29" i="3"/>
  <c r="C28" i="3"/>
  <c r="C23" i="3"/>
  <c r="C22" i="3"/>
  <c r="C21" i="3"/>
  <c r="C16" i="3"/>
  <c r="C15" i="3"/>
  <c r="C14" i="3"/>
  <c r="D9" i="3"/>
  <c r="D8" i="3"/>
  <c r="D7" i="3"/>
  <c r="D6" i="3"/>
  <c r="D5" i="3"/>
  <c r="C9" i="3"/>
  <c r="C8" i="3"/>
  <c r="C7" i="3"/>
  <c r="C6" i="3"/>
  <c r="C5" i="3"/>
  <c r="B70" i="3"/>
  <c r="B69" i="3"/>
  <c r="B64" i="3"/>
  <c r="B63" i="3"/>
  <c r="D58" i="3"/>
  <c r="B58" i="3"/>
  <c r="D57" i="3"/>
  <c r="B57" i="3"/>
  <c r="B52" i="3"/>
  <c r="B51" i="3"/>
  <c r="B50" i="3"/>
  <c r="B43" i="3"/>
  <c r="B38" i="3"/>
  <c r="B37" i="3"/>
  <c r="B36" i="3"/>
  <c r="B31" i="3"/>
  <c r="B30" i="3"/>
  <c r="B29" i="3"/>
  <c r="B28" i="3"/>
  <c r="B23" i="3"/>
  <c r="B22" i="3"/>
  <c r="B21" i="3"/>
  <c r="B16" i="3"/>
  <c r="B15" i="3"/>
  <c r="B14" i="3"/>
  <c r="B9" i="3"/>
  <c r="B8" i="3"/>
  <c r="B7" i="3"/>
  <c r="B6" i="3"/>
  <c r="B5" i="3"/>
  <c r="D77" i="3" l="1"/>
  <c r="E76" i="3"/>
  <c r="C77" i="3"/>
  <c r="B77" i="3"/>
  <c r="D2" i="7"/>
  <c r="D3" i="7"/>
  <c r="D9" i="7"/>
  <c r="D8" i="7"/>
  <c r="D7" i="7"/>
  <c r="D10" i="7"/>
  <c r="D6" i="7"/>
  <c r="D5" i="7"/>
  <c r="D12" i="7"/>
  <c r="D4" i="7"/>
  <c r="D11" i="7"/>
  <c r="E31" i="3"/>
  <c r="D59" i="3"/>
  <c r="E16" i="3"/>
  <c r="E52" i="3"/>
  <c r="E45" i="3"/>
  <c r="E37" i="3"/>
  <c r="E23" i="3"/>
  <c r="E30" i="3"/>
  <c r="E7" i="3"/>
  <c r="E8" i="3"/>
  <c r="D39" i="3"/>
  <c r="D46" i="3"/>
  <c r="C24" i="3"/>
  <c r="D65" i="3"/>
  <c r="D24" i="3"/>
  <c r="E6" i="3"/>
  <c r="E64" i="3"/>
  <c r="E15" i="3"/>
  <c r="C59" i="3"/>
  <c r="E22" i="3"/>
  <c r="E70" i="3"/>
  <c r="C17" i="3"/>
  <c r="C71" i="3"/>
  <c r="C46" i="3"/>
  <c r="E51" i="3"/>
  <c r="D17" i="3"/>
  <c r="E29" i="3"/>
  <c r="D71" i="3"/>
  <c r="E58" i="3"/>
  <c r="C65" i="3"/>
  <c r="E9" i="3"/>
  <c r="D32" i="3"/>
  <c r="C10" i="3"/>
  <c r="E38" i="3"/>
  <c r="D10" i="3"/>
  <c r="D53" i="3"/>
  <c r="C53" i="3"/>
  <c r="C39" i="3"/>
  <c r="C32" i="3"/>
  <c r="B71" i="3"/>
  <c r="E69" i="3"/>
  <c r="B65" i="3"/>
  <c r="E63" i="3"/>
  <c r="B59" i="3"/>
  <c r="E57" i="3"/>
  <c r="B53" i="3"/>
  <c r="E50" i="3"/>
  <c r="B39" i="3"/>
  <c r="E36" i="3"/>
  <c r="B32" i="3"/>
  <c r="E28" i="3"/>
  <c r="B24" i="3"/>
  <c r="E21" i="3"/>
  <c r="B17" i="3"/>
  <c r="E14" i="3"/>
  <c r="B10" i="3"/>
  <c r="E5" i="3"/>
  <c r="B46" i="3"/>
  <c r="E43" i="3"/>
  <c r="E77" i="3" l="1"/>
  <c r="E24" i="3"/>
  <c r="E71" i="3"/>
  <c r="E65" i="3"/>
  <c r="E46" i="3"/>
  <c r="E59" i="3"/>
  <c r="E17" i="3"/>
  <c r="E53" i="3"/>
  <c r="E39" i="3"/>
  <c r="E32" i="3"/>
  <c r="E10" i="3"/>
</calcChain>
</file>

<file path=xl/sharedStrings.xml><?xml version="1.0" encoding="utf-8"?>
<sst xmlns="http://schemas.openxmlformats.org/spreadsheetml/2006/main" count="27793" uniqueCount="133">
  <si>
    <t>Distance</t>
  </si>
  <si>
    <t>Direction</t>
  </si>
  <si>
    <t>Area</t>
  </si>
  <si>
    <t>Min. Def.</t>
  </si>
  <si>
    <t>Body Pt</t>
  </si>
  <si>
    <t>Foot</t>
  </si>
  <si>
    <t>Touches</t>
  </si>
  <si>
    <t>Thru</t>
  </si>
  <si>
    <t>Cross</t>
  </si>
  <si>
    <t>Completed</t>
  </si>
  <si>
    <t>F</t>
  </si>
  <si>
    <t>A</t>
  </si>
  <si>
    <t>S</t>
  </si>
  <si>
    <t>Y</t>
  </si>
  <si>
    <t>N</t>
  </si>
  <si>
    <t>3+</t>
  </si>
  <si>
    <t>W</t>
  </si>
  <si>
    <t>H</t>
  </si>
  <si>
    <t>B</t>
  </si>
  <si>
    <t>M</t>
  </si>
  <si>
    <t>D</t>
  </si>
  <si>
    <t>Pass Completion Summary</t>
  </si>
  <si>
    <t>Value</t>
  </si>
  <si>
    <t>Total</t>
  </si>
  <si>
    <t>Not Completed</t>
  </si>
  <si>
    <t>Completion %</t>
  </si>
  <si>
    <t>TOTAL</t>
  </si>
  <si>
    <t>Important Information</t>
  </si>
  <si>
    <t>L</t>
  </si>
  <si>
    <t>The state of the game for the player making the pass.</t>
  </si>
  <si>
    <t>The team of the player making the pass is in a "Draw" state.</t>
  </si>
  <si>
    <t>The team of the player winning the game is in a "Winning" state.</t>
  </si>
  <si>
    <t>The team of the player making the pass is in a "Losing" state.</t>
  </si>
  <si>
    <t>State:</t>
  </si>
  <si>
    <t>Distance:</t>
  </si>
  <si>
    <t>The block of distance for which a pass travels, or was intended to travel.</t>
  </si>
  <si>
    <t>Pass is less than 5 yards.</t>
  </si>
  <si>
    <t>Pass is between 5 and 10 yards</t>
  </si>
  <si>
    <t>Pass is between 10 and 20 yards.</t>
  </si>
  <si>
    <t>Pass is between 20 and 30  yards.</t>
  </si>
  <si>
    <t>Pass is 30 yards or more.</t>
  </si>
  <si>
    <t>Direction:</t>
  </si>
  <si>
    <t>The direction that the pass is or is intended to travel.</t>
  </si>
  <si>
    <t>The pass is traveling in a neutral direction, as in sideways (less than 15 degrees R/L).</t>
  </si>
  <si>
    <t>The pass is traveling backwards, as in towards their own goal. (Greater than 15 degrees towards their goal)</t>
  </si>
  <si>
    <t>The pass is traveling forward, as in towards the opponent's goal. (Greater than 15 degrees in the attacking direction)</t>
  </si>
  <si>
    <t>Area:</t>
  </si>
  <si>
    <t>Body Pt:</t>
  </si>
  <si>
    <t>Foot:</t>
  </si>
  <si>
    <t>Touches:</t>
  </si>
  <si>
    <t>Thru:</t>
  </si>
  <si>
    <t>Cross:</t>
  </si>
  <si>
    <t>The area of the pitch in which the pass is sent.</t>
  </si>
  <si>
    <t>The pass is sent into the "Attacking" third of the pitch.</t>
  </si>
  <si>
    <t>The pass is sent into the "Middle" third of the pitch.</t>
  </si>
  <si>
    <t>The pass is sent into the "Defensive" third of the pitch.</t>
  </si>
  <si>
    <t>There are 0 defenders affecting the pass.</t>
  </si>
  <si>
    <t>There is one (1) defenders affecting the path of the ball.</t>
  </si>
  <si>
    <t>There are 3 or more defenders affecting the path of the ball.</t>
  </si>
  <si>
    <t>There are two (2) defenders affecting the path of the ball.</t>
  </si>
  <si>
    <t>The body part that is used to pass the ball.</t>
  </si>
  <si>
    <t>The ball is played with the players feet.</t>
  </si>
  <si>
    <t>The ball is played with any other part of the player's body that is not the foot/head.</t>
  </si>
  <si>
    <t>Whether the player uses his Strong/Weak foot to make the pass. If Body Pt. = H/B, this will be blank.</t>
  </si>
  <si>
    <t>Pass is made with the player's "Weak" foot.</t>
  </si>
  <si>
    <t>Pass is made with the player's "Strong" foot.</t>
  </si>
  <si>
    <t>The ball is played with the player's Head.</t>
  </si>
  <si>
    <t xml:space="preserve">The amount of touches a player makes prior to passing the ball. (Includes the pass). </t>
  </si>
  <si>
    <t>The player makes a pass with their FIRST touch of the ball.</t>
  </si>
  <si>
    <t>The player makes a pass with their SECOND touch of the ball.</t>
  </si>
  <si>
    <t>The player makes a pass with their THIRD or higher touch of the ball.</t>
  </si>
  <si>
    <t>If the ball is played thru the defensive line.</t>
  </si>
  <si>
    <t>The ball is played thru (or in behind) the defensive lne.</t>
  </si>
  <si>
    <t>The ball is NOT played thru (or in behind) the defensive lne.</t>
  </si>
  <si>
    <t>The ball is played in the air, higher than the player's knees.</t>
  </si>
  <si>
    <t>The ball is NOT played in the air, higher than the player's knees.</t>
  </si>
  <si>
    <t>The pass was completed to a teammate.</t>
  </si>
  <si>
    <t>The pass was NOT completed to a teammate.</t>
  </si>
  <si>
    <t>This sheet contains information pertaining to English Premier League passes. The breakdown of each metric and explaination of it's possible values are below.</t>
  </si>
  <si>
    <t>S Air</t>
  </si>
  <si>
    <t xml:space="preserve"> H Air</t>
  </si>
  <si>
    <t>Hit Air</t>
  </si>
  <si>
    <t>Sent Air</t>
  </si>
  <si>
    <t>Hit Air:</t>
  </si>
  <si>
    <t>Send Air:</t>
  </si>
  <si>
    <t>If the ball is sent in the air, above the player's knees.</t>
  </si>
  <si>
    <t>The ball is played into the air, above the player's knees.</t>
  </si>
  <si>
    <t>The ball is NOT played into the air, above the player's knees.</t>
  </si>
  <si>
    <t>Maj. Def.</t>
  </si>
  <si>
    <t>Whether the pass was a cross or switch of field.</t>
  </si>
  <si>
    <t>The pass was a cross or switch of field.</t>
  </si>
  <si>
    <t>The pass was NOT a cross or switch of field.</t>
  </si>
  <si>
    <t>Min. Def.:</t>
  </si>
  <si>
    <t>Maj. Def.:</t>
  </si>
  <si>
    <t>The amount of defenders that affect the difficulty of the pass. This will account for defenders creating pressure from behind, side, etc.</t>
  </si>
  <si>
    <t>The amount of defenders that affect the direct path of the pass. This will only account for defenders in the way of the pass, not defenders creating behind pressure.</t>
  </si>
  <si>
    <t>Accurate</t>
  </si>
  <si>
    <t>Accurate:</t>
  </si>
  <si>
    <t>Whether the pass was completed to its intended  target in the intended area.</t>
  </si>
  <si>
    <t>R Air</t>
  </si>
  <si>
    <t>Rec. Air:</t>
  </si>
  <si>
    <t>If the ball is originally received in the air.</t>
  </si>
  <si>
    <t>The player receives the ball off the ground.</t>
  </si>
  <si>
    <t>If the pass is made while the ball is in the air.</t>
  </si>
  <si>
    <t>The player does NOT receive the ball off the ground.</t>
  </si>
  <si>
    <t>Note: Dead-ball plays (corners, FK, GK, throw-ins) are not included in this model. Plays that are not intentional passes are also not included (clears, etc.)</t>
  </si>
  <si>
    <t>NA</t>
  </si>
  <si>
    <t>LIV TOT</t>
  </si>
  <si>
    <t>10'</t>
  </si>
  <si>
    <t>From</t>
  </si>
  <si>
    <t>Name</t>
  </si>
  <si>
    <t>Number</t>
  </si>
  <si>
    <t>Munoz</t>
  </si>
  <si>
    <t>Henderson</t>
  </si>
  <si>
    <t>Mitchell</t>
  </si>
  <si>
    <t>Lacroix</t>
  </si>
  <si>
    <t>Lerma</t>
  </si>
  <si>
    <t>Pino</t>
  </si>
  <si>
    <t>Johnson</t>
  </si>
  <si>
    <t>Hughes</t>
  </si>
  <si>
    <t>Strand Larsen</t>
  </si>
  <si>
    <t>Canvot</t>
  </si>
  <si>
    <t>Richards</t>
  </si>
  <si>
    <t>Minutes</t>
  </si>
  <si>
    <t>Impact</t>
  </si>
  <si>
    <t>Total Impact</t>
  </si>
  <si>
    <t>1SAssist</t>
  </si>
  <si>
    <t>2SAssist</t>
  </si>
  <si>
    <t>1Assist</t>
  </si>
  <si>
    <t>2Assist</t>
  </si>
  <si>
    <t>MinTO</t>
  </si>
  <si>
    <t>MajTO</t>
  </si>
  <si>
    <t>IntoAtt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</si>
</sst>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  <font>
      <b/>
      <sz val="10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A"/>
        <bgColor rgb="FFE2EFDA"/>
      </patternFill>
    </fill>
    <fill>
      <patternFill patternType="solid">
        <fgColor rgb="FFFFFFFF"/>
        <bgColor rgb="FFEBF3FA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EBF3FA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7" fillId="8" borderId="0" xfId="0" applyFont="1" applyFill="1"/>
    <xf numFmtId="0" fontId="0" fillId="8" borderId="0" xfId="0" applyFill="1" applyAlignment="1">
      <alignment horizontal="center" wrapText="1"/>
    </xf>
    <xf numFmtId="0" fontId="0" fillId="8" borderId="0" xfId="0" applyFill="1"/>
    <xf numFmtId="0" fontId="0" fillId="8" borderId="0" xfId="0" applyFill="1" applyAlignment="1">
      <alignment horizontal="center"/>
    </xf>
    <xf numFmtId="0" fontId="7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9" fillId="9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8" fillId="9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7" fillId="0" borderId="0" xfId="0" applyFont="1" applyAlignment="1">
      <alignment horizontal="center"/>
    </xf>
    <xf numFmtId="0" fontId="9" fillId="7" borderId="0" xfId="0" applyFont="1" applyFill="1" applyAlignment="1">
      <alignment horizontal="center"/>
    </xf>
    <xf numFmtId="0" fontId="4" fillId="5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BF3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9352117749987137"/>
          <c:y val="3.61990950226244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Summary!$A$5:$A$9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</c:numCache>
            </c:numRef>
          </c:cat>
          <c:val>
            <c:numRef>
              <c:f>Summary!$E$5:$E$9</c:f>
              <c:numCache>
                <c:formatCode>0.0%</c:formatCode>
                <c:ptCount val="5"/>
                <c:pt idx="0">
                  <c:v>0.87164179104477613</c:v>
                </c:pt>
                <c:pt idx="1">
                  <c:v>0.84287616511318242</c:v>
                </c:pt>
                <c:pt idx="2">
                  <c:v>0.84966698382492867</c:v>
                </c:pt>
                <c:pt idx="3">
                  <c:v>0.66776315789473684</c:v>
                </c:pt>
                <c:pt idx="4">
                  <c:v>0.36764705882352944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4F-4E56-A5ED-5622CB4CAE6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37369839"/>
        <c:axId val="1037358319"/>
      </c:barChart>
      <c:catAx>
        <c:axId val="103736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358319"/>
        <c:crosses val="autoZero"/>
        <c:auto val="1"/>
        <c:lblAlgn val="ctr"/>
        <c:lblOffset val="100"/>
        <c:noMultiLvlLbl val="0"/>
      </c:catAx>
      <c:valAx>
        <c:axId val="10373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369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Summary!$A$14:$A$16</c:f>
              <c:strCache>
                <c:ptCount val="3"/>
                <c:pt idx="0">
                  <c:v>F</c:v>
                </c:pt>
                <c:pt idx="1">
                  <c:v>N</c:v>
                </c:pt>
                <c:pt idx="2">
                  <c:v>B</c:v>
                </c:pt>
              </c:strCache>
            </c:strRef>
          </c:cat>
          <c:val>
            <c:numRef>
              <c:f>Summary!$E$14:$E$16</c:f>
              <c:numCache>
                <c:formatCode>0.0%</c:formatCode>
                <c:ptCount val="3"/>
                <c:pt idx="0">
                  <c:v>0.70029673590504449</c:v>
                </c:pt>
                <c:pt idx="1">
                  <c:v>0.87245841035120153</c:v>
                </c:pt>
                <c:pt idx="2">
                  <c:v>0.95203488372093026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D9-4489-A6F0-A0AB79CA72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46791871"/>
        <c:axId val="1046794751"/>
      </c:barChart>
      <c:catAx>
        <c:axId val="1046791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794751"/>
        <c:crosses val="autoZero"/>
        <c:auto val="1"/>
        <c:lblAlgn val="ctr"/>
        <c:lblOffset val="100"/>
        <c:noMultiLvlLbl val="0"/>
      </c:catAx>
      <c:valAx>
        <c:axId val="104679475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791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Summary!$A$21:$A$23</c:f>
              <c:strCache>
                <c:ptCount val="3"/>
                <c:pt idx="0">
                  <c:v>A</c:v>
                </c:pt>
                <c:pt idx="1">
                  <c:v>M</c:v>
                </c:pt>
                <c:pt idx="2">
                  <c:v>D</c:v>
                </c:pt>
              </c:strCache>
            </c:strRef>
          </c:cat>
          <c:val>
            <c:numRef>
              <c:f>Summary!$E$21:$E$23</c:f>
              <c:numCache>
                <c:formatCode>0.0%</c:formatCode>
                <c:ptCount val="3"/>
                <c:pt idx="0">
                  <c:v>0.6019261637239165</c:v>
                </c:pt>
                <c:pt idx="1">
                  <c:v>0.85246995994659547</c:v>
                </c:pt>
                <c:pt idx="2">
                  <c:v>0.91885964912280704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F-458A-AB4C-6608D88295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5270912"/>
        <c:axId val="345272352"/>
      </c:barChart>
      <c:catAx>
        <c:axId val="34527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272352"/>
        <c:crosses val="autoZero"/>
        <c:auto val="1"/>
        <c:lblAlgn val="ctr"/>
        <c:lblOffset val="100"/>
        <c:noMultiLvlLbl val="0"/>
      </c:catAx>
      <c:valAx>
        <c:axId val="34527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270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709421190772211"/>
          <c:y val="4.40771477342205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Summary!$A$28:$A$31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cat>
          <c:val>
            <c:numRef>
              <c:f>Summary!$E$28:$E$31</c:f>
              <c:numCache>
                <c:formatCode>0.0%</c:formatCode>
                <c:ptCount val="4"/>
                <c:pt idx="0">
                  <c:v>0.85608674223755543</c:v>
                </c:pt>
                <c:pt idx="1">
                  <c:v>0.61943319838056676</c:v>
                </c:pt>
                <c:pt idx="2">
                  <c:v>0.51923076923076927</c:v>
                </c:pt>
                <c:pt idx="3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41-42AC-80CA-8D5618B124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29529407"/>
        <c:axId val="112953660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Summary!$A$28:$A$31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Summary!$A$28:$A$31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241-42AC-80CA-8D5618B12402}"/>
                  </c:ext>
                </c:extLst>
              </c15:ser>
            </c15:filteredBarSeries>
          </c:ext>
        </c:extLst>
      </c:barChart>
      <c:catAx>
        <c:axId val="112952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536607"/>
        <c:crosses val="autoZero"/>
        <c:auto val="1"/>
        <c:lblAlgn val="ctr"/>
        <c:lblOffset val="100"/>
        <c:noMultiLvlLbl val="0"/>
      </c:catAx>
      <c:valAx>
        <c:axId val="112953660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529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Summary!$A$36:$A$38</c:f>
              <c:strCache>
                <c:ptCount val="3"/>
                <c:pt idx="0">
                  <c:v>F</c:v>
                </c:pt>
                <c:pt idx="1">
                  <c:v>H</c:v>
                </c:pt>
                <c:pt idx="2">
                  <c:v>B</c:v>
                </c:pt>
              </c:strCache>
            </c:strRef>
          </c:cat>
          <c:val>
            <c:numRef>
              <c:f>Summary!$E$36:$E$38</c:f>
              <c:numCache>
                <c:formatCode>0.0%</c:formatCode>
                <c:ptCount val="3"/>
                <c:pt idx="0">
                  <c:v>0.82029598308668072</c:v>
                </c:pt>
                <c:pt idx="1">
                  <c:v>0.60199004975124382</c:v>
                </c:pt>
                <c:pt idx="2">
                  <c:v>0.90909090909090906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B4-4718-8DAD-DF44656317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29656623"/>
        <c:axId val="1129657103"/>
      </c:barChart>
      <c:catAx>
        <c:axId val="112965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657103"/>
        <c:crosses val="autoZero"/>
        <c:auto val="1"/>
        <c:lblAlgn val="ctr"/>
        <c:lblOffset val="100"/>
        <c:noMultiLvlLbl val="0"/>
      </c:catAx>
      <c:valAx>
        <c:axId val="1129657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656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Summary!$A$43:$A$45</c:f>
              <c:strCache>
                <c:ptCount val="3"/>
                <c:pt idx="0">
                  <c:v>S</c:v>
                </c:pt>
                <c:pt idx="1">
                  <c:v>NA</c:v>
                </c:pt>
                <c:pt idx="2">
                  <c:v>W</c:v>
                </c:pt>
              </c:strCache>
            </c:strRef>
          </c:cat>
          <c:val>
            <c:numRef>
              <c:f>Summary!$E$43:$E$45</c:f>
              <c:numCache>
                <c:formatCode>0.0%</c:formatCode>
                <c:ptCount val="3"/>
                <c:pt idx="0">
                  <c:v>0.83137829912023464</c:v>
                </c:pt>
                <c:pt idx="1">
                  <c:v>0.61611374407582942</c:v>
                </c:pt>
                <c:pt idx="2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93-4CD6-B9C5-896B66FC8C6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52377104"/>
        <c:axId val="352352144"/>
      </c:barChart>
      <c:catAx>
        <c:axId val="35237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352144"/>
        <c:crosses val="autoZero"/>
        <c:auto val="1"/>
        <c:lblAlgn val="ctr"/>
        <c:lblOffset val="100"/>
        <c:noMultiLvlLbl val="0"/>
      </c:catAx>
      <c:valAx>
        <c:axId val="35235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377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Summary!$A$50:$A$52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3+</c:v>
                </c:pt>
              </c:strCache>
            </c:strRef>
          </c:cat>
          <c:val>
            <c:numRef>
              <c:f>Summary!$E$50:$E$52</c:f>
              <c:numCache>
                <c:formatCode>0.0%</c:formatCode>
                <c:ptCount val="3"/>
                <c:pt idx="0">
                  <c:v>0.71572327044025152</c:v>
                </c:pt>
                <c:pt idx="1">
                  <c:v>0.8606307222787386</c:v>
                </c:pt>
                <c:pt idx="2">
                  <c:v>0.82102628285356694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A4-4F65-8335-FAF1FB37D0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61632240"/>
        <c:axId val="662911552"/>
      </c:barChart>
      <c:catAx>
        <c:axId val="66163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911552"/>
        <c:crosses val="autoZero"/>
        <c:auto val="1"/>
        <c:lblAlgn val="ctr"/>
        <c:lblOffset val="100"/>
        <c:noMultiLvlLbl val="0"/>
      </c:catAx>
      <c:valAx>
        <c:axId val="66291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63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Summary!$A$57:$A$58</c:f>
              <c:strCache>
                <c:ptCount val="2"/>
                <c:pt idx="0">
                  <c:v>Y</c:v>
                </c:pt>
                <c:pt idx="1">
                  <c:v>N</c:v>
                </c:pt>
              </c:strCache>
            </c:strRef>
          </c:cat>
          <c:val>
            <c:numRef>
              <c:f>Summary!$E$57:$E$58</c:f>
              <c:numCache>
                <c:formatCode>0.0%</c:formatCode>
                <c:ptCount val="2"/>
                <c:pt idx="0">
                  <c:v>0.39864864864864863</c:v>
                </c:pt>
                <c:pt idx="1">
                  <c:v>0.82832441333882256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8B-40FD-B771-2241086FFF3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5541696"/>
        <c:axId val="345543616"/>
      </c:barChart>
      <c:catAx>
        <c:axId val="34554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543616"/>
        <c:crosses val="autoZero"/>
        <c:auto val="1"/>
        <c:lblAlgn val="ctr"/>
        <c:lblOffset val="100"/>
        <c:noMultiLvlLbl val="0"/>
      </c:catAx>
      <c:valAx>
        <c:axId val="34554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54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Summary!$A$63:$A$64</c:f>
              <c:strCache>
                <c:ptCount val="2"/>
                <c:pt idx="0">
                  <c:v>Y</c:v>
                </c:pt>
                <c:pt idx="1">
                  <c:v>N</c:v>
                </c:pt>
              </c:strCache>
            </c:strRef>
          </c:cat>
          <c:val>
            <c:numRef>
              <c:f>Summary!$E$63:$E$64</c:f>
              <c:numCache>
                <c:formatCode>0.0%</c:formatCode>
                <c:ptCount val="2"/>
                <c:pt idx="0">
                  <c:v>0.61408450704225348</c:v>
                </c:pt>
                <c:pt idx="1">
                  <c:v>0.83393339333933392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BD-4D97-A806-61196AA2C6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59486416"/>
        <c:axId val="659485456"/>
      </c:barChart>
      <c:catAx>
        <c:axId val="65948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485456"/>
        <c:crosses val="autoZero"/>
        <c:auto val="1"/>
        <c:lblAlgn val="ctr"/>
        <c:lblOffset val="100"/>
        <c:noMultiLvlLbl val="0"/>
      </c:catAx>
      <c:valAx>
        <c:axId val="6594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9486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Summary!$A$69:$A$70</c:f>
              <c:strCache>
                <c:ptCount val="2"/>
                <c:pt idx="0">
                  <c:v>Y</c:v>
                </c:pt>
                <c:pt idx="1">
                  <c:v>N</c:v>
                </c:pt>
              </c:strCache>
            </c:strRef>
          </c:cat>
          <c:val>
            <c:numRef>
              <c:f>Summary!$E$69:$E$70</c:f>
              <c:numCache>
                <c:formatCode>0.0%</c:formatCode>
                <c:ptCount val="2"/>
                <c:pt idx="0">
                  <c:v>0.46195652173913043</c:v>
                </c:pt>
                <c:pt idx="1">
                  <c:v>0.8967901234567901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D-4530-B16B-E4725FCE78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62084032"/>
        <c:axId val="723964400"/>
      </c:barChart>
      <c:catAx>
        <c:axId val="66208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964400"/>
        <c:crosses val="autoZero"/>
        <c:auto val="1"/>
        <c:lblAlgn val="ctr"/>
        <c:lblOffset val="100"/>
        <c:noMultiLvlLbl val="0"/>
      </c:catAx>
      <c:valAx>
        <c:axId val="72396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084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0</xdr:row>
      <xdr:rowOff>152400</xdr:rowOff>
    </xdr:from>
    <xdr:to>
      <xdr:col>13</xdr:col>
      <xdr:colOff>9525</xdr:colOff>
      <xdr:row>9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7D3245-0694-7681-3A3C-38B7A51B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85724</xdr:colOff>
      <xdr:row>10</xdr:row>
      <xdr:rowOff>57150</xdr:rowOff>
    </xdr:from>
    <xdr:to>
      <xdr:col>12</xdr:col>
      <xdr:colOff>209548</xdr:colOff>
      <xdr:row>18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B423BF-2694-855E-63A6-21EFAD6A2C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85725</xdr:colOff>
      <xdr:row>18</xdr:row>
      <xdr:rowOff>152400</xdr:rowOff>
    </xdr:from>
    <xdr:to>
      <xdr:col>12</xdr:col>
      <xdr:colOff>152400</xdr:colOff>
      <xdr:row>24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B29AE1E-E4D0-446C-8CFF-DBFB8966C5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171449</xdr:colOff>
      <xdr:row>24</xdr:row>
      <xdr:rowOff>142874</xdr:rowOff>
    </xdr:from>
    <xdr:to>
      <xdr:col>12</xdr:col>
      <xdr:colOff>57149</xdr:colOff>
      <xdr:row>32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E8A23DA-47A6-3BAC-732D-F50700557A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371475</xdr:colOff>
      <xdr:row>32</xdr:row>
      <xdr:rowOff>133350</xdr:rowOff>
    </xdr:from>
    <xdr:to>
      <xdr:col>11</xdr:col>
      <xdr:colOff>428624</xdr:colOff>
      <xdr:row>40</xdr:row>
      <xdr:rowOff>52386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930E9E5-2087-EA36-10D8-FD6B754D80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476251</xdr:colOff>
      <xdr:row>40</xdr:row>
      <xdr:rowOff>85724</xdr:rowOff>
    </xdr:from>
    <xdr:to>
      <xdr:col>11</xdr:col>
      <xdr:colOff>142875</xdr:colOff>
      <xdr:row>45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5E567F-7731-6624-77F3-74ECCEF487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171450</xdr:colOff>
      <xdr:row>46</xdr:row>
      <xdr:rowOff>19049</xdr:rowOff>
    </xdr:from>
    <xdr:to>
      <xdr:col>11</xdr:col>
      <xdr:colOff>400049</xdr:colOff>
      <xdr:row>53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EE9017-FDBE-AE79-C85C-F23DAFE75F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257174</xdr:colOff>
      <xdr:row>53</xdr:row>
      <xdr:rowOff>19049</xdr:rowOff>
    </xdr:from>
    <xdr:to>
      <xdr:col>11</xdr:col>
      <xdr:colOff>361949</xdr:colOff>
      <xdr:row>59</xdr:row>
      <xdr:rowOff>33336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3F07F2B-303D-880B-4C26-B7C7BAE93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304799</xdr:colOff>
      <xdr:row>58</xdr:row>
      <xdr:rowOff>161925</xdr:rowOff>
    </xdr:from>
    <xdr:to>
      <xdr:col>11</xdr:col>
      <xdr:colOff>257174</xdr:colOff>
      <xdr:row>64</xdr:row>
      <xdr:rowOff>157161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3BC238E-EF81-79FF-E609-3D9A4918E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161925</xdr:colOff>
      <xdr:row>64</xdr:row>
      <xdr:rowOff>123824</xdr:rowOff>
    </xdr:from>
    <xdr:to>
      <xdr:col>11</xdr:col>
      <xdr:colOff>390525</xdr:colOff>
      <xdr:row>70</xdr:row>
      <xdr:rowOff>119061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418646-6E00-72DC-41E7-4CA9BCBF50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217AB-E99E-44FB-8DD5-51CD246A7C3D}">
  <dimension ref="A1:K49"/>
  <sheetViews>
    <sheetView topLeftCell="A9" workbookViewId="0">
      <selection activeCell="A4" sqref="A4"/>
    </sheetView>
  </sheetViews>
  <sheetFormatPr defaultColWidth="14.28515625" defaultRowHeight="15" x14ac:dyDescent="0.25"/>
  <cols>
    <col min="1" max="1" width="14.7109375" customWidth="1"/>
    <col min="2" max="2" width="2.28515625" style="15" customWidth="1"/>
    <col min="3" max="5" width="14.28515625" style="11" customWidth="1"/>
    <col min="6" max="7" width="14.28515625" style="11"/>
  </cols>
  <sheetData>
    <row r="1" spans="1:11" ht="23.25" x14ac:dyDescent="0.35">
      <c r="A1" s="31" t="s">
        <v>27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s="17" customFormat="1" x14ac:dyDescent="0.25">
      <c r="A2" s="30" t="s">
        <v>78</v>
      </c>
      <c r="B2" s="30"/>
      <c r="C2" s="30"/>
      <c r="D2" s="30"/>
      <c r="E2" s="30"/>
      <c r="F2" s="30"/>
      <c r="G2" s="30"/>
      <c r="H2" s="30"/>
      <c r="I2" s="30"/>
      <c r="J2" s="30"/>
      <c r="K2" s="30"/>
    </row>
    <row r="3" spans="1:11" s="17" customFormat="1" x14ac:dyDescent="0.25">
      <c r="A3" s="30" t="s">
        <v>105</v>
      </c>
      <c r="B3" s="30"/>
      <c r="C3" s="30"/>
      <c r="D3" s="30"/>
      <c r="E3" s="30"/>
      <c r="F3" s="30"/>
      <c r="G3" s="30"/>
      <c r="H3" s="30"/>
      <c r="I3" s="30"/>
      <c r="J3" s="30"/>
      <c r="K3" s="30"/>
    </row>
    <row r="4" spans="1:11" s="15" customFormat="1" x14ac:dyDescent="0.25">
      <c r="C4" s="16"/>
      <c r="D4" s="16"/>
      <c r="E4" s="16"/>
      <c r="F4" s="16"/>
      <c r="G4" s="16"/>
    </row>
    <row r="5" spans="1:11" s="22" customFormat="1" ht="23.25" x14ac:dyDescent="0.35">
      <c r="A5" s="19" t="s">
        <v>33</v>
      </c>
      <c r="B5" s="13"/>
      <c r="C5" s="20" t="s">
        <v>16</v>
      </c>
      <c r="D5" s="20" t="s">
        <v>20</v>
      </c>
      <c r="E5" s="20" t="s">
        <v>28</v>
      </c>
      <c r="F5" s="21"/>
      <c r="G5" s="21"/>
    </row>
    <row r="6" spans="1:11" ht="93" customHeight="1" x14ac:dyDescent="0.25">
      <c r="A6" s="12" t="s">
        <v>29</v>
      </c>
      <c r="B6" s="14"/>
      <c r="C6" s="12" t="s">
        <v>31</v>
      </c>
      <c r="D6" s="12" t="s">
        <v>30</v>
      </c>
      <c r="E6" s="12" t="s">
        <v>32</v>
      </c>
    </row>
    <row r="7" spans="1:11" s="15" customFormat="1" x14ac:dyDescent="0.25">
      <c r="C7" s="16"/>
      <c r="D7" s="16"/>
      <c r="E7" s="16"/>
      <c r="F7" s="16"/>
      <c r="G7" s="16"/>
    </row>
    <row r="8" spans="1:11" s="22" customFormat="1" ht="21" x14ac:dyDescent="0.35">
      <c r="A8" s="23" t="s">
        <v>34</v>
      </c>
      <c r="B8" s="15"/>
      <c r="C8" s="20">
        <v>0</v>
      </c>
      <c r="D8" s="20">
        <v>5</v>
      </c>
      <c r="E8" s="20">
        <v>10</v>
      </c>
      <c r="F8" s="20">
        <v>20</v>
      </c>
      <c r="G8" s="20">
        <v>30</v>
      </c>
    </row>
    <row r="9" spans="1:11" s="11" customFormat="1" ht="90" x14ac:dyDescent="0.25">
      <c r="A9" s="12" t="s">
        <v>35</v>
      </c>
      <c r="B9" s="16"/>
      <c r="C9" s="12" t="s">
        <v>36</v>
      </c>
      <c r="D9" s="12" t="s">
        <v>37</v>
      </c>
      <c r="E9" s="12" t="s">
        <v>38</v>
      </c>
      <c r="F9" s="12" t="s">
        <v>39</v>
      </c>
      <c r="G9" s="12" t="s">
        <v>40</v>
      </c>
    </row>
    <row r="10" spans="1:11" s="15" customFormat="1" x14ac:dyDescent="0.25">
      <c r="C10" s="16"/>
      <c r="D10" s="16"/>
      <c r="E10" s="16"/>
      <c r="F10" s="16"/>
      <c r="G10" s="16"/>
    </row>
    <row r="11" spans="1:11" s="22" customFormat="1" ht="21" x14ac:dyDescent="0.35">
      <c r="A11" s="23" t="s">
        <v>41</v>
      </c>
      <c r="B11" s="15"/>
      <c r="C11" s="20" t="s">
        <v>10</v>
      </c>
      <c r="D11" s="20" t="s">
        <v>14</v>
      </c>
      <c r="E11" s="20" t="s">
        <v>18</v>
      </c>
      <c r="F11" s="21"/>
      <c r="G11" s="21"/>
    </row>
    <row r="12" spans="1:11" s="11" customFormat="1" ht="150" x14ac:dyDescent="0.25">
      <c r="A12" s="12" t="s">
        <v>42</v>
      </c>
      <c r="B12" s="16"/>
      <c r="C12" s="12" t="s">
        <v>45</v>
      </c>
      <c r="D12" s="12" t="s">
        <v>43</v>
      </c>
      <c r="E12" s="12" t="s">
        <v>44</v>
      </c>
    </row>
    <row r="13" spans="1:11" s="15" customFormat="1" x14ac:dyDescent="0.25">
      <c r="C13" s="16"/>
      <c r="D13" s="16"/>
      <c r="E13" s="16"/>
      <c r="F13" s="16"/>
      <c r="G13" s="16"/>
    </row>
    <row r="14" spans="1:11" s="22" customFormat="1" ht="21" x14ac:dyDescent="0.35">
      <c r="A14" s="23" t="s">
        <v>46</v>
      </c>
      <c r="B14" s="15"/>
      <c r="C14" s="20" t="s">
        <v>11</v>
      </c>
      <c r="D14" s="20" t="s">
        <v>19</v>
      </c>
      <c r="E14" s="20" t="s">
        <v>20</v>
      </c>
      <c r="F14" s="21"/>
      <c r="G14" s="21"/>
    </row>
    <row r="15" spans="1:11" ht="75" x14ac:dyDescent="0.25">
      <c r="A15" s="12" t="s">
        <v>52</v>
      </c>
      <c r="C15" s="12" t="s">
        <v>53</v>
      </c>
      <c r="D15" s="12" t="s">
        <v>54</v>
      </c>
      <c r="E15" s="12" t="s">
        <v>55</v>
      </c>
    </row>
    <row r="16" spans="1:11" s="15" customFormat="1" x14ac:dyDescent="0.25">
      <c r="C16" s="16"/>
      <c r="D16" s="16"/>
      <c r="E16" s="16"/>
      <c r="F16" s="16"/>
      <c r="G16" s="16"/>
    </row>
    <row r="17" spans="1:7" s="22" customFormat="1" ht="21" x14ac:dyDescent="0.35">
      <c r="A17" s="23" t="s">
        <v>93</v>
      </c>
      <c r="B17" s="15"/>
      <c r="C17" s="20">
        <v>0</v>
      </c>
      <c r="D17" s="20">
        <v>1</v>
      </c>
      <c r="E17" s="20">
        <v>2</v>
      </c>
      <c r="F17" s="20">
        <v>3</v>
      </c>
      <c r="G17" s="21"/>
    </row>
    <row r="18" spans="1:7" ht="210" x14ac:dyDescent="0.25">
      <c r="A18" s="12" t="s">
        <v>95</v>
      </c>
      <c r="C18" s="12" t="s">
        <v>56</v>
      </c>
      <c r="D18" s="12" t="s">
        <v>57</v>
      </c>
      <c r="E18" s="12" t="s">
        <v>59</v>
      </c>
      <c r="F18" s="12" t="s">
        <v>58</v>
      </c>
    </row>
    <row r="19" spans="1:7" s="15" customFormat="1" x14ac:dyDescent="0.25">
      <c r="C19" s="16"/>
      <c r="D19" s="16"/>
      <c r="E19" s="16"/>
      <c r="F19" s="16"/>
      <c r="G19" s="16"/>
    </row>
    <row r="20" spans="1:7" s="22" customFormat="1" ht="21" x14ac:dyDescent="0.35">
      <c r="A20" s="23" t="s">
        <v>92</v>
      </c>
      <c r="B20" s="15"/>
      <c r="C20" s="20">
        <v>0</v>
      </c>
      <c r="D20" s="20">
        <v>1</v>
      </c>
      <c r="E20" s="20">
        <v>2</v>
      </c>
      <c r="F20" s="20">
        <v>3</v>
      </c>
      <c r="G20" s="21"/>
    </row>
    <row r="21" spans="1:7" ht="165" x14ac:dyDescent="0.25">
      <c r="A21" s="12" t="s">
        <v>94</v>
      </c>
      <c r="C21" s="12" t="s">
        <v>56</v>
      </c>
      <c r="D21" s="12" t="s">
        <v>57</v>
      </c>
      <c r="E21" s="12" t="s">
        <v>59</v>
      </c>
      <c r="F21" s="12" t="s">
        <v>58</v>
      </c>
    </row>
    <row r="22" spans="1:7" s="15" customFormat="1" x14ac:dyDescent="0.25">
      <c r="C22" s="16"/>
      <c r="D22" s="16"/>
      <c r="E22" s="16"/>
      <c r="F22" s="16"/>
      <c r="G22" s="16"/>
    </row>
    <row r="23" spans="1:7" s="22" customFormat="1" ht="21" x14ac:dyDescent="0.35">
      <c r="A23" s="23" t="s">
        <v>47</v>
      </c>
      <c r="B23" s="15"/>
      <c r="C23" s="20" t="s">
        <v>17</v>
      </c>
      <c r="D23" s="20" t="s">
        <v>18</v>
      </c>
      <c r="E23" s="20" t="s">
        <v>10</v>
      </c>
      <c r="F23" s="21"/>
      <c r="G23" s="21"/>
    </row>
    <row r="24" spans="1:7" ht="105" x14ac:dyDescent="0.25">
      <c r="A24" s="12" t="s">
        <v>60</v>
      </c>
      <c r="C24" s="12" t="s">
        <v>66</v>
      </c>
      <c r="D24" s="12" t="s">
        <v>62</v>
      </c>
      <c r="E24" s="12" t="s">
        <v>61</v>
      </c>
    </row>
    <row r="25" spans="1:7" s="15" customFormat="1" x14ac:dyDescent="0.25">
      <c r="C25" s="16"/>
      <c r="D25" s="16"/>
      <c r="E25" s="16"/>
      <c r="F25" s="16"/>
      <c r="G25" s="16"/>
    </row>
    <row r="26" spans="1:7" s="22" customFormat="1" ht="21" x14ac:dyDescent="0.35">
      <c r="A26" s="23" t="s">
        <v>48</v>
      </c>
      <c r="B26" s="15"/>
      <c r="C26" s="20" t="s">
        <v>12</v>
      </c>
      <c r="D26" s="20" t="s">
        <v>16</v>
      </c>
      <c r="E26" s="21"/>
      <c r="F26" s="21"/>
      <c r="G26" s="21"/>
    </row>
    <row r="27" spans="1:7" ht="120" x14ac:dyDescent="0.25">
      <c r="A27" s="12" t="s">
        <v>63</v>
      </c>
      <c r="C27" s="12" t="s">
        <v>65</v>
      </c>
      <c r="D27" s="12" t="s">
        <v>64</v>
      </c>
    </row>
    <row r="28" spans="1:7" s="15" customFormat="1" x14ac:dyDescent="0.25">
      <c r="C28" s="16"/>
      <c r="D28" s="16"/>
      <c r="E28" s="16"/>
      <c r="F28" s="16"/>
      <c r="G28" s="16"/>
    </row>
    <row r="29" spans="1:7" s="22" customFormat="1" ht="21" x14ac:dyDescent="0.35">
      <c r="A29" s="23" t="s">
        <v>49</v>
      </c>
      <c r="B29" s="15"/>
      <c r="C29" s="20">
        <v>1</v>
      </c>
      <c r="D29" s="20">
        <v>2</v>
      </c>
      <c r="E29" s="20">
        <v>3</v>
      </c>
      <c r="F29" s="21"/>
      <c r="G29" s="21"/>
    </row>
    <row r="30" spans="1:7" ht="105" x14ac:dyDescent="0.25">
      <c r="A30" s="12" t="s">
        <v>67</v>
      </c>
      <c r="C30" s="12" t="s">
        <v>68</v>
      </c>
      <c r="D30" s="12" t="s">
        <v>69</v>
      </c>
      <c r="E30" s="12" t="s">
        <v>70</v>
      </c>
    </row>
    <row r="31" spans="1:7" s="15" customFormat="1" x14ac:dyDescent="0.25">
      <c r="C31" s="16"/>
      <c r="D31" s="16"/>
      <c r="E31" s="16"/>
      <c r="F31" s="16"/>
      <c r="G31" s="16"/>
    </row>
    <row r="32" spans="1:7" s="22" customFormat="1" ht="21" x14ac:dyDescent="0.35">
      <c r="A32" s="23" t="s">
        <v>50</v>
      </c>
      <c r="B32" s="15"/>
      <c r="C32" s="20" t="s">
        <v>13</v>
      </c>
      <c r="D32" s="20" t="s">
        <v>14</v>
      </c>
      <c r="E32" s="21"/>
      <c r="F32" s="21"/>
      <c r="G32" s="21"/>
    </row>
    <row r="33" spans="1:7" ht="60" x14ac:dyDescent="0.25">
      <c r="A33" s="12" t="s">
        <v>71</v>
      </c>
      <c r="C33" s="12" t="s">
        <v>72</v>
      </c>
      <c r="D33" s="12" t="s">
        <v>73</v>
      </c>
    </row>
    <row r="34" spans="1:7" s="15" customFormat="1" x14ac:dyDescent="0.25">
      <c r="C34" s="16"/>
      <c r="D34" s="16"/>
      <c r="E34" s="16"/>
      <c r="F34" s="16"/>
      <c r="G34" s="16"/>
    </row>
    <row r="35" spans="1:7" s="22" customFormat="1" ht="21" x14ac:dyDescent="0.35">
      <c r="A35" s="23" t="s">
        <v>100</v>
      </c>
      <c r="B35" s="15"/>
      <c r="C35" s="20" t="s">
        <v>13</v>
      </c>
      <c r="D35" s="20" t="s">
        <v>14</v>
      </c>
      <c r="E35" s="21"/>
      <c r="F35" s="21"/>
      <c r="G35" s="21"/>
    </row>
    <row r="36" spans="1:7" ht="75" x14ac:dyDescent="0.25">
      <c r="A36" s="12" t="s">
        <v>101</v>
      </c>
      <c r="C36" s="12" t="s">
        <v>102</v>
      </c>
      <c r="D36" s="12" t="s">
        <v>104</v>
      </c>
    </row>
    <row r="37" spans="1:7" s="15" customFormat="1" x14ac:dyDescent="0.25">
      <c r="C37" s="16"/>
      <c r="D37" s="16"/>
      <c r="E37" s="16"/>
      <c r="F37" s="16"/>
      <c r="G37" s="16"/>
    </row>
    <row r="38" spans="1:7" s="22" customFormat="1" ht="21" x14ac:dyDescent="0.35">
      <c r="A38" s="23" t="s">
        <v>83</v>
      </c>
      <c r="B38" s="15"/>
      <c r="C38" s="20" t="s">
        <v>13</v>
      </c>
      <c r="D38" s="20" t="s">
        <v>14</v>
      </c>
      <c r="E38" s="21"/>
      <c r="F38" s="21"/>
      <c r="G38" s="21"/>
    </row>
    <row r="39" spans="1:7" ht="75" x14ac:dyDescent="0.25">
      <c r="A39" s="12" t="s">
        <v>103</v>
      </c>
      <c r="C39" s="12" t="s">
        <v>74</v>
      </c>
      <c r="D39" s="12" t="s">
        <v>75</v>
      </c>
    </row>
    <row r="40" spans="1:7" s="15" customFormat="1" x14ac:dyDescent="0.25">
      <c r="C40" s="16"/>
      <c r="D40" s="16"/>
      <c r="E40" s="16"/>
      <c r="F40" s="16"/>
      <c r="G40" s="16"/>
    </row>
    <row r="41" spans="1:7" s="22" customFormat="1" ht="21" x14ac:dyDescent="0.35">
      <c r="A41" s="23" t="s">
        <v>84</v>
      </c>
      <c r="B41" s="15"/>
      <c r="C41" s="20" t="s">
        <v>13</v>
      </c>
      <c r="D41" s="20" t="s">
        <v>14</v>
      </c>
      <c r="E41" s="21"/>
      <c r="F41" s="21"/>
      <c r="G41" s="21"/>
    </row>
    <row r="42" spans="1:7" ht="75" x14ac:dyDescent="0.25">
      <c r="A42" s="12" t="s">
        <v>85</v>
      </c>
      <c r="C42" s="12" t="s">
        <v>86</v>
      </c>
      <c r="D42" s="12" t="s">
        <v>87</v>
      </c>
    </row>
    <row r="43" spans="1:7" s="15" customFormat="1" x14ac:dyDescent="0.25">
      <c r="C43" s="16"/>
      <c r="D43" s="16"/>
      <c r="E43" s="16"/>
      <c r="F43" s="16"/>
      <c r="G43" s="16"/>
    </row>
    <row r="44" spans="1:7" s="22" customFormat="1" ht="21" x14ac:dyDescent="0.35">
      <c r="A44" s="23" t="s">
        <v>51</v>
      </c>
      <c r="B44" s="15"/>
      <c r="C44" s="20" t="s">
        <v>13</v>
      </c>
      <c r="D44" s="20" t="s">
        <v>14</v>
      </c>
      <c r="E44" s="21"/>
      <c r="F44" s="21"/>
      <c r="G44" s="21"/>
    </row>
    <row r="45" spans="1:7" ht="60" x14ac:dyDescent="0.25">
      <c r="A45" s="12" t="s">
        <v>89</v>
      </c>
      <c r="C45" s="12" t="s">
        <v>90</v>
      </c>
      <c r="D45" s="12" t="s">
        <v>91</v>
      </c>
    </row>
    <row r="46" spans="1:7" s="15" customFormat="1" x14ac:dyDescent="0.25">
      <c r="C46" s="16"/>
      <c r="D46" s="16"/>
      <c r="E46" s="16"/>
      <c r="F46" s="16"/>
      <c r="G46" s="16"/>
    </row>
    <row r="47" spans="1:7" s="22" customFormat="1" ht="21" x14ac:dyDescent="0.35">
      <c r="A47" s="23" t="s">
        <v>97</v>
      </c>
      <c r="B47" s="15"/>
      <c r="C47" s="20">
        <v>1</v>
      </c>
      <c r="D47" s="20">
        <v>0</v>
      </c>
      <c r="E47" s="21"/>
      <c r="F47" s="21"/>
      <c r="G47" s="21"/>
    </row>
    <row r="48" spans="1:7" ht="90" x14ac:dyDescent="0.25">
      <c r="A48" s="12" t="s">
        <v>98</v>
      </c>
      <c r="C48" s="12" t="s">
        <v>76</v>
      </c>
      <c r="D48" s="12" t="s">
        <v>77</v>
      </c>
    </row>
    <row r="49" spans="3:7" s="15" customFormat="1" x14ac:dyDescent="0.25">
      <c r="C49" s="16"/>
      <c r="D49" s="16"/>
      <c r="E49" s="16"/>
      <c r="F49" s="16"/>
      <c r="G49" s="16"/>
    </row>
  </sheetData>
  <mergeCells count="3">
    <mergeCell ref="A2:K2"/>
    <mergeCell ref="A1:K1"/>
    <mergeCell ref="A3:K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998"/>
  <sheetViews>
    <sheetView zoomScaleNormal="100" workbookViewId="0">
      <pane ySplit="1" topLeftCell="A2555" activePane="bottomLeft" state="frozen"/>
      <selection pane="bottomLeft" activeCell="N1" sqref="N1:N1048576"/>
    </sheetView>
  </sheetViews>
  <sheetFormatPr defaultColWidth="8.7109375" defaultRowHeight="15" x14ac:dyDescent="0.25"/>
  <cols>
    <col min="1" max="1" width="10" customWidth="1"/>
    <col min="2" max="2" width="11" customWidth="1"/>
    <col min="3" max="4" width="7" customWidth="1"/>
    <col min="5" max="6" width="9.42578125" customWidth="1"/>
    <col min="7" max="7" width="9" customWidth="1"/>
    <col min="8" max="8" width="7" customWidth="1"/>
    <col min="9" max="9" width="9" customWidth="1"/>
    <col min="10" max="14" width="7" customWidth="1"/>
    <col min="15" max="15" width="11" customWidth="1"/>
  </cols>
  <sheetData>
    <row r="1" spans="1:15" ht="30" customHeight="1" x14ac:dyDescent="0.25">
      <c r="A1" s="1" t="s">
        <v>0</v>
      </c>
      <c r="B1" s="1" t="s">
        <v>1</v>
      </c>
      <c r="C1" s="1" t="s">
        <v>2</v>
      </c>
      <c r="D1" s="1" t="s">
        <v>109</v>
      </c>
      <c r="E1" s="1" t="s">
        <v>88</v>
      </c>
      <c r="F1" s="18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99</v>
      </c>
      <c r="L1" s="1" t="s">
        <v>80</v>
      </c>
      <c r="M1" s="1" t="s">
        <v>79</v>
      </c>
      <c r="N1" s="1" t="s">
        <v>8</v>
      </c>
      <c r="O1" s="1" t="s">
        <v>96</v>
      </c>
    </row>
    <row r="2" spans="1:15" ht="15" customHeight="1" x14ac:dyDescent="0.25">
      <c r="A2" s="2">
        <v>30</v>
      </c>
      <c r="B2" s="2" t="s">
        <v>10</v>
      </c>
      <c r="C2" s="2" t="s">
        <v>11</v>
      </c>
      <c r="D2" s="2" t="s">
        <v>106</v>
      </c>
      <c r="E2" s="2">
        <v>1</v>
      </c>
      <c r="F2" s="2">
        <v>0</v>
      </c>
      <c r="G2" s="2" t="s">
        <v>10</v>
      </c>
      <c r="H2" s="2" t="s">
        <v>12</v>
      </c>
      <c r="I2" s="2">
        <v>2</v>
      </c>
      <c r="J2" s="2" t="s">
        <v>14</v>
      </c>
      <c r="K2" s="2" t="s">
        <v>14</v>
      </c>
      <c r="L2" s="2" t="s">
        <v>14</v>
      </c>
      <c r="M2" s="2" t="s">
        <v>13</v>
      </c>
      <c r="N2" s="2" t="s">
        <v>14</v>
      </c>
      <c r="O2" s="2">
        <v>0</v>
      </c>
    </row>
    <row r="3" spans="1:15" ht="15" customHeight="1" x14ac:dyDescent="0.25">
      <c r="A3" s="3">
        <v>5</v>
      </c>
      <c r="B3" s="3" t="s">
        <v>14</v>
      </c>
      <c r="C3" s="3" t="s">
        <v>19</v>
      </c>
      <c r="D3" s="2" t="s">
        <v>106</v>
      </c>
      <c r="E3" s="3">
        <v>0</v>
      </c>
      <c r="F3" s="3">
        <v>1</v>
      </c>
      <c r="G3" s="3" t="s">
        <v>10</v>
      </c>
      <c r="H3" s="3" t="s">
        <v>12</v>
      </c>
      <c r="I3" s="3">
        <v>2</v>
      </c>
      <c r="J3" s="3" t="s">
        <v>14</v>
      </c>
      <c r="K3" s="3" t="s">
        <v>13</v>
      </c>
      <c r="L3" s="3" t="s">
        <v>13</v>
      </c>
      <c r="M3" s="3" t="s">
        <v>14</v>
      </c>
      <c r="N3" s="2" t="s">
        <v>14</v>
      </c>
      <c r="O3" s="3">
        <v>1</v>
      </c>
    </row>
    <row r="4" spans="1:15" ht="15" customHeight="1" x14ac:dyDescent="0.25">
      <c r="A4" s="2">
        <v>10</v>
      </c>
      <c r="B4" s="2" t="s">
        <v>18</v>
      </c>
      <c r="C4" s="2" t="s">
        <v>19</v>
      </c>
      <c r="D4" s="2" t="s">
        <v>106</v>
      </c>
      <c r="E4" s="2">
        <v>0</v>
      </c>
      <c r="F4" s="2">
        <v>1</v>
      </c>
      <c r="G4" s="2" t="s">
        <v>10</v>
      </c>
      <c r="H4" s="2" t="s">
        <v>16</v>
      </c>
      <c r="I4" s="2">
        <v>1</v>
      </c>
      <c r="J4" s="2" t="s">
        <v>14</v>
      </c>
      <c r="K4" s="2" t="s">
        <v>14</v>
      </c>
      <c r="L4" s="2" t="s">
        <v>14</v>
      </c>
      <c r="M4" s="2" t="s">
        <v>14</v>
      </c>
      <c r="N4" s="2" t="s">
        <v>14</v>
      </c>
      <c r="O4" s="2">
        <v>1</v>
      </c>
    </row>
    <row r="5" spans="1:15" ht="15" customHeight="1" x14ac:dyDescent="0.25">
      <c r="A5" s="3">
        <v>30</v>
      </c>
      <c r="B5" s="3" t="s">
        <v>10</v>
      </c>
      <c r="C5" s="3" t="s">
        <v>19</v>
      </c>
      <c r="D5" s="2" t="s">
        <v>106</v>
      </c>
      <c r="E5" s="3">
        <v>0</v>
      </c>
      <c r="F5" s="3">
        <v>0</v>
      </c>
      <c r="G5" s="3" t="s">
        <v>10</v>
      </c>
      <c r="H5" s="3" t="s">
        <v>12</v>
      </c>
      <c r="I5" s="3">
        <v>2</v>
      </c>
      <c r="J5" s="3" t="s">
        <v>13</v>
      </c>
      <c r="K5" s="3" t="s">
        <v>14</v>
      </c>
      <c r="L5" s="3" t="s">
        <v>14</v>
      </c>
      <c r="M5" s="3" t="s">
        <v>13</v>
      </c>
      <c r="N5" s="2" t="s">
        <v>14</v>
      </c>
      <c r="O5" s="3">
        <v>1</v>
      </c>
    </row>
    <row r="6" spans="1:15" ht="15" customHeight="1" x14ac:dyDescent="0.25">
      <c r="A6" s="2">
        <v>0</v>
      </c>
      <c r="B6" s="2" t="s">
        <v>18</v>
      </c>
      <c r="C6" s="2" t="s">
        <v>19</v>
      </c>
      <c r="D6" s="2" t="s">
        <v>106</v>
      </c>
      <c r="E6" s="2">
        <v>0</v>
      </c>
      <c r="F6" s="2">
        <v>0</v>
      </c>
      <c r="G6" s="2" t="s">
        <v>10</v>
      </c>
      <c r="H6" s="2" t="s">
        <v>12</v>
      </c>
      <c r="I6" s="2">
        <v>1</v>
      </c>
      <c r="J6" s="2" t="s">
        <v>14</v>
      </c>
      <c r="K6" s="2" t="s">
        <v>14</v>
      </c>
      <c r="L6" s="2" t="s">
        <v>14</v>
      </c>
      <c r="M6" s="2" t="s">
        <v>14</v>
      </c>
      <c r="N6" s="2" t="s">
        <v>14</v>
      </c>
      <c r="O6" s="2">
        <v>1</v>
      </c>
    </row>
    <row r="7" spans="1:15" ht="15" customHeight="1" x14ac:dyDescent="0.25">
      <c r="A7" s="3">
        <v>5</v>
      </c>
      <c r="B7" s="3" t="s">
        <v>14</v>
      </c>
      <c r="C7" s="3" t="s">
        <v>11</v>
      </c>
      <c r="D7" s="2" t="s">
        <v>106</v>
      </c>
      <c r="E7" s="3">
        <v>0</v>
      </c>
      <c r="F7" s="3">
        <v>0</v>
      </c>
      <c r="G7" s="3" t="s">
        <v>10</v>
      </c>
      <c r="H7" s="3" t="s">
        <v>16</v>
      </c>
      <c r="I7" s="3" t="s">
        <v>15</v>
      </c>
      <c r="J7" s="3" t="s">
        <v>14</v>
      </c>
      <c r="K7" s="3" t="s">
        <v>14</v>
      </c>
      <c r="L7" s="3" t="s">
        <v>14</v>
      </c>
      <c r="M7" s="3" t="s">
        <v>14</v>
      </c>
      <c r="N7" s="2" t="s">
        <v>14</v>
      </c>
      <c r="O7" s="3">
        <v>1</v>
      </c>
    </row>
    <row r="8" spans="1:15" ht="15" customHeight="1" x14ac:dyDescent="0.25">
      <c r="A8" s="2">
        <v>20</v>
      </c>
      <c r="B8" s="2" t="s">
        <v>10</v>
      </c>
      <c r="C8" s="2" t="s">
        <v>11</v>
      </c>
      <c r="D8" s="2" t="s">
        <v>106</v>
      </c>
      <c r="E8" s="2">
        <v>2</v>
      </c>
      <c r="F8" s="2">
        <v>0</v>
      </c>
      <c r="G8" s="2" t="s">
        <v>10</v>
      </c>
      <c r="H8" s="2" t="s">
        <v>12</v>
      </c>
      <c r="I8" s="2" t="s">
        <v>15</v>
      </c>
      <c r="J8" s="2" t="s">
        <v>13</v>
      </c>
      <c r="K8" s="2" t="s">
        <v>14</v>
      </c>
      <c r="L8" s="2" t="s">
        <v>14</v>
      </c>
      <c r="M8" s="2" t="s">
        <v>13</v>
      </c>
      <c r="N8" s="2" t="s">
        <v>13</v>
      </c>
      <c r="O8" s="2">
        <v>0</v>
      </c>
    </row>
    <row r="9" spans="1:15" ht="15" customHeight="1" x14ac:dyDescent="0.25">
      <c r="A9" s="3">
        <v>10</v>
      </c>
      <c r="B9" s="3" t="s">
        <v>10</v>
      </c>
      <c r="C9" s="3" t="s">
        <v>20</v>
      </c>
      <c r="D9" s="2" t="s">
        <v>106</v>
      </c>
      <c r="E9" s="3">
        <v>1</v>
      </c>
      <c r="F9" s="3">
        <v>0</v>
      </c>
      <c r="G9" s="3" t="s">
        <v>17</v>
      </c>
      <c r="H9" s="3" t="s">
        <v>106</v>
      </c>
      <c r="I9" s="3">
        <v>1</v>
      </c>
      <c r="J9" s="3" t="s">
        <v>14</v>
      </c>
      <c r="K9" s="3" t="s">
        <v>13</v>
      </c>
      <c r="L9" s="3" t="s">
        <v>13</v>
      </c>
      <c r="M9" s="3" t="s">
        <v>13</v>
      </c>
      <c r="N9" s="2" t="s">
        <v>14</v>
      </c>
      <c r="O9" s="3">
        <v>0</v>
      </c>
    </row>
    <row r="10" spans="1:15" ht="15" customHeight="1" x14ac:dyDescent="0.25">
      <c r="A10" s="2">
        <v>5</v>
      </c>
      <c r="B10" s="2" t="s">
        <v>14</v>
      </c>
      <c r="C10" s="2" t="s">
        <v>11</v>
      </c>
      <c r="D10" s="2" t="s">
        <v>106</v>
      </c>
      <c r="E10" s="2">
        <v>0</v>
      </c>
      <c r="F10" s="2">
        <v>0</v>
      </c>
      <c r="G10" s="2" t="s">
        <v>10</v>
      </c>
      <c r="H10" s="2" t="s">
        <v>16</v>
      </c>
      <c r="I10" s="2" t="s">
        <v>15</v>
      </c>
      <c r="J10" s="2" t="s">
        <v>14</v>
      </c>
      <c r="K10" s="2" t="s">
        <v>14</v>
      </c>
      <c r="L10" s="2" t="s">
        <v>14</v>
      </c>
      <c r="M10" s="2" t="s">
        <v>14</v>
      </c>
      <c r="N10" s="2" t="s">
        <v>14</v>
      </c>
      <c r="O10" s="2">
        <v>1</v>
      </c>
    </row>
    <row r="11" spans="1:15" ht="15" customHeight="1" x14ac:dyDescent="0.25">
      <c r="A11" s="3">
        <v>20</v>
      </c>
      <c r="B11" s="3" t="s">
        <v>18</v>
      </c>
      <c r="C11" s="3" t="s">
        <v>19</v>
      </c>
      <c r="D11" s="2" t="s">
        <v>106</v>
      </c>
      <c r="E11" s="3">
        <v>0</v>
      </c>
      <c r="F11" s="3">
        <v>0</v>
      </c>
      <c r="G11" s="3" t="s">
        <v>10</v>
      </c>
      <c r="H11" s="3" t="s">
        <v>12</v>
      </c>
      <c r="I11" s="3" t="s">
        <v>15</v>
      </c>
      <c r="J11" s="3" t="s">
        <v>14</v>
      </c>
      <c r="K11" s="3" t="s">
        <v>14</v>
      </c>
      <c r="L11" s="3" t="s">
        <v>14</v>
      </c>
      <c r="M11" s="3" t="s">
        <v>14</v>
      </c>
      <c r="N11" s="2" t="s">
        <v>14</v>
      </c>
      <c r="O11" s="3">
        <v>1</v>
      </c>
    </row>
    <row r="12" spans="1:15" ht="15" customHeight="1" x14ac:dyDescent="0.25">
      <c r="A12" s="2">
        <v>10</v>
      </c>
      <c r="B12" s="2" t="s">
        <v>14</v>
      </c>
      <c r="C12" s="2" t="s">
        <v>19</v>
      </c>
      <c r="D12" s="2" t="s">
        <v>106</v>
      </c>
      <c r="E12" s="2">
        <v>0</v>
      </c>
      <c r="F12" s="2">
        <v>0</v>
      </c>
      <c r="G12" s="2" t="s">
        <v>10</v>
      </c>
      <c r="H12" s="2" t="s">
        <v>12</v>
      </c>
      <c r="I12" s="2">
        <v>2</v>
      </c>
      <c r="J12" s="2" t="s">
        <v>14</v>
      </c>
      <c r="K12" s="2" t="s">
        <v>14</v>
      </c>
      <c r="L12" s="2" t="s">
        <v>14</v>
      </c>
      <c r="M12" s="2" t="s">
        <v>14</v>
      </c>
      <c r="N12" s="2" t="s">
        <v>14</v>
      </c>
      <c r="O12" s="2">
        <v>1</v>
      </c>
    </row>
    <row r="13" spans="1:15" ht="15" customHeight="1" x14ac:dyDescent="0.25">
      <c r="A13" s="3">
        <v>10</v>
      </c>
      <c r="B13" s="3" t="s">
        <v>10</v>
      </c>
      <c r="C13" s="3" t="s">
        <v>19</v>
      </c>
      <c r="D13" s="2" t="s">
        <v>106</v>
      </c>
      <c r="E13" s="3">
        <v>0</v>
      </c>
      <c r="F13" s="3">
        <v>0</v>
      </c>
      <c r="G13" s="3" t="s">
        <v>10</v>
      </c>
      <c r="H13" s="3" t="s">
        <v>12</v>
      </c>
      <c r="I13" s="3">
        <v>2</v>
      </c>
      <c r="J13" s="3" t="s">
        <v>14</v>
      </c>
      <c r="K13" s="3" t="s">
        <v>14</v>
      </c>
      <c r="L13" s="3" t="s">
        <v>14</v>
      </c>
      <c r="M13" s="3" t="s">
        <v>14</v>
      </c>
      <c r="N13" s="2" t="s">
        <v>14</v>
      </c>
      <c r="O13" s="3">
        <v>1</v>
      </c>
    </row>
    <row r="14" spans="1:15" ht="15" customHeight="1" x14ac:dyDescent="0.25">
      <c r="A14" s="2">
        <v>5</v>
      </c>
      <c r="B14" s="2" t="s">
        <v>10</v>
      </c>
      <c r="C14" s="2" t="s">
        <v>19</v>
      </c>
      <c r="D14" s="2" t="s">
        <v>106</v>
      </c>
      <c r="E14" s="2">
        <v>0</v>
      </c>
      <c r="F14" s="2">
        <v>0</v>
      </c>
      <c r="G14" s="2" t="s">
        <v>10</v>
      </c>
      <c r="H14" s="2" t="s">
        <v>16</v>
      </c>
      <c r="I14" s="2" t="s">
        <v>15</v>
      </c>
      <c r="J14" s="2" t="s">
        <v>14</v>
      </c>
      <c r="K14" s="2" t="s">
        <v>14</v>
      </c>
      <c r="L14" s="2" t="s">
        <v>14</v>
      </c>
      <c r="M14" s="2" t="s">
        <v>14</v>
      </c>
      <c r="N14" s="2" t="s">
        <v>14</v>
      </c>
      <c r="O14" s="2">
        <v>1</v>
      </c>
    </row>
    <row r="15" spans="1:15" ht="15" customHeight="1" x14ac:dyDescent="0.25">
      <c r="A15" s="3">
        <v>20</v>
      </c>
      <c r="B15" s="3" t="s">
        <v>18</v>
      </c>
      <c r="C15" s="3" t="s">
        <v>19</v>
      </c>
      <c r="D15" s="2" t="s">
        <v>106</v>
      </c>
      <c r="E15" s="3">
        <v>0</v>
      </c>
      <c r="F15" s="3">
        <v>0</v>
      </c>
      <c r="G15" s="3" t="s">
        <v>10</v>
      </c>
      <c r="H15" s="3" t="s">
        <v>16</v>
      </c>
      <c r="I15" s="3">
        <v>1</v>
      </c>
      <c r="J15" s="3" t="s">
        <v>14</v>
      </c>
      <c r="K15" s="3" t="s">
        <v>14</v>
      </c>
      <c r="L15" s="3" t="s">
        <v>14</v>
      </c>
      <c r="M15" s="3" t="s">
        <v>14</v>
      </c>
      <c r="N15" s="2" t="s">
        <v>14</v>
      </c>
      <c r="O15" s="3">
        <v>1</v>
      </c>
    </row>
    <row r="16" spans="1:15" ht="15" customHeight="1" x14ac:dyDescent="0.25">
      <c r="A16" s="2">
        <v>20</v>
      </c>
      <c r="B16" s="2" t="s">
        <v>14</v>
      </c>
      <c r="C16" s="2" t="s">
        <v>19</v>
      </c>
      <c r="D16" s="2" t="s">
        <v>106</v>
      </c>
      <c r="E16" s="2">
        <v>0</v>
      </c>
      <c r="F16" s="2">
        <v>0</v>
      </c>
      <c r="G16" s="2" t="s">
        <v>10</v>
      </c>
      <c r="H16" s="2" t="s">
        <v>12</v>
      </c>
      <c r="I16" s="2">
        <v>2</v>
      </c>
      <c r="J16" s="2" t="s">
        <v>14</v>
      </c>
      <c r="K16" s="2" t="s">
        <v>14</v>
      </c>
      <c r="L16" s="2" t="s">
        <v>14</v>
      </c>
      <c r="M16" s="2" t="s">
        <v>14</v>
      </c>
      <c r="N16" s="2" t="s">
        <v>14</v>
      </c>
      <c r="O16" s="2">
        <v>1</v>
      </c>
    </row>
    <row r="17" spans="1:15" ht="15" customHeight="1" x14ac:dyDescent="0.25">
      <c r="A17" s="3">
        <v>5</v>
      </c>
      <c r="B17" s="3" t="s">
        <v>14</v>
      </c>
      <c r="C17" s="3" t="s">
        <v>19</v>
      </c>
      <c r="D17" s="2" t="s">
        <v>106</v>
      </c>
      <c r="E17" s="3">
        <v>0</v>
      </c>
      <c r="F17" s="3">
        <v>0</v>
      </c>
      <c r="G17" s="3" t="s">
        <v>10</v>
      </c>
      <c r="H17" s="3" t="s">
        <v>12</v>
      </c>
      <c r="I17" s="3" t="s">
        <v>15</v>
      </c>
      <c r="J17" s="3" t="s">
        <v>14</v>
      </c>
      <c r="K17" s="3" t="s">
        <v>14</v>
      </c>
      <c r="L17" s="3" t="s">
        <v>14</v>
      </c>
      <c r="M17" s="3" t="s">
        <v>14</v>
      </c>
      <c r="N17" s="2" t="s">
        <v>14</v>
      </c>
      <c r="O17" s="3">
        <v>1</v>
      </c>
    </row>
    <row r="18" spans="1:15" ht="15" customHeight="1" x14ac:dyDescent="0.25">
      <c r="A18" s="2">
        <v>20</v>
      </c>
      <c r="B18" s="2" t="s">
        <v>18</v>
      </c>
      <c r="C18" s="2" t="s">
        <v>19</v>
      </c>
      <c r="D18" s="2" t="s">
        <v>106</v>
      </c>
      <c r="E18" s="2">
        <v>0</v>
      </c>
      <c r="F18" s="2">
        <v>0</v>
      </c>
      <c r="G18" s="2" t="s">
        <v>10</v>
      </c>
      <c r="H18" s="2" t="s">
        <v>12</v>
      </c>
      <c r="I18" s="2" t="s">
        <v>15</v>
      </c>
      <c r="J18" s="2" t="s">
        <v>14</v>
      </c>
      <c r="K18" s="2" t="s">
        <v>14</v>
      </c>
      <c r="L18" s="2" t="s">
        <v>14</v>
      </c>
      <c r="M18" s="2" t="s">
        <v>14</v>
      </c>
      <c r="N18" s="2" t="s">
        <v>14</v>
      </c>
      <c r="O18" s="2">
        <v>1</v>
      </c>
    </row>
    <row r="19" spans="1:15" ht="15" customHeight="1" x14ac:dyDescent="0.25">
      <c r="A19" s="3">
        <v>10</v>
      </c>
      <c r="B19" s="3" t="s">
        <v>10</v>
      </c>
      <c r="C19" s="3" t="s">
        <v>19</v>
      </c>
      <c r="D19" s="2" t="s">
        <v>106</v>
      </c>
      <c r="E19" s="3">
        <v>0</v>
      </c>
      <c r="F19" s="3">
        <v>0</v>
      </c>
      <c r="G19" s="3" t="s">
        <v>10</v>
      </c>
      <c r="H19" s="3" t="s">
        <v>12</v>
      </c>
      <c r="I19" s="3">
        <v>2</v>
      </c>
      <c r="J19" s="3" t="s">
        <v>14</v>
      </c>
      <c r="K19" s="3" t="s">
        <v>14</v>
      </c>
      <c r="L19" s="3" t="s">
        <v>14</v>
      </c>
      <c r="M19" s="3" t="s">
        <v>14</v>
      </c>
      <c r="N19" s="2" t="s">
        <v>14</v>
      </c>
      <c r="O19" s="3">
        <v>1</v>
      </c>
    </row>
    <row r="20" spans="1:15" ht="15" customHeight="1" x14ac:dyDescent="0.25">
      <c r="A20" s="2">
        <v>10</v>
      </c>
      <c r="B20" s="2" t="s">
        <v>18</v>
      </c>
      <c r="C20" s="2" t="s">
        <v>19</v>
      </c>
      <c r="D20" s="2" t="s">
        <v>106</v>
      </c>
      <c r="E20" s="2">
        <v>0</v>
      </c>
      <c r="F20" s="2">
        <v>0</v>
      </c>
      <c r="G20" s="2" t="s">
        <v>10</v>
      </c>
      <c r="H20" s="2" t="s">
        <v>12</v>
      </c>
      <c r="I20" s="2">
        <v>2</v>
      </c>
      <c r="J20" s="2" t="s">
        <v>14</v>
      </c>
      <c r="K20" s="2" t="s">
        <v>14</v>
      </c>
      <c r="L20" s="2" t="s">
        <v>14</v>
      </c>
      <c r="M20" s="2" t="s">
        <v>14</v>
      </c>
      <c r="N20" s="2" t="s">
        <v>14</v>
      </c>
      <c r="O20" s="2">
        <v>1</v>
      </c>
    </row>
    <row r="21" spans="1:15" ht="15" customHeight="1" x14ac:dyDescent="0.25">
      <c r="A21" s="3">
        <v>10</v>
      </c>
      <c r="B21" s="3" t="s">
        <v>18</v>
      </c>
      <c r="C21" s="3" t="s">
        <v>20</v>
      </c>
      <c r="D21" s="2" t="s">
        <v>106</v>
      </c>
      <c r="E21" s="3">
        <v>0</v>
      </c>
      <c r="F21" s="3">
        <v>0</v>
      </c>
      <c r="G21" s="3" t="s">
        <v>10</v>
      </c>
      <c r="H21" s="3" t="s">
        <v>12</v>
      </c>
      <c r="I21" s="3">
        <v>2</v>
      </c>
      <c r="J21" s="3" t="s">
        <v>14</v>
      </c>
      <c r="K21" s="3" t="s">
        <v>14</v>
      </c>
      <c r="L21" s="3" t="s">
        <v>14</v>
      </c>
      <c r="M21" s="3" t="s">
        <v>14</v>
      </c>
      <c r="N21" s="2" t="s">
        <v>14</v>
      </c>
      <c r="O21" s="3">
        <v>1</v>
      </c>
    </row>
    <row r="22" spans="1:15" ht="15" customHeight="1" x14ac:dyDescent="0.25">
      <c r="A22" s="2">
        <v>10</v>
      </c>
      <c r="B22" s="2" t="s">
        <v>14</v>
      </c>
      <c r="C22" s="2" t="s">
        <v>20</v>
      </c>
      <c r="D22" s="2" t="s">
        <v>106</v>
      </c>
      <c r="E22" s="2">
        <v>0</v>
      </c>
      <c r="F22" s="2">
        <v>0</v>
      </c>
      <c r="G22" s="2" t="s">
        <v>10</v>
      </c>
      <c r="H22" s="2" t="s">
        <v>12</v>
      </c>
      <c r="I22" s="2">
        <v>2</v>
      </c>
      <c r="J22" s="2" t="s">
        <v>14</v>
      </c>
      <c r="K22" s="2" t="s">
        <v>14</v>
      </c>
      <c r="L22" s="2" t="s">
        <v>14</v>
      </c>
      <c r="M22" s="2" t="s">
        <v>14</v>
      </c>
      <c r="N22" s="2" t="s">
        <v>14</v>
      </c>
      <c r="O22" s="2">
        <v>1</v>
      </c>
    </row>
    <row r="23" spans="1:15" ht="15" customHeight="1" x14ac:dyDescent="0.25">
      <c r="A23" s="3">
        <v>10</v>
      </c>
      <c r="B23" s="3" t="s">
        <v>18</v>
      </c>
      <c r="C23" s="3" t="s">
        <v>20</v>
      </c>
      <c r="D23" s="2" t="s">
        <v>106</v>
      </c>
      <c r="E23" s="3">
        <v>0</v>
      </c>
      <c r="F23" s="3">
        <v>0</v>
      </c>
      <c r="G23" s="3" t="s">
        <v>10</v>
      </c>
      <c r="H23" s="3" t="s">
        <v>12</v>
      </c>
      <c r="I23" s="3" t="s">
        <v>15</v>
      </c>
      <c r="J23" s="3" t="s">
        <v>14</v>
      </c>
      <c r="K23" s="3" t="s">
        <v>14</v>
      </c>
      <c r="L23" s="3" t="s">
        <v>14</v>
      </c>
      <c r="M23" s="3" t="s">
        <v>14</v>
      </c>
      <c r="N23" s="2" t="s">
        <v>14</v>
      </c>
      <c r="O23" s="3">
        <v>1</v>
      </c>
    </row>
    <row r="24" spans="1:15" ht="15" customHeight="1" x14ac:dyDescent="0.25">
      <c r="A24" s="2">
        <v>30</v>
      </c>
      <c r="B24" s="2" t="s">
        <v>10</v>
      </c>
      <c r="C24" s="2" t="s">
        <v>11</v>
      </c>
      <c r="D24" s="2" t="s">
        <v>106</v>
      </c>
      <c r="E24" s="2">
        <v>1</v>
      </c>
      <c r="F24" s="2">
        <v>0</v>
      </c>
      <c r="G24" s="2" t="s">
        <v>10</v>
      </c>
      <c r="H24" s="2" t="s">
        <v>12</v>
      </c>
      <c r="I24" s="2" t="s">
        <v>15</v>
      </c>
      <c r="J24" s="2" t="s">
        <v>14</v>
      </c>
      <c r="K24" s="2" t="s">
        <v>14</v>
      </c>
      <c r="L24" s="2" t="s">
        <v>14</v>
      </c>
      <c r="M24" s="2" t="s">
        <v>13</v>
      </c>
      <c r="N24" s="2" t="s">
        <v>14</v>
      </c>
      <c r="O24" s="2">
        <v>0</v>
      </c>
    </row>
    <row r="25" spans="1:15" ht="15" customHeight="1" x14ac:dyDescent="0.25">
      <c r="A25" s="3">
        <v>10</v>
      </c>
      <c r="B25" s="3" t="s">
        <v>10</v>
      </c>
      <c r="C25" s="3" t="s">
        <v>19</v>
      </c>
      <c r="D25" s="2" t="s">
        <v>106</v>
      </c>
      <c r="E25" s="3">
        <v>1</v>
      </c>
      <c r="F25" s="3">
        <v>0</v>
      </c>
      <c r="G25" s="3" t="s">
        <v>17</v>
      </c>
      <c r="H25" s="3" t="s">
        <v>106</v>
      </c>
      <c r="I25" s="3">
        <v>1</v>
      </c>
      <c r="J25" s="3" t="s">
        <v>14</v>
      </c>
      <c r="K25" s="3" t="s">
        <v>13</v>
      </c>
      <c r="L25" s="3" t="s">
        <v>13</v>
      </c>
      <c r="M25" s="3" t="s">
        <v>13</v>
      </c>
      <c r="N25" s="2" t="s">
        <v>14</v>
      </c>
      <c r="O25" s="3">
        <v>0</v>
      </c>
    </row>
    <row r="26" spans="1:15" ht="15" customHeight="1" x14ac:dyDescent="0.25">
      <c r="A26" s="2">
        <v>10</v>
      </c>
      <c r="B26" s="2" t="s">
        <v>10</v>
      </c>
      <c r="C26" s="2" t="s">
        <v>11</v>
      </c>
      <c r="D26" s="2" t="s">
        <v>106</v>
      </c>
      <c r="E26" s="2">
        <v>0</v>
      </c>
      <c r="F26" s="2">
        <v>1</v>
      </c>
      <c r="G26" s="2" t="s">
        <v>17</v>
      </c>
      <c r="H26" s="2" t="s">
        <v>106</v>
      </c>
      <c r="I26" s="2">
        <v>1</v>
      </c>
      <c r="J26" s="2" t="s">
        <v>14</v>
      </c>
      <c r="K26" s="2" t="s">
        <v>13</v>
      </c>
      <c r="L26" s="2" t="s">
        <v>13</v>
      </c>
      <c r="M26" s="2" t="s">
        <v>13</v>
      </c>
      <c r="N26" s="2" t="s">
        <v>14</v>
      </c>
      <c r="O26" s="2">
        <v>1</v>
      </c>
    </row>
    <row r="27" spans="1:15" ht="15" customHeight="1" x14ac:dyDescent="0.25">
      <c r="A27" s="3">
        <v>5</v>
      </c>
      <c r="B27" s="3" t="s">
        <v>14</v>
      </c>
      <c r="C27" s="3" t="s">
        <v>11</v>
      </c>
      <c r="D27" s="2" t="s">
        <v>106</v>
      </c>
      <c r="E27" s="3">
        <v>0</v>
      </c>
      <c r="F27" s="3">
        <v>1</v>
      </c>
      <c r="G27" s="3" t="s">
        <v>10</v>
      </c>
      <c r="H27" s="3" t="s">
        <v>12</v>
      </c>
      <c r="I27" s="3">
        <v>1</v>
      </c>
      <c r="J27" s="3" t="s">
        <v>14</v>
      </c>
      <c r="K27" s="3" t="s">
        <v>13</v>
      </c>
      <c r="L27" s="3" t="s">
        <v>13</v>
      </c>
      <c r="M27" s="3" t="s">
        <v>14</v>
      </c>
      <c r="N27" s="2" t="s">
        <v>14</v>
      </c>
      <c r="O27" s="3">
        <v>0</v>
      </c>
    </row>
    <row r="28" spans="1:15" ht="15" customHeight="1" x14ac:dyDescent="0.25">
      <c r="A28" s="2">
        <v>5</v>
      </c>
      <c r="B28" s="2" t="s">
        <v>14</v>
      </c>
      <c r="C28" s="2" t="s">
        <v>20</v>
      </c>
      <c r="D28" s="2" t="s">
        <v>106</v>
      </c>
      <c r="E28" s="2">
        <v>0</v>
      </c>
      <c r="F28" s="2">
        <v>0</v>
      </c>
      <c r="G28" s="2" t="s">
        <v>10</v>
      </c>
      <c r="H28" s="2" t="s">
        <v>12</v>
      </c>
      <c r="I28" s="2">
        <v>1</v>
      </c>
      <c r="J28" s="2" t="s">
        <v>14</v>
      </c>
      <c r="K28" s="2" t="s">
        <v>14</v>
      </c>
      <c r="L28" s="2" t="s">
        <v>14</v>
      </c>
      <c r="M28" s="2" t="s">
        <v>14</v>
      </c>
      <c r="N28" s="2" t="s">
        <v>14</v>
      </c>
      <c r="O28" s="2">
        <v>1</v>
      </c>
    </row>
    <row r="29" spans="1:15" ht="15" customHeight="1" x14ac:dyDescent="0.25">
      <c r="A29" s="3">
        <v>10</v>
      </c>
      <c r="B29" s="3" t="s">
        <v>10</v>
      </c>
      <c r="C29" s="3" t="s">
        <v>19</v>
      </c>
      <c r="D29" s="2" t="s">
        <v>106</v>
      </c>
      <c r="E29" s="3">
        <v>0</v>
      </c>
      <c r="F29" s="3">
        <v>1</v>
      </c>
      <c r="G29" s="3" t="s">
        <v>10</v>
      </c>
      <c r="H29" s="3" t="s">
        <v>12</v>
      </c>
      <c r="I29" s="3" t="s">
        <v>15</v>
      </c>
      <c r="J29" s="3" t="s">
        <v>13</v>
      </c>
      <c r="K29" s="3" t="s">
        <v>14</v>
      </c>
      <c r="L29" s="3" t="s">
        <v>14</v>
      </c>
      <c r="M29" s="3" t="s">
        <v>14</v>
      </c>
      <c r="N29" s="2" t="s">
        <v>14</v>
      </c>
      <c r="O29" s="3">
        <v>1</v>
      </c>
    </row>
    <row r="30" spans="1:15" ht="15" customHeight="1" x14ac:dyDescent="0.25">
      <c r="A30" s="2">
        <v>30</v>
      </c>
      <c r="B30" s="2" t="s">
        <v>10</v>
      </c>
      <c r="C30" s="2" t="s">
        <v>11</v>
      </c>
      <c r="D30" s="2" t="s">
        <v>106</v>
      </c>
      <c r="E30" s="2">
        <v>1</v>
      </c>
      <c r="F30" s="2">
        <v>1</v>
      </c>
      <c r="G30" s="2" t="s">
        <v>10</v>
      </c>
      <c r="H30" s="2" t="s">
        <v>12</v>
      </c>
      <c r="I30" s="2" t="s">
        <v>15</v>
      </c>
      <c r="J30" s="2" t="s">
        <v>14</v>
      </c>
      <c r="K30" s="2" t="s">
        <v>14</v>
      </c>
      <c r="L30" s="2" t="s">
        <v>14</v>
      </c>
      <c r="M30" s="2" t="s">
        <v>13</v>
      </c>
      <c r="N30" s="2" t="s">
        <v>14</v>
      </c>
      <c r="O30" s="2">
        <v>0</v>
      </c>
    </row>
    <row r="31" spans="1:15" ht="15" customHeight="1" x14ac:dyDescent="0.25">
      <c r="A31" s="2">
        <v>5</v>
      </c>
      <c r="B31" s="2" t="s">
        <v>10</v>
      </c>
      <c r="C31" s="2" t="s">
        <v>19</v>
      </c>
      <c r="D31" s="2" t="s">
        <v>106</v>
      </c>
      <c r="E31" s="2">
        <v>0</v>
      </c>
      <c r="F31" s="2">
        <v>2</v>
      </c>
      <c r="G31" s="2" t="s">
        <v>17</v>
      </c>
      <c r="H31" s="2" t="s">
        <v>106</v>
      </c>
      <c r="I31" s="2">
        <v>1</v>
      </c>
      <c r="J31" s="2" t="s">
        <v>14</v>
      </c>
      <c r="K31" s="2" t="s">
        <v>13</v>
      </c>
      <c r="L31" s="2" t="s">
        <v>13</v>
      </c>
      <c r="M31" s="2" t="s">
        <v>13</v>
      </c>
      <c r="N31" s="2" t="s">
        <v>14</v>
      </c>
      <c r="O31" s="2">
        <v>1</v>
      </c>
    </row>
    <row r="32" spans="1:15" ht="15" customHeight="1" x14ac:dyDescent="0.25">
      <c r="A32" s="3">
        <v>30</v>
      </c>
      <c r="B32" s="3" t="s">
        <v>18</v>
      </c>
      <c r="C32" s="3" t="s">
        <v>19</v>
      </c>
      <c r="D32" s="2" t="s">
        <v>106</v>
      </c>
      <c r="E32" s="3">
        <v>0</v>
      </c>
      <c r="F32" s="3">
        <v>0</v>
      </c>
      <c r="G32" s="3" t="s">
        <v>10</v>
      </c>
      <c r="H32" s="3" t="s">
        <v>12</v>
      </c>
      <c r="I32" s="3">
        <v>1</v>
      </c>
      <c r="J32" s="3" t="s">
        <v>14</v>
      </c>
      <c r="K32" s="3" t="s">
        <v>13</v>
      </c>
      <c r="L32" s="3" t="s">
        <v>14</v>
      </c>
      <c r="M32" s="3" t="s">
        <v>14</v>
      </c>
      <c r="N32" s="2" t="s">
        <v>14</v>
      </c>
      <c r="O32" s="3">
        <v>1</v>
      </c>
    </row>
    <row r="33" spans="1:15" ht="15" customHeight="1" x14ac:dyDescent="0.25">
      <c r="A33" s="2">
        <v>10</v>
      </c>
      <c r="B33" s="2" t="s">
        <v>10</v>
      </c>
      <c r="C33" s="2" t="s">
        <v>20</v>
      </c>
      <c r="D33" s="2" t="s">
        <v>106</v>
      </c>
      <c r="E33" s="2">
        <v>0</v>
      </c>
      <c r="F33" s="2">
        <v>0</v>
      </c>
      <c r="G33" s="2" t="s">
        <v>10</v>
      </c>
      <c r="H33" s="2" t="s">
        <v>12</v>
      </c>
      <c r="I33" s="2">
        <v>1</v>
      </c>
      <c r="J33" s="2" t="s">
        <v>14</v>
      </c>
      <c r="K33" s="2" t="s">
        <v>14</v>
      </c>
      <c r="L33" s="2" t="s">
        <v>14</v>
      </c>
      <c r="M33" s="2" t="s">
        <v>14</v>
      </c>
      <c r="N33" s="2" t="s">
        <v>14</v>
      </c>
      <c r="O33" s="2">
        <v>1</v>
      </c>
    </row>
    <row r="34" spans="1:15" ht="15" customHeight="1" x14ac:dyDescent="0.25">
      <c r="A34" s="3">
        <v>5</v>
      </c>
      <c r="B34" s="3" t="s">
        <v>14</v>
      </c>
      <c r="C34" s="3" t="s">
        <v>19</v>
      </c>
      <c r="D34" s="2" t="s">
        <v>106</v>
      </c>
      <c r="E34" s="3">
        <v>0</v>
      </c>
      <c r="F34" s="3">
        <v>0</v>
      </c>
      <c r="G34" s="3" t="s">
        <v>10</v>
      </c>
      <c r="H34" s="3" t="s">
        <v>12</v>
      </c>
      <c r="I34" s="3">
        <v>1</v>
      </c>
      <c r="J34" s="3" t="s">
        <v>14</v>
      </c>
      <c r="K34" s="3" t="s">
        <v>14</v>
      </c>
      <c r="L34" s="3" t="s">
        <v>14</v>
      </c>
      <c r="M34" s="3" t="s">
        <v>14</v>
      </c>
      <c r="N34" s="2" t="s">
        <v>14</v>
      </c>
      <c r="O34" s="3">
        <v>1</v>
      </c>
    </row>
    <row r="35" spans="1:15" ht="15" customHeight="1" x14ac:dyDescent="0.25">
      <c r="A35" s="2">
        <v>5</v>
      </c>
      <c r="B35" s="2" t="s">
        <v>14</v>
      </c>
      <c r="C35" s="2" t="s">
        <v>19</v>
      </c>
      <c r="D35" s="2" t="s">
        <v>106</v>
      </c>
      <c r="E35" s="2">
        <v>0</v>
      </c>
      <c r="F35" s="2">
        <v>0</v>
      </c>
      <c r="G35" s="2" t="s">
        <v>10</v>
      </c>
      <c r="H35" s="2" t="s">
        <v>12</v>
      </c>
      <c r="I35" s="2" t="s">
        <v>15</v>
      </c>
      <c r="J35" s="2" t="s">
        <v>14</v>
      </c>
      <c r="K35" s="2" t="s">
        <v>14</v>
      </c>
      <c r="L35" s="2" t="s">
        <v>14</v>
      </c>
      <c r="M35" s="2" t="s">
        <v>14</v>
      </c>
      <c r="N35" s="2" t="s">
        <v>14</v>
      </c>
      <c r="O35" s="2">
        <v>1</v>
      </c>
    </row>
    <row r="36" spans="1:15" ht="15" customHeight="1" x14ac:dyDescent="0.25">
      <c r="A36" s="3">
        <v>10</v>
      </c>
      <c r="B36" s="3" t="s">
        <v>18</v>
      </c>
      <c r="C36" s="3" t="s">
        <v>19</v>
      </c>
      <c r="D36" s="2" t="s">
        <v>106</v>
      </c>
      <c r="E36" s="3">
        <v>0</v>
      </c>
      <c r="F36" s="3">
        <v>0</v>
      </c>
      <c r="G36" s="3" t="s">
        <v>10</v>
      </c>
      <c r="H36" s="3" t="s">
        <v>12</v>
      </c>
      <c r="I36" s="3" t="s">
        <v>15</v>
      </c>
      <c r="J36" s="3" t="s">
        <v>14</v>
      </c>
      <c r="K36" s="3" t="s">
        <v>14</v>
      </c>
      <c r="L36" s="3" t="s">
        <v>14</v>
      </c>
      <c r="M36" s="3" t="s">
        <v>14</v>
      </c>
      <c r="N36" s="2" t="s">
        <v>14</v>
      </c>
      <c r="O36" s="3">
        <v>1</v>
      </c>
    </row>
    <row r="37" spans="1:15" ht="15" customHeight="1" x14ac:dyDescent="0.25">
      <c r="A37" s="2">
        <v>20</v>
      </c>
      <c r="B37" s="2" t="s">
        <v>14</v>
      </c>
      <c r="C37" s="2" t="s">
        <v>19</v>
      </c>
      <c r="D37" s="2" t="s">
        <v>106</v>
      </c>
      <c r="E37" s="2">
        <v>0</v>
      </c>
      <c r="F37" s="2">
        <v>0</v>
      </c>
      <c r="G37" s="2" t="s">
        <v>10</v>
      </c>
      <c r="H37" s="2" t="s">
        <v>12</v>
      </c>
      <c r="I37" s="2" t="s">
        <v>15</v>
      </c>
      <c r="J37" s="2" t="s">
        <v>14</v>
      </c>
      <c r="K37" s="2" t="s">
        <v>14</v>
      </c>
      <c r="L37" s="2" t="s">
        <v>14</v>
      </c>
      <c r="M37" s="2" t="s">
        <v>14</v>
      </c>
      <c r="N37" s="2" t="s">
        <v>14</v>
      </c>
      <c r="O37" s="2">
        <v>1</v>
      </c>
    </row>
    <row r="38" spans="1:15" ht="15" customHeight="1" x14ac:dyDescent="0.25">
      <c r="A38" s="3">
        <v>10</v>
      </c>
      <c r="B38" s="3" t="s">
        <v>10</v>
      </c>
      <c r="C38" s="3" t="s">
        <v>19</v>
      </c>
      <c r="D38" s="2" t="s">
        <v>106</v>
      </c>
      <c r="E38" s="3">
        <v>0</v>
      </c>
      <c r="F38" s="3">
        <v>0</v>
      </c>
      <c r="G38" s="3" t="s">
        <v>10</v>
      </c>
      <c r="H38" s="3" t="s">
        <v>12</v>
      </c>
      <c r="I38" s="3">
        <v>2</v>
      </c>
      <c r="J38" s="3" t="s">
        <v>14</v>
      </c>
      <c r="K38" s="3" t="s">
        <v>14</v>
      </c>
      <c r="L38" s="3" t="s">
        <v>14</v>
      </c>
      <c r="M38" s="3" t="s">
        <v>14</v>
      </c>
      <c r="N38" s="2" t="s">
        <v>14</v>
      </c>
      <c r="O38" s="3">
        <v>1</v>
      </c>
    </row>
    <row r="39" spans="1:15" ht="15" customHeight="1" x14ac:dyDescent="0.25">
      <c r="A39" s="2">
        <v>10</v>
      </c>
      <c r="B39" s="2" t="s">
        <v>18</v>
      </c>
      <c r="C39" s="2" t="s">
        <v>19</v>
      </c>
      <c r="D39" s="2" t="s">
        <v>106</v>
      </c>
      <c r="E39" s="2">
        <v>0</v>
      </c>
      <c r="F39" s="2">
        <v>0</v>
      </c>
      <c r="G39" s="2" t="s">
        <v>10</v>
      </c>
      <c r="H39" s="2" t="s">
        <v>12</v>
      </c>
      <c r="I39" s="2" t="s">
        <v>15</v>
      </c>
      <c r="J39" s="2" t="s">
        <v>14</v>
      </c>
      <c r="K39" s="2" t="s">
        <v>14</v>
      </c>
      <c r="L39" s="2" t="s">
        <v>14</v>
      </c>
      <c r="M39" s="2" t="s">
        <v>14</v>
      </c>
      <c r="N39" s="2" t="s">
        <v>14</v>
      </c>
      <c r="O39" s="2">
        <v>1</v>
      </c>
    </row>
    <row r="40" spans="1:15" ht="15" customHeight="1" x14ac:dyDescent="0.25">
      <c r="A40" s="3">
        <v>10</v>
      </c>
      <c r="B40" s="3" t="s">
        <v>14</v>
      </c>
      <c r="C40" s="3" t="s">
        <v>20</v>
      </c>
      <c r="D40" s="2" t="s">
        <v>106</v>
      </c>
      <c r="E40" s="3">
        <v>0</v>
      </c>
      <c r="F40" s="3">
        <v>0</v>
      </c>
      <c r="G40" s="3" t="s">
        <v>10</v>
      </c>
      <c r="H40" s="3" t="s">
        <v>12</v>
      </c>
      <c r="I40" s="3" t="s">
        <v>15</v>
      </c>
      <c r="J40" s="3" t="s">
        <v>14</v>
      </c>
      <c r="K40" s="3" t="s">
        <v>14</v>
      </c>
      <c r="L40" s="3" t="s">
        <v>14</v>
      </c>
      <c r="M40" s="3" t="s">
        <v>14</v>
      </c>
      <c r="N40" s="2" t="s">
        <v>14</v>
      </c>
      <c r="O40" s="3">
        <v>1</v>
      </c>
    </row>
    <row r="41" spans="1:15" ht="15" customHeight="1" x14ac:dyDescent="0.25">
      <c r="A41" s="2">
        <v>20</v>
      </c>
      <c r="B41" s="2" t="s">
        <v>10</v>
      </c>
      <c r="C41" s="2" t="s">
        <v>19</v>
      </c>
      <c r="D41" s="2" t="s">
        <v>106</v>
      </c>
      <c r="E41" s="2">
        <v>0</v>
      </c>
      <c r="F41" s="2">
        <v>0</v>
      </c>
      <c r="G41" s="2" t="s">
        <v>10</v>
      </c>
      <c r="H41" s="2" t="s">
        <v>12</v>
      </c>
      <c r="I41" s="2">
        <v>1</v>
      </c>
      <c r="J41" s="2" t="s">
        <v>14</v>
      </c>
      <c r="K41" s="2" t="s">
        <v>14</v>
      </c>
      <c r="L41" s="2" t="s">
        <v>14</v>
      </c>
      <c r="M41" s="2" t="s">
        <v>14</v>
      </c>
      <c r="N41" s="2" t="s">
        <v>14</v>
      </c>
      <c r="O41" s="2">
        <v>1</v>
      </c>
    </row>
    <row r="42" spans="1:15" ht="15" customHeight="1" x14ac:dyDescent="0.25">
      <c r="A42" s="3">
        <v>30</v>
      </c>
      <c r="B42" s="3" t="s">
        <v>10</v>
      </c>
      <c r="C42" s="3" t="s">
        <v>11</v>
      </c>
      <c r="D42" s="2" t="s">
        <v>106</v>
      </c>
      <c r="E42" s="3">
        <v>1</v>
      </c>
      <c r="F42" s="3">
        <v>0</v>
      </c>
      <c r="G42" s="3" t="s">
        <v>10</v>
      </c>
      <c r="H42" s="3" t="s">
        <v>12</v>
      </c>
      <c r="I42" s="3" t="s">
        <v>15</v>
      </c>
      <c r="J42" s="3" t="s">
        <v>14</v>
      </c>
      <c r="K42" s="3" t="s">
        <v>14</v>
      </c>
      <c r="L42" s="3" t="s">
        <v>14</v>
      </c>
      <c r="M42" s="3" t="s">
        <v>13</v>
      </c>
      <c r="N42" s="2" t="s">
        <v>13</v>
      </c>
      <c r="O42" s="3">
        <v>0</v>
      </c>
    </row>
    <row r="43" spans="1:15" ht="15" customHeight="1" x14ac:dyDescent="0.25">
      <c r="A43" s="2">
        <v>10</v>
      </c>
      <c r="B43" s="2" t="s">
        <v>18</v>
      </c>
      <c r="C43" s="2" t="s">
        <v>20</v>
      </c>
      <c r="D43" s="2" t="s">
        <v>106</v>
      </c>
      <c r="E43" s="2">
        <v>0</v>
      </c>
      <c r="F43" s="2">
        <v>0</v>
      </c>
      <c r="G43" s="2" t="s">
        <v>17</v>
      </c>
      <c r="H43" s="2" t="s">
        <v>106</v>
      </c>
      <c r="I43" s="2">
        <v>1</v>
      </c>
      <c r="J43" s="2" t="s">
        <v>14</v>
      </c>
      <c r="K43" s="2" t="s">
        <v>13</v>
      </c>
      <c r="L43" s="2" t="s">
        <v>13</v>
      </c>
      <c r="M43" s="2" t="s">
        <v>13</v>
      </c>
      <c r="N43" s="2" t="s">
        <v>14</v>
      </c>
      <c r="O43" s="2">
        <v>1</v>
      </c>
    </row>
    <row r="44" spans="1:15" ht="15" customHeight="1" x14ac:dyDescent="0.25">
      <c r="A44" s="3">
        <v>10</v>
      </c>
      <c r="B44" s="3" t="s">
        <v>14</v>
      </c>
      <c r="C44" s="3" t="s">
        <v>20</v>
      </c>
      <c r="D44" s="2" t="s">
        <v>106</v>
      </c>
      <c r="E44" s="3">
        <v>0</v>
      </c>
      <c r="F44" s="3">
        <v>0</v>
      </c>
      <c r="G44" s="3" t="s">
        <v>10</v>
      </c>
      <c r="H44" s="3" t="s">
        <v>12</v>
      </c>
      <c r="I44" s="3" t="s">
        <v>15</v>
      </c>
      <c r="J44" s="3" t="s">
        <v>14</v>
      </c>
      <c r="K44" s="3" t="s">
        <v>14</v>
      </c>
      <c r="L44" s="3" t="s">
        <v>14</v>
      </c>
      <c r="M44" s="3" t="s">
        <v>14</v>
      </c>
      <c r="N44" s="2" t="s">
        <v>14</v>
      </c>
      <c r="O44" s="3">
        <v>1</v>
      </c>
    </row>
    <row r="45" spans="1:15" ht="15" customHeight="1" x14ac:dyDescent="0.25">
      <c r="A45" s="2">
        <v>30</v>
      </c>
      <c r="B45" s="2" t="s">
        <v>10</v>
      </c>
      <c r="C45" s="2" t="s">
        <v>19</v>
      </c>
      <c r="D45" s="2" t="s">
        <v>106</v>
      </c>
      <c r="E45" s="2">
        <v>1</v>
      </c>
      <c r="F45" s="2">
        <v>0</v>
      </c>
      <c r="G45" s="2" t="s">
        <v>10</v>
      </c>
      <c r="H45" s="2" t="s">
        <v>16</v>
      </c>
      <c r="I45" s="2" t="s">
        <v>15</v>
      </c>
      <c r="J45" s="2" t="s">
        <v>14</v>
      </c>
      <c r="K45" s="2" t="s">
        <v>14</v>
      </c>
      <c r="L45" s="2" t="s">
        <v>14</v>
      </c>
      <c r="M45" s="2" t="s">
        <v>14</v>
      </c>
      <c r="N45" s="2" t="s">
        <v>14</v>
      </c>
      <c r="O45" s="2">
        <v>0</v>
      </c>
    </row>
    <row r="46" spans="1:15" ht="15" customHeight="1" x14ac:dyDescent="0.25">
      <c r="A46" s="3">
        <v>5</v>
      </c>
      <c r="B46" s="3" t="s">
        <v>10</v>
      </c>
      <c r="C46" s="3" t="s">
        <v>19</v>
      </c>
      <c r="D46" s="2" t="s">
        <v>106</v>
      </c>
      <c r="E46" s="3">
        <v>0</v>
      </c>
      <c r="F46" s="3">
        <v>0</v>
      </c>
      <c r="G46" s="3" t="s">
        <v>10</v>
      </c>
      <c r="H46" s="3" t="s">
        <v>12</v>
      </c>
      <c r="I46" s="3">
        <v>2</v>
      </c>
      <c r="J46" s="3" t="s">
        <v>14</v>
      </c>
      <c r="K46" s="3" t="s">
        <v>14</v>
      </c>
      <c r="L46" s="3" t="s">
        <v>14</v>
      </c>
      <c r="M46" s="3" t="s">
        <v>14</v>
      </c>
      <c r="N46" s="2" t="s">
        <v>14</v>
      </c>
      <c r="O46" s="3">
        <v>1</v>
      </c>
    </row>
    <row r="47" spans="1:15" ht="15" customHeight="1" x14ac:dyDescent="0.25">
      <c r="A47" s="2">
        <v>20</v>
      </c>
      <c r="B47" s="2" t="s">
        <v>10</v>
      </c>
      <c r="C47" s="2" t="s">
        <v>11</v>
      </c>
      <c r="D47" s="2" t="s">
        <v>106</v>
      </c>
      <c r="E47" s="2">
        <v>0</v>
      </c>
      <c r="F47" s="2">
        <v>0</v>
      </c>
      <c r="G47" s="2" t="s">
        <v>10</v>
      </c>
      <c r="H47" s="2" t="s">
        <v>12</v>
      </c>
      <c r="I47" s="2" t="s">
        <v>15</v>
      </c>
      <c r="J47" s="2" t="s">
        <v>14</v>
      </c>
      <c r="K47" s="2" t="s">
        <v>14</v>
      </c>
      <c r="L47" s="2" t="s">
        <v>14</v>
      </c>
      <c r="M47" s="2" t="s">
        <v>14</v>
      </c>
      <c r="N47" s="2" t="s">
        <v>13</v>
      </c>
      <c r="O47" s="2">
        <v>1</v>
      </c>
    </row>
    <row r="48" spans="1:15" ht="15" customHeight="1" x14ac:dyDescent="0.25">
      <c r="A48" s="3">
        <v>5</v>
      </c>
      <c r="B48" s="3" t="s">
        <v>10</v>
      </c>
      <c r="C48" s="3" t="s">
        <v>11</v>
      </c>
      <c r="D48" s="2" t="s">
        <v>106</v>
      </c>
      <c r="E48" s="3">
        <v>0</v>
      </c>
      <c r="F48" s="3">
        <v>1</v>
      </c>
      <c r="G48" s="3" t="s">
        <v>10</v>
      </c>
      <c r="H48" s="3" t="s">
        <v>12</v>
      </c>
      <c r="I48" s="3" t="s">
        <v>15</v>
      </c>
      <c r="J48" s="3" t="s">
        <v>14</v>
      </c>
      <c r="K48" s="3" t="s">
        <v>14</v>
      </c>
      <c r="L48" s="3" t="s">
        <v>14</v>
      </c>
      <c r="M48" s="3" t="s">
        <v>14</v>
      </c>
      <c r="N48" s="2" t="s">
        <v>14</v>
      </c>
      <c r="O48" s="3">
        <v>1</v>
      </c>
    </row>
    <row r="49" spans="1:15" ht="15" customHeight="1" x14ac:dyDescent="0.25">
      <c r="A49" s="2">
        <v>5</v>
      </c>
      <c r="B49" s="2" t="s">
        <v>18</v>
      </c>
      <c r="C49" s="2" t="s">
        <v>11</v>
      </c>
      <c r="D49" s="2" t="s">
        <v>106</v>
      </c>
      <c r="E49" s="2">
        <v>0</v>
      </c>
      <c r="F49" s="2">
        <v>1</v>
      </c>
      <c r="G49" s="2" t="s">
        <v>10</v>
      </c>
      <c r="H49" s="2" t="s">
        <v>12</v>
      </c>
      <c r="I49" s="2">
        <v>1</v>
      </c>
      <c r="J49" s="2" t="s">
        <v>14</v>
      </c>
      <c r="K49" s="2" t="s">
        <v>14</v>
      </c>
      <c r="L49" s="2" t="s">
        <v>14</v>
      </c>
      <c r="M49" s="2" t="s">
        <v>14</v>
      </c>
      <c r="N49" s="2" t="s">
        <v>14</v>
      </c>
      <c r="O49" s="2">
        <v>1</v>
      </c>
    </row>
    <row r="50" spans="1:15" ht="15" customHeight="1" x14ac:dyDescent="0.25">
      <c r="A50" s="3">
        <v>10</v>
      </c>
      <c r="B50" s="3" t="s">
        <v>18</v>
      </c>
      <c r="C50" s="3" t="s">
        <v>19</v>
      </c>
      <c r="D50" s="2" t="s">
        <v>106</v>
      </c>
      <c r="E50" s="3">
        <v>0</v>
      </c>
      <c r="F50" s="3">
        <v>0</v>
      </c>
      <c r="G50" s="3" t="s">
        <v>10</v>
      </c>
      <c r="H50" s="3" t="s">
        <v>12</v>
      </c>
      <c r="I50" s="3">
        <v>1</v>
      </c>
      <c r="J50" s="3" t="s">
        <v>14</v>
      </c>
      <c r="K50" s="3" t="s">
        <v>14</v>
      </c>
      <c r="L50" s="3" t="s">
        <v>14</v>
      </c>
      <c r="M50" s="3" t="s">
        <v>14</v>
      </c>
      <c r="N50" s="2" t="s">
        <v>14</v>
      </c>
      <c r="O50" s="3">
        <v>1</v>
      </c>
    </row>
    <row r="51" spans="1:15" ht="15" customHeight="1" x14ac:dyDescent="0.25">
      <c r="A51" s="2">
        <v>10</v>
      </c>
      <c r="B51" s="2" t="s">
        <v>18</v>
      </c>
      <c r="C51" s="2" t="s">
        <v>20</v>
      </c>
      <c r="D51" s="2" t="s">
        <v>106</v>
      </c>
      <c r="E51" s="2">
        <v>0</v>
      </c>
      <c r="F51" s="2">
        <v>0</v>
      </c>
      <c r="G51" s="2" t="s">
        <v>10</v>
      </c>
      <c r="H51" s="2" t="s">
        <v>12</v>
      </c>
      <c r="I51" s="2">
        <v>1</v>
      </c>
      <c r="J51" s="2" t="s">
        <v>14</v>
      </c>
      <c r="K51" s="2" t="s">
        <v>14</v>
      </c>
      <c r="L51" s="2" t="s">
        <v>14</v>
      </c>
      <c r="M51" s="2" t="s">
        <v>14</v>
      </c>
      <c r="N51" s="2" t="s">
        <v>14</v>
      </c>
      <c r="O51" s="2">
        <v>1</v>
      </c>
    </row>
    <row r="52" spans="1:15" ht="15" customHeight="1" x14ac:dyDescent="0.25">
      <c r="A52" s="3">
        <v>30</v>
      </c>
      <c r="B52" s="3" t="s">
        <v>10</v>
      </c>
      <c r="C52" s="3" t="s">
        <v>19</v>
      </c>
      <c r="D52" s="2" t="s">
        <v>106</v>
      </c>
      <c r="E52" s="3">
        <v>1</v>
      </c>
      <c r="F52" s="3">
        <v>1</v>
      </c>
      <c r="G52" s="3" t="s">
        <v>10</v>
      </c>
      <c r="H52" s="3" t="s">
        <v>16</v>
      </c>
      <c r="I52" s="3">
        <v>2</v>
      </c>
      <c r="J52" s="3" t="s">
        <v>14</v>
      </c>
      <c r="K52" s="3" t="s">
        <v>14</v>
      </c>
      <c r="L52" s="3" t="s">
        <v>14</v>
      </c>
      <c r="M52" s="3" t="s">
        <v>13</v>
      </c>
      <c r="N52" s="2" t="s">
        <v>14</v>
      </c>
      <c r="O52" s="3">
        <v>0</v>
      </c>
    </row>
    <row r="53" spans="1:15" ht="15" customHeight="1" x14ac:dyDescent="0.25">
      <c r="A53" s="2">
        <v>5</v>
      </c>
      <c r="B53" s="2" t="s">
        <v>10</v>
      </c>
      <c r="C53" s="2" t="s">
        <v>19</v>
      </c>
      <c r="D53" s="2" t="s">
        <v>106</v>
      </c>
      <c r="E53" s="2">
        <v>0</v>
      </c>
      <c r="F53" s="2">
        <v>0</v>
      </c>
      <c r="G53" s="2" t="s">
        <v>10</v>
      </c>
      <c r="H53" s="2" t="s">
        <v>12</v>
      </c>
      <c r="I53" s="2">
        <v>1</v>
      </c>
      <c r="J53" s="2" t="s">
        <v>14</v>
      </c>
      <c r="K53" s="2" t="s">
        <v>13</v>
      </c>
      <c r="L53" s="2" t="s">
        <v>14</v>
      </c>
      <c r="M53" s="2" t="s">
        <v>14</v>
      </c>
      <c r="N53" s="2" t="s">
        <v>14</v>
      </c>
      <c r="O53" s="2">
        <v>1</v>
      </c>
    </row>
    <row r="54" spans="1:15" ht="15" customHeight="1" x14ac:dyDescent="0.25">
      <c r="A54" s="3">
        <v>5</v>
      </c>
      <c r="B54" s="3" t="s">
        <v>18</v>
      </c>
      <c r="C54" s="3" t="s">
        <v>19</v>
      </c>
      <c r="D54" s="2" t="s">
        <v>106</v>
      </c>
      <c r="E54" s="3">
        <v>0</v>
      </c>
      <c r="F54" s="3">
        <v>0</v>
      </c>
      <c r="G54" s="3" t="s">
        <v>10</v>
      </c>
      <c r="H54" s="3" t="s">
        <v>12</v>
      </c>
      <c r="I54" s="3">
        <v>1</v>
      </c>
      <c r="J54" s="3" t="s">
        <v>14</v>
      </c>
      <c r="K54" s="3" t="s">
        <v>14</v>
      </c>
      <c r="L54" s="3" t="s">
        <v>13</v>
      </c>
      <c r="M54" s="3" t="s">
        <v>14</v>
      </c>
      <c r="N54" s="2" t="s">
        <v>14</v>
      </c>
      <c r="O54" s="3">
        <v>1</v>
      </c>
    </row>
    <row r="55" spans="1:15" ht="15" customHeight="1" x14ac:dyDescent="0.25">
      <c r="A55" s="2">
        <v>0</v>
      </c>
      <c r="B55" s="2" t="s">
        <v>10</v>
      </c>
      <c r="C55" s="2" t="s">
        <v>19</v>
      </c>
      <c r="D55" s="2" t="s">
        <v>106</v>
      </c>
      <c r="E55" s="2">
        <v>0</v>
      </c>
      <c r="F55" s="2">
        <v>0</v>
      </c>
      <c r="G55" s="2" t="s">
        <v>10</v>
      </c>
      <c r="H55" s="2" t="s">
        <v>12</v>
      </c>
      <c r="I55" s="2">
        <v>1</v>
      </c>
      <c r="J55" s="2" t="s">
        <v>14</v>
      </c>
      <c r="K55" s="2" t="s">
        <v>14</v>
      </c>
      <c r="L55" s="2" t="s">
        <v>14</v>
      </c>
      <c r="M55" s="2" t="s">
        <v>14</v>
      </c>
      <c r="N55" s="2" t="s">
        <v>14</v>
      </c>
      <c r="O55" s="2">
        <v>1</v>
      </c>
    </row>
    <row r="56" spans="1:15" ht="15" customHeight="1" x14ac:dyDescent="0.25">
      <c r="A56" s="3">
        <v>0</v>
      </c>
      <c r="B56" s="3" t="s">
        <v>18</v>
      </c>
      <c r="C56" s="3" t="s">
        <v>19</v>
      </c>
      <c r="D56" s="2" t="s">
        <v>106</v>
      </c>
      <c r="E56" s="3">
        <v>0</v>
      </c>
      <c r="F56" s="3">
        <v>0</v>
      </c>
      <c r="G56" s="3" t="s">
        <v>10</v>
      </c>
      <c r="H56" s="3" t="s">
        <v>12</v>
      </c>
      <c r="I56" s="3">
        <v>1</v>
      </c>
      <c r="J56" s="3" t="s">
        <v>14</v>
      </c>
      <c r="K56" s="3" t="s">
        <v>14</v>
      </c>
      <c r="L56" s="3" t="s">
        <v>14</v>
      </c>
      <c r="M56" s="3" t="s">
        <v>14</v>
      </c>
      <c r="N56" s="2" t="s">
        <v>14</v>
      </c>
      <c r="O56" s="3">
        <v>1</v>
      </c>
    </row>
    <row r="57" spans="1:15" ht="15" customHeight="1" x14ac:dyDescent="0.25">
      <c r="A57" s="2">
        <v>10</v>
      </c>
      <c r="B57" s="2" t="s">
        <v>18</v>
      </c>
      <c r="C57" s="2" t="s">
        <v>19</v>
      </c>
      <c r="D57" s="2" t="s">
        <v>106</v>
      </c>
      <c r="E57" s="2">
        <v>0</v>
      </c>
      <c r="F57" s="2">
        <v>1</v>
      </c>
      <c r="G57" s="2" t="s">
        <v>10</v>
      </c>
      <c r="H57" s="2" t="s">
        <v>16</v>
      </c>
      <c r="I57" s="2">
        <v>2</v>
      </c>
      <c r="J57" s="2" t="s">
        <v>14</v>
      </c>
      <c r="K57" s="2" t="s">
        <v>14</v>
      </c>
      <c r="L57" s="2" t="s">
        <v>14</v>
      </c>
      <c r="M57" s="2" t="s">
        <v>13</v>
      </c>
      <c r="N57" s="2" t="s">
        <v>14</v>
      </c>
      <c r="O57" s="2">
        <v>1</v>
      </c>
    </row>
    <row r="58" spans="1:15" ht="15" customHeight="1" x14ac:dyDescent="0.25">
      <c r="A58" s="3">
        <v>10</v>
      </c>
      <c r="B58" s="3" t="s">
        <v>14</v>
      </c>
      <c r="C58" s="3" t="s">
        <v>19</v>
      </c>
      <c r="D58" s="2" t="s">
        <v>106</v>
      </c>
      <c r="E58" s="3">
        <v>0</v>
      </c>
      <c r="F58" s="3">
        <v>0</v>
      </c>
      <c r="G58" s="3" t="s">
        <v>10</v>
      </c>
      <c r="H58" s="3" t="s">
        <v>16</v>
      </c>
      <c r="I58" s="3" t="s">
        <v>15</v>
      </c>
      <c r="J58" s="3" t="s">
        <v>14</v>
      </c>
      <c r="K58" s="3" t="s">
        <v>14</v>
      </c>
      <c r="L58" s="3" t="s">
        <v>14</v>
      </c>
      <c r="M58" s="3" t="s">
        <v>14</v>
      </c>
      <c r="N58" s="2" t="s">
        <v>14</v>
      </c>
      <c r="O58" s="3">
        <v>1</v>
      </c>
    </row>
    <row r="59" spans="1:15" ht="15" customHeight="1" x14ac:dyDescent="0.25">
      <c r="A59" s="2">
        <v>30</v>
      </c>
      <c r="B59" s="2" t="s">
        <v>10</v>
      </c>
      <c r="C59" s="2" t="s">
        <v>11</v>
      </c>
      <c r="D59" s="2" t="s">
        <v>106</v>
      </c>
      <c r="E59" s="2">
        <v>1</v>
      </c>
      <c r="F59" s="2">
        <v>1</v>
      </c>
      <c r="G59" s="2" t="s">
        <v>10</v>
      </c>
      <c r="H59" s="2" t="s">
        <v>12</v>
      </c>
      <c r="I59" s="2">
        <v>2</v>
      </c>
      <c r="J59" s="2" t="s">
        <v>13</v>
      </c>
      <c r="K59" s="2" t="s">
        <v>14</v>
      </c>
      <c r="L59" s="2" t="s">
        <v>14</v>
      </c>
      <c r="M59" s="2" t="s">
        <v>13</v>
      </c>
      <c r="N59" s="2" t="s">
        <v>14</v>
      </c>
      <c r="O59" s="2">
        <v>0</v>
      </c>
    </row>
    <row r="60" spans="1:15" ht="15" customHeight="1" x14ac:dyDescent="0.25">
      <c r="A60" s="3">
        <v>10</v>
      </c>
      <c r="B60" s="3" t="s">
        <v>14</v>
      </c>
      <c r="C60" s="3" t="s">
        <v>20</v>
      </c>
      <c r="D60" s="2" t="s">
        <v>106</v>
      </c>
      <c r="E60" s="3">
        <v>0</v>
      </c>
      <c r="F60" s="3">
        <v>1</v>
      </c>
      <c r="G60" s="3" t="s">
        <v>10</v>
      </c>
      <c r="H60" s="3" t="s">
        <v>12</v>
      </c>
      <c r="I60" s="3">
        <v>2</v>
      </c>
      <c r="J60" s="3" t="s">
        <v>14</v>
      </c>
      <c r="K60" s="3" t="s">
        <v>14</v>
      </c>
      <c r="L60" s="3" t="s">
        <v>14</v>
      </c>
      <c r="M60" s="3" t="s">
        <v>14</v>
      </c>
      <c r="N60" s="3" t="s">
        <v>14</v>
      </c>
      <c r="O60" s="3">
        <v>1</v>
      </c>
    </row>
    <row r="61" spans="1:15" ht="15" customHeight="1" x14ac:dyDescent="0.25">
      <c r="A61" s="2">
        <v>30</v>
      </c>
      <c r="B61" s="2" t="s">
        <v>10</v>
      </c>
      <c r="C61" s="2" t="s">
        <v>19</v>
      </c>
      <c r="D61" s="2" t="s">
        <v>106</v>
      </c>
      <c r="E61" s="2">
        <v>1</v>
      </c>
      <c r="F61" s="2">
        <v>1</v>
      </c>
      <c r="G61" s="2" t="s">
        <v>10</v>
      </c>
      <c r="H61" s="2" t="s">
        <v>16</v>
      </c>
      <c r="I61" s="2">
        <v>2</v>
      </c>
      <c r="J61" s="2" t="s">
        <v>14</v>
      </c>
      <c r="K61" s="2" t="s">
        <v>14</v>
      </c>
      <c r="L61" s="2" t="s">
        <v>14</v>
      </c>
      <c r="M61" s="2" t="s">
        <v>14</v>
      </c>
      <c r="N61" s="2" t="s">
        <v>14</v>
      </c>
      <c r="O61" s="2">
        <v>0</v>
      </c>
    </row>
    <row r="62" spans="1:15" ht="15" customHeight="1" x14ac:dyDescent="0.25">
      <c r="A62" s="3">
        <v>20</v>
      </c>
      <c r="B62" s="3" t="s">
        <v>14</v>
      </c>
      <c r="C62" s="3" t="s">
        <v>20</v>
      </c>
      <c r="D62" s="2" t="s">
        <v>106</v>
      </c>
      <c r="E62" s="3">
        <v>0</v>
      </c>
      <c r="F62" s="3">
        <v>0</v>
      </c>
      <c r="G62" s="3" t="s">
        <v>10</v>
      </c>
      <c r="H62" s="3" t="s">
        <v>12</v>
      </c>
      <c r="I62" s="3" t="s">
        <v>15</v>
      </c>
      <c r="J62" s="3" t="s">
        <v>14</v>
      </c>
      <c r="K62" s="3" t="s">
        <v>14</v>
      </c>
      <c r="L62" s="3" t="s">
        <v>14</v>
      </c>
      <c r="M62" s="3" t="s">
        <v>14</v>
      </c>
      <c r="N62" s="3" t="s">
        <v>14</v>
      </c>
      <c r="O62" s="3">
        <v>1</v>
      </c>
    </row>
    <row r="63" spans="1:15" ht="15" customHeight="1" x14ac:dyDescent="0.25">
      <c r="A63" s="2">
        <v>5</v>
      </c>
      <c r="B63" s="2" t="s">
        <v>10</v>
      </c>
      <c r="C63" s="2" t="s">
        <v>20</v>
      </c>
      <c r="D63" s="2" t="s">
        <v>106</v>
      </c>
      <c r="E63" s="2">
        <v>0</v>
      </c>
      <c r="F63" s="2">
        <v>0</v>
      </c>
      <c r="G63" s="2" t="s">
        <v>10</v>
      </c>
      <c r="H63" s="2" t="s">
        <v>12</v>
      </c>
      <c r="I63" s="2" t="s">
        <v>15</v>
      </c>
      <c r="J63" s="2" t="s">
        <v>14</v>
      </c>
      <c r="K63" s="2" t="s">
        <v>14</v>
      </c>
      <c r="L63" s="2" t="s">
        <v>14</v>
      </c>
      <c r="M63" s="2" t="s">
        <v>14</v>
      </c>
      <c r="N63" s="2" t="s">
        <v>14</v>
      </c>
      <c r="O63" s="2">
        <v>1</v>
      </c>
    </row>
    <row r="64" spans="1:15" ht="15" customHeight="1" x14ac:dyDescent="0.25">
      <c r="A64" s="3">
        <v>30</v>
      </c>
      <c r="B64" s="3" t="s">
        <v>14</v>
      </c>
      <c r="C64" s="3" t="s">
        <v>20</v>
      </c>
      <c r="D64" s="2" t="s">
        <v>106</v>
      </c>
      <c r="E64" s="3">
        <v>0</v>
      </c>
      <c r="F64" s="3">
        <v>0</v>
      </c>
      <c r="G64" s="3" t="s">
        <v>10</v>
      </c>
      <c r="H64" s="3" t="s">
        <v>12</v>
      </c>
      <c r="I64" s="3" t="s">
        <v>15</v>
      </c>
      <c r="J64" s="3" t="s">
        <v>14</v>
      </c>
      <c r="K64" s="3" t="s">
        <v>14</v>
      </c>
      <c r="L64" s="3" t="s">
        <v>14</v>
      </c>
      <c r="M64" s="3" t="s">
        <v>14</v>
      </c>
      <c r="N64" s="3" t="s">
        <v>14</v>
      </c>
      <c r="O64" s="3">
        <v>1</v>
      </c>
    </row>
    <row r="65" spans="1:15" ht="15" customHeight="1" x14ac:dyDescent="0.25">
      <c r="A65" s="2">
        <v>5</v>
      </c>
      <c r="B65" s="2" t="s">
        <v>14</v>
      </c>
      <c r="C65" s="2" t="s">
        <v>20</v>
      </c>
      <c r="D65" s="2" t="s">
        <v>106</v>
      </c>
      <c r="E65" s="2">
        <v>0</v>
      </c>
      <c r="F65" s="2">
        <v>0</v>
      </c>
      <c r="G65" s="2" t="s">
        <v>10</v>
      </c>
      <c r="H65" s="2" t="s">
        <v>16</v>
      </c>
      <c r="I65" s="2">
        <v>2</v>
      </c>
      <c r="J65" s="2" t="s">
        <v>14</v>
      </c>
      <c r="K65" s="2" t="s">
        <v>14</v>
      </c>
      <c r="L65" s="2" t="s">
        <v>14</v>
      </c>
      <c r="M65" s="2" t="s">
        <v>14</v>
      </c>
      <c r="N65" s="2" t="s">
        <v>14</v>
      </c>
      <c r="O65" s="2">
        <v>1</v>
      </c>
    </row>
    <row r="66" spans="1:15" ht="15" customHeight="1" x14ac:dyDescent="0.25">
      <c r="A66" s="3">
        <v>10</v>
      </c>
      <c r="B66" s="3" t="s">
        <v>10</v>
      </c>
      <c r="C66" s="3" t="s">
        <v>19</v>
      </c>
      <c r="D66" s="2" t="s">
        <v>106</v>
      </c>
      <c r="E66" s="3">
        <v>0</v>
      </c>
      <c r="F66" s="3">
        <v>1</v>
      </c>
      <c r="G66" s="3" t="s">
        <v>10</v>
      </c>
      <c r="H66" s="3" t="s">
        <v>12</v>
      </c>
      <c r="I66" s="3">
        <v>2</v>
      </c>
      <c r="J66" s="3" t="s">
        <v>14</v>
      </c>
      <c r="K66" s="3" t="s">
        <v>14</v>
      </c>
      <c r="L66" s="3" t="s">
        <v>14</v>
      </c>
      <c r="M66" s="3" t="s">
        <v>14</v>
      </c>
      <c r="N66" s="3" t="s">
        <v>14</v>
      </c>
      <c r="O66" s="3">
        <v>1</v>
      </c>
    </row>
    <row r="67" spans="1:15" ht="15" customHeight="1" x14ac:dyDescent="0.25">
      <c r="A67" s="2">
        <v>20</v>
      </c>
      <c r="B67" s="2" t="s">
        <v>18</v>
      </c>
      <c r="C67" s="2" t="s">
        <v>20</v>
      </c>
      <c r="D67" s="2" t="s">
        <v>106</v>
      </c>
      <c r="E67" s="2">
        <v>0</v>
      </c>
      <c r="F67" s="2">
        <v>0</v>
      </c>
      <c r="G67" s="2" t="s">
        <v>10</v>
      </c>
      <c r="H67" s="2" t="s">
        <v>12</v>
      </c>
      <c r="I67" s="2">
        <v>2</v>
      </c>
      <c r="J67" s="2" t="s">
        <v>14</v>
      </c>
      <c r="K67" s="2" t="s">
        <v>14</v>
      </c>
      <c r="L67" s="2" t="s">
        <v>14</v>
      </c>
      <c r="M67" s="2" t="s">
        <v>14</v>
      </c>
      <c r="N67" s="2" t="s">
        <v>14</v>
      </c>
      <c r="O67" s="2">
        <v>1</v>
      </c>
    </row>
    <row r="68" spans="1:15" ht="15" customHeight="1" x14ac:dyDescent="0.25">
      <c r="A68" s="3">
        <v>5</v>
      </c>
      <c r="B68" s="3" t="s">
        <v>14</v>
      </c>
      <c r="C68" s="3" t="s">
        <v>20</v>
      </c>
      <c r="D68" s="2" t="s">
        <v>106</v>
      </c>
      <c r="E68" s="3">
        <v>0</v>
      </c>
      <c r="F68" s="3">
        <v>0</v>
      </c>
      <c r="G68" s="3" t="s">
        <v>10</v>
      </c>
      <c r="H68" s="3" t="s">
        <v>12</v>
      </c>
      <c r="I68" s="3">
        <v>2</v>
      </c>
      <c r="J68" s="3" t="s">
        <v>14</v>
      </c>
      <c r="K68" s="3" t="s">
        <v>14</v>
      </c>
      <c r="L68" s="3" t="s">
        <v>14</v>
      </c>
      <c r="M68" s="3" t="s">
        <v>14</v>
      </c>
      <c r="N68" s="3" t="s">
        <v>14</v>
      </c>
      <c r="O68" s="3">
        <v>1</v>
      </c>
    </row>
    <row r="69" spans="1:15" ht="15" customHeight="1" x14ac:dyDescent="0.25">
      <c r="A69" s="2">
        <v>10</v>
      </c>
      <c r="B69" s="2" t="s">
        <v>10</v>
      </c>
      <c r="C69" s="2" t="s">
        <v>20</v>
      </c>
      <c r="D69" s="2" t="s">
        <v>106</v>
      </c>
      <c r="E69" s="2">
        <v>0</v>
      </c>
      <c r="F69" s="2">
        <v>0</v>
      </c>
      <c r="G69" s="2" t="s">
        <v>10</v>
      </c>
      <c r="H69" s="2" t="s">
        <v>12</v>
      </c>
      <c r="I69" s="2">
        <v>2</v>
      </c>
      <c r="J69" s="2" t="s">
        <v>14</v>
      </c>
      <c r="K69" s="2" t="s">
        <v>14</v>
      </c>
      <c r="L69" s="2" t="s">
        <v>14</v>
      </c>
      <c r="M69" s="2" t="s">
        <v>14</v>
      </c>
      <c r="N69" s="2" t="s">
        <v>14</v>
      </c>
      <c r="O69" s="2">
        <v>1</v>
      </c>
    </row>
    <row r="70" spans="1:15" ht="15" customHeight="1" x14ac:dyDescent="0.25">
      <c r="A70" s="3">
        <v>10</v>
      </c>
      <c r="B70" s="3" t="s">
        <v>18</v>
      </c>
      <c r="C70" s="3" t="s">
        <v>20</v>
      </c>
      <c r="D70" s="2" t="s">
        <v>106</v>
      </c>
      <c r="E70" s="3">
        <v>0</v>
      </c>
      <c r="F70" s="3">
        <v>0</v>
      </c>
      <c r="G70" s="3" t="s">
        <v>10</v>
      </c>
      <c r="H70" s="3" t="s">
        <v>16</v>
      </c>
      <c r="I70" s="3">
        <v>1</v>
      </c>
      <c r="J70" s="3" t="s">
        <v>14</v>
      </c>
      <c r="K70" s="3" t="s">
        <v>14</v>
      </c>
      <c r="L70" s="3" t="s">
        <v>14</v>
      </c>
      <c r="M70" s="3" t="s">
        <v>14</v>
      </c>
      <c r="N70" s="3" t="s">
        <v>14</v>
      </c>
      <c r="O70" s="3">
        <v>0</v>
      </c>
    </row>
    <row r="71" spans="1:15" ht="15" customHeight="1" x14ac:dyDescent="0.25">
      <c r="A71" s="2">
        <v>10</v>
      </c>
      <c r="B71" s="2" t="s">
        <v>18</v>
      </c>
      <c r="C71" s="2" t="s">
        <v>20</v>
      </c>
      <c r="D71" s="2" t="s">
        <v>106</v>
      </c>
      <c r="E71" s="2">
        <v>0</v>
      </c>
      <c r="F71" s="2">
        <v>0</v>
      </c>
      <c r="G71" s="2" t="s">
        <v>10</v>
      </c>
      <c r="H71" s="2" t="s">
        <v>12</v>
      </c>
      <c r="I71" s="2">
        <v>2</v>
      </c>
      <c r="J71" s="2" t="s">
        <v>14</v>
      </c>
      <c r="K71" s="2" t="s">
        <v>14</v>
      </c>
      <c r="L71" s="2" t="s">
        <v>14</v>
      </c>
      <c r="M71" s="2" t="s">
        <v>14</v>
      </c>
      <c r="N71" s="2" t="s">
        <v>14</v>
      </c>
      <c r="O71" s="2">
        <v>1</v>
      </c>
    </row>
    <row r="72" spans="1:15" ht="15" customHeight="1" x14ac:dyDescent="0.25">
      <c r="A72" s="3">
        <v>10</v>
      </c>
      <c r="B72" s="3" t="s">
        <v>14</v>
      </c>
      <c r="C72" s="3" t="s">
        <v>20</v>
      </c>
      <c r="D72" s="2" t="s">
        <v>106</v>
      </c>
      <c r="E72" s="3">
        <v>0</v>
      </c>
      <c r="F72" s="3">
        <v>0</v>
      </c>
      <c r="G72" s="3" t="s">
        <v>10</v>
      </c>
      <c r="H72" s="3" t="s">
        <v>12</v>
      </c>
      <c r="I72" s="3">
        <v>2</v>
      </c>
      <c r="J72" s="3" t="s">
        <v>14</v>
      </c>
      <c r="K72" s="3" t="s">
        <v>14</v>
      </c>
      <c r="L72" s="3" t="s">
        <v>14</v>
      </c>
      <c r="M72" s="3" t="s">
        <v>14</v>
      </c>
      <c r="N72" s="3" t="s">
        <v>14</v>
      </c>
      <c r="O72" s="3">
        <v>1</v>
      </c>
    </row>
    <row r="73" spans="1:15" ht="15" customHeight="1" x14ac:dyDescent="0.25">
      <c r="A73" s="2">
        <v>30</v>
      </c>
      <c r="B73" s="2" t="s">
        <v>10</v>
      </c>
      <c r="C73" s="2" t="s">
        <v>19</v>
      </c>
      <c r="D73" s="2" t="s">
        <v>106</v>
      </c>
      <c r="E73" s="2">
        <v>0</v>
      </c>
      <c r="F73" s="2">
        <v>1</v>
      </c>
      <c r="G73" s="2" t="s">
        <v>10</v>
      </c>
      <c r="H73" s="2" t="s">
        <v>12</v>
      </c>
      <c r="I73" s="2">
        <v>2</v>
      </c>
      <c r="J73" s="2" t="s">
        <v>14</v>
      </c>
      <c r="K73" s="2" t="s">
        <v>14</v>
      </c>
      <c r="L73" s="2" t="s">
        <v>14</v>
      </c>
      <c r="M73" s="2" t="s">
        <v>13</v>
      </c>
      <c r="N73" s="2" t="s">
        <v>14</v>
      </c>
      <c r="O73" s="2">
        <v>1</v>
      </c>
    </row>
    <row r="74" spans="1:15" ht="15" customHeight="1" x14ac:dyDescent="0.25">
      <c r="A74" s="3">
        <v>5</v>
      </c>
      <c r="B74" s="3" t="s">
        <v>14</v>
      </c>
      <c r="C74" s="3" t="s">
        <v>19</v>
      </c>
      <c r="D74" s="2" t="s">
        <v>106</v>
      </c>
      <c r="E74" s="3">
        <v>0</v>
      </c>
      <c r="F74" s="3">
        <v>0</v>
      </c>
      <c r="G74" s="3" t="s">
        <v>18</v>
      </c>
      <c r="H74" s="3" t="s">
        <v>106</v>
      </c>
      <c r="I74" s="3">
        <v>1</v>
      </c>
      <c r="J74" s="3" t="s">
        <v>14</v>
      </c>
      <c r="K74" s="3" t="s">
        <v>13</v>
      </c>
      <c r="L74" s="3" t="s">
        <v>13</v>
      </c>
      <c r="M74" s="3" t="s">
        <v>13</v>
      </c>
      <c r="N74" s="3" t="s">
        <v>14</v>
      </c>
      <c r="O74" s="3">
        <v>1</v>
      </c>
    </row>
    <row r="75" spans="1:15" ht="15" customHeight="1" x14ac:dyDescent="0.25">
      <c r="A75" s="2">
        <v>0</v>
      </c>
      <c r="B75" s="2" t="s">
        <v>10</v>
      </c>
      <c r="C75" s="2" t="s">
        <v>19</v>
      </c>
      <c r="D75" s="2" t="s">
        <v>106</v>
      </c>
      <c r="E75" s="2">
        <v>0</v>
      </c>
      <c r="F75" s="2">
        <v>0</v>
      </c>
      <c r="G75" s="2" t="s">
        <v>10</v>
      </c>
      <c r="H75" s="2" t="s">
        <v>12</v>
      </c>
      <c r="I75" s="2">
        <v>1</v>
      </c>
      <c r="J75" s="2" t="s">
        <v>14</v>
      </c>
      <c r="K75" s="2" t="s">
        <v>14</v>
      </c>
      <c r="L75" s="2" t="s">
        <v>14</v>
      </c>
      <c r="M75" s="2" t="s">
        <v>14</v>
      </c>
      <c r="N75" s="2" t="s">
        <v>14</v>
      </c>
      <c r="O75" s="2">
        <v>1</v>
      </c>
    </row>
    <row r="76" spans="1:15" ht="15" customHeight="1" x14ac:dyDescent="0.25">
      <c r="A76" s="3">
        <v>5</v>
      </c>
      <c r="B76" s="3" t="s">
        <v>10</v>
      </c>
      <c r="C76" s="3" t="s">
        <v>19</v>
      </c>
      <c r="D76" s="2" t="s">
        <v>106</v>
      </c>
      <c r="E76" s="3">
        <v>0</v>
      </c>
      <c r="F76" s="3">
        <v>0</v>
      </c>
      <c r="G76" s="3" t="s">
        <v>10</v>
      </c>
      <c r="H76" s="3" t="s">
        <v>12</v>
      </c>
      <c r="I76" s="3">
        <v>1</v>
      </c>
      <c r="J76" s="3" t="s">
        <v>14</v>
      </c>
      <c r="K76" s="3" t="s">
        <v>14</v>
      </c>
      <c r="L76" s="3" t="s">
        <v>14</v>
      </c>
      <c r="M76" s="3" t="s">
        <v>14</v>
      </c>
      <c r="N76" s="3" t="s">
        <v>14</v>
      </c>
      <c r="O76" s="3">
        <v>1</v>
      </c>
    </row>
    <row r="77" spans="1:15" ht="15" customHeight="1" x14ac:dyDescent="0.25">
      <c r="A77" s="2">
        <v>30</v>
      </c>
      <c r="B77" s="2" t="s">
        <v>18</v>
      </c>
      <c r="C77" s="2" t="s">
        <v>20</v>
      </c>
      <c r="D77" s="2" t="s">
        <v>106</v>
      </c>
      <c r="E77" s="2">
        <v>0</v>
      </c>
      <c r="F77" s="2">
        <v>0</v>
      </c>
      <c r="G77" s="2" t="s">
        <v>10</v>
      </c>
      <c r="H77" s="2" t="s">
        <v>12</v>
      </c>
      <c r="I77" s="2" t="s">
        <v>15</v>
      </c>
      <c r="J77" s="2" t="s">
        <v>14</v>
      </c>
      <c r="K77" s="2" t="s">
        <v>14</v>
      </c>
      <c r="L77" s="2" t="s">
        <v>14</v>
      </c>
      <c r="M77" s="2" t="s">
        <v>14</v>
      </c>
      <c r="N77" s="2" t="s">
        <v>14</v>
      </c>
      <c r="O77" s="2">
        <v>1</v>
      </c>
    </row>
    <row r="78" spans="1:15" ht="15" customHeight="1" x14ac:dyDescent="0.25">
      <c r="A78" s="3">
        <v>10</v>
      </c>
      <c r="B78" s="3" t="s">
        <v>14</v>
      </c>
      <c r="C78" s="3" t="s">
        <v>20</v>
      </c>
      <c r="D78" s="2" t="s">
        <v>106</v>
      </c>
      <c r="E78" s="3">
        <v>0</v>
      </c>
      <c r="F78" s="3">
        <v>0</v>
      </c>
      <c r="G78" s="3" t="s">
        <v>10</v>
      </c>
      <c r="H78" s="3" t="s">
        <v>16</v>
      </c>
      <c r="I78" s="3">
        <v>1</v>
      </c>
      <c r="J78" s="3" t="s">
        <v>14</v>
      </c>
      <c r="K78" s="3" t="s">
        <v>14</v>
      </c>
      <c r="L78" s="3" t="s">
        <v>14</v>
      </c>
      <c r="M78" s="3" t="s">
        <v>14</v>
      </c>
      <c r="N78" s="3" t="s">
        <v>14</v>
      </c>
      <c r="O78" s="3">
        <v>1</v>
      </c>
    </row>
    <row r="79" spans="1:15" ht="15" customHeight="1" x14ac:dyDescent="0.25">
      <c r="A79" s="2">
        <v>5</v>
      </c>
      <c r="B79" s="2" t="s">
        <v>14</v>
      </c>
      <c r="C79" s="2" t="s">
        <v>20</v>
      </c>
      <c r="D79" s="2" t="s">
        <v>106</v>
      </c>
      <c r="E79" s="2">
        <v>0</v>
      </c>
      <c r="F79" s="2">
        <v>0</v>
      </c>
      <c r="G79" s="2" t="s">
        <v>10</v>
      </c>
      <c r="H79" s="2" t="s">
        <v>12</v>
      </c>
      <c r="I79" s="2">
        <v>1</v>
      </c>
      <c r="J79" s="2" t="s">
        <v>14</v>
      </c>
      <c r="K79" s="2" t="s">
        <v>14</v>
      </c>
      <c r="L79" s="2" t="s">
        <v>14</v>
      </c>
      <c r="M79" s="2" t="s">
        <v>14</v>
      </c>
      <c r="N79" s="2" t="s">
        <v>14</v>
      </c>
      <c r="O79" s="2">
        <v>1</v>
      </c>
    </row>
    <row r="80" spans="1:15" ht="15" customHeight="1" x14ac:dyDescent="0.25">
      <c r="A80" s="3">
        <v>20</v>
      </c>
      <c r="B80" s="3" t="s">
        <v>10</v>
      </c>
      <c r="C80" s="3" t="s">
        <v>19</v>
      </c>
      <c r="D80" s="2" t="s">
        <v>106</v>
      </c>
      <c r="E80" s="3">
        <v>0</v>
      </c>
      <c r="F80" s="3">
        <v>1</v>
      </c>
      <c r="G80" s="3" t="s">
        <v>10</v>
      </c>
      <c r="H80" s="3" t="s">
        <v>12</v>
      </c>
      <c r="I80" s="3">
        <v>1</v>
      </c>
      <c r="J80" s="3" t="s">
        <v>14</v>
      </c>
      <c r="K80" s="3" t="s">
        <v>14</v>
      </c>
      <c r="L80" s="3" t="s">
        <v>14</v>
      </c>
      <c r="M80" s="3" t="s">
        <v>13</v>
      </c>
      <c r="N80" s="3" t="s">
        <v>14</v>
      </c>
      <c r="O80" s="3">
        <v>1</v>
      </c>
    </row>
    <row r="81" spans="1:15" ht="15" customHeight="1" x14ac:dyDescent="0.25">
      <c r="A81" s="2">
        <v>5</v>
      </c>
      <c r="B81" s="2" t="s">
        <v>10</v>
      </c>
      <c r="C81" s="2" t="s">
        <v>19</v>
      </c>
      <c r="D81" s="2" t="s">
        <v>106</v>
      </c>
      <c r="E81" s="2">
        <v>1</v>
      </c>
      <c r="F81" s="2">
        <v>0</v>
      </c>
      <c r="G81" s="2" t="s">
        <v>17</v>
      </c>
      <c r="H81" s="2" t="s">
        <v>106</v>
      </c>
      <c r="I81" s="2">
        <v>1</v>
      </c>
      <c r="J81" s="2" t="s">
        <v>13</v>
      </c>
      <c r="K81" s="2" t="s">
        <v>13</v>
      </c>
      <c r="L81" s="2" t="s">
        <v>13</v>
      </c>
      <c r="M81" s="2" t="s">
        <v>13</v>
      </c>
      <c r="N81" s="2" t="s">
        <v>14</v>
      </c>
      <c r="O81" s="2">
        <v>0</v>
      </c>
    </row>
    <row r="82" spans="1:15" ht="15" customHeight="1" x14ac:dyDescent="0.25">
      <c r="A82" s="3">
        <v>10</v>
      </c>
      <c r="B82" s="3" t="s">
        <v>10</v>
      </c>
      <c r="C82" s="3" t="s">
        <v>19</v>
      </c>
      <c r="D82" s="2" t="s">
        <v>106</v>
      </c>
      <c r="E82" s="3">
        <v>0</v>
      </c>
      <c r="F82" s="3">
        <v>0</v>
      </c>
      <c r="G82" s="3" t="s">
        <v>10</v>
      </c>
      <c r="H82" s="3" t="s">
        <v>12</v>
      </c>
      <c r="I82" s="3">
        <v>1</v>
      </c>
      <c r="J82" s="3" t="s">
        <v>14</v>
      </c>
      <c r="K82" s="3" t="s">
        <v>13</v>
      </c>
      <c r="L82" s="3" t="s">
        <v>13</v>
      </c>
      <c r="M82" s="3" t="s">
        <v>13</v>
      </c>
      <c r="N82" s="3" t="s">
        <v>14</v>
      </c>
      <c r="O82" s="3">
        <v>1</v>
      </c>
    </row>
    <row r="83" spans="1:15" ht="15" customHeight="1" x14ac:dyDescent="0.25">
      <c r="A83" s="2">
        <v>5</v>
      </c>
      <c r="B83" s="2" t="s">
        <v>10</v>
      </c>
      <c r="C83" s="2" t="s">
        <v>19</v>
      </c>
      <c r="D83" s="2" t="s">
        <v>106</v>
      </c>
      <c r="E83" s="2">
        <v>1</v>
      </c>
      <c r="F83" s="2">
        <v>0</v>
      </c>
      <c r="G83" s="2" t="s">
        <v>17</v>
      </c>
      <c r="H83" s="2" t="s">
        <v>106</v>
      </c>
      <c r="I83" s="2">
        <v>1</v>
      </c>
      <c r="J83" s="2" t="s">
        <v>14</v>
      </c>
      <c r="K83" s="2" t="s">
        <v>13</v>
      </c>
      <c r="L83" s="2" t="s">
        <v>13</v>
      </c>
      <c r="M83" s="2" t="s">
        <v>13</v>
      </c>
      <c r="N83" s="2" t="s">
        <v>14</v>
      </c>
      <c r="O83" s="2">
        <v>0</v>
      </c>
    </row>
    <row r="84" spans="1:15" ht="15" customHeight="1" x14ac:dyDescent="0.25">
      <c r="A84" s="3">
        <v>10</v>
      </c>
      <c r="B84" s="3" t="s">
        <v>10</v>
      </c>
      <c r="C84" s="3" t="s">
        <v>19</v>
      </c>
      <c r="D84" s="2" t="s">
        <v>106</v>
      </c>
      <c r="E84" s="3">
        <v>1</v>
      </c>
      <c r="F84" s="3">
        <v>0</v>
      </c>
      <c r="G84" s="3" t="s">
        <v>17</v>
      </c>
      <c r="H84" s="3" t="s">
        <v>106</v>
      </c>
      <c r="I84" s="3">
        <v>1</v>
      </c>
      <c r="J84" s="3" t="s">
        <v>14</v>
      </c>
      <c r="K84" s="3" t="s">
        <v>13</v>
      </c>
      <c r="L84" s="3" t="s">
        <v>13</v>
      </c>
      <c r="M84" s="3" t="s">
        <v>13</v>
      </c>
      <c r="N84" s="3" t="s">
        <v>14</v>
      </c>
      <c r="O84" s="3">
        <v>0</v>
      </c>
    </row>
    <row r="85" spans="1:15" ht="15" customHeight="1" x14ac:dyDescent="0.25">
      <c r="A85" s="2">
        <v>10</v>
      </c>
      <c r="B85" s="2" t="s">
        <v>10</v>
      </c>
      <c r="C85" s="2" t="s">
        <v>11</v>
      </c>
      <c r="D85" s="2" t="s">
        <v>106</v>
      </c>
      <c r="E85" s="2">
        <v>1</v>
      </c>
      <c r="F85" s="2">
        <v>0</v>
      </c>
      <c r="G85" s="2" t="s">
        <v>17</v>
      </c>
      <c r="H85" s="2" t="s">
        <v>106</v>
      </c>
      <c r="I85" s="2">
        <v>1</v>
      </c>
      <c r="J85" s="2" t="s">
        <v>13</v>
      </c>
      <c r="K85" s="2" t="s">
        <v>13</v>
      </c>
      <c r="L85" s="2" t="s">
        <v>13</v>
      </c>
      <c r="M85" s="2" t="s">
        <v>13</v>
      </c>
      <c r="N85" s="2" t="s">
        <v>14</v>
      </c>
      <c r="O85" s="2">
        <v>0</v>
      </c>
    </row>
    <row r="86" spans="1:15" ht="15" customHeight="1" x14ac:dyDescent="0.25">
      <c r="A86" s="3">
        <v>10</v>
      </c>
      <c r="B86" s="3" t="s">
        <v>10</v>
      </c>
      <c r="C86" s="3" t="s">
        <v>20</v>
      </c>
      <c r="D86" s="2" t="s">
        <v>106</v>
      </c>
      <c r="E86" s="3">
        <v>0</v>
      </c>
      <c r="F86" s="3">
        <v>0</v>
      </c>
      <c r="G86" s="3" t="s">
        <v>10</v>
      </c>
      <c r="H86" s="3" t="s">
        <v>12</v>
      </c>
      <c r="I86" s="3" t="s">
        <v>15</v>
      </c>
      <c r="J86" s="3" t="s">
        <v>14</v>
      </c>
      <c r="K86" s="3" t="s">
        <v>14</v>
      </c>
      <c r="L86" s="3" t="s">
        <v>14</v>
      </c>
      <c r="M86" s="3" t="s">
        <v>14</v>
      </c>
      <c r="N86" s="3" t="s">
        <v>14</v>
      </c>
      <c r="O86" s="3">
        <v>1</v>
      </c>
    </row>
    <row r="87" spans="1:15" ht="15" customHeight="1" x14ac:dyDescent="0.25">
      <c r="A87" s="2">
        <v>30</v>
      </c>
      <c r="B87" s="2" t="s">
        <v>10</v>
      </c>
      <c r="C87" s="2" t="s">
        <v>11</v>
      </c>
      <c r="D87" s="2" t="s">
        <v>106</v>
      </c>
      <c r="E87" s="2">
        <v>1</v>
      </c>
      <c r="F87" s="2">
        <v>0</v>
      </c>
      <c r="G87" s="2" t="s">
        <v>10</v>
      </c>
      <c r="H87" s="2" t="s">
        <v>12</v>
      </c>
      <c r="I87" s="2">
        <v>2</v>
      </c>
      <c r="J87" s="2" t="s">
        <v>13</v>
      </c>
      <c r="K87" s="2" t="s">
        <v>14</v>
      </c>
      <c r="L87" s="2" t="s">
        <v>14</v>
      </c>
      <c r="M87" s="2" t="s">
        <v>13</v>
      </c>
      <c r="N87" s="2" t="s">
        <v>14</v>
      </c>
      <c r="O87" s="2">
        <v>0</v>
      </c>
    </row>
    <row r="88" spans="1:15" ht="15" customHeight="1" x14ac:dyDescent="0.25">
      <c r="A88" s="3">
        <v>10</v>
      </c>
      <c r="B88" s="3" t="s">
        <v>10</v>
      </c>
      <c r="C88" s="3" t="s">
        <v>19</v>
      </c>
      <c r="D88" s="2" t="s">
        <v>106</v>
      </c>
      <c r="E88" s="3">
        <v>1</v>
      </c>
      <c r="F88" s="3">
        <v>1</v>
      </c>
      <c r="G88" s="3" t="s">
        <v>17</v>
      </c>
      <c r="H88" s="3" t="s">
        <v>106</v>
      </c>
      <c r="I88" s="3">
        <v>1</v>
      </c>
      <c r="J88" s="3" t="s">
        <v>14</v>
      </c>
      <c r="K88" s="3" t="s">
        <v>13</v>
      </c>
      <c r="L88" s="3" t="s">
        <v>13</v>
      </c>
      <c r="M88" s="3" t="s">
        <v>13</v>
      </c>
      <c r="N88" s="3" t="s">
        <v>14</v>
      </c>
      <c r="O88" s="3">
        <v>0</v>
      </c>
    </row>
    <row r="89" spans="1:15" ht="15" customHeight="1" x14ac:dyDescent="0.25">
      <c r="A89" s="2">
        <v>10</v>
      </c>
      <c r="B89" s="2" t="s">
        <v>18</v>
      </c>
      <c r="C89" s="2" t="s">
        <v>19</v>
      </c>
      <c r="D89" s="2" t="s">
        <v>106</v>
      </c>
      <c r="E89" s="2">
        <v>0</v>
      </c>
      <c r="F89" s="2">
        <v>0</v>
      </c>
      <c r="G89" s="2" t="s">
        <v>10</v>
      </c>
      <c r="H89" s="2" t="s">
        <v>16</v>
      </c>
      <c r="I89" s="2">
        <v>2</v>
      </c>
      <c r="J89" s="2" t="s">
        <v>14</v>
      </c>
      <c r="K89" s="2" t="s">
        <v>13</v>
      </c>
      <c r="L89" s="2" t="s">
        <v>14</v>
      </c>
      <c r="M89" s="2" t="s">
        <v>14</v>
      </c>
      <c r="N89" s="2" t="s">
        <v>14</v>
      </c>
      <c r="O89" s="2">
        <v>1</v>
      </c>
    </row>
    <row r="90" spans="1:15" ht="15" customHeight="1" x14ac:dyDescent="0.25">
      <c r="A90" s="3">
        <v>20</v>
      </c>
      <c r="B90" s="3" t="s">
        <v>18</v>
      </c>
      <c r="C90" s="3" t="s">
        <v>20</v>
      </c>
      <c r="D90" s="2" t="s">
        <v>106</v>
      </c>
      <c r="E90" s="3">
        <v>0</v>
      </c>
      <c r="F90" s="3">
        <v>0</v>
      </c>
      <c r="G90" s="3" t="s">
        <v>10</v>
      </c>
      <c r="H90" s="3" t="s">
        <v>12</v>
      </c>
      <c r="I90" s="3">
        <v>1</v>
      </c>
      <c r="J90" s="3" t="s">
        <v>14</v>
      </c>
      <c r="K90" s="3" t="s">
        <v>14</v>
      </c>
      <c r="L90" s="3" t="s">
        <v>14</v>
      </c>
      <c r="M90" s="3" t="s">
        <v>14</v>
      </c>
      <c r="N90" s="3" t="s">
        <v>14</v>
      </c>
      <c r="O90" s="3">
        <v>1</v>
      </c>
    </row>
    <row r="91" spans="1:15" ht="15" customHeight="1" x14ac:dyDescent="0.25">
      <c r="A91" s="2">
        <v>10</v>
      </c>
      <c r="B91" s="2" t="s">
        <v>10</v>
      </c>
      <c r="C91" s="2" t="s">
        <v>20</v>
      </c>
      <c r="D91" s="2" t="s">
        <v>106</v>
      </c>
      <c r="E91" s="2">
        <v>0</v>
      </c>
      <c r="F91" s="2">
        <v>0</v>
      </c>
      <c r="G91" s="2" t="s">
        <v>10</v>
      </c>
      <c r="H91" s="2" t="s">
        <v>12</v>
      </c>
      <c r="I91" s="2" t="s">
        <v>15</v>
      </c>
      <c r="J91" s="2" t="s">
        <v>14</v>
      </c>
      <c r="K91" s="2" t="s">
        <v>14</v>
      </c>
      <c r="L91" s="2" t="s">
        <v>14</v>
      </c>
      <c r="M91" s="2" t="s">
        <v>14</v>
      </c>
      <c r="N91" s="2" t="s">
        <v>14</v>
      </c>
      <c r="O91" s="2">
        <v>1</v>
      </c>
    </row>
    <row r="92" spans="1:15" ht="15" customHeight="1" x14ac:dyDescent="0.25">
      <c r="A92" s="3">
        <v>10</v>
      </c>
      <c r="B92" s="3" t="s">
        <v>18</v>
      </c>
      <c r="C92" s="3" t="s">
        <v>20</v>
      </c>
      <c r="D92" s="2" t="s">
        <v>106</v>
      </c>
      <c r="E92" s="3">
        <v>0</v>
      </c>
      <c r="F92" s="3">
        <v>0</v>
      </c>
      <c r="G92" s="3" t="s">
        <v>10</v>
      </c>
      <c r="H92" s="3" t="s">
        <v>12</v>
      </c>
      <c r="I92" s="3">
        <v>2</v>
      </c>
      <c r="J92" s="3" t="s">
        <v>14</v>
      </c>
      <c r="K92" s="3" t="s">
        <v>14</v>
      </c>
      <c r="L92" s="3" t="s">
        <v>14</v>
      </c>
      <c r="M92" s="3" t="s">
        <v>14</v>
      </c>
      <c r="N92" s="3" t="s">
        <v>14</v>
      </c>
      <c r="O92" s="3">
        <v>1</v>
      </c>
    </row>
    <row r="93" spans="1:15" ht="15" customHeight="1" x14ac:dyDescent="0.25">
      <c r="A93" s="2">
        <v>30</v>
      </c>
      <c r="B93" s="2" t="s">
        <v>10</v>
      </c>
      <c r="C93" s="2" t="s">
        <v>19</v>
      </c>
      <c r="D93" s="2" t="s">
        <v>106</v>
      </c>
      <c r="E93" s="2">
        <v>1</v>
      </c>
      <c r="F93" s="2">
        <v>0</v>
      </c>
      <c r="G93" s="2" t="s">
        <v>10</v>
      </c>
      <c r="H93" s="2" t="s">
        <v>12</v>
      </c>
      <c r="I93" s="2" t="s">
        <v>15</v>
      </c>
      <c r="J93" s="2" t="s">
        <v>14</v>
      </c>
      <c r="K93" s="2" t="s">
        <v>14</v>
      </c>
      <c r="L93" s="2" t="s">
        <v>14</v>
      </c>
      <c r="M93" s="2" t="s">
        <v>13</v>
      </c>
      <c r="N93" s="2" t="s">
        <v>14</v>
      </c>
      <c r="O93" s="2">
        <v>1</v>
      </c>
    </row>
    <row r="94" spans="1:15" ht="15" customHeight="1" x14ac:dyDescent="0.25">
      <c r="A94" s="3">
        <v>10</v>
      </c>
      <c r="B94" s="3" t="s">
        <v>18</v>
      </c>
      <c r="C94" s="3" t="s">
        <v>20</v>
      </c>
      <c r="D94" s="2" t="s">
        <v>106</v>
      </c>
      <c r="E94" s="3">
        <v>0</v>
      </c>
      <c r="F94" s="3">
        <v>0</v>
      </c>
      <c r="G94" s="3" t="s">
        <v>10</v>
      </c>
      <c r="H94" s="3" t="s">
        <v>12</v>
      </c>
      <c r="I94" s="3">
        <v>2</v>
      </c>
      <c r="J94" s="3" t="s">
        <v>14</v>
      </c>
      <c r="K94" s="3" t="s">
        <v>14</v>
      </c>
      <c r="L94" s="3" t="s">
        <v>14</v>
      </c>
      <c r="M94" s="3" t="s">
        <v>14</v>
      </c>
      <c r="N94" s="3" t="s">
        <v>14</v>
      </c>
      <c r="O94" s="3">
        <v>1</v>
      </c>
    </row>
    <row r="95" spans="1:15" ht="15" customHeight="1" x14ac:dyDescent="0.25">
      <c r="A95" s="2">
        <v>10</v>
      </c>
      <c r="B95" s="2" t="s">
        <v>10</v>
      </c>
      <c r="C95" s="2" t="s">
        <v>20</v>
      </c>
      <c r="D95" s="2" t="s">
        <v>106</v>
      </c>
      <c r="E95" s="2">
        <v>0</v>
      </c>
      <c r="F95" s="2">
        <v>0</v>
      </c>
      <c r="G95" s="2" t="s">
        <v>10</v>
      </c>
      <c r="H95" s="2" t="s">
        <v>12</v>
      </c>
      <c r="I95" s="2">
        <v>2</v>
      </c>
      <c r="J95" s="2" t="s">
        <v>14</v>
      </c>
      <c r="K95" s="2" t="s">
        <v>14</v>
      </c>
      <c r="L95" s="2" t="s">
        <v>14</v>
      </c>
      <c r="M95" s="2" t="s">
        <v>14</v>
      </c>
      <c r="N95" s="2" t="s">
        <v>14</v>
      </c>
      <c r="O95" s="2">
        <v>1</v>
      </c>
    </row>
    <row r="96" spans="1:15" ht="15" customHeight="1" x14ac:dyDescent="0.25">
      <c r="A96" s="3">
        <v>20</v>
      </c>
      <c r="B96" s="3" t="s">
        <v>10</v>
      </c>
      <c r="C96" s="3" t="s">
        <v>19</v>
      </c>
      <c r="D96" s="2" t="s">
        <v>106</v>
      </c>
      <c r="E96" s="3">
        <v>1</v>
      </c>
      <c r="F96" s="3">
        <v>1</v>
      </c>
      <c r="G96" s="3" t="s">
        <v>10</v>
      </c>
      <c r="H96" s="3" t="s">
        <v>16</v>
      </c>
      <c r="I96" s="3">
        <v>2</v>
      </c>
      <c r="J96" s="3" t="s">
        <v>14</v>
      </c>
      <c r="K96" s="3" t="s">
        <v>14</v>
      </c>
      <c r="L96" s="3" t="s">
        <v>14</v>
      </c>
      <c r="M96" s="3" t="s">
        <v>13</v>
      </c>
      <c r="N96" s="3" t="s">
        <v>14</v>
      </c>
      <c r="O96" s="3">
        <v>0</v>
      </c>
    </row>
    <row r="97" spans="1:15" ht="15" customHeight="1" x14ac:dyDescent="0.25">
      <c r="A97" s="2">
        <v>10</v>
      </c>
      <c r="B97" s="2" t="s">
        <v>10</v>
      </c>
      <c r="C97" s="2" t="s">
        <v>19</v>
      </c>
      <c r="D97" s="2" t="s">
        <v>106</v>
      </c>
      <c r="E97" s="2">
        <v>0</v>
      </c>
      <c r="F97" s="2">
        <v>1</v>
      </c>
      <c r="G97" s="2" t="s">
        <v>10</v>
      </c>
      <c r="H97" s="2" t="s">
        <v>12</v>
      </c>
      <c r="I97" s="2">
        <v>2</v>
      </c>
      <c r="J97" s="2" t="s">
        <v>14</v>
      </c>
      <c r="K97" s="2" t="s">
        <v>13</v>
      </c>
      <c r="L97" s="2" t="s">
        <v>14</v>
      </c>
      <c r="M97" s="2" t="s">
        <v>14</v>
      </c>
      <c r="N97" s="2" t="s">
        <v>14</v>
      </c>
      <c r="O97" s="2">
        <v>1</v>
      </c>
    </row>
    <row r="98" spans="1:15" ht="15" customHeight="1" x14ac:dyDescent="0.25">
      <c r="A98" s="3">
        <v>10</v>
      </c>
      <c r="B98" s="3" t="s">
        <v>10</v>
      </c>
      <c r="C98" s="3" t="s">
        <v>11</v>
      </c>
      <c r="D98" s="2" t="s">
        <v>106</v>
      </c>
      <c r="E98" s="3">
        <v>2</v>
      </c>
      <c r="F98" s="3">
        <v>0</v>
      </c>
      <c r="G98" s="3" t="s">
        <v>10</v>
      </c>
      <c r="H98" s="3" t="s">
        <v>12</v>
      </c>
      <c r="I98" s="3">
        <v>2</v>
      </c>
      <c r="J98" s="3" t="s">
        <v>13</v>
      </c>
      <c r="K98" s="3" t="s">
        <v>14</v>
      </c>
      <c r="L98" s="3" t="s">
        <v>14</v>
      </c>
      <c r="M98" s="3" t="s">
        <v>14</v>
      </c>
      <c r="N98" s="3" t="s">
        <v>14</v>
      </c>
      <c r="O98" s="3">
        <v>0</v>
      </c>
    </row>
    <row r="99" spans="1:15" ht="15" customHeight="1" x14ac:dyDescent="0.25">
      <c r="A99" s="2">
        <v>10</v>
      </c>
      <c r="B99" s="2" t="s">
        <v>10</v>
      </c>
      <c r="C99" s="2" t="s">
        <v>19</v>
      </c>
      <c r="D99" s="2" t="s">
        <v>106</v>
      </c>
      <c r="E99" s="2">
        <v>0</v>
      </c>
      <c r="F99" s="2">
        <v>0</v>
      </c>
      <c r="G99" s="2" t="s">
        <v>10</v>
      </c>
      <c r="H99" s="2" t="s">
        <v>12</v>
      </c>
      <c r="I99" s="2" t="s">
        <v>15</v>
      </c>
      <c r="J99" s="2" t="s">
        <v>14</v>
      </c>
      <c r="K99" s="2" t="s">
        <v>14</v>
      </c>
      <c r="L99" s="2" t="s">
        <v>14</v>
      </c>
      <c r="M99" s="2" t="s">
        <v>14</v>
      </c>
      <c r="N99" s="2" t="s">
        <v>14</v>
      </c>
      <c r="O99" s="2">
        <v>1</v>
      </c>
    </row>
    <row r="100" spans="1:15" ht="15" customHeight="1" x14ac:dyDescent="0.25">
      <c r="A100" s="3">
        <v>20</v>
      </c>
      <c r="B100" s="3" t="s">
        <v>10</v>
      </c>
      <c r="C100" s="3" t="s">
        <v>19</v>
      </c>
      <c r="D100" s="2" t="s">
        <v>106</v>
      </c>
      <c r="E100" s="3">
        <v>0</v>
      </c>
      <c r="F100" s="3">
        <v>0</v>
      </c>
      <c r="G100" s="3" t="s">
        <v>10</v>
      </c>
      <c r="H100" s="3" t="s">
        <v>12</v>
      </c>
      <c r="I100" s="3">
        <v>2</v>
      </c>
      <c r="J100" s="3" t="s">
        <v>14</v>
      </c>
      <c r="K100" s="3" t="s">
        <v>14</v>
      </c>
      <c r="L100" s="3" t="s">
        <v>14</v>
      </c>
      <c r="M100" s="3" t="s">
        <v>14</v>
      </c>
      <c r="N100" s="3" t="s">
        <v>14</v>
      </c>
      <c r="O100" s="3">
        <v>1</v>
      </c>
    </row>
    <row r="101" spans="1:15" ht="15" customHeight="1" x14ac:dyDescent="0.25">
      <c r="A101" s="2">
        <v>10</v>
      </c>
      <c r="B101" s="2" t="s">
        <v>18</v>
      </c>
      <c r="C101" s="2" t="s">
        <v>19</v>
      </c>
      <c r="D101" s="2" t="s">
        <v>106</v>
      </c>
      <c r="E101" s="2">
        <v>0</v>
      </c>
      <c r="F101" s="2">
        <v>0</v>
      </c>
      <c r="G101" s="2" t="s">
        <v>10</v>
      </c>
      <c r="H101" s="2" t="s">
        <v>12</v>
      </c>
      <c r="I101" s="2">
        <v>1</v>
      </c>
      <c r="J101" s="2" t="s">
        <v>14</v>
      </c>
      <c r="K101" s="2" t="s">
        <v>14</v>
      </c>
      <c r="L101" s="2" t="s">
        <v>14</v>
      </c>
      <c r="M101" s="2" t="s">
        <v>14</v>
      </c>
      <c r="N101" s="2" t="s">
        <v>14</v>
      </c>
      <c r="O101" s="2">
        <v>1</v>
      </c>
    </row>
    <row r="102" spans="1:15" ht="15" customHeight="1" x14ac:dyDescent="0.25">
      <c r="A102" s="3">
        <v>5</v>
      </c>
      <c r="B102" s="3" t="s">
        <v>10</v>
      </c>
      <c r="C102" s="3" t="s">
        <v>19</v>
      </c>
      <c r="D102" s="2" t="s">
        <v>106</v>
      </c>
      <c r="E102" s="3">
        <v>0</v>
      </c>
      <c r="F102" s="3">
        <v>0</v>
      </c>
      <c r="G102" s="3" t="s">
        <v>10</v>
      </c>
      <c r="H102" s="3" t="s">
        <v>12</v>
      </c>
      <c r="I102" s="3">
        <v>1</v>
      </c>
      <c r="J102" s="3" t="s">
        <v>14</v>
      </c>
      <c r="K102" s="3" t="s">
        <v>14</v>
      </c>
      <c r="L102" s="3" t="s">
        <v>14</v>
      </c>
      <c r="M102" s="3" t="s">
        <v>14</v>
      </c>
      <c r="N102" s="3" t="s">
        <v>14</v>
      </c>
      <c r="O102" s="3">
        <v>1</v>
      </c>
    </row>
    <row r="103" spans="1:15" ht="15" customHeight="1" x14ac:dyDescent="0.25">
      <c r="A103" s="2">
        <v>5</v>
      </c>
      <c r="B103" s="2" t="s">
        <v>14</v>
      </c>
      <c r="C103" s="2" t="s">
        <v>19</v>
      </c>
      <c r="D103" s="2" t="s">
        <v>106</v>
      </c>
      <c r="E103" s="2">
        <v>0</v>
      </c>
      <c r="F103" s="2">
        <v>0</v>
      </c>
      <c r="G103" s="2" t="s">
        <v>10</v>
      </c>
      <c r="H103" s="2" t="s">
        <v>12</v>
      </c>
      <c r="I103" s="2" t="s">
        <v>15</v>
      </c>
      <c r="J103" s="2" t="s">
        <v>14</v>
      </c>
      <c r="K103" s="2" t="s">
        <v>14</v>
      </c>
      <c r="L103" s="2" t="s">
        <v>14</v>
      </c>
      <c r="M103" s="2" t="s">
        <v>14</v>
      </c>
      <c r="N103" s="2" t="s">
        <v>14</v>
      </c>
      <c r="O103" s="2">
        <v>1</v>
      </c>
    </row>
    <row r="104" spans="1:15" ht="15" customHeight="1" x14ac:dyDescent="0.25">
      <c r="A104" s="3">
        <v>10</v>
      </c>
      <c r="B104" s="3" t="s">
        <v>14</v>
      </c>
      <c r="C104" s="3" t="s">
        <v>19</v>
      </c>
      <c r="D104" s="2" t="s">
        <v>106</v>
      </c>
      <c r="E104" s="3">
        <v>0</v>
      </c>
      <c r="F104" s="3">
        <v>0</v>
      </c>
      <c r="G104" s="3" t="s">
        <v>10</v>
      </c>
      <c r="H104" s="3" t="s">
        <v>12</v>
      </c>
      <c r="I104" s="3" t="s">
        <v>15</v>
      </c>
      <c r="J104" s="3" t="s">
        <v>14</v>
      </c>
      <c r="K104" s="3" t="s">
        <v>14</v>
      </c>
      <c r="L104" s="3" t="s">
        <v>14</v>
      </c>
      <c r="M104" s="3" t="s">
        <v>14</v>
      </c>
      <c r="N104" s="3" t="s">
        <v>14</v>
      </c>
      <c r="O104" s="3">
        <v>1</v>
      </c>
    </row>
    <row r="105" spans="1:15" ht="15" customHeight="1" x14ac:dyDescent="0.25">
      <c r="A105" s="2">
        <v>10</v>
      </c>
      <c r="B105" s="2" t="s">
        <v>10</v>
      </c>
      <c r="C105" s="2" t="s">
        <v>19</v>
      </c>
      <c r="D105" s="2" t="s">
        <v>106</v>
      </c>
      <c r="E105" s="2">
        <v>1</v>
      </c>
      <c r="F105" s="2">
        <v>1</v>
      </c>
      <c r="G105" s="2" t="s">
        <v>10</v>
      </c>
      <c r="H105" s="2" t="s">
        <v>16</v>
      </c>
      <c r="I105" s="2">
        <v>2</v>
      </c>
      <c r="J105" s="2" t="s">
        <v>14</v>
      </c>
      <c r="K105" s="2" t="s">
        <v>14</v>
      </c>
      <c r="L105" s="2" t="s">
        <v>14</v>
      </c>
      <c r="M105" s="2" t="s">
        <v>14</v>
      </c>
      <c r="N105" s="2" t="s">
        <v>14</v>
      </c>
      <c r="O105" s="2">
        <v>0</v>
      </c>
    </row>
    <row r="106" spans="1:15" ht="15" customHeight="1" x14ac:dyDescent="0.25">
      <c r="A106" s="3">
        <v>20</v>
      </c>
      <c r="B106" s="3" t="s">
        <v>10</v>
      </c>
      <c r="C106" s="3" t="s">
        <v>11</v>
      </c>
      <c r="D106" s="2" t="s">
        <v>106</v>
      </c>
      <c r="E106" s="3">
        <v>1</v>
      </c>
      <c r="F106" s="3">
        <v>1</v>
      </c>
      <c r="G106" s="3" t="s">
        <v>10</v>
      </c>
      <c r="H106" s="3" t="s">
        <v>12</v>
      </c>
      <c r="I106" s="3" t="s">
        <v>15</v>
      </c>
      <c r="J106" s="3" t="s">
        <v>13</v>
      </c>
      <c r="K106" s="3" t="s">
        <v>14</v>
      </c>
      <c r="L106" s="3" t="s">
        <v>14</v>
      </c>
      <c r="M106" s="3" t="s">
        <v>14</v>
      </c>
      <c r="N106" s="3" t="s">
        <v>14</v>
      </c>
      <c r="O106" s="3">
        <v>0</v>
      </c>
    </row>
    <row r="107" spans="1:15" ht="15" customHeight="1" x14ac:dyDescent="0.25">
      <c r="A107" s="2">
        <v>5</v>
      </c>
      <c r="B107" s="2" t="s">
        <v>10</v>
      </c>
      <c r="C107" s="2" t="s">
        <v>20</v>
      </c>
      <c r="D107" s="2" t="s">
        <v>106</v>
      </c>
      <c r="E107" s="2">
        <v>0</v>
      </c>
      <c r="F107" s="2">
        <v>0</v>
      </c>
      <c r="G107" s="2" t="s">
        <v>10</v>
      </c>
      <c r="H107" s="2" t="s">
        <v>12</v>
      </c>
      <c r="I107" s="2">
        <v>1</v>
      </c>
      <c r="J107" s="2" t="s">
        <v>14</v>
      </c>
      <c r="K107" s="2" t="s">
        <v>14</v>
      </c>
      <c r="L107" s="2" t="s">
        <v>14</v>
      </c>
      <c r="M107" s="2" t="s">
        <v>14</v>
      </c>
      <c r="N107" s="2" t="s">
        <v>14</v>
      </c>
      <c r="O107" s="2">
        <v>0</v>
      </c>
    </row>
    <row r="108" spans="1:15" ht="15" customHeight="1" x14ac:dyDescent="0.25">
      <c r="A108" s="3">
        <v>10</v>
      </c>
      <c r="B108" s="3" t="s">
        <v>14</v>
      </c>
      <c r="C108" s="3" t="s">
        <v>11</v>
      </c>
      <c r="D108" s="2" t="s">
        <v>106</v>
      </c>
      <c r="E108" s="3">
        <v>1</v>
      </c>
      <c r="F108" s="3">
        <v>3</v>
      </c>
      <c r="G108" s="3" t="s">
        <v>10</v>
      </c>
      <c r="H108" s="3" t="s">
        <v>12</v>
      </c>
      <c r="I108" s="3" t="s">
        <v>15</v>
      </c>
      <c r="J108" s="3" t="s">
        <v>14</v>
      </c>
      <c r="K108" s="3" t="s">
        <v>14</v>
      </c>
      <c r="L108" s="3" t="s">
        <v>14</v>
      </c>
      <c r="M108" s="3" t="s">
        <v>14</v>
      </c>
      <c r="N108" s="3" t="s">
        <v>13</v>
      </c>
      <c r="O108" s="3">
        <v>1</v>
      </c>
    </row>
    <row r="109" spans="1:15" ht="15" customHeight="1" x14ac:dyDescent="0.25">
      <c r="A109" s="2">
        <v>10</v>
      </c>
      <c r="B109" s="2" t="s">
        <v>10</v>
      </c>
      <c r="C109" s="2" t="s">
        <v>19</v>
      </c>
      <c r="D109" s="2" t="s">
        <v>106</v>
      </c>
      <c r="E109" s="2">
        <v>1</v>
      </c>
      <c r="F109" s="2">
        <v>0</v>
      </c>
      <c r="G109" s="2" t="s">
        <v>17</v>
      </c>
      <c r="H109" s="2" t="s">
        <v>106</v>
      </c>
      <c r="I109" s="2">
        <v>1</v>
      </c>
      <c r="J109" s="2" t="s">
        <v>14</v>
      </c>
      <c r="K109" s="2" t="s">
        <v>13</v>
      </c>
      <c r="L109" s="2" t="s">
        <v>13</v>
      </c>
      <c r="M109" s="2" t="s">
        <v>13</v>
      </c>
      <c r="N109" s="2" t="s">
        <v>14</v>
      </c>
      <c r="O109" s="2">
        <v>0</v>
      </c>
    </row>
    <row r="110" spans="1:15" ht="15" customHeight="1" x14ac:dyDescent="0.25">
      <c r="A110" s="3">
        <v>20</v>
      </c>
      <c r="B110" s="3" t="s">
        <v>10</v>
      </c>
      <c r="C110" s="3" t="s">
        <v>19</v>
      </c>
      <c r="D110" s="2" t="s">
        <v>106</v>
      </c>
      <c r="E110" s="3">
        <v>1</v>
      </c>
      <c r="F110" s="3">
        <v>0</v>
      </c>
      <c r="G110" s="3" t="s">
        <v>17</v>
      </c>
      <c r="H110" s="3" t="s">
        <v>106</v>
      </c>
      <c r="I110" s="3">
        <v>1</v>
      </c>
      <c r="J110" s="3" t="s">
        <v>14</v>
      </c>
      <c r="K110" s="3" t="s">
        <v>13</v>
      </c>
      <c r="L110" s="3" t="s">
        <v>13</v>
      </c>
      <c r="M110" s="3" t="s">
        <v>13</v>
      </c>
      <c r="N110" s="3" t="s">
        <v>14</v>
      </c>
      <c r="O110" s="3">
        <v>0</v>
      </c>
    </row>
    <row r="111" spans="1:15" ht="15" customHeight="1" x14ac:dyDescent="0.25">
      <c r="A111" s="2">
        <v>0</v>
      </c>
      <c r="B111" s="2" t="s">
        <v>10</v>
      </c>
      <c r="C111" s="2" t="s">
        <v>19</v>
      </c>
      <c r="D111" s="2" t="s">
        <v>106</v>
      </c>
      <c r="E111" s="2">
        <v>1</v>
      </c>
      <c r="F111" s="2">
        <v>0</v>
      </c>
      <c r="G111" s="2" t="s">
        <v>17</v>
      </c>
      <c r="H111" s="2" t="s">
        <v>106</v>
      </c>
      <c r="I111" s="2">
        <v>1</v>
      </c>
      <c r="J111" s="2" t="s">
        <v>14</v>
      </c>
      <c r="K111" s="2" t="s">
        <v>13</v>
      </c>
      <c r="L111" s="2" t="s">
        <v>13</v>
      </c>
      <c r="M111" s="2" t="s">
        <v>13</v>
      </c>
      <c r="N111" s="2" t="s">
        <v>14</v>
      </c>
      <c r="O111" s="2">
        <v>0</v>
      </c>
    </row>
    <row r="112" spans="1:15" ht="15" customHeight="1" x14ac:dyDescent="0.25">
      <c r="A112" s="3">
        <v>10</v>
      </c>
      <c r="B112" s="3" t="s">
        <v>18</v>
      </c>
      <c r="C112" s="3" t="s">
        <v>19</v>
      </c>
      <c r="D112" s="2" t="s">
        <v>106</v>
      </c>
      <c r="E112" s="3">
        <v>0</v>
      </c>
      <c r="F112" s="3">
        <v>0</v>
      </c>
      <c r="G112" s="3" t="s">
        <v>10</v>
      </c>
      <c r="H112" s="3" t="s">
        <v>16</v>
      </c>
      <c r="I112" s="3">
        <v>2</v>
      </c>
      <c r="J112" s="3" t="s">
        <v>14</v>
      </c>
      <c r="K112" s="3" t="s">
        <v>13</v>
      </c>
      <c r="L112" s="3" t="s">
        <v>14</v>
      </c>
      <c r="M112" s="3" t="s">
        <v>14</v>
      </c>
      <c r="N112" s="3" t="s">
        <v>14</v>
      </c>
      <c r="O112" s="3">
        <v>1</v>
      </c>
    </row>
    <row r="113" spans="1:15" ht="15" customHeight="1" x14ac:dyDescent="0.25">
      <c r="A113" s="2">
        <v>5</v>
      </c>
      <c r="B113" s="2" t="s">
        <v>18</v>
      </c>
      <c r="C113" s="2" t="s">
        <v>20</v>
      </c>
      <c r="D113" s="2" t="s">
        <v>106</v>
      </c>
      <c r="E113" s="2">
        <v>0</v>
      </c>
      <c r="F113" s="2">
        <v>0</v>
      </c>
      <c r="G113" s="2" t="s">
        <v>10</v>
      </c>
      <c r="H113" s="2" t="s">
        <v>12</v>
      </c>
      <c r="I113" s="2">
        <v>1</v>
      </c>
      <c r="J113" s="2" t="s">
        <v>14</v>
      </c>
      <c r="K113" s="2" t="s">
        <v>14</v>
      </c>
      <c r="L113" s="2" t="s">
        <v>14</v>
      </c>
      <c r="M113" s="2" t="s">
        <v>14</v>
      </c>
      <c r="N113" s="2" t="s">
        <v>14</v>
      </c>
      <c r="O113" s="2">
        <v>1</v>
      </c>
    </row>
    <row r="114" spans="1:15" ht="15" customHeight="1" x14ac:dyDescent="0.25">
      <c r="A114" s="3">
        <v>20</v>
      </c>
      <c r="B114" s="3" t="s">
        <v>18</v>
      </c>
      <c r="C114" s="3" t="s">
        <v>20</v>
      </c>
      <c r="D114" s="2" t="s">
        <v>106</v>
      </c>
      <c r="E114" s="3">
        <v>0</v>
      </c>
      <c r="F114" s="3">
        <v>0</v>
      </c>
      <c r="G114" s="3" t="s">
        <v>10</v>
      </c>
      <c r="H114" s="3" t="s">
        <v>16</v>
      </c>
      <c r="I114" s="3">
        <v>1</v>
      </c>
      <c r="J114" s="3" t="s">
        <v>14</v>
      </c>
      <c r="K114" s="3" t="s">
        <v>14</v>
      </c>
      <c r="L114" s="3" t="s">
        <v>14</v>
      </c>
      <c r="M114" s="3" t="s">
        <v>14</v>
      </c>
      <c r="N114" s="3" t="s">
        <v>14</v>
      </c>
      <c r="O114" s="3">
        <v>1</v>
      </c>
    </row>
    <row r="115" spans="1:15" ht="15" customHeight="1" x14ac:dyDescent="0.25">
      <c r="A115" s="2">
        <v>30</v>
      </c>
      <c r="B115" s="2" t="s">
        <v>10</v>
      </c>
      <c r="C115" s="2" t="s">
        <v>19</v>
      </c>
      <c r="D115" s="2" t="s">
        <v>106</v>
      </c>
      <c r="E115" s="2">
        <v>1</v>
      </c>
      <c r="F115" s="2">
        <v>0</v>
      </c>
      <c r="G115" s="2" t="s">
        <v>10</v>
      </c>
      <c r="H115" s="2" t="s">
        <v>12</v>
      </c>
      <c r="I115" s="2">
        <v>2</v>
      </c>
      <c r="J115" s="2" t="s">
        <v>14</v>
      </c>
      <c r="K115" s="2" t="s">
        <v>14</v>
      </c>
      <c r="L115" s="2" t="s">
        <v>14</v>
      </c>
      <c r="M115" s="2" t="s">
        <v>13</v>
      </c>
      <c r="N115" s="2" t="s">
        <v>14</v>
      </c>
      <c r="O115" s="2">
        <v>0</v>
      </c>
    </row>
    <row r="116" spans="1:15" ht="15" customHeight="1" x14ac:dyDescent="0.25">
      <c r="A116" s="3">
        <v>10</v>
      </c>
      <c r="B116" s="3" t="s">
        <v>10</v>
      </c>
      <c r="C116" s="3" t="s">
        <v>19</v>
      </c>
      <c r="D116" s="2" t="s">
        <v>106</v>
      </c>
      <c r="E116" s="3">
        <v>1</v>
      </c>
      <c r="F116" s="3">
        <v>0</v>
      </c>
      <c r="G116" s="3" t="s">
        <v>17</v>
      </c>
      <c r="H116" s="3" t="s">
        <v>106</v>
      </c>
      <c r="I116" s="3">
        <v>1</v>
      </c>
      <c r="J116" s="3" t="s">
        <v>14</v>
      </c>
      <c r="K116" s="3" t="s">
        <v>13</v>
      </c>
      <c r="L116" s="3" t="s">
        <v>13</v>
      </c>
      <c r="M116" s="3" t="s">
        <v>13</v>
      </c>
      <c r="N116" s="3" t="s">
        <v>14</v>
      </c>
      <c r="O116" s="3">
        <v>1</v>
      </c>
    </row>
    <row r="117" spans="1:15" ht="15" customHeight="1" x14ac:dyDescent="0.25">
      <c r="A117" s="2">
        <v>5</v>
      </c>
      <c r="B117" s="2" t="s">
        <v>10</v>
      </c>
      <c r="C117" s="2" t="s">
        <v>19</v>
      </c>
      <c r="D117" s="2" t="s">
        <v>106</v>
      </c>
      <c r="E117" s="2">
        <v>0</v>
      </c>
      <c r="F117" s="2">
        <v>0</v>
      </c>
      <c r="G117" s="2" t="s">
        <v>10</v>
      </c>
      <c r="H117" s="2" t="s">
        <v>12</v>
      </c>
      <c r="I117" s="2">
        <v>1</v>
      </c>
      <c r="J117" s="2" t="s">
        <v>14</v>
      </c>
      <c r="K117" s="2" t="s">
        <v>13</v>
      </c>
      <c r="L117" s="2" t="s">
        <v>13</v>
      </c>
      <c r="M117" s="2" t="s">
        <v>13</v>
      </c>
      <c r="N117" s="2" t="s">
        <v>14</v>
      </c>
      <c r="O117" s="2">
        <v>0</v>
      </c>
    </row>
    <row r="118" spans="1:15" ht="15" customHeight="1" x14ac:dyDescent="0.25">
      <c r="A118" s="3">
        <v>20</v>
      </c>
      <c r="B118" s="3" t="s">
        <v>18</v>
      </c>
      <c r="C118" s="3" t="s">
        <v>20</v>
      </c>
      <c r="D118" s="2" t="s">
        <v>106</v>
      </c>
      <c r="E118" s="3">
        <v>0</v>
      </c>
      <c r="F118" s="3">
        <v>0</v>
      </c>
      <c r="G118" s="3" t="s">
        <v>10</v>
      </c>
      <c r="H118" s="3" t="s">
        <v>16</v>
      </c>
      <c r="I118" s="3">
        <v>1</v>
      </c>
      <c r="J118" s="3" t="s">
        <v>14</v>
      </c>
      <c r="K118" s="3" t="s">
        <v>14</v>
      </c>
      <c r="L118" s="3" t="s">
        <v>14</v>
      </c>
      <c r="M118" s="3" t="s">
        <v>14</v>
      </c>
      <c r="N118" s="3" t="s">
        <v>14</v>
      </c>
      <c r="O118" s="3">
        <v>1</v>
      </c>
    </row>
    <row r="119" spans="1:15" ht="15" customHeight="1" x14ac:dyDescent="0.25">
      <c r="A119" s="2">
        <v>10</v>
      </c>
      <c r="B119" s="2" t="s">
        <v>10</v>
      </c>
      <c r="C119" s="2" t="s">
        <v>20</v>
      </c>
      <c r="D119" s="2" t="s">
        <v>106</v>
      </c>
      <c r="E119" s="2">
        <v>0</v>
      </c>
      <c r="F119" s="2">
        <v>0</v>
      </c>
      <c r="G119" s="2" t="s">
        <v>10</v>
      </c>
      <c r="H119" s="2" t="s">
        <v>12</v>
      </c>
      <c r="I119" s="2">
        <v>2</v>
      </c>
      <c r="J119" s="2" t="s">
        <v>14</v>
      </c>
      <c r="K119" s="2" t="s">
        <v>14</v>
      </c>
      <c r="L119" s="2" t="s">
        <v>14</v>
      </c>
      <c r="M119" s="2" t="s">
        <v>14</v>
      </c>
      <c r="N119" s="2" t="s">
        <v>14</v>
      </c>
      <c r="O119" s="2">
        <v>1</v>
      </c>
    </row>
    <row r="120" spans="1:15" ht="15" customHeight="1" x14ac:dyDescent="0.25">
      <c r="A120" s="3">
        <v>20</v>
      </c>
      <c r="B120" s="3" t="s">
        <v>10</v>
      </c>
      <c r="C120" s="3" t="s">
        <v>19</v>
      </c>
      <c r="D120" s="2" t="s">
        <v>106</v>
      </c>
      <c r="E120" s="3">
        <v>0</v>
      </c>
      <c r="F120" s="3">
        <v>0</v>
      </c>
      <c r="G120" s="3" t="s">
        <v>10</v>
      </c>
      <c r="H120" s="3" t="s">
        <v>12</v>
      </c>
      <c r="I120" s="3" t="s">
        <v>15</v>
      </c>
      <c r="J120" s="3" t="s">
        <v>14</v>
      </c>
      <c r="K120" s="3" t="s">
        <v>14</v>
      </c>
      <c r="L120" s="3" t="s">
        <v>14</v>
      </c>
      <c r="M120" s="3" t="s">
        <v>14</v>
      </c>
      <c r="N120" s="3" t="s">
        <v>14</v>
      </c>
      <c r="O120" s="3">
        <v>1</v>
      </c>
    </row>
    <row r="121" spans="1:15" ht="15" customHeight="1" x14ac:dyDescent="0.25">
      <c r="A121" s="2">
        <v>5</v>
      </c>
      <c r="B121" s="2" t="s">
        <v>18</v>
      </c>
      <c r="C121" s="2" t="s">
        <v>19</v>
      </c>
      <c r="D121" s="2" t="s">
        <v>106</v>
      </c>
      <c r="E121" s="2">
        <v>0</v>
      </c>
      <c r="F121" s="2">
        <v>0</v>
      </c>
      <c r="G121" s="2" t="s">
        <v>10</v>
      </c>
      <c r="H121" s="2" t="s">
        <v>12</v>
      </c>
      <c r="I121" s="2">
        <v>1</v>
      </c>
      <c r="J121" s="2" t="s">
        <v>14</v>
      </c>
      <c r="K121" s="2" t="s">
        <v>14</v>
      </c>
      <c r="L121" s="2" t="s">
        <v>14</v>
      </c>
      <c r="M121" s="2" t="s">
        <v>14</v>
      </c>
      <c r="N121" s="2" t="s">
        <v>14</v>
      </c>
      <c r="O121" s="2">
        <v>1</v>
      </c>
    </row>
    <row r="122" spans="1:15" ht="15" customHeight="1" x14ac:dyDescent="0.25">
      <c r="A122" s="3">
        <v>5</v>
      </c>
      <c r="B122" s="3" t="s">
        <v>10</v>
      </c>
      <c r="C122" s="3" t="s">
        <v>19</v>
      </c>
      <c r="D122" s="2" t="s">
        <v>106</v>
      </c>
      <c r="E122" s="3">
        <v>1</v>
      </c>
      <c r="F122" s="3">
        <v>0</v>
      </c>
      <c r="G122" s="3" t="s">
        <v>10</v>
      </c>
      <c r="H122" s="3" t="s">
        <v>12</v>
      </c>
      <c r="I122" s="3">
        <v>1</v>
      </c>
      <c r="J122" s="3" t="s">
        <v>14</v>
      </c>
      <c r="K122" s="3" t="s">
        <v>14</v>
      </c>
      <c r="L122" s="3" t="s">
        <v>14</v>
      </c>
      <c r="M122" s="3" t="s">
        <v>14</v>
      </c>
      <c r="N122" s="3" t="s">
        <v>14</v>
      </c>
      <c r="O122" s="3">
        <v>0</v>
      </c>
    </row>
    <row r="123" spans="1:15" ht="15" customHeight="1" x14ac:dyDescent="0.25">
      <c r="A123" s="2">
        <v>0</v>
      </c>
      <c r="B123" s="2" t="s">
        <v>18</v>
      </c>
      <c r="C123" s="2" t="s">
        <v>19</v>
      </c>
      <c r="D123" s="2" t="s">
        <v>106</v>
      </c>
      <c r="E123" s="2">
        <v>0</v>
      </c>
      <c r="F123" s="2">
        <v>1</v>
      </c>
      <c r="G123" s="2" t="s">
        <v>10</v>
      </c>
      <c r="H123" s="2" t="s">
        <v>12</v>
      </c>
      <c r="I123" s="2">
        <v>2</v>
      </c>
      <c r="J123" s="2" t="s">
        <v>14</v>
      </c>
      <c r="K123" s="2" t="s">
        <v>13</v>
      </c>
      <c r="L123" s="2" t="s">
        <v>13</v>
      </c>
      <c r="M123" s="2" t="s">
        <v>14</v>
      </c>
      <c r="N123" s="2" t="s">
        <v>14</v>
      </c>
      <c r="O123" s="2">
        <v>1</v>
      </c>
    </row>
    <row r="124" spans="1:15" ht="15" customHeight="1" x14ac:dyDescent="0.25">
      <c r="A124" s="3">
        <v>10</v>
      </c>
      <c r="B124" s="3" t="s">
        <v>18</v>
      </c>
      <c r="C124" s="3" t="s">
        <v>19</v>
      </c>
      <c r="D124" s="2" t="s">
        <v>106</v>
      </c>
      <c r="E124" s="3">
        <v>0</v>
      </c>
      <c r="F124" s="3">
        <v>1</v>
      </c>
      <c r="G124" s="3" t="s">
        <v>10</v>
      </c>
      <c r="H124" s="3" t="s">
        <v>12</v>
      </c>
      <c r="I124" s="3" t="s">
        <v>15</v>
      </c>
      <c r="J124" s="3" t="s">
        <v>14</v>
      </c>
      <c r="K124" s="3" t="s">
        <v>14</v>
      </c>
      <c r="L124" s="3" t="s">
        <v>14</v>
      </c>
      <c r="M124" s="3" t="s">
        <v>14</v>
      </c>
      <c r="N124" s="3" t="s">
        <v>14</v>
      </c>
      <c r="O124" s="3">
        <v>1</v>
      </c>
    </row>
    <row r="125" spans="1:15" ht="15" customHeight="1" x14ac:dyDescent="0.25">
      <c r="A125" s="2">
        <v>10</v>
      </c>
      <c r="B125" s="2" t="s">
        <v>14</v>
      </c>
      <c r="C125" s="2" t="s">
        <v>19</v>
      </c>
      <c r="D125" s="2" t="s">
        <v>106</v>
      </c>
      <c r="E125" s="2">
        <v>0</v>
      </c>
      <c r="F125" s="2">
        <v>0</v>
      </c>
      <c r="G125" s="2" t="s">
        <v>10</v>
      </c>
      <c r="H125" s="2" t="s">
        <v>12</v>
      </c>
      <c r="I125" s="2" t="s">
        <v>15</v>
      </c>
      <c r="J125" s="2" t="s">
        <v>14</v>
      </c>
      <c r="K125" s="2" t="s">
        <v>14</v>
      </c>
      <c r="L125" s="2" t="s">
        <v>14</v>
      </c>
      <c r="M125" s="2" t="s">
        <v>14</v>
      </c>
      <c r="N125" s="2" t="s">
        <v>14</v>
      </c>
      <c r="O125" s="2">
        <v>1</v>
      </c>
    </row>
    <row r="126" spans="1:15" ht="15" customHeight="1" x14ac:dyDescent="0.25">
      <c r="A126" s="3">
        <v>20</v>
      </c>
      <c r="B126" s="3" t="s">
        <v>10</v>
      </c>
      <c r="C126" s="3" t="s">
        <v>19</v>
      </c>
      <c r="D126" s="2" t="s">
        <v>106</v>
      </c>
      <c r="E126" s="3">
        <v>0</v>
      </c>
      <c r="F126" s="3">
        <v>0</v>
      </c>
      <c r="G126" s="3" t="s">
        <v>10</v>
      </c>
      <c r="H126" s="3" t="s">
        <v>12</v>
      </c>
      <c r="I126" s="3" t="s">
        <v>15</v>
      </c>
      <c r="J126" s="3" t="s">
        <v>14</v>
      </c>
      <c r="K126" s="3" t="s">
        <v>14</v>
      </c>
      <c r="L126" s="3" t="s">
        <v>14</v>
      </c>
      <c r="M126" s="3" t="s">
        <v>14</v>
      </c>
      <c r="N126" s="3" t="s">
        <v>14</v>
      </c>
      <c r="O126" s="3">
        <v>1</v>
      </c>
    </row>
    <row r="127" spans="1:15" ht="15" customHeight="1" x14ac:dyDescent="0.25">
      <c r="A127" s="2">
        <v>10</v>
      </c>
      <c r="B127" s="2" t="s">
        <v>18</v>
      </c>
      <c r="C127" s="2" t="s">
        <v>19</v>
      </c>
      <c r="D127" s="2" t="s">
        <v>106</v>
      </c>
      <c r="E127" s="2">
        <v>0</v>
      </c>
      <c r="F127" s="2">
        <v>0</v>
      </c>
      <c r="G127" s="2" t="s">
        <v>10</v>
      </c>
      <c r="H127" s="2" t="s">
        <v>12</v>
      </c>
      <c r="I127" s="2" t="s">
        <v>15</v>
      </c>
      <c r="J127" s="2" t="s">
        <v>14</v>
      </c>
      <c r="K127" s="2" t="s">
        <v>14</v>
      </c>
      <c r="L127" s="2" t="s">
        <v>14</v>
      </c>
      <c r="M127" s="2" t="s">
        <v>14</v>
      </c>
      <c r="N127" s="2" t="s">
        <v>14</v>
      </c>
      <c r="O127" s="2">
        <v>1</v>
      </c>
    </row>
    <row r="128" spans="1:15" ht="15" customHeight="1" x14ac:dyDescent="0.25">
      <c r="A128" s="3">
        <v>10</v>
      </c>
      <c r="B128" s="3" t="s">
        <v>10</v>
      </c>
      <c r="C128" s="3" t="s">
        <v>19</v>
      </c>
      <c r="D128" s="2" t="s">
        <v>106</v>
      </c>
      <c r="E128" s="3">
        <v>0</v>
      </c>
      <c r="F128" s="3">
        <v>1</v>
      </c>
      <c r="G128" s="3" t="s">
        <v>10</v>
      </c>
      <c r="H128" s="3" t="s">
        <v>12</v>
      </c>
      <c r="I128" s="3" t="s">
        <v>15</v>
      </c>
      <c r="J128" s="3" t="s">
        <v>14</v>
      </c>
      <c r="K128" s="3" t="s">
        <v>14</v>
      </c>
      <c r="L128" s="3" t="s">
        <v>14</v>
      </c>
      <c r="M128" s="3" t="s">
        <v>14</v>
      </c>
      <c r="N128" s="3" t="s">
        <v>14</v>
      </c>
      <c r="O128" s="3">
        <v>1</v>
      </c>
    </row>
    <row r="129" spans="1:15" ht="15" customHeight="1" x14ac:dyDescent="0.25">
      <c r="A129" s="2">
        <v>10</v>
      </c>
      <c r="B129" s="2" t="s">
        <v>10</v>
      </c>
      <c r="C129" s="2" t="s">
        <v>11</v>
      </c>
      <c r="D129" s="2" t="s">
        <v>106</v>
      </c>
      <c r="E129" s="2">
        <v>1</v>
      </c>
      <c r="F129" s="2">
        <v>1</v>
      </c>
      <c r="G129" s="2" t="s">
        <v>10</v>
      </c>
      <c r="H129" s="2" t="s">
        <v>12</v>
      </c>
      <c r="I129" s="2">
        <v>1</v>
      </c>
      <c r="J129" s="2" t="s">
        <v>13</v>
      </c>
      <c r="K129" s="2" t="s">
        <v>13</v>
      </c>
      <c r="L129" s="2" t="s">
        <v>13</v>
      </c>
      <c r="M129" s="2" t="s">
        <v>14</v>
      </c>
      <c r="N129" s="2" t="s">
        <v>14</v>
      </c>
      <c r="O129" s="2">
        <v>1</v>
      </c>
    </row>
    <row r="130" spans="1:15" ht="15" customHeight="1" x14ac:dyDescent="0.25">
      <c r="A130" s="3">
        <v>20</v>
      </c>
      <c r="B130" s="3" t="s">
        <v>14</v>
      </c>
      <c r="C130" s="3" t="s">
        <v>11</v>
      </c>
      <c r="D130" s="2" t="s">
        <v>106</v>
      </c>
      <c r="E130" s="3">
        <v>3</v>
      </c>
      <c r="F130" s="3">
        <v>0</v>
      </c>
      <c r="G130" s="3" t="s">
        <v>10</v>
      </c>
      <c r="H130" s="3" t="s">
        <v>16</v>
      </c>
      <c r="I130" s="3">
        <v>1</v>
      </c>
      <c r="J130" s="3" t="s">
        <v>14</v>
      </c>
      <c r="K130" s="3" t="s">
        <v>14</v>
      </c>
      <c r="L130" s="3" t="s">
        <v>14</v>
      </c>
      <c r="M130" s="3" t="s">
        <v>14</v>
      </c>
      <c r="N130" s="3" t="s">
        <v>13</v>
      </c>
      <c r="O130" s="3">
        <v>0</v>
      </c>
    </row>
    <row r="131" spans="1:15" ht="15" customHeight="1" x14ac:dyDescent="0.25">
      <c r="A131" s="2">
        <v>0</v>
      </c>
      <c r="B131" s="2" t="s">
        <v>18</v>
      </c>
      <c r="C131" s="2" t="s">
        <v>11</v>
      </c>
      <c r="D131" s="2" t="s">
        <v>106</v>
      </c>
      <c r="E131" s="2">
        <v>0</v>
      </c>
      <c r="F131" s="2">
        <v>1</v>
      </c>
      <c r="G131" s="2" t="s">
        <v>10</v>
      </c>
      <c r="H131" s="2" t="s">
        <v>12</v>
      </c>
      <c r="I131" s="2" t="s">
        <v>15</v>
      </c>
      <c r="J131" s="2" t="s">
        <v>14</v>
      </c>
      <c r="K131" s="2" t="s">
        <v>14</v>
      </c>
      <c r="L131" s="2" t="s">
        <v>14</v>
      </c>
      <c r="M131" s="2" t="s">
        <v>14</v>
      </c>
      <c r="N131" s="2" t="s">
        <v>14</v>
      </c>
      <c r="O131" s="2">
        <v>1</v>
      </c>
    </row>
    <row r="132" spans="1:15" ht="15" customHeight="1" x14ac:dyDescent="0.25">
      <c r="A132" s="3">
        <v>10</v>
      </c>
      <c r="B132" s="3" t="s">
        <v>18</v>
      </c>
      <c r="C132" s="3" t="s">
        <v>19</v>
      </c>
      <c r="D132" s="2" t="s">
        <v>106</v>
      </c>
      <c r="E132" s="3">
        <v>0</v>
      </c>
      <c r="F132" s="3">
        <v>0</v>
      </c>
      <c r="G132" s="3" t="s">
        <v>10</v>
      </c>
      <c r="H132" s="3" t="s">
        <v>12</v>
      </c>
      <c r="I132" s="3" t="s">
        <v>15</v>
      </c>
      <c r="J132" s="3" t="s">
        <v>14</v>
      </c>
      <c r="K132" s="3" t="s">
        <v>14</v>
      </c>
      <c r="L132" s="3" t="s">
        <v>14</v>
      </c>
      <c r="M132" s="3" t="s">
        <v>14</v>
      </c>
      <c r="N132" s="3" t="s">
        <v>14</v>
      </c>
      <c r="O132" s="3">
        <v>1</v>
      </c>
    </row>
    <row r="133" spans="1:15" ht="15" customHeight="1" x14ac:dyDescent="0.25">
      <c r="A133" s="2">
        <v>20</v>
      </c>
      <c r="B133" s="2" t="s">
        <v>18</v>
      </c>
      <c r="C133" s="2" t="s">
        <v>19</v>
      </c>
      <c r="D133" s="2" t="s">
        <v>106</v>
      </c>
      <c r="E133" s="2">
        <v>0</v>
      </c>
      <c r="F133" s="2">
        <v>1</v>
      </c>
      <c r="G133" s="2" t="s">
        <v>10</v>
      </c>
      <c r="H133" s="2" t="s">
        <v>12</v>
      </c>
      <c r="I133" s="2" t="s">
        <v>15</v>
      </c>
      <c r="J133" s="2" t="s">
        <v>14</v>
      </c>
      <c r="K133" s="2" t="s">
        <v>14</v>
      </c>
      <c r="L133" s="2" t="s">
        <v>14</v>
      </c>
      <c r="M133" s="2" t="s">
        <v>14</v>
      </c>
      <c r="N133" s="2" t="s">
        <v>14</v>
      </c>
      <c r="O133" s="2">
        <v>1</v>
      </c>
    </row>
    <row r="134" spans="1:15" ht="15" customHeight="1" x14ac:dyDescent="0.25">
      <c r="A134" s="3">
        <v>10</v>
      </c>
      <c r="B134" s="3" t="s">
        <v>14</v>
      </c>
      <c r="C134" s="3" t="s">
        <v>19</v>
      </c>
      <c r="D134" s="2" t="s">
        <v>106</v>
      </c>
      <c r="E134" s="3">
        <v>0</v>
      </c>
      <c r="F134" s="3">
        <v>0</v>
      </c>
      <c r="G134" s="3" t="s">
        <v>10</v>
      </c>
      <c r="H134" s="3" t="s">
        <v>12</v>
      </c>
      <c r="I134" s="3">
        <v>1</v>
      </c>
      <c r="J134" s="3" t="s">
        <v>14</v>
      </c>
      <c r="K134" s="3" t="s">
        <v>14</v>
      </c>
      <c r="L134" s="3" t="s">
        <v>14</v>
      </c>
      <c r="M134" s="3" t="s">
        <v>14</v>
      </c>
      <c r="N134" s="3" t="s">
        <v>14</v>
      </c>
      <c r="O134" s="3">
        <v>1</v>
      </c>
    </row>
    <row r="135" spans="1:15" ht="15" customHeight="1" x14ac:dyDescent="0.25">
      <c r="A135" s="2">
        <v>10</v>
      </c>
      <c r="B135" s="2" t="s">
        <v>14</v>
      </c>
      <c r="C135" s="2" t="s">
        <v>19</v>
      </c>
      <c r="D135" s="2" t="s">
        <v>106</v>
      </c>
      <c r="E135" s="2">
        <v>0</v>
      </c>
      <c r="F135" s="2">
        <v>0</v>
      </c>
      <c r="G135" s="2" t="s">
        <v>10</v>
      </c>
      <c r="H135" s="2" t="s">
        <v>12</v>
      </c>
      <c r="I135" s="2">
        <v>2</v>
      </c>
      <c r="J135" s="2" t="s">
        <v>14</v>
      </c>
      <c r="K135" s="2" t="s">
        <v>14</v>
      </c>
      <c r="L135" s="2" t="s">
        <v>14</v>
      </c>
      <c r="M135" s="2" t="s">
        <v>14</v>
      </c>
      <c r="N135" s="2" t="s">
        <v>14</v>
      </c>
      <c r="O135" s="2">
        <v>1</v>
      </c>
    </row>
    <row r="136" spans="1:15" ht="15" customHeight="1" x14ac:dyDescent="0.25">
      <c r="A136" s="3">
        <v>10</v>
      </c>
      <c r="B136" s="3" t="s">
        <v>18</v>
      </c>
      <c r="C136" s="3" t="s">
        <v>19</v>
      </c>
      <c r="D136" s="2" t="s">
        <v>106</v>
      </c>
      <c r="E136" s="3">
        <v>0</v>
      </c>
      <c r="F136" s="3">
        <v>0</v>
      </c>
      <c r="G136" s="3" t="s">
        <v>10</v>
      </c>
      <c r="H136" s="3" t="s">
        <v>12</v>
      </c>
      <c r="I136" s="3">
        <v>2</v>
      </c>
      <c r="J136" s="3" t="s">
        <v>14</v>
      </c>
      <c r="K136" s="3" t="s">
        <v>14</v>
      </c>
      <c r="L136" s="3" t="s">
        <v>14</v>
      </c>
      <c r="M136" s="3" t="s">
        <v>14</v>
      </c>
      <c r="N136" s="3" t="s">
        <v>14</v>
      </c>
      <c r="O136" s="3">
        <v>1</v>
      </c>
    </row>
    <row r="137" spans="1:15" ht="15" customHeight="1" x14ac:dyDescent="0.25">
      <c r="A137" s="2">
        <v>10</v>
      </c>
      <c r="B137" s="2" t="s">
        <v>18</v>
      </c>
      <c r="C137" s="2" t="s">
        <v>20</v>
      </c>
      <c r="D137" s="2" t="s">
        <v>106</v>
      </c>
      <c r="E137" s="2">
        <v>0</v>
      </c>
      <c r="F137" s="2">
        <v>0</v>
      </c>
      <c r="G137" s="2" t="s">
        <v>10</v>
      </c>
      <c r="H137" s="2" t="s">
        <v>12</v>
      </c>
      <c r="I137" s="2">
        <v>2</v>
      </c>
      <c r="J137" s="2" t="s">
        <v>14</v>
      </c>
      <c r="K137" s="2" t="s">
        <v>14</v>
      </c>
      <c r="L137" s="2" t="s">
        <v>14</v>
      </c>
      <c r="M137" s="2" t="s">
        <v>14</v>
      </c>
      <c r="N137" s="2" t="s">
        <v>14</v>
      </c>
      <c r="O137" s="2">
        <v>1</v>
      </c>
    </row>
    <row r="138" spans="1:15" ht="15" customHeight="1" x14ac:dyDescent="0.25">
      <c r="A138" s="3">
        <v>20</v>
      </c>
      <c r="B138" s="3" t="s">
        <v>14</v>
      </c>
      <c r="C138" s="3" t="s">
        <v>11</v>
      </c>
      <c r="D138" s="2" t="s">
        <v>106</v>
      </c>
      <c r="E138" s="3">
        <v>0</v>
      </c>
      <c r="F138" s="3">
        <v>0</v>
      </c>
      <c r="G138" s="3" t="s">
        <v>10</v>
      </c>
      <c r="H138" s="3" t="s">
        <v>16</v>
      </c>
      <c r="I138" s="3">
        <v>2</v>
      </c>
      <c r="J138" s="3" t="s">
        <v>14</v>
      </c>
      <c r="K138" s="3" t="s">
        <v>14</v>
      </c>
      <c r="L138" s="3" t="s">
        <v>14</v>
      </c>
      <c r="M138" s="3" t="s">
        <v>14</v>
      </c>
      <c r="N138" s="3" t="s">
        <v>14</v>
      </c>
      <c r="O138" s="3">
        <v>1</v>
      </c>
    </row>
    <row r="139" spans="1:15" ht="15" customHeight="1" x14ac:dyDescent="0.25">
      <c r="A139" s="2">
        <v>10</v>
      </c>
      <c r="B139" s="2" t="s">
        <v>18</v>
      </c>
      <c r="C139" s="2" t="s">
        <v>20</v>
      </c>
      <c r="D139" s="2" t="s">
        <v>106</v>
      </c>
      <c r="E139" s="2">
        <v>0</v>
      </c>
      <c r="F139" s="2">
        <v>0</v>
      </c>
      <c r="G139" s="2" t="s">
        <v>10</v>
      </c>
      <c r="H139" s="2" t="s">
        <v>12</v>
      </c>
      <c r="I139" s="2" t="s">
        <v>15</v>
      </c>
      <c r="J139" s="2" t="s">
        <v>14</v>
      </c>
      <c r="K139" s="2" t="s">
        <v>14</v>
      </c>
      <c r="L139" s="2" t="s">
        <v>14</v>
      </c>
      <c r="M139" s="2" t="s">
        <v>14</v>
      </c>
      <c r="N139" s="2" t="s">
        <v>14</v>
      </c>
      <c r="O139" s="2">
        <v>1</v>
      </c>
    </row>
    <row r="140" spans="1:15" ht="15" customHeight="1" x14ac:dyDescent="0.25">
      <c r="A140" s="3">
        <v>20</v>
      </c>
      <c r="B140" s="3" t="s">
        <v>10</v>
      </c>
      <c r="C140" s="3" t="s">
        <v>20</v>
      </c>
      <c r="D140" s="2" t="s">
        <v>106</v>
      </c>
      <c r="E140" s="3">
        <v>0</v>
      </c>
      <c r="F140" s="3">
        <v>0</v>
      </c>
      <c r="G140" s="3" t="s">
        <v>10</v>
      </c>
      <c r="H140" s="3" t="s">
        <v>12</v>
      </c>
      <c r="I140" s="3" t="s">
        <v>15</v>
      </c>
      <c r="J140" s="3" t="s">
        <v>14</v>
      </c>
      <c r="K140" s="3" t="s">
        <v>14</v>
      </c>
      <c r="L140" s="3" t="s">
        <v>14</v>
      </c>
      <c r="M140" s="3" t="s">
        <v>14</v>
      </c>
      <c r="N140" s="3" t="s">
        <v>14</v>
      </c>
      <c r="O140" s="3">
        <v>1</v>
      </c>
    </row>
    <row r="141" spans="1:15" ht="15" customHeight="1" x14ac:dyDescent="0.25">
      <c r="A141" s="2">
        <v>10</v>
      </c>
      <c r="B141" s="2" t="s">
        <v>18</v>
      </c>
      <c r="C141" s="2" t="s">
        <v>20</v>
      </c>
      <c r="D141" s="2" t="s">
        <v>106</v>
      </c>
      <c r="E141" s="2">
        <v>0</v>
      </c>
      <c r="F141" s="2">
        <v>0</v>
      </c>
      <c r="G141" s="2" t="s">
        <v>10</v>
      </c>
      <c r="H141" s="2" t="s">
        <v>16</v>
      </c>
      <c r="I141" s="2" t="s">
        <v>15</v>
      </c>
      <c r="J141" s="2" t="s">
        <v>14</v>
      </c>
      <c r="K141" s="2" t="s">
        <v>14</v>
      </c>
      <c r="L141" s="2" t="s">
        <v>14</v>
      </c>
      <c r="M141" s="2" t="s">
        <v>14</v>
      </c>
      <c r="N141" s="2" t="s">
        <v>14</v>
      </c>
      <c r="O141" s="2">
        <v>1</v>
      </c>
    </row>
    <row r="142" spans="1:15" ht="15" customHeight="1" x14ac:dyDescent="0.25">
      <c r="A142" s="3">
        <v>5</v>
      </c>
      <c r="B142" s="3" t="s">
        <v>14</v>
      </c>
      <c r="C142" s="3" t="s">
        <v>20</v>
      </c>
      <c r="D142" s="2" t="s">
        <v>106</v>
      </c>
      <c r="E142" s="3">
        <v>0</v>
      </c>
      <c r="F142" s="3">
        <v>0</v>
      </c>
      <c r="G142" s="3" t="s">
        <v>10</v>
      </c>
      <c r="H142" s="3" t="s">
        <v>12</v>
      </c>
      <c r="I142" s="3" t="s">
        <v>15</v>
      </c>
      <c r="J142" s="3" t="s">
        <v>14</v>
      </c>
      <c r="K142" s="3" t="s">
        <v>14</v>
      </c>
      <c r="L142" s="3" t="s">
        <v>14</v>
      </c>
      <c r="M142" s="3" t="s">
        <v>14</v>
      </c>
      <c r="N142" s="3" t="s">
        <v>14</v>
      </c>
      <c r="O142" s="3">
        <v>1</v>
      </c>
    </row>
    <row r="143" spans="1:15" ht="15" customHeight="1" x14ac:dyDescent="0.25">
      <c r="A143" s="2">
        <v>10</v>
      </c>
      <c r="B143" s="2" t="s">
        <v>14</v>
      </c>
      <c r="C143" s="2" t="s">
        <v>20</v>
      </c>
      <c r="D143" s="2" t="s">
        <v>106</v>
      </c>
      <c r="E143" s="2">
        <v>0</v>
      </c>
      <c r="F143" s="2">
        <v>0</v>
      </c>
      <c r="G143" s="2" t="s">
        <v>10</v>
      </c>
      <c r="H143" s="2" t="s">
        <v>16</v>
      </c>
      <c r="I143" s="2">
        <v>2</v>
      </c>
      <c r="J143" s="2" t="s">
        <v>14</v>
      </c>
      <c r="K143" s="2" t="s">
        <v>14</v>
      </c>
      <c r="L143" s="2" t="s">
        <v>14</v>
      </c>
      <c r="M143" s="2" t="s">
        <v>14</v>
      </c>
      <c r="N143" s="2" t="s">
        <v>14</v>
      </c>
      <c r="O143" s="2">
        <v>1</v>
      </c>
    </row>
    <row r="144" spans="1:15" ht="15" customHeight="1" x14ac:dyDescent="0.25">
      <c r="A144" s="3">
        <v>10</v>
      </c>
      <c r="B144" s="3" t="s">
        <v>18</v>
      </c>
      <c r="C144" s="3" t="s">
        <v>20</v>
      </c>
      <c r="D144" s="2" t="s">
        <v>106</v>
      </c>
      <c r="E144" s="3">
        <v>0</v>
      </c>
      <c r="F144" s="3">
        <v>0</v>
      </c>
      <c r="G144" s="3" t="s">
        <v>10</v>
      </c>
      <c r="H144" s="3" t="s">
        <v>16</v>
      </c>
      <c r="I144" s="3">
        <v>2</v>
      </c>
      <c r="J144" s="3" t="s">
        <v>14</v>
      </c>
      <c r="K144" s="3" t="s">
        <v>14</v>
      </c>
      <c r="L144" s="3" t="s">
        <v>14</v>
      </c>
      <c r="M144" s="3" t="s">
        <v>14</v>
      </c>
      <c r="N144" s="3" t="s">
        <v>14</v>
      </c>
      <c r="O144" s="3">
        <v>1</v>
      </c>
    </row>
    <row r="145" spans="1:15" ht="15" customHeight="1" x14ac:dyDescent="0.25">
      <c r="A145" s="2">
        <v>30</v>
      </c>
      <c r="B145" s="2" t="s">
        <v>10</v>
      </c>
      <c r="C145" s="2" t="s">
        <v>19</v>
      </c>
      <c r="D145" s="2" t="s">
        <v>106</v>
      </c>
      <c r="E145" s="2">
        <v>0</v>
      </c>
      <c r="F145" s="2">
        <v>0</v>
      </c>
      <c r="G145" s="2" t="s">
        <v>10</v>
      </c>
      <c r="H145" s="2" t="s">
        <v>12</v>
      </c>
      <c r="I145" s="2" t="s">
        <v>15</v>
      </c>
      <c r="J145" s="2" t="s">
        <v>14</v>
      </c>
      <c r="K145" s="2" t="s">
        <v>14</v>
      </c>
      <c r="L145" s="2" t="s">
        <v>14</v>
      </c>
      <c r="M145" s="2" t="s">
        <v>13</v>
      </c>
      <c r="N145" s="2" t="s">
        <v>13</v>
      </c>
      <c r="O145" s="2">
        <v>1</v>
      </c>
    </row>
    <row r="146" spans="1:15" ht="15" customHeight="1" x14ac:dyDescent="0.25">
      <c r="A146" s="3">
        <v>10</v>
      </c>
      <c r="B146" s="3" t="s">
        <v>18</v>
      </c>
      <c r="C146" s="3" t="s">
        <v>19</v>
      </c>
      <c r="D146" s="2" t="s">
        <v>106</v>
      </c>
      <c r="E146" s="3">
        <v>0</v>
      </c>
      <c r="F146" s="3">
        <v>0</v>
      </c>
      <c r="G146" s="3" t="s">
        <v>10</v>
      </c>
      <c r="H146" s="3" t="s">
        <v>12</v>
      </c>
      <c r="I146" s="3">
        <v>2</v>
      </c>
      <c r="J146" s="3" t="s">
        <v>14</v>
      </c>
      <c r="K146" s="3" t="s">
        <v>13</v>
      </c>
      <c r="L146" s="3" t="s">
        <v>14</v>
      </c>
      <c r="M146" s="3" t="s">
        <v>14</v>
      </c>
      <c r="N146" s="3" t="s">
        <v>14</v>
      </c>
      <c r="O146" s="3">
        <v>1</v>
      </c>
    </row>
    <row r="147" spans="1:15" ht="15" customHeight="1" x14ac:dyDescent="0.25">
      <c r="A147" s="2">
        <v>30</v>
      </c>
      <c r="B147" s="2" t="s">
        <v>14</v>
      </c>
      <c r="C147" s="2" t="s">
        <v>19</v>
      </c>
      <c r="D147" s="2" t="s">
        <v>106</v>
      </c>
      <c r="E147" s="2">
        <v>0</v>
      </c>
      <c r="F147" s="2">
        <v>0</v>
      </c>
      <c r="G147" s="2" t="s">
        <v>10</v>
      </c>
      <c r="H147" s="2" t="s">
        <v>12</v>
      </c>
      <c r="I147" s="2">
        <v>2</v>
      </c>
      <c r="J147" s="2" t="s">
        <v>14</v>
      </c>
      <c r="K147" s="2" t="s">
        <v>14</v>
      </c>
      <c r="L147" s="2" t="s">
        <v>14</v>
      </c>
      <c r="M147" s="2" t="s">
        <v>13</v>
      </c>
      <c r="N147" s="2" t="s">
        <v>13</v>
      </c>
      <c r="O147" s="2">
        <v>1</v>
      </c>
    </row>
    <row r="148" spans="1:15" ht="15" customHeight="1" x14ac:dyDescent="0.25">
      <c r="A148" s="3">
        <v>5</v>
      </c>
      <c r="B148" s="3" t="s">
        <v>14</v>
      </c>
      <c r="C148" s="3" t="s">
        <v>19</v>
      </c>
      <c r="D148" s="2" t="s">
        <v>106</v>
      </c>
      <c r="E148" s="3">
        <v>0</v>
      </c>
      <c r="F148" s="3">
        <v>0</v>
      </c>
      <c r="G148" s="3" t="s">
        <v>10</v>
      </c>
      <c r="H148" s="3" t="s">
        <v>12</v>
      </c>
      <c r="I148" s="3">
        <v>2</v>
      </c>
      <c r="J148" s="3" t="s">
        <v>14</v>
      </c>
      <c r="K148" s="3" t="s">
        <v>14</v>
      </c>
      <c r="L148" s="3" t="s">
        <v>14</v>
      </c>
      <c r="M148" s="3" t="s">
        <v>14</v>
      </c>
      <c r="N148" s="3" t="s">
        <v>14</v>
      </c>
      <c r="O148" s="3">
        <v>1</v>
      </c>
    </row>
    <row r="149" spans="1:15" ht="15" customHeight="1" x14ac:dyDescent="0.25">
      <c r="A149" s="2">
        <v>5</v>
      </c>
      <c r="B149" s="2" t="s">
        <v>18</v>
      </c>
      <c r="C149" s="2" t="s">
        <v>19</v>
      </c>
      <c r="D149" s="2" t="s">
        <v>106</v>
      </c>
      <c r="E149" s="2">
        <v>0</v>
      </c>
      <c r="F149" s="2">
        <v>0</v>
      </c>
      <c r="G149" s="2" t="s">
        <v>10</v>
      </c>
      <c r="H149" s="2" t="s">
        <v>12</v>
      </c>
      <c r="I149" s="2" t="s">
        <v>15</v>
      </c>
      <c r="J149" s="2" t="s">
        <v>14</v>
      </c>
      <c r="K149" s="2" t="s">
        <v>14</v>
      </c>
      <c r="L149" s="2" t="s">
        <v>14</v>
      </c>
      <c r="M149" s="2" t="s">
        <v>14</v>
      </c>
      <c r="N149" s="2" t="s">
        <v>14</v>
      </c>
      <c r="O149" s="2">
        <v>1</v>
      </c>
    </row>
    <row r="150" spans="1:15" ht="15" customHeight="1" x14ac:dyDescent="0.25">
      <c r="A150" s="3">
        <v>20</v>
      </c>
      <c r="B150" s="3" t="s">
        <v>14</v>
      </c>
      <c r="C150" s="3" t="s">
        <v>19</v>
      </c>
      <c r="D150" s="2" t="s">
        <v>106</v>
      </c>
      <c r="E150" s="3">
        <v>0</v>
      </c>
      <c r="F150" s="3">
        <v>0</v>
      </c>
      <c r="G150" s="3" t="s">
        <v>10</v>
      </c>
      <c r="H150" s="3" t="s">
        <v>12</v>
      </c>
      <c r="I150" s="3">
        <v>2</v>
      </c>
      <c r="J150" s="3" t="s">
        <v>14</v>
      </c>
      <c r="K150" s="3" t="s">
        <v>14</v>
      </c>
      <c r="L150" s="3" t="s">
        <v>14</v>
      </c>
      <c r="M150" s="3" t="s">
        <v>14</v>
      </c>
      <c r="N150" s="3" t="s">
        <v>14</v>
      </c>
      <c r="O150" s="3">
        <v>1</v>
      </c>
    </row>
    <row r="151" spans="1:15" ht="15" customHeight="1" x14ac:dyDescent="0.25">
      <c r="A151" s="2">
        <v>5</v>
      </c>
      <c r="B151" s="2" t="s">
        <v>14</v>
      </c>
      <c r="C151" s="2" t="s">
        <v>19</v>
      </c>
      <c r="D151" s="2" t="s">
        <v>106</v>
      </c>
      <c r="E151" s="2">
        <v>0</v>
      </c>
      <c r="F151" s="2">
        <v>0</v>
      </c>
      <c r="G151" s="2" t="s">
        <v>10</v>
      </c>
      <c r="H151" s="2" t="s">
        <v>16</v>
      </c>
      <c r="I151" s="2">
        <v>2</v>
      </c>
      <c r="J151" s="2" t="s">
        <v>14</v>
      </c>
      <c r="K151" s="2" t="s">
        <v>14</v>
      </c>
      <c r="L151" s="2" t="s">
        <v>14</v>
      </c>
      <c r="M151" s="2" t="s">
        <v>14</v>
      </c>
      <c r="N151" s="2" t="s">
        <v>14</v>
      </c>
      <c r="O151" s="2">
        <v>1</v>
      </c>
    </row>
    <row r="152" spans="1:15" ht="15" customHeight="1" x14ac:dyDescent="0.25">
      <c r="A152" s="3">
        <v>10</v>
      </c>
      <c r="B152" s="3" t="s">
        <v>10</v>
      </c>
      <c r="C152" s="3" t="s">
        <v>19</v>
      </c>
      <c r="D152" s="2" t="s">
        <v>106</v>
      </c>
      <c r="E152" s="3">
        <v>0</v>
      </c>
      <c r="F152" s="3">
        <v>1</v>
      </c>
      <c r="G152" s="3" t="s">
        <v>10</v>
      </c>
      <c r="H152" s="3" t="s">
        <v>12</v>
      </c>
      <c r="I152" s="3">
        <v>2</v>
      </c>
      <c r="J152" s="3" t="s">
        <v>14</v>
      </c>
      <c r="K152" s="3" t="s">
        <v>14</v>
      </c>
      <c r="L152" s="3" t="s">
        <v>14</v>
      </c>
      <c r="M152" s="3" t="s">
        <v>14</v>
      </c>
      <c r="N152" s="3" t="s">
        <v>14</v>
      </c>
      <c r="O152" s="3">
        <v>1</v>
      </c>
    </row>
    <row r="153" spans="1:15" ht="15" customHeight="1" x14ac:dyDescent="0.25">
      <c r="A153" s="2">
        <v>5</v>
      </c>
      <c r="B153" s="2" t="s">
        <v>14</v>
      </c>
      <c r="C153" s="2" t="s">
        <v>19</v>
      </c>
      <c r="D153" s="2" t="s">
        <v>106</v>
      </c>
      <c r="E153" s="2">
        <v>0</v>
      </c>
      <c r="F153" s="2">
        <v>1</v>
      </c>
      <c r="G153" s="2" t="s">
        <v>10</v>
      </c>
      <c r="H153" s="2" t="s">
        <v>12</v>
      </c>
      <c r="I153" s="2">
        <v>1</v>
      </c>
      <c r="J153" s="2" t="s">
        <v>14</v>
      </c>
      <c r="K153" s="2" t="s">
        <v>14</v>
      </c>
      <c r="L153" s="2" t="s">
        <v>14</v>
      </c>
      <c r="M153" s="2" t="s">
        <v>14</v>
      </c>
      <c r="N153" s="2" t="s">
        <v>14</v>
      </c>
      <c r="O153" s="2">
        <v>1</v>
      </c>
    </row>
    <row r="154" spans="1:15" ht="15" customHeight="1" x14ac:dyDescent="0.25">
      <c r="A154" s="3">
        <v>10</v>
      </c>
      <c r="B154" s="3" t="s">
        <v>10</v>
      </c>
      <c r="C154" s="3" t="s">
        <v>11</v>
      </c>
      <c r="D154" s="2" t="s">
        <v>106</v>
      </c>
      <c r="E154" s="3">
        <v>1</v>
      </c>
      <c r="F154" s="3">
        <v>0</v>
      </c>
      <c r="G154" s="3" t="s">
        <v>10</v>
      </c>
      <c r="H154" s="3" t="s">
        <v>12</v>
      </c>
      <c r="I154" s="3">
        <v>1</v>
      </c>
      <c r="J154" s="3" t="s">
        <v>13</v>
      </c>
      <c r="K154" s="3" t="s">
        <v>14</v>
      </c>
      <c r="L154" s="3" t="s">
        <v>14</v>
      </c>
      <c r="M154" s="3" t="s">
        <v>13</v>
      </c>
      <c r="N154" s="3" t="s">
        <v>14</v>
      </c>
      <c r="O154" s="3">
        <v>0</v>
      </c>
    </row>
    <row r="155" spans="1:15" ht="15" customHeight="1" x14ac:dyDescent="0.25">
      <c r="A155" s="2">
        <v>30</v>
      </c>
      <c r="B155" s="2" t="s">
        <v>10</v>
      </c>
      <c r="C155" s="2" t="s">
        <v>19</v>
      </c>
      <c r="D155" s="2" t="s">
        <v>106</v>
      </c>
      <c r="E155" s="2">
        <v>2</v>
      </c>
      <c r="F155" s="2">
        <v>1</v>
      </c>
      <c r="G155" s="2" t="s">
        <v>10</v>
      </c>
      <c r="H155" s="2" t="s">
        <v>16</v>
      </c>
      <c r="I155" s="2">
        <v>2</v>
      </c>
      <c r="J155" s="2" t="s">
        <v>14</v>
      </c>
      <c r="K155" s="2" t="s">
        <v>14</v>
      </c>
      <c r="L155" s="2" t="s">
        <v>14</v>
      </c>
      <c r="M155" s="2" t="s">
        <v>13</v>
      </c>
      <c r="N155" s="2" t="s">
        <v>14</v>
      </c>
      <c r="O155" s="2">
        <v>0</v>
      </c>
    </row>
    <row r="156" spans="1:15" ht="15" customHeight="1" x14ac:dyDescent="0.25">
      <c r="A156" s="3">
        <v>0</v>
      </c>
      <c r="B156" s="3" t="s">
        <v>14</v>
      </c>
      <c r="C156" s="3" t="s">
        <v>19</v>
      </c>
      <c r="D156" s="2" t="s">
        <v>106</v>
      </c>
      <c r="E156" s="3">
        <v>1</v>
      </c>
      <c r="F156" s="3">
        <v>0</v>
      </c>
      <c r="G156" s="3" t="s">
        <v>10</v>
      </c>
      <c r="H156" s="3" t="s">
        <v>12</v>
      </c>
      <c r="I156" s="3">
        <v>1</v>
      </c>
      <c r="J156" s="3" t="s">
        <v>14</v>
      </c>
      <c r="K156" s="3" t="s">
        <v>13</v>
      </c>
      <c r="L156" s="3" t="s">
        <v>13</v>
      </c>
      <c r="M156" s="3" t="s">
        <v>14</v>
      </c>
      <c r="N156" s="3" t="s">
        <v>14</v>
      </c>
      <c r="O156" s="3">
        <v>1</v>
      </c>
    </row>
    <row r="157" spans="1:15" ht="15" customHeight="1" x14ac:dyDescent="0.25">
      <c r="A157" s="2">
        <v>0</v>
      </c>
      <c r="B157" s="2" t="s">
        <v>10</v>
      </c>
      <c r="C157" s="2" t="s">
        <v>19</v>
      </c>
      <c r="D157" s="2" t="s">
        <v>106</v>
      </c>
      <c r="E157" s="2">
        <v>2</v>
      </c>
      <c r="F157" s="2">
        <v>0</v>
      </c>
      <c r="G157" s="2" t="s">
        <v>10</v>
      </c>
      <c r="H157" s="2" t="s">
        <v>12</v>
      </c>
      <c r="I157" s="2">
        <v>1</v>
      </c>
      <c r="J157" s="2" t="s">
        <v>14</v>
      </c>
      <c r="K157" s="2" t="s">
        <v>13</v>
      </c>
      <c r="L157" s="2" t="s">
        <v>13</v>
      </c>
      <c r="M157" s="2" t="s">
        <v>14</v>
      </c>
      <c r="N157" s="2" t="s">
        <v>14</v>
      </c>
      <c r="O157" s="2">
        <v>1</v>
      </c>
    </row>
    <row r="158" spans="1:15" ht="15" customHeight="1" x14ac:dyDescent="0.25">
      <c r="A158" s="3">
        <v>20</v>
      </c>
      <c r="B158" s="3" t="s">
        <v>10</v>
      </c>
      <c r="C158" s="3" t="s">
        <v>19</v>
      </c>
      <c r="D158" s="2" t="s">
        <v>106</v>
      </c>
      <c r="E158" s="3">
        <v>0</v>
      </c>
      <c r="F158" s="3">
        <v>0</v>
      </c>
      <c r="G158" s="3" t="s">
        <v>10</v>
      </c>
      <c r="H158" s="3" t="s">
        <v>12</v>
      </c>
      <c r="I158" s="3">
        <v>2</v>
      </c>
      <c r="J158" s="3" t="s">
        <v>14</v>
      </c>
      <c r="K158" s="3" t="s">
        <v>14</v>
      </c>
      <c r="L158" s="3" t="s">
        <v>14</v>
      </c>
      <c r="M158" s="3" t="s">
        <v>14</v>
      </c>
      <c r="N158" s="3" t="s">
        <v>14</v>
      </c>
      <c r="O158" s="3">
        <v>1</v>
      </c>
    </row>
    <row r="159" spans="1:15" ht="15" customHeight="1" x14ac:dyDescent="0.25">
      <c r="A159" s="2">
        <v>10</v>
      </c>
      <c r="B159" s="2" t="s">
        <v>10</v>
      </c>
      <c r="C159" s="2" t="s">
        <v>11</v>
      </c>
      <c r="D159" s="2" t="s">
        <v>106</v>
      </c>
      <c r="E159" s="2">
        <v>1</v>
      </c>
      <c r="F159" s="2">
        <v>1</v>
      </c>
      <c r="G159" s="2" t="s">
        <v>10</v>
      </c>
      <c r="H159" s="2" t="s">
        <v>12</v>
      </c>
      <c r="I159" s="2">
        <v>2</v>
      </c>
      <c r="J159" s="2" t="s">
        <v>13</v>
      </c>
      <c r="K159" s="2" t="s">
        <v>14</v>
      </c>
      <c r="L159" s="2" t="s">
        <v>14</v>
      </c>
      <c r="M159" s="2" t="s">
        <v>14</v>
      </c>
      <c r="N159" s="2" t="s">
        <v>14</v>
      </c>
      <c r="O159" s="2">
        <v>0</v>
      </c>
    </row>
    <row r="160" spans="1:15" ht="15" customHeight="1" x14ac:dyDescent="0.25">
      <c r="A160" s="3">
        <v>10</v>
      </c>
      <c r="B160" s="3" t="s">
        <v>18</v>
      </c>
      <c r="C160" s="3" t="s">
        <v>20</v>
      </c>
      <c r="D160" s="2" t="s">
        <v>106</v>
      </c>
      <c r="E160" s="3">
        <v>0</v>
      </c>
      <c r="F160" s="3">
        <v>0</v>
      </c>
      <c r="G160" s="3" t="s">
        <v>10</v>
      </c>
      <c r="H160" s="3" t="s">
        <v>12</v>
      </c>
      <c r="I160" s="3">
        <v>1</v>
      </c>
      <c r="J160" s="3" t="s">
        <v>14</v>
      </c>
      <c r="K160" s="3" t="s">
        <v>14</v>
      </c>
      <c r="L160" s="3" t="s">
        <v>14</v>
      </c>
      <c r="M160" s="3" t="s">
        <v>14</v>
      </c>
      <c r="N160" s="3" t="s">
        <v>14</v>
      </c>
      <c r="O160" s="3">
        <v>1</v>
      </c>
    </row>
    <row r="161" spans="1:15" ht="15" customHeight="1" x14ac:dyDescent="0.25">
      <c r="A161" s="2">
        <v>30</v>
      </c>
      <c r="B161" s="2" t="s">
        <v>10</v>
      </c>
      <c r="C161" s="2" t="s">
        <v>19</v>
      </c>
      <c r="D161" s="2" t="s">
        <v>106</v>
      </c>
      <c r="E161" s="2">
        <v>1</v>
      </c>
      <c r="F161" s="2">
        <v>1</v>
      </c>
      <c r="G161" s="2" t="s">
        <v>10</v>
      </c>
      <c r="H161" s="2" t="s">
        <v>12</v>
      </c>
      <c r="I161" s="2">
        <v>1</v>
      </c>
      <c r="J161" s="2" t="s">
        <v>14</v>
      </c>
      <c r="K161" s="2" t="s">
        <v>14</v>
      </c>
      <c r="L161" s="2" t="s">
        <v>14</v>
      </c>
      <c r="M161" s="2" t="s">
        <v>13</v>
      </c>
      <c r="N161" s="2" t="s">
        <v>14</v>
      </c>
      <c r="O161" s="2">
        <v>0</v>
      </c>
    </row>
    <row r="162" spans="1:15" ht="15" customHeight="1" x14ac:dyDescent="0.25">
      <c r="A162" s="3">
        <v>10</v>
      </c>
      <c r="B162" s="3" t="s">
        <v>10</v>
      </c>
      <c r="C162" s="3" t="s">
        <v>20</v>
      </c>
      <c r="D162" s="2" t="s">
        <v>106</v>
      </c>
      <c r="E162" s="3">
        <v>0</v>
      </c>
      <c r="F162" s="3">
        <v>0</v>
      </c>
      <c r="G162" s="3" t="s">
        <v>10</v>
      </c>
      <c r="H162" s="3" t="s">
        <v>12</v>
      </c>
      <c r="I162" s="3">
        <v>1</v>
      </c>
      <c r="J162" s="3" t="s">
        <v>14</v>
      </c>
      <c r="K162" s="3" t="s">
        <v>14</v>
      </c>
      <c r="L162" s="3" t="s">
        <v>14</v>
      </c>
      <c r="M162" s="3" t="s">
        <v>14</v>
      </c>
      <c r="N162" s="3" t="s">
        <v>14</v>
      </c>
      <c r="O162" s="3">
        <v>1</v>
      </c>
    </row>
    <row r="163" spans="1:15" ht="15" customHeight="1" x14ac:dyDescent="0.25">
      <c r="A163" s="2">
        <v>10</v>
      </c>
      <c r="B163" s="2" t="s">
        <v>10</v>
      </c>
      <c r="C163" s="2" t="s">
        <v>19</v>
      </c>
      <c r="D163" s="2" t="s">
        <v>106</v>
      </c>
      <c r="E163" s="2">
        <v>0</v>
      </c>
      <c r="F163" s="2">
        <v>0</v>
      </c>
      <c r="G163" s="2" t="s">
        <v>10</v>
      </c>
      <c r="H163" s="2" t="s">
        <v>12</v>
      </c>
      <c r="I163" s="2">
        <v>1</v>
      </c>
      <c r="J163" s="2" t="s">
        <v>14</v>
      </c>
      <c r="K163" s="2" t="s">
        <v>14</v>
      </c>
      <c r="L163" s="2" t="s">
        <v>14</v>
      </c>
      <c r="M163" s="2" t="s">
        <v>14</v>
      </c>
      <c r="N163" s="2" t="s">
        <v>14</v>
      </c>
      <c r="O163" s="2">
        <v>1</v>
      </c>
    </row>
    <row r="164" spans="1:15" ht="15" customHeight="1" x14ac:dyDescent="0.25">
      <c r="A164" s="3">
        <v>5</v>
      </c>
      <c r="B164" s="3" t="s">
        <v>18</v>
      </c>
      <c r="C164" s="3" t="s">
        <v>19</v>
      </c>
      <c r="D164" s="2" t="s">
        <v>106</v>
      </c>
      <c r="E164" s="3">
        <v>0</v>
      </c>
      <c r="F164" s="3">
        <v>0</v>
      </c>
      <c r="G164" s="3" t="s">
        <v>10</v>
      </c>
      <c r="H164" s="3" t="s">
        <v>12</v>
      </c>
      <c r="I164" s="3" t="s">
        <v>15</v>
      </c>
      <c r="J164" s="3" t="s">
        <v>14</v>
      </c>
      <c r="K164" s="3" t="s">
        <v>14</v>
      </c>
      <c r="L164" s="3" t="s">
        <v>14</v>
      </c>
      <c r="M164" s="3" t="s">
        <v>14</v>
      </c>
      <c r="N164" s="3" t="s">
        <v>14</v>
      </c>
      <c r="O164" s="3">
        <v>1</v>
      </c>
    </row>
    <row r="165" spans="1:15" ht="15" customHeight="1" x14ac:dyDescent="0.25">
      <c r="A165" s="2">
        <v>10</v>
      </c>
      <c r="B165" s="2" t="s">
        <v>14</v>
      </c>
      <c r="C165" s="2" t="s">
        <v>19</v>
      </c>
      <c r="D165" s="2" t="s">
        <v>106</v>
      </c>
      <c r="E165" s="2">
        <v>0</v>
      </c>
      <c r="F165" s="2">
        <v>0</v>
      </c>
      <c r="G165" s="2" t="s">
        <v>10</v>
      </c>
      <c r="H165" s="2" t="s">
        <v>16</v>
      </c>
      <c r="I165" s="2" t="s">
        <v>15</v>
      </c>
      <c r="J165" s="2" t="s">
        <v>14</v>
      </c>
      <c r="K165" s="2" t="s">
        <v>14</v>
      </c>
      <c r="L165" s="2" t="s">
        <v>14</v>
      </c>
      <c r="M165" s="2" t="s">
        <v>14</v>
      </c>
      <c r="N165" s="2" t="s">
        <v>14</v>
      </c>
      <c r="O165" s="2">
        <v>1</v>
      </c>
    </row>
    <row r="166" spans="1:15" ht="15" customHeight="1" x14ac:dyDescent="0.25">
      <c r="A166" s="3">
        <v>10</v>
      </c>
      <c r="B166" s="3" t="s">
        <v>10</v>
      </c>
      <c r="C166" s="3" t="s">
        <v>19</v>
      </c>
      <c r="D166" s="2" t="s">
        <v>106</v>
      </c>
      <c r="E166" s="3">
        <v>0</v>
      </c>
      <c r="F166" s="3">
        <v>0</v>
      </c>
      <c r="G166" s="3" t="s">
        <v>10</v>
      </c>
      <c r="H166" s="3" t="s">
        <v>12</v>
      </c>
      <c r="I166" s="3">
        <v>2</v>
      </c>
      <c r="J166" s="3" t="s">
        <v>14</v>
      </c>
      <c r="K166" s="3" t="s">
        <v>14</v>
      </c>
      <c r="L166" s="3" t="s">
        <v>14</v>
      </c>
      <c r="M166" s="3" t="s">
        <v>14</v>
      </c>
      <c r="N166" s="3" t="s">
        <v>14</v>
      </c>
      <c r="O166" s="3">
        <v>1</v>
      </c>
    </row>
    <row r="167" spans="1:15" ht="15" customHeight="1" x14ac:dyDescent="0.25">
      <c r="A167" s="2">
        <v>5</v>
      </c>
      <c r="B167" s="2" t="s">
        <v>18</v>
      </c>
      <c r="C167" s="2" t="s">
        <v>20</v>
      </c>
      <c r="D167" s="2" t="s">
        <v>106</v>
      </c>
      <c r="E167" s="2">
        <v>0</v>
      </c>
      <c r="F167" s="2">
        <v>0</v>
      </c>
      <c r="G167" s="2" t="s">
        <v>10</v>
      </c>
      <c r="H167" s="2" t="s">
        <v>12</v>
      </c>
      <c r="I167" s="2" t="s">
        <v>15</v>
      </c>
      <c r="J167" s="2" t="s">
        <v>14</v>
      </c>
      <c r="K167" s="2" t="s">
        <v>14</v>
      </c>
      <c r="L167" s="2" t="s">
        <v>14</v>
      </c>
      <c r="M167" s="2" t="s">
        <v>14</v>
      </c>
      <c r="N167" s="2" t="s">
        <v>14</v>
      </c>
      <c r="O167" s="2">
        <v>1</v>
      </c>
    </row>
    <row r="168" spans="1:15" ht="15" customHeight="1" x14ac:dyDescent="0.25">
      <c r="A168" s="3">
        <v>30</v>
      </c>
      <c r="B168" s="3" t="s">
        <v>18</v>
      </c>
      <c r="C168" s="3" t="s">
        <v>20</v>
      </c>
      <c r="D168" s="2" t="s">
        <v>106</v>
      </c>
      <c r="E168" s="3">
        <v>0</v>
      </c>
      <c r="F168" s="3">
        <v>0</v>
      </c>
      <c r="G168" s="3" t="s">
        <v>10</v>
      </c>
      <c r="H168" s="3" t="s">
        <v>12</v>
      </c>
      <c r="I168" s="3">
        <v>2</v>
      </c>
      <c r="J168" s="3" t="s">
        <v>14</v>
      </c>
      <c r="K168" s="3" t="s">
        <v>14</v>
      </c>
      <c r="L168" s="3" t="s">
        <v>14</v>
      </c>
      <c r="M168" s="3" t="s">
        <v>14</v>
      </c>
      <c r="N168" s="3" t="s">
        <v>14</v>
      </c>
      <c r="O168" s="3">
        <v>1</v>
      </c>
    </row>
    <row r="169" spans="1:15" ht="15" customHeight="1" x14ac:dyDescent="0.25">
      <c r="A169" s="2">
        <v>10</v>
      </c>
      <c r="B169" s="2" t="s">
        <v>10</v>
      </c>
      <c r="C169" s="2" t="s">
        <v>20</v>
      </c>
      <c r="D169" s="2" t="s">
        <v>106</v>
      </c>
      <c r="E169" s="2">
        <v>0</v>
      </c>
      <c r="F169" s="2">
        <v>0</v>
      </c>
      <c r="G169" s="2" t="s">
        <v>10</v>
      </c>
      <c r="H169" s="2" t="s">
        <v>12</v>
      </c>
      <c r="I169" s="2" t="s">
        <v>15</v>
      </c>
      <c r="J169" s="2" t="s">
        <v>14</v>
      </c>
      <c r="K169" s="2" t="s">
        <v>14</v>
      </c>
      <c r="L169" s="2" t="s">
        <v>14</v>
      </c>
      <c r="M169" s="2" t="s">
        <v>14</v>
      </c>
      <c r="N169" s="2" t="s">
        <v>14</v>
      </c>
      <c r="O169" s="2">
        <v>1</v>
      </c>
    </row>
    <row r="170" spans="1:15" ht="15" customHeight="1" x14ac:dyDescent="0.25">
      <c r="A170" s="3">
        <v>10</v>
      </c>
      <c r="B170" s="3" t="s">
        <v>18</v>
      </c>
      <c r="C170" s="3" t="s">
        <v>20</v>
      </c>
      <c r="D170" s="2" t="s">
        <v>106</v>
      </c>
      <c r="E170" s="3">
        <v>0</v>
      </c>
      <c r="F170" s="3">
        <v>0</v>
      </c>
      <c r="G170" s="3" t="s">
        <v>10</v>
      </c>
      <c r="H170" s="3" t="s">
        <v>12</v>
      </c>
      <c r="I170" s="3">
        <v>1</v>
      </c>
      <c r="J170" s="3" t="s">
        <v>14</v>
      </c>
      <c r="K170" s="3" t="s">
        <v>14</v>
      </c>
      <c r="L170" s="3" t="s">
        <v>14</v>
      </c>
      <c r="M170" s="3" t="s">
        <v>14</v>
      </c>
      <c r="N170" s="3" t="s">
        <v>14</v>
      </c>
      <c r="O170" s="3">
        <v>1</v>
      </c>
    </row>
    <row r="171" spans="1:15" ht="15" customHeight="1" x14ac:dyDescent="0.25">
      <c r="A171" s="2">
        <v>5</v>
      </c>
      <c r="B171" s="2" t="s">
        <v>10</v>
      </c>
      <c r="C171" s="2" t="s">
        <v>20</v>
      </c>
      <c r="D171" s="2" t="s">
        <v>106</v>
      </c>
      <c r="E171" s="2">
        <v>0</v>
      </c>
      <c r="F171" s="2">
        <v>0</v>
      </c>
      <c r="G171" s="2" t="s">
        <v>10</v>
      </c>
      <c r="H171" s="2" t="s">
        <v>12</v>
      </c>
      <c r="I171" s="2">
        <v>1</v>
      </c>
      <c r="J171" s="2" t="s">
        <v>14</v>
      </c>
      <c r="K171" s="2" t="s">
        <v>14</v>
      </c>
      <c r="L171" s="2" t="s">
        <v>14</v>
      </c>
      <c r="M171" s="2" t="s">
        <v>14</v>
      </c>
      <c r="N171" s="2" t="s">
        <v>14</v>
      </c>
      <c r="O171" s="2">
        <v>1</v>
      </c>
    </row>
    <row r="172" spans="1:15" ht="15" customHeight="1" x14ac:dyDescent="0.25">
      <c r="A172" s="3">
        <v>20</v>
      </c>
      <c r="B172" s="3" t="s">
        <v>10</v>
      </c>
      <c r="C172" s="3" t="s">
        <v>19</v>
      </c>
      <c r="D172" s="2" t="s">
        <v>106</v>
      </c>
      <c r="E172" s="3">
        <v>0</v>
      </c>
      <c r="F172" s="3">
        <v>2</v>
      </c>
      <c r="G172" s="3" t="s">
        <v>10</v>
      </c>
      <c r="H172" s="3" t="s">
        <v>16</v>
      </c>
      <c r="I172" s="3">
        <v>2</v>
      </c>
      <c r="J172" s="3" t="s">
        <v>14</v>
      </c>
      <c r="K172" s="3" t="s">
        <v>14</v>
      </c>
      <c r="L172" s="3" t="s">
        <v>14</v>
      </c>
      <c r="M172" s="3" t="s">
        <v>14</v>
      </c>
      <c r="N172" s="3" t="s">
        <v>14</v>
      </c>
      <c r="O172" s="3">
        <v>1</v>
      </c>
    </row>
    <row r="173" spans="1:15" ht="15" customHeight="1" x14ac:dyDescent="0.25">
      <c r="A173" s="2">
        <v>10</v>
      </c>
      <c r="B173" s="2" t="s">
        <v>18</v>
      </c>
      <c r="C173" s="2" t="s">
        <v>20</v>
      </c>
      <c r="D173" s="2" t="s">
        <v>106</v>
      </c>
      <c r="E173" s="2">
        <v>0</v>
      </c>
      <c r="F173" s="2">
        <v>0</v>
      </c>
      <c r="G173" s="2" t="s">
        <v>10</v>
      </c>
      <c r="H173" s="2" t="s">
        <v>12</v>
      </c>
      <c r="I173" s="2">
        <v>1</v>
      </c>
      <c r="J173" s="2" t="s">
        <v>14</v>
      </c>
      <c r="K173" s="2" t="s">
        <v>14</v>
      </c>
      <c r="L173" s="2" t="s">
        <v>14</v>
      </c>
      <c r="M173" s="2" t="s">
        <v>14</v>
      </c>
      <c r="N173" s="2" t="s">
        <v>14</v>
      </c>
      <c r="O173" s="2">
        <v>1</v>
      </c>
    </row>
    <row r="174" spans="1:15" ht="15" customHeight="1" x14ac:dyDescent="0.25">
      <c r="A174" s="3">
        <v>10</v>
      </c>
      <c r="B174" s="3" t="s">
        <v>10</v>
      </c>
      <c r="C174" s="3" t="s">
        <v>19</v>
      </c>
      <c r="D174" s="2" t="s">
        <v>106</v>
      </c>
      <c r="E174" s="3">
        <v>0</v>
      </c>
      <c r="F174" s="3">
        <v>0</v>
      </c>
      <c r="G174" s="3" t="s">
        <v>10</v>
      </c>
      <c r="H174" s="3" t="s">
        <v>12</v>
      </c>
      <c r="I174" s="3" t="s">
        <v>15</v>
      </c>
      <c r="J174" s="3" t="s">
        <v>14</v>
      </c>
      <c r="K174" s="3" t="s">
        <v>14</v>
      </c>
      <c r="L174" s="3" t="s">
        <v>14</v>
      </c>
      <c r="M174" s="3" t="s">
        <v>14</v>
      </c>
      <c r="N174" s="3" t="s">
        <v>14</v>
      </c>
      <c r="O174" s="3">
        <v>1</v>
      </c>
    </row>
    <row r="175" spans="1:15" ht="15" customHeight="1" x14ac:dyDescent="0.25">
      <c r="A175" s="2">
        <v>20</v>
      </c>
      <c r="B175" s="2" t="s">
        <v>10</v>
      </c>
      <c r="C175" s="2" t="s">
        <v>11</v>
      </c>
      <c r="D175" s="2" t="s">
        <v>106</v>
      </c>
      <c r="E175" s="2">
        <v>2</v>
      </c>
      <c r="F175" s="2">
        <v>0</v>
      </c>
      <c r="G175" s="2" t="s">
        <v>10</v>
      </c>
      <c r="H175" s="2" t="s">
        <v>12</v>
      </c>
      <c r="I175" s="2" t="s">
        <v>15</v>
      </c>
      <c r="J175" s="2" t="s">
        <v>13</v>
      </c>
      <c r="K175" s="2" t="s">
        <v>14</v>
      </c>
      <c r="L175" s="2" t="s">
        <v>14</v>
      </c>
      <c r="M175" s="2" t="s">
        <v>14</v>
      </c>
      <c r="N175" s="2" t="s">
        <v>14</v>
      </c>
      <c r="O175" s="2">
        <v>1</v>
      </c>
    </row>
    <row r="176" spans="1:15" ht="15" customHeight="1" x14ac:dyDescent="0.25">
      <c r="A176" s="3">
        <v>5</v>
      </c>
      <c r="B176" s="3" t="s">
        <v>10</v>
      </c>
      <c r="C176" s="3" t="s">
        <v>19</v>
      </c>
      <c r="D176" s="2" t="s">
        <v>106</v>
      </c>
      <c r="E176" s="3">
        <v>1</v>
      </c>
      <c r="F176" s="3">
        <v>1</v>
      </c>
      <c r="G176" s="3" t="s">
        <v>10</v>
      </c>
      <c r="H176" s="3" t="s">
        <v>12</v>
      </c>
      <c r="I176" s="3" t="s">
        <v>15</v>
      </c>
      <c r="J176" s="3" t="s">
        <v>14</v>
      </c>
      <c r="K176" s="3" t="s">
        <v>14</v>
      </c>
      <c r="L176" s="3" t="s">
        <v>14</v>
      </c>
      <c r="M176" s="3" t="s">
        <v>14</v>
      </c>
      <c r="N176" s="3" t="s">
        <v>14</v>
      </c>
      <c r="O176" s="3">
        <v>1</v>
      </c>
    </row>
    <row r="177" spans="1:15" ht="15" customHeight="1" x14ac:dyDescent="0.25">
      <c r="A177" s="2">
        <v>0</v>
      </c>
      <c r="B177" s="2" t="s">
        <v>14</v>
      </c>
      <c r="C177" s="2" t="s">
        <v>19</v>
      </c>
      <c r="D177" s="2" t="s">
        <v>106</v>
      </c>
      <c r="E177" s="2">
        <v>1</v>
      </c>
      <c r="F177" s="2">
        <v>0</v>
      </c>
      <c r="G177" s="2" t="s">
        <v>10</v>
      </c>
      <c r="H177" s="2" t="s">
        <v>16</v>
      </c>
      <c r="I177" s="2" t="s">
        <v>15</v>
      </c>
      <c r="J177" s="2" t="s">
        <v>14</v>
      </c>
      <c r="K177" s="2" t="s">
        <v>14</v>
      </c>
      <c r="L177" s="2" t="s">
        <v>14</v>
      </c>
      <c r="M177" s="2" t="s">
        <v>14</v>
      </c>
      <c r="N177" s="2" t="s">
        <v>14</v>
      </c>
      <c r="O177" s="2">
        <v>1</v>
      </c>
    </row>
    <row r="178" spans="1:15" ht="15" customHeight="1" x14ac:dyDescent="0.25">
      <c r="A178" s="3">
        <v>0</v>
      </c>
      <c r="B178" s="3" t="s">
        <v>18</v>
      </c>
      <c r="C178" s="3" t="s">
        <v>19</v>
      </c>
      <c r="D178" s="2" t="s">
        <v>106</v>
      </c>
      <c r="E178" s="3">
        <v>0</v>
      </c>
      <c r="F178" s="3">
        <v>1</v>
      </c>
      <c r="G178" s="3" t="s">
        <v>10</v>
      </c>
      <c r="H178" s="3" t="s">
        <v>12</v>
      </c>
      <c r="I178" s="3">
        <v>1</v>
      </c>
      <c r="J178" s="3" t="s">
        <v>14</v>
      </c>
      <c r="K178" s="3" t="s">
        <v>14</v>
      </c>
      <c r="L178" s="3" t="s">
        <v>14</v>
      </c>
      <c r="M178" s="3" t="s">
        <v>14</v>
      </c>
      <c r="N178" s="3" t="s">
        <v>14</v>
      </c>
      <c r="O178" s="3">
        <v>1</v>
      </c>
    </row>
    <row r="179" spans="1:15" ht="15" customHeight="1" x14ac:dyDescent="0.25">
      <c r="A179" s="2">
        <v>10</v>
      </c>
      <c r="B179" s="2" t="s">
        <v>14</v>
      </c>
      <c r="C179" s="2" t="s">
        <v>19</v>
      </c>
      <c r="D179" s="2" t="s">
        <v>106</v>
      </c>
      <c r="E179" s="2">
        <v>0</v>
      </c>
      <c r="F179" s="2">
        <v>0</v>
      </c>
      <c r="G179" s="2" t="s">
        <v>10</v>
      </c>
      <c r="H179" s="2" t="s">
        <v>12</v>
      </c>
      <c r="I179" s="2" t="s">
        <v>15</v>
      </c>
      <c r="J179" s="2" t="s">
        <v>14</v>
      </c>
      <c r="K179" s="2" t="s">
        <v>14</v>
      </c>
      <c r="L179" s="2" t="s">
        <v>14</v>
      </c>
      <c r="M179" s="2" t="s">
        <v>14</v>
      </c>
      <c r="N179" s="2" t="s">
        <v>14</v>
      </c>
      <c r="O179" s="2">
        <v>1</v>
      </c>
    </row>
    <row r="180" spans="1:15" ht="15" customHeight="1" x14ac:dyDescent="0.25">
      <c r="A180" s="3">
        <v>10</v>
      </c>
      <c r="B180" s="3" t="s">
        <v>10</v>
      </c>
      <c r="C180" s="3" t="s">
        <v>19</v>
      </c>
      <c r="D180" s="2" t="s">
        <v>106</v>
      </c>
      <c r="E180" s="3">
        <v>0</v>
      </c>
      <c r="F180" s="3">
        <v>0</v>
      </c>
      <c r="G180" s="3" t="s">
        <v>10</v>
      </c>
      <c r="H180" s="3" t="s">
        <v>12</v>
      </c>
      <c r="I180" s="3">
        <v>1</v>
      </c>
      <c r="J180" s="3" t="s">
        <v>14</v>
      </c>
      <c r="K180" s="3" t="s">
        <v>14</v>
      </c>
      <c r="L180" s="3" t="s">
        <v>14</v>
      </c>
      <c r="M180" s="3" t="s">
        <v>14</v>
      </c>
      <c r="N180" s="3" t="s">
        <v>14</v>
      </c>
      <c r="O180" s="3">
        <v>1</v>
      </c>
    </row>
    <row r="181" spans="1:15" ht="15" customHeight="1" x14ac:dyDescent="0.25">
      <c r="A181" s="2">
        <v>10</v>
      </c>
      <c r="B181" s="2" t="s">
        <v>10</v>
      </c>
      <c r="C181" s="2" t="s">
        <v>19</v>
      </c>
      <c r="D181" s="2" t="s">
        <v>106</v>
      </c>
      <c r="E181" s="2">
        <v>0</v>
      </c>
      <c r="F181" s="2">
        <v>0</v>
      </c>
      <c r="G181" s="2" t="s">
        <v>10</v>
      </c>
      <c r="H181" s="2" t="s">
        <v>12</v>
      </c>
      <c r="I181" s="2">
        <v>2</v>
      </c>
      <c r="J181" s="2" t="s">
        <v>14</v>
      </c>
      <c r="K181" s="2" t="s">
        <v>14</v>
      </c>
      <c r="L181" s="2" t="s">
        <v>14</v>
      </c>
      <c r="M181" s="2" t="s">
        <v>14</v>
      </c>
      <c r="N181" s="2" t="s">
        <v>14</v>
      </c>
      <c r="O181" s="2">
        <v>1</v>
      </c>
    </row>
    <row r="182" spans="1:15" ht="15" customHeight="1" x14ac:dyDescent="0.25">
      <c r="A182" s="3">
        <v>0</v>
      </c>
      <c r="B182" s="3" t="s">
        <v>14</v>
      </c>
      <c r="C182" s="3" t="s">
        <v>19</v>
      </c>
      <c r="D182" s="2" t="s">
        <v>106</v>
      </c>
      <c r="E182" s="3">
        <v>0</v>
      </c>
      <c r="F182" s="3">
        <v>0</v>
      </c>
      <c r="G182" s="3" t="s">
        <v>10</v>
      </c>
      <c r="H182" s="3" t="s">
        <v>12</v>
      </c>
      <c r="I182" s="3">
        <v>1</v>
      </c>
      <c r="J182" s="3" t="s">
        <v>14</v>
      </c>
      <c r="K182" s="3" t="s">
        <v>14</v>
      </c>
      <c r="L182" s="3" t="s">
        <v>14</v>
      </c>
      <c r="M182" s="3" t="s">
        <v>14</v>
      </c>
      <c r="N182" s="3" t="s">
        <v>14</v>
      </c>
      <c r="O182" s="3">
        <v>1</v>
      </c>
    </row>
    <row r="183" spans="1:15" ht="15" customHeight="1" x14ac:dyDescent="0.25">
      <c r="A183" s="2">
        <v>0</v>
      </c>
      <c r="B183" s="2" t="s">
        <v>18</v>
      </c>
      <c r="C183" s="2" t="s">
        <v>19</v>
      </c>
      <c r="D183" s="2" t="s">
        <v>106</v>
      </c>
      <c r="E183" s="2">
        <v>0</v>
      </c>
      <c r="F183" s="2">
        <v>1</v>
      </c>
      <c r="G183" s="2" t="s">
        <v>10</v>
      </c>
      <c r="H183" s="2" t="s">
        <v>12</v>
      </c>
      <c r="I183" s="2">
        <v>1</v>
      </c>
      <c r="J183" s="2" t="s">
        <v>14</v>
      </c>
      <c r="K183" s="2" t="s">
        <v>14</v>
      </c>
      <c r="L183" s="2" t="s">
        <v>14</v>
      </c>
      <c r="M183" s="2" t="s">
        <v>14</v>
      </c>
      <c r="N183" s="2" t="s">
        <v>14</v>
      </c>
      <c r="O183" s="2">
        <v>1</v>
      </c>
    </row>
    <row r="184" spans="1:15" ht="15" customHeight="1" x14ac:dyDescent="0.25">
      <c r="A184" s="3">
        <v>20</v>
      </c>
      <c r="B184" s="3" t="s">
        <v>10</v>
      </c>
      <c r="C184" s="3" t="s">
        <v>11</v>
      </c>
      <c r="D184" s="2" t="s">
        <v>106</v>
      </c>
      <c r="E184" s="3">
        <v>2</v>
      </c>
      <c r="F184" s="3">
        <v>2</v>
      </c>
      <c r="G184" s="3" t="s">
        <v>10</v>
      </c>
      <c r="H184" s="3" t="s">
        <v>12</v>
      </c>
      <c r="I184" s="3" t="s">
        <v>15</v>
      </c>
      <c r="J184" s="3" t="s">
        <v>13</v>
      </c>
      <c r="K184" s="3" t="s">
        <v>14</v>
      </c>
      <c r="L184" s="3" t="s">
        <v>14</v>
      </c>
      <c r="M184" s="3" t="s">
        <v>14</v>
      </c>
      <c r="N184" s="3" t="s">
        <v>14</v>
      </c>
      <c r="O184" s="3">
        <v>0</v>
      </c>
    </row>
    <row r="185" spans="1:15" ht="15" customHeight="1" x14ac:dyDescent="0.25">
      <c r="A185" s="2">
        <v>10</v>
      </c>
      <c r="B185" s="2" t="s">
        <v>10</v>
      </c>
      <c r="C185" s="2" t="s">
        <v>20</v>
      </c>
      <c r="D185" s="2" t="s">
        <v>106</v>
      </c>
      <c r="E185" s="2">
        <v>0</v>
      </c>
      <c r="F185" s="2">
        <v>0</v>
      </c>
      <c r="G185" s="2" t="s">
        <v>10</v>
      </c>
      <c r="H185" s="2" t="s">
        <v>12</v>
      </c>
      <c r="I185" s="2" t="s">
        <v>15</v>
      </c>
      <c r="J185" s="2" t="s">
        <v>14</v>
      </c>
      <c r="K185" s="2" t="s">
        <v>14</v>
      </c>
      <c r="L185" s="2" t="s">
        <v>14</v>
      </c>
      <c r="M185" s="2" t="s">
        <v>14</v>
      </c>
      <c r="N185" s="2" t="s">
        <v>14</v>
      </c>
      <c r="O185" s="2">
        <v>1</v>
      </c>
    </row>
    <row r="186" spans="1:15" ht="15" customHeight="1" x14ac:dyDescent="0.25">
      <c r="A186" s="3">
        <v>10</v>
      </c>
      <c r="B186" s="3" t="s">
        <v>18</v>
      </c>
      <c r="C186" s="3" t="s">
        <v>20</v>
      </c>
      <c r="D186" s="2" t="s">
        <v>106</v>
      </c>
      <c r="E186" s="3">
        <v>0</v>
      </c>
      <c r="F186" s="3">
        <v>0</v>
      </c>
      <c r="G186" s="3" t="s">
        <v>10</v>
      </c>
      <c r="H186" s="3" t="s">
        <v>12</v>
      </c>
      <c r="I186" s="3">
        <v>2</v>
      </c>
      <c r="J186" s="3" t="s">
        <v>14</v>
      </c>
      <c r="K186" s="3" t="s">
        <v>14</v>
      </c>
      <c r="L186" s="3" t="s">
        <v>14</v>
      </c>
      <c r="M186" s="3" t="s">
        <v>14</v>
      </c>
      <c r="N186" s="3" t="s">
        <v>14</v>
      </c>
      <c r="O186" s="3">
        <v>1</v>
      </c>
    </row>
    <row r="187" spans="1:15" ht="15" customHeight="1" x14ac:dyDescent="0.25">
      <c r="A187" s="2">
        <v>0</v>
      </c>
      <c r="B187" s="2" t="s">
        <v>10</v>
      </c>
      <c r="C187" s="2" t="s">
        <v>20</v>
      </c>
      <c r="D187" s="2" t="s">
        <v>106</v>
      </c>
      <c r="E187" s="2">
        <v>0</v>
      </c>
      <c r="F187" s="2">
        <v>0</v>
      </c>
      <c r="G187" s="2" t="s">
        <v>10</v>
      </c>
      <c r="H187" s="2" t="s">
        <v>12</v>
      </c>
      <c r="I187" s="2">
        <v>2</v>
      </c>
      <c r="J187" s="2" t="s">
        <v>14</v>
      </c>
      <c r="K187" s="2" t="s">
        <v>14</v>
      </c>
      <c r="L187" s="2" t="s">
        <v>14</v>
      </c>
      <c r="M187" s="2" t="s">
        <v>14</v>
      </c>
      <c r="N187" s="2" t="s">
        <v>14</v>
      </c>
      <c r="O187" s="2">
        <v>1</v>
      </c>
    </row>
    <row r="188" spans="1:15" ht="15" customHeight="1" x14ac:dyDescent="0.25">
      <c r="A188" s="3">
        <v>5</v>
      </c>
      <c r="B188" s="3" t="s">
        <v>14</v>
      </c>
      <c r="C188" s="3" t="s">
        <v>19</v>
      </c>
      <c r="D188" s="2" t="s">
        <v>106</v>
      </c>
      <c r="E188" s="3">
        <v>0</v>
      </c>
      <c r="F188" s="3">
        <v>0</v>
      </c>
      <c r="G188" s="3" t="s">
        <v>10</v>
      </c>
      <c r="H188" s="3" t="s">
        <v>16</v>
      </c>
      <c r="I188" s="3" t="s">
        <v>15</v>
      </c>
      <c r="J188" s="3" t="s">
        <v>14</v>
      </c>
      <c r="K188" s="3" t="s">
        <v>14</v>
      </c>
      <c r="L188" s="3" t="s">
        <v>14</v>
      </c>
      <c r="M188" s="3" t="s">
        <v>14</v>
      </c>
      <c r="N188" s="3" t="s">
        <v>14</v>
      </c>
      <c r="O188" s="3">
        <v>1</v>
      </c>
    </row>
    <row r="189" spans="1:15" ht="15" customHeight="1" x14ac:dyDescent="0.25">
      <c r="A189" s="2">
        <v>0</v>
      </c>
      <c r="B189" s="2" t="s">
        <v>14</v>
      </c>
      <c r="C189" s="2" t="s">
        <v>19</v>
      </c>
      <c r="D189" s="2" t="s">
        <v>106</v>
      </c>
      <c r="E189" s="2">
        <v>0</v>
      </c>
      <c r="F189" s="2">
        <v>0</v>
      </c>
      <c r="G189" s="2" t="s">
        <v>10</v>
      </c>
      <c r="H189" s="2" t="s">
        <v>12</v>
      </c>
      <c r="I189" s="2">
        <v>2</v>
      </c>
      <c r="J189" s="2" t="s">
        <v>14</v>
      </c>
      <c r="K189" s="2" t="s">
        <v>14</v>
      </c>
      <c r="L189" s="2" t="s">
        <v>14</v>
      </c>
      <c r="M189" s="2" t="s">
        <v>14</v>
      </c>
      <c r="N189" s="2" t="s">
        <v>14</v>
      </c>
      <c r="O189" s="2">
        <v>1</v>
      </c>
    </row>
    <row r="190" spans="1:15" ht="15" customHeight="1" x14ac:dyDescent="0.25">
      <c r="A190" s="3">
        <v>5</v>
      </c>
      <c r="B190" s="3" t="s">
        <v>14</v>
      </c>
      <c r="C190" s="3" t="s">
        <v>19</v>
      </c>
      <c r="D190" s="2" t="s">
        <v>106</v>
      </c>
      <c r="E190" s="3">
        <v>0</v>
      </c>
      <c r="F190" s="3">
        <v>0</v>
      </c>
      <c r="G190" s="3" t="s">
        <v>10</v>
      </c>
      <c r="H190" s="3" t="s">
        <v>12</v>
      </c>
      <c r="I190" s="3">
        <v>2</v>
      </c>
      <c r="J190" s="3" t="s">
        <v>14</v>
      </c>
      <c r="K190" s="3" t="s">
        <v>14</v>
      </c>
      <c r="L190" s="3" t="s">
        <v>14</v>
      </c>
      <c r="M190" s="3" t="s">
        <v>14</v>
      </c>
      <c r="N190" s="3" t="s">
        <v>14</v>
      </c>
      <c r="O190" s="3">
        <v>1</v>
      </c>
    </row>
    <row r="191" spans="1:15" ht="15" customHeight="1" x14ac:dyDescent="0.25">
      <c r="A191" s="2">
        <v>10</v>
      </c>
      <c r="B191" s="2" t="s">
        <v>18</v>
      </c>
      <c r="C191" s="2" t="s">
        <v>20</v>
      </c>
      <c r="D191" s="2" t="s">
        <v>106</v>
      </c>
      <c r="E191" s="2">
        <v>0</v>
      </c>
      <c r="F191" s="2">
        <v>0</v>
      </c>
      <c r="G191" s="2" t="s">
        <v>10</v>
      </c>
      <c r="H191" s="2" t="s">
        <v>12</v>
      </c>
      <c r="I191" s="2">
        <v>2</v>
      </c>
      <c r="J191" s="2" t="s">
        <v>14</v>
      </c>
      <c r="K191" s="2" t="s">
        <v>14</v>
      </c>
      <c r="L191" s="2" t="s">
        <v>14</v>
      </c>
      <c r="M191" s="2" t="s">
        <v>14</v>
      </c>
      <c r="N191" s="2" t="s">
        <v>14</v>
      </c>
      <c r="O191" s="2">
        <v>1</v>
      </c>
    </row>
    <row r="192" spans="1:15" ht="15" customHeight="1" x14ac:dyDescent="0.25">
      <c r="A192" s="3">
        <v>10</v>
      </c>
      <c r="B192" s="3" t="s">
        <v>14</v>
      </c>
      <c r="C192" s="3" t="s">
        <v>20</v>
      </c>
      <c r="D192" s="2" t="s">
        <v>106</v>
      </c>
      <c r="E192" s="3">
        <v>0</v>
      </c>
      <c r="F192" s="3">
        <v>0</v>
      </c>
      <c r="G192" s="3" t="s">
        <v>10</v>
      </c>
      <c r="H192" s="3" t="s">
        <v>12</v>
      </c>
      <c r="I192" s="3" t="s">
        <v>15</v>
      </c>
      <c r="J192" s="3" t="s">
        <v>14</v>
      </c>
      <c r="K192" s="3" t="s">
        <v>14</v>
      </c>
      <c r="L192" s="3" t="s">
        <v>14</v>
      </c>
      <c r="M192" s="3" t="s">
        <v>14</v>
      </c>
      <c r="N192" s="3" t="s">
        <v>14</v>
      </c>
      <c r="O192" s="3">
        <v>1</v>
      </c>
    </row>
    <row r="193" spans="1:15" ht="15" customHeight="1" x14ac:dyDescent="0.25">
      <c r="A193" s="2">
        <v>5</v>
      </c>
      <c r="B193" s="2" t="s">
        <v>14</v>
      </c>
      <c r="C193" s="2" t="s">
        <v>20</v>
      </c>
      <c r="D193" s="2" t="s">
        <v>106</v>
      </c>
      <c r="E193" s="2">
        <v>0</v>
      </c>
      <c r="F193" s="2">
        <v>0</v>
      </c>
      <c r="G193" s="2" t="s">
        <v>10</v>
      </c>
      <c r="H193" s="2" t="s">
        <v>12</v>
      </c>
      <c r="I193" s="2">
        <v>2</v>
      </c>
      <c r="J193" s="2" t="s">
        <v>14</v>
      </c>
      <c r="K193" s="2" t="s">
        <v>14</v>
      </c>
      <c r="L193" s="2" t="s">
        <v>14</v>
      </c>
      <c r="M193" s="2" t="s">
        <v>14</v>
      </c>
      <c r="N193" s="2" t="s">
        <v>14</v>
      </c>
      <c r="O193" s="2">
        <v>1</v>
      </c>
    </row>
    <row r="194" spans="1:15" ht="15" customHeight="1" x14ac:dyDescent="0.25">
      <c r="A194" s="3">
        <v>5</v>
      </c>
      <c r="B194" s="3" t="s">
        <v>14</v>
      </c>
      <c r="C194" s="3" t="s">
        <v>20</v>
      </c>
      <c r="D194" s="2" t="s">
        <v>106</v>
      </c>
      <c r="E194" s="3">
        <v>0</v>
      </c>
      <c r="F194" s="3">
        <v>0</v>
      </c>
      <c r="G194" s="3" t="s">
        <v>10</v>
      </c>
      <c r="H194" s="3" t="s">
        <v>12</v>
      </c>
      <c r="I194" s="3">
        <v>2</v>
      </c>
      <c r="J194" s="3" t="s">
        <v>14</v>
      </c>
      <c r="K194" s="3" t="s">
        <v>14</v>
      </c>
      <c r="L194" s="3" t="s">
        <v>14</v>
      </c>
      <c r="M194" s="3" t="s">
        <v>14</v>
      </c>
      <c r="N194" s="3" t="s">
        <v>14</v>
      </c>
      <c r="O194" s="3">
        <v>1</v>
      </c>
    </row>
    <row r="195" spans="1:15" ht="15" customHeight="1" x14ac:dyDescent="0.25">
      <c r="A195" s="2">
        <v>10</v>
      </c>
      <c r="B195" s="2" t="s">
        <v>14</v>
      </c>
      <c r="C195" s="2" t="s">
        <v>20</v>
      </c>
      <c r="D195" s="2" t="s">
        <v>106</v>
      </c>
      <c r="E195" s="2">
        <v>0</v>
      </c>
      <c r="F195" s="2">
        <v>0</v>
      </c>
      <c r="G195" s="2" t="s">
        <v>10</v>
      </c>
      <c r="H195" s="2" t="s">
        <v>12</v>
      </c>
      <c r="I195" s="2">
        <v>2</v>
      </c>
      <c r="J195" s="2" t="s">
        <v>14</v>
      </c>
      <c r="K195" s="2" t="s">
        <v>14</v>
      </c>
      <c r="L195" s="2" t="s">
        <v>14</v>
      </c>
      <c r="M195" s="2" t="s">
        <v>14</v>
      </c>
      <c r="N195" s="2" t="s">
        <v>14</v>
      </c>
      <c r="O195" s="2">
        <v>1</v>
      </c>
    </row>
    <row r="196" spans="1:15" ht="15" customHeight="1" x14ac:dyDescent="0.25">
      <c r="A196" s="3">
        <v>10</v>
      </c>
      <c r="B196" s="3" t="s">
        <v>10</v>
      </c>
      <c r="C196" s="3" t="s">
        <v>19</v>
      </c>
      <c r="D196" s="2" t="s">
        <v>106</v>
      </c>
      <c r="E196" s="3">
        <v>0</v>
      </c>
      <c r="F196" s="3">
        <v>0</v>
      </c>
      <c r="G196" s="3" t="s">
        <v>10</v>
      </c>
      <c r="H196" s="3" t="s">
        <v>12</v>
      </c>
      <c r="I196" s="3" t="s">
        <v>15</v>
      </c>
      <c r="J196" s="3" t="s">
        <v>14</v>
      </c>
      <c r="K196" s="3" t="s">
        <v>14</v>
      </c>
      <c r="L196" s="3" t="s">
        <v>14</v>
      </c>
      <c r="M196" s="3" t="s">
        <v>14</v>
      </c>
      <c r="N196" s="3" t="s">
        <v>14</v>
      </c>
      <c r="O196" s="3">
        <v>1</v>
      </c>
    </row>
    <row r="197" spans="1:15" ht="15" customHeight="1" x14ac:dyDescent="0.25">
      <c r="A197" s="2">
        <v>10</v>
      </c>
      <c r="B197" s="2" t="s">
        <v>18</v>
      </c>
      <c r="C197" s="2" t="s">
        <v>19</v>
      </c>
      <c r="D197" s="2" t="s">
        <v>106</v>
      </c>
      <c r="E197" s="2">
        <v>0</v>
      </c>
      <c r="F197" s="2">
        <v>0</v>
      </c>
      <c r="G197" s="2" t="s">
        <v>10</v>
      </c>
      <c r="H197" s="2" t="s">
        <v>12</v>
      </c>
      <c r="I197" s="2">
        <v>2</v>
      </c>
      <c r="J197" s="2" t="s">
        <v>14</v>
      </c>
      <c r="K197" s="2" t="s">
        <v>14</v>
      </c>
      <c r="L197" s="2" t="s">
        <v>14</v>
      </c>
      <c r="M197" s="2" t="s">
        <v>14</v>
      </c>
      <c r="N197" s="2" t="s">
        <v>14</v>
      </c>
      <c r="O197" s="2">
        <v>1</v>
      </c>
    </row>
    <row r="198" spans="1:15" ht="15" customHeight="1" x14ac:dyDescent="0.25">
      <c r="A198" s="3">
        <v>10</v>
      </c>
      <c r="B198" s="3" t="s">
        <v>18</v>
      </c>
      <c r="C198" s="3" t="s">
        <v>20</v>
      </c>
      <c r="D198" s="2" t="s">
        <v>106</v>
      </c>
      <c r="E198" s="3">
        <v>0</v>
      </c>
      <c r="F198" s="3">
        <v>0</v>
      </c>
      <c r="G198" s="3" t="s">
        <v>10</v>
      </c>
      <c r="H198" s="3" t="s">
        <v>12</v>
      </c>
      <c r="I198" s="3">
        <v>1</v>
      </c>
      <c r="J198" s="3" t="s">
        <v>14</v>
      </c>
      <c r="K198" s="3" t="s">
        <v>14</v>
      </c>
      <c r="L198" s="3" t="s">
        <v>14</v>
      </c>
      <c r="M198" s="3" t="s">
        <v>14</v>
      </c>
      <c r="N198" s="3" t="s">
        <v>14</v>
      </c>
      <c r="O198" s="3">
        <v>1</v>
      </c>
    </row>
    <row r="199" spans="1:15" ht="15" customHeight="1" x14ac:dyDescent="0.25">
      <c r="A199" s="2">
        <v>10</v>
      </c>
      <c r="B199" s="2" t="s">
        <v>14</v>
      </c>
      <c r="C199" s="2" t="s">
        <v>20</v>
      </c>
      <c r="D199" s="2" t="s">
        <v>106</v>
      </c>
      <c r="E199" s="2">
        <v>0</v>
      </c>
      <c r="F199" s="2">
        <v>0</v>
      </c>
      <c r="G199" s="2" t="s">
        <v>10</v>
      </c>
      <c r="H199" s="2" t="s">
        <v>12</v>
      </c>
      <c r="I199" s="2" t="s">
        <v>15</v>
      </c>
      <c r="J199" s="2" t="s">
        <v>14</v>
      </c>
      <c r="K199" s="2" t="s">
        <v>14</v>
      </c>
      <c r="L199" s="2" t="s">
        <v>14</v>
      </c>
      <c r="M199" s="2" t="s">
        <v>14</v>
      </c>
      <c r="N199" s="2" t="s">
        <v>14</v>
      </c>
      <c r="O199" s="2">
        <v>1</v>
      </c>
    </row>
    <row r="200" spans="1:15" ht="15" customHeight="1" x14ac:dyDescent="0.25">
      <c r="A200" s="3">
        <v>10</v>
      </c>
      <c r="B200" s="3" t="s">
        <v>10</v>
      </c>
      <c r="C200" s="3" t="s">
        <v>19</v>
      </c>
      <c r="D200" s="2" t="s">
        <v>106</v>
      </c>
      <c r="E200" s="3">
        <v>0</v>
      </c>
      <c r="F200" s="3">
        <v>0</v>
      </c>
      <c r="G200" s="3" t="s">
        <v>10</v>
      </c>
      <c r="H200" s="3" t="s">
        <v>12</v>
      </c>
      <c r="I200" s="3">
        <v>2</v>
      </c>
      <c r="J200" s="3" t="s">
        <v>14</v>
      </c>
      <c r="K200" s="3" t="s">
        <v>14</v>
      </c>
      <c r="L200" s="3" t="s">
        <v>14</v>
      </c>
      <c r="M200" s="3" t="s">
        <v>14</v>
      </c>
      <c r="N200" s="3" t="s">
        <v>14</v>
      </c>
      <c r="O200" s="3">
        <v>1</v>
      </c>
    </row>
    <row r="201" spans="1:15" ht="15" customHeight="1" x14ac:dyDescent="0.25">
      <c r="A201" s="2">
        <v>5</v>
      </c>
      <c r="B201" s="2" t="s">
        <v>10</v>
      </c>
      <c r="C201" s="2" t="s">
        <v>19</v>
      </c>
      <c r="D201" s="2" t="s">
        <v>106</v>
      </c>
      <c r="E201" s="2">
        <v>0</v>
      </c>
      <c r="F201" s="2">
        <v>0</v>
      </c>
      <c r="G201" s="2" t="s">
        <v>10</v>
      </c>
      <c r="H201" s="2" t="s">
        <v>12</v>
      </c>
      <c r="I201" s="2">
        <v>2</v>
      </c>
      <c r="J201" s="2" t="s">
        <v>14</v>
      </c>
      <c r="K201" s="2" t="s">
        <v>14</v>
      </c>
      <c r="L201" s="2" t="s">
        <v>14</v>
      </c>
      <c r="M201" s="2" t="s">
        <v>14</v>
      </c>
      <c r="N201" s="2" t="s">
        <v>14</v>
      </c>
      <c r="O201" s="2">
        <v>1</v>
      </c>
    </row>
    <row r="202" spans="1:15" ht="15" customHeight="1" x14ac:dyDescent="0.25">
      <c r="A202" s="3">
        <v>5</v>
      </c>
      <c r="B202" s="3" t="s">
        <v>10</v>
      </c>
      <c r="C202" s="3" t="s">
        <v>19</v>
      </c>
      <c r="D202" s="2" t="s">
        <v>106</v>
      </c>
      <c r="E202" s="3">
        <v>1</v>
      </c>
      <c r="F202" s="3">
        <v>0</v>
      </c>
      <c r="G202" s="3" t="s">
        <v>10</v>
      </c>
      <c r="H202" s="3" t="s">
        <v>12</v>
      </c>
      <c r="I202" s="3" t="s">
        <v>15</v>
      </c>
      <c r="J202" s="3" t="s">
        <v>14</v>
      </c>
      <c r="K202" s="3" t="s">
        <v>14</v>
      </c>
      <c r="L202" s="3" t="s">
        <v>14</v>
      </c>
      <c r="M202" s="3" t="s">
        <v>14</v>
      </c>
      <c r="N202" s="3" t="s">
        <v>14</v>
      </c>
      <c r="O202" s="3">
        <v>1</v>
      </c>
    </row>
    <row r="203" spans="1:15" ht="15" customHeight="1" x14ac:dyDescent="0.25">
      <c r="A203" s="2">
        <v>20</v>
      </c>
      <c r="B203" s="2" t="s">
        <v>10</v>
      </c>
      <c r="C203" s="2" t="s">
        <v>11</v>
      </c>
      <c r="D203" s="2" t="s">
        <v>106</v>
      </c>
      <c r="E203" s="2">
        <v>0</v>
      </c>
      <c r="F203" s="2">
        <v>1</v>
      </c>
      <c r="G203" s="2" t="s">
        <v>10</v>
      </c>
      <c r="H203" s="2" t="s">
        <v>12</v>
      </c>
      <c r="I203" s="2">
        <v>1</v>
      </c>
      <c r="J203" s="2" t="s">
        <v>14</v>
      </c>
      <c r="K203" s="2" t="s">
        <v>14</v>
      </c>
      <c r="L203" s="2" t="s">
        <v>14</v>
      </c>
      <c r="M203" s="2" t="s">
        <v>14</v>
      </c>
      <c r="N203" s="2" t="s">
        <v>14</v>
      </c>
      <c r="O203" s="2">
        <v>0</v>
      </c>
    </row>
    <row r="204" spans="1:15" ht="15" customHeight="1" x14ac:dyDescent="0.25">
      <c r="A204" s="3">
        <v>5</v>
      </c>
      <c r="B204" s="3" t="s">
        <v>18</v>
      </c>
      <c r="C204" s="3" t="s">
        <v>20</v>
      </c>
      <c r="D204" s="2" t="s">
        <v>106</v>
      </c>
      <c r="E204" s="3">
        <v>0</v>
      </c>
      <c r="F204" s="3">
        <v>0</v>
      </c>
      <c r="G204" s="3" t="s">
        <v>10</v>
      </c>
      <c r="H204" s="3" t="s">
        <v>12</v>
      </c>
      <c r="I204" s="3">
        <v>1</v>
      </c>
      <c r="J204" s="3" t="s">
        <v>14</v>
      </c>
      <c r="K204" s="3" t="s">
        <v>13</v>
      </c>
      <c r="L204" s="3" t="s">
        <v>13</v>
      </c>
      <c r="M204" s="3" t="s">
        <v>14</v>
      </c>
      <c r="N204" s="3" t="s">
        <v>14</v>
      </c>
      <c r="O204" s="3">
        <v>1</v>
      </c>
    </row>
    <row r="205" spans="1:15" ht="15" customHeight="1" x14ac:dyDescent="0.25">
      <c r="A205" s="2">
        <v>20</v>
      </c>
      <c r="B205" s="2" t="s">
        <v>10</v>
      </c>
      <c r="C205" s="2" t="s">
        <v>19</v>
      </c>
      <c r="D205" s="2" t="s">
        <v>106</v>
      </c>
      <c r="E205" s="2">
        <v>0</v>
      </c>
      <c r="F205" s="2">
        <v>1</v>
      </c>
      <c r="G205" s="2" t="s">
        <v>10</v>
      </c>
      <c r="H205" s="2" t="s">
        <v>12</v>
      </c>
      <c r="I205" s="2">
        <v>1</v>
      </c>
      <c r="J205" s="2" t="s">
        <v>14</v>
      </c>
      <c r="K205" s="2" t="s">
        <v>14</v>
      </c>
      <c r="L205" s="2" t="s">
        <v>14</v>
      </c>
      <c r="M205" s="2" t="s">
        <v>13</v>
      </c>
      <c r="N205" s="2" t="s">
        <v>14</v>
      </c>
      <c r="O205" s="2">
        <v>0</v>
      </c>
    </row>
    <row r="206" spans="1:15" ht="15" customHeight="1" x14ac:dyDescent="0.25">
      <c r="A206" s="3">
        <v>20</v>
      </c>
      <c r="B206" s="3" t="s">
        <v>10</v>
      </c>
      <c r="C206" s="3" t="s">
        <v>11</v>
      </c>
      <c r="D206" s="2" t="s">
        <v>106</v>
      </c>
      <c r="E206" s="3">
        <v>1</v>
      </c>
      <c r="F206" s="3">
        <v>0</v>
      </c>
      <c r="G206" s="3" t="s">
        <v>17</v>
      </c>
      <c r="H206" s="3" t="s">
        <v>106</v>
      </c>
      <c r="I206" s="3">
        <v>1</v>
      </c>
      <c r="J206" s="3" t="s">
        <v>14</v>
      </c>
      <c r="K206" s="3" t="s">
        <v>13</v>
      </c>
      <c r="L206" s="3" t="s">
        <v>13</v>
      </c>
      <c r="M206" s="3" t="s">
        <v>13</v>
      </c>
      <c r="N206" s="3" t="s">
        <v>14</v>
      </c>
      <c r="O206" s="3">
        <v>0</v>
      </c>
    </row>
    <row r="207" spans="1:15" ht="15" customHeight="1" x14ac:dyDescent="0.25">
      <c r="A207" s="2">
        <v>5</v>
      </c>
      <c r="B207" s="2" t="s">
        <v>14</v>
      </c>
      <c r="C207" s="2" t="s">
        <v>19</v>
      </c>
      <c r="D207" s="2" t="s">
        <v>106</v>
      </c>
      <c r="E207" s="2">
        <v>1</v>
      </c>
      <c r="F207" s="2">
        <v>0</v>
      </c>
      <c r="G207" s="2" t="s">
        <v>17</v>
      </c>
      <c r="H207" s="2" t="s">
        <v>106</v>
      </c>
      <c r="I207" s="2">
        <v>1</v>
      </c>
      <c r="J207" s="2" t="s">
        <v>14</v>
      </c>
      <c r="K207" s="2" t="s">
        <v>13</v>
      </c>
      <c r="L207" s="2" t="s">
        <v>13</v>
      </c>
      <c r="M207" s="2" t="s">
        <v>13</v>
      </c>
      <c r="N207" s="2" t="s">
        <v>14</v>
      </c>
      <c r="O207" s="2">
        <v>1</v>
      </c>
    </row>
    <row r="208" spans="1:15" ht="15" customHeight="1" x14ac:dyDescent="0.25">
      <c r="A208" s="3">
        <v>10</v>
      </c>
      <c r="B208" s="3" t="s">
        <v>10</v>
      </c>
      <c r="C208" s="3" t="s">
        <v>19</v>
      </c>
      <c r="D208" s="2" t="s">
        <v>106</v>
      </c>
      <c r="E208" s="3">
        <v>1</v>
      </c>
      <c r="F208" s="3">
        <v>0</v>
      </c>
      <c r="G208" s="3" t="s">
        <v>17</v>
      </c>
      <c r="H208" s="3" t="s">
        <v>106</v>
      </c>
      <c r="I208" s="3">
        <v>1</v>
      </c>
      <c r="J208" s="3" t="s">
        <v>14</v>
      </c>
      <c r="K208" s="3" t="s">
        <v>13</v>
      </c>
      <c r="L208" s="3" t="s">
        <v>13</v>
      </c>
      <c r="M208" s="3" t="s">
        <v>13</v>
      </c>
      <c r="N208" s="3" t="s">
        <v>14</v>
      </c>
      <c r="O208" s="3">
        <v>0</v>
      </c>
    </row>
    <row r="209" spans="1:15" ht="15" customHeight="1" x14ac:dyDescent="0.25">
      <c r="A209" s="2">
        <v>0</v>
      </c>
      <c r="B209" s="2" t="s">
        <v>10</v>
      </c>
      <c r="C209" s="2" t="s">
        <v>19</v>
      </c>
      <c r="D209" s="2" t="s">
        <v>106</v>
      </c>
      <c r="E209" s="2">
        <v>0</v>
      </c>
      <c r="F209" s="2">
        <v>0</v>
      </c>
      <c r="G209" s="2" t="s">
        <v>17</v>
      </c>
      <c r="H209" s="2" t="s">
        <v>106</v>
      </c>
      <c r="I209" s="2">
        <v>1</v>
      </c>
      <c r="J209" s="2" t="s">
        <v>14</v>
      </c>
      <c r="K209" s="2" t="s">
        <v>13</v>
      </c>
      <c r="L209" s="2" t="s">
        <v>13</v>
      </c>
      <c r="M209" s="2" t="s">
        <v>13</v>
      </c>
      <c r="N209" s="2" t="s">
        <v>14</v>
      </c>
      <c r="O209" s="2">
        <v>1</v>
      </c>
    </row>
    <row r="210" spans="1:15" ht="15" customHeight="1" x14ac:dyDescent="0.25">
      <c r="A210" s="3">
        <v>10</v>
      </c>
      <c r="B210" s="3" t="s">
        <v>18</v>
      </c>
      <c r="C210" s="3" t="s">
        <v>19</v>
      </c>
      <c r="D210" s="2" t="s">
        <v>106</v>
      </c>
      <c r="E210" s="3">
        <v>0</v>
      </c>
      <c r="F210" s="3">
        <v>0</v>
      </c>
      <c r="G210" s="3" t="s">
        <v>10</v>
      </c>
      <c r="H210" s="3" t="s">
        <v>12</v>
      </c>
      <c r="I210" s="3">
        <v>1</v>
      </c>
      <c r="J210" s="3" t="s">
        <v>14</v>
      </c>
      <c r="K210" s="3" t="s">
        <v>13</v>
      </c>
      <c r="L210" s="3" t="s">
        <v>13</v>
      </c>
      <c r="M210" s="3" t="s">
        <v>13</v>
      </c>
      <c r="N210" s="3" t="s">
        <v>14</v>
      </c>
      <c r="O210" s="3">
        <v>1</v>
      </c>
    </row>
    <row r="211" spans="1:15" ht="15" customHeight="1" x14ac:dyDescent="0.25">
      <c r="A211" s="2">
        <v>30</v>
      </c>
      <c r="B211" s="2" t="s">
        <v>10</v>
      </c>
      <c r="C211" s="2" t="s">
        <v>11</v>
      </c>
      <c r="D211" s="2" t="s">
        <v>106</v>
      </c>
      <c r="E211" s="2">
        <v>1</v>
      </c>
      <c r="F211" s="2">
        <v>0</v>
      </c>
      <c r="G211" s="2" t="s">
        <v>10</v>
      </c>
      <c r="H211" s="2" t="s">
        <v>16</v>
      </c>
      <c r="I211" s="2" t="s">
        <v>15</v>
      </c>
      <c r="J211" s="2" t="s">
        <v>13</v>
      </c>
      <c r="K211" s="2" t="s">
        <v>13</v>
      </c>
      <c r="L211" s="2" t="s">
        <v>14</v>
      </c>
      <c r="M211" s="2" t="s">
        <v>13</v>
      </c>
      <c r="N211" s="2" t="s">
        <v>14</v>
      </c>
      <c r="O211" s="2">
        <v>0</v>
      </c>
    </row>
    <row r="212" spans="1:15" ht="15" customHeight="1" x14ac:dyDescent="0.25">
      <c r="A212" s="3">
        <v>10</v>
      </c>
      <c r="B212" s="3" t="s">
        <v>10</v>
      </c>
      <c r="C212" s="3" t="s">
        <v>20</v>
      </c>
      <c r="D212" s="2" t="s">
        <v>106</v>
      </c>
      <c r="E212" s="3">
        <v>0</v>
      </c>
      <c r="F212" s="3">
        <v>1</v>
      </c>
      <c r="G212" s="3" t="s">
        <v>17</v>
      </c>
      <c r="H212" s="3" t="s">
        <v>106</v>
      </c>
      <c r="I212" s="3">
        <v>1</v>
      </c>
      <c r="J212" s="3" t="s">
        <v>14</v>
      </c>
      <c r="K212" s="3" t="s">
        <v>13</v>
      </c>
      <c r="L212" s="3" t="s">
        <v>13</v>
      </c>
      <c r="M212" s="3" t="s">
        <v>13</v>
      </c>
      <c r="N212" s="3" t="s">
        <v>14</v>
      </c>
      <c r="O212" s="3">
        <v>1</v>
      </c>
    </row>
    <row r="213" spans="1:15" ht="15" customHeight="1" x14ac:dyDescent="0.25">
      <c r="A213" s="2">
        <v>10</v>
      </c>
      <c r="B213" s="2" t="s">
        <v>14</v>
      </c>
      <c r="C213" s="2" t="s">
        <v>20</v>
      </c>
      <c r="D213" s="2" t="s">
        <v>106</v>
      </c>
      <c r="E213" s="2">
        <v>0</v>
      </c>
      <c r="F213" s="2">
        <v>0</v>
      </c>
      <c r="G213" s="2" t="s">
        <v>10</v>
      </c>
      <c r="H213" s="2" t="s">
        <v>12</v>
      </c>
      <c r="I213" s="2">
        <v>2</v>
      </c>
      <c r="J213" s="2" t="s">
        <v>14</v>
      </c>
      <c r="K213" s="2" t="s">
        <v>14</v>
      </c>
      <c r="L213" s="2" t="s">
        <v>14</v>
      </c>
      <c r="M213" s="2" t="s">
        <v>14</v>
      </c>
      <c r="N213" s="2" t="s">
        <v>14</v>
      </c>
      <c r="O213" s="2">
        <v>1</v>
      </c>
    </row>
    <row r="214" spans="1:15" ht="15" customHeight="1" x14ac:dyDescent="0.25">
      <c r="A214" s="3">
        <v>30</v>
      </c>
      <c r="B214" s="3" t="s">
        <v>10</v>
      </c>
      <c r="C214" s="3" t="s">
        <v>11</v>
      </c>
      <c r="D214" s="2" t="s">
        <v>106</v>
      </c>
      <c r="E214" s="3">
        <v>0</v>
      </c>
      <c r="F214" s="3">
        <v>0</v>
      </c>
      <c r="G214" s="3" t="s">
        <v>10</v>
      </c>
      <c r="H214" s="3" t="s">
        <v>12</v>
      </c>
      <c r="I214" s="3">
        <v>2</v>
      </c>
      <c r="J214" s="3" t="s">
        <v>13</v>
      </c>
      <c r="K214" s="3" t="s">
        <v>14</v>
      </c>
      <c r="L214" s="3" t="s">
        <v>14</v>
      </c>
      <c r="M214" s="3" t="s">
        <v>13</v>
      </c>
      <c r="N214" s="3" t="s">
        <v>14</v>
      </c>
      <c r="O214" s="3">
        <v>0</v>
      </c>
    </row>
    <row r="215" spans="1:15" ht="15" customHeight="1" x14ac:dyDescent="0.25">
      <c r="A215" s="2">
        <v>10</v>
      </c>
      <c r="B215" s="2" t="s">
        <v>10</v>
      </c>
      <c r="C215" s="2" t="s">
        <v>19</v>
      </c>
      <c r="D215" s="2" t="s">
        <v>106</v>
      </c>
      <c r="E215" s="2">
        <v>0</v>
      </c>
      <c r="F215" s="2">
        <v>0</v>
      </c>
      <c r="G215" s="2" t="s">
        <v>10</v>
      </c>
      <c r="H215" s="2" t="s">
        <v>12</v>
      </c>
      <c r="I215" s="2">
        <v>2</v>
      </c>
      <c r="J215" s="2" t="s">
        <v>14</v>
      </c>
      <c r="K215" s="2" t="s">
        <v>13</v>
      </c>
      <c r="L215" s="2" t="s">
        <v>14</v>
      </c>
      <c r="M215" s="2" t="s">
        <v>14</v>
      </c>
      <c r="N215" s="2" t="s">
        <v>14</v>
      </c>
      <c r="O215" s="2">
        <v>1</v>
      </c>
    </row>
    <row r="216" spans="1:15" ht="15" customHeight="1" x14ac:dyDescent="0.25">
      <c r="A216" s="3">
        <v>10</v>
      </c>
      <c r="B216" s="3" t="s">
        <v>18</v>
      </c>
      <c r="C216" s="3" t="s">
        <v>20</v>
      </c>
      <c r="D216" s="2" t="s">
        <v>106</v>
      </c>
      <c r="E216" s="3">
        <v>0</v>
      </c>
      <c r="F216" s="3">
        <v>0</v>
      </c>
      <c r="G216" s="3" t="s">
        <v>10</v>
      </c>
      <c r="H216" s="3" t="s">
        <v>12</v>
      </c>
      <c r="I216" s="3">
        <v>2</v>
      </c>
      <c r="J216" s="3" t="s">
        <v>14</v>
      </c>
      <c r="K216" s="3" t="s">
        <v>14</v>
      </c>
      <c r="L216" s="3" t="s">
        <v>14</v>
      </c>
      <c r="M216" s="3" t="s">
        <v>14</v>
      </c>
      <c r="N216" s="3" t="s">
        <v>14</v>
      </c>
      <c r="O216" s="3">
        <v>1</v>
      </c>
    </row>
    <row r="217" spans="1:15" ht="15" customHeight="1" x14ac:dyDescent="0.25">
      <c r="A217" s="2">
        <v>20</v>
      </c>
      <c r="B217" s="2" t="s">
        <v>10</v>
      </c>
      <c r="C217" s="2" t="s">
        <v>19</v>
      </c>
      <c r="D217" s="2" t="s">
        <v>106</v>
      </c>
      <c r="E217" s="2">
        <v>0</v>
      </c>
      <c r="F217" s="2">
        <v>1</v>
      </c>
      <c r="G217" s="2" t="s">
        <v>10</v>
      </c>
      <c r="H217" s="2" t="s">
        <v>12</v>
      </c>
      <c r="I217" s="2">
        <v>2</v>
      </c>
      <c r="J217" s="2" t="s">
        <v>14</v>
      </c>
      <c r="K217" s="2" t="s">
        <v>14</v>
      </c>
      <c r="L217" s="2" t="s">
        <v>14</v>
      </c>
      <c r="M217" s="2" t="s">
        <v>14</v>
      </c>
      <c r="N217" s="2" t="s">
        <v>14</v>
      </c>
      <c r="O217" s="2">
        <v>1</v>
      </c>
    </row>
    <row r="218" spans="1:15" ht="15" customHeight="1" x14ac:dyDescent="0.25">
      <c r="A218" s="3">
        <v>10</v>
      </c>
      <c r="B218" s="3" t="s">
        <v>10</v>
      </c>
      <c r="C218" s="3" t="s">
        <v>11</v>
      </c>
      <c r="D218" s="2" t="s">
        <v>106</v>
      </c>
      <c r="E218" s="3">
        <v>0</v>
      </c>
      <c r="F218" s="3">
        <v>1</v>
      </c>
      <c r="G218" s="3" t="s">
        <v>10</v>
      </c>
      <c r="H218" s="3" t="s">
        <v>12</v>
      </c>
      <c r="I218" s="3" t="s">
        <v>15</v>
      </c>
      <c r="J218" s="3" t="s">
        <v>13</v>
      </c>
      <c r="K218" s="3" t="s">
        <v>14</v>
      </c>
      <c r="L218" s="3" t="s">
        <v>14</v>
      </c>
      <c r="M218" s="3" t="s">
        <v>14</v>
      </c>
      <c r="N218" s="3" t="s">
        <v>14</v>
      </c>
      <c r="O218" s="3">
        <v>1</v>
      </c>
    </row>
    <row r="219" spans="1:15" ht="15" customHeight="1" x14ac:dyDescent="0.25">
      <c r="A219" s="2">
        <v>10</v>
      </c>
      <c r="B219" s="2" t="s">
        <v>14</v>
      </c>
      <c r="C219" s="2" t="s">
        <v>20</v>
      </c>
      <c r="D219" s="2" t="s">
        <v>106</v>
      </c>
      <c r="E219" s="2">
        <v>0</v>
      </c>
      <c r="F219" s="2">
        <v>0</v>
      </c>
      <c r="G219" s="2" t="s">
        <v>10</v>
      </c>
      <c r="H219" s="2" t="s">
        <v>12</v>
      </c>
      <c r="I219" s="2">
        <v>2</v>
      </c>
      <c r="J219" s="2" t="s">
        <v>14</v>
      </c>
      <c r="K219" s="2" t="s">
        <v>14</v>
      </c>
      <c r="L219" s="2" t="s">
        <v>14</v>
      </c>
      <c r="M219" s="2" t="s">
        <v>14</v>
      </c>
      <c r="N219" s="2" t="s">
        <v>14</v>
      </c>
      <c r="O219" s="2">
        <v>1</v>
      </c>
    </row>
    <row r="220" spans="1:15" ht="15" customHeight="1" x14ac:dyDescent="0.25">
      <c r="A220" s="3">
        <v>20</v>
      </c>
      <c r="B220" s="3" t="s">
        <v>10</v>
      </c>
      <c r="C220" s="3" t="s">
        <v>19</v>
      </c>
      <c r="D220" s="2" t="s">
        <v>106</v>
      </c>
      <c r="E220" s="3">
        <v>0</v>
      </c>
      <c r="F220" s="3">
        <v>0</v>
      </c>
      <c r="G220" s="3" t="s">
        <v>10</v>
      </c>
      <c r="H220" s="3" t="s">
        <v>12</v>
      </c>
      <c r="I220" s="3">
        <v>2</v>
      </c>
      <c r="J220" s="3" t="s">
        <v>14</v>
      </c>
      <c r="K220" s="3" t="s">
        <v>14</v>
      </c>
      <c r="L220" s="3" t="s">
        <v>14</v>
      </c>
      <c r="M220" s="3" t="s">
        <v>14</v>
      </c>
      <c r="N220" s="3" t="s">
        <v>14</v>
      </c>
      <c r="O220" s="3">
        <v>1</v>
      </c>
    </row>
    <row r="221" spans="1:15" ht="15" customHeight="1" x14ac:dyDescent="0.25">
      <c r="A221" s="2">
        <v>10</v>
      </c>
      <c r="B221" s="2" t="s">
        <v>10</v>
      </c>
      <c r="C221" s="2" t="s">
        <v>19</v>
      </c>
      <c r="D221" s="2" t="s">
        <v>106</v>
      </c>
      <c r="E221" s="2">
        <v>0</v>
      </c>
      <c r="F221" s="2">
        <v>1</v>
      </c>
      <c r="G221" s="2" t="s">
        <v>10</v>
      </c>
      <c r="H221" s="2" t="s">
        <v>12</v>
      </c>
      <c r="I221" s="2">
        <v>1</v>
      </c>
      <c r="J221" s="2" t="s">
        <v>14</v>
      </c>
      <c r="K221" s="2" t="s">
        <v>14</v>
      </c>
      <c r="L221" s="2" t="s">
        <v>14</v>
      </c>
      <c r="M221" s="2" t="s">
        <v>14</v>
      </c>
      <c r="N221" s="2" t="s">
        <v>14</v>
      </c>
      <c r="O221" s="2">
        <v>1</v>
      </c>
    </row>
    <row r="222" spans="1:15" ht="15" customHeight="1" x14ac:dyDescent="0.25">
      <c r="A222" s="3">
        <v>10</v>
      </c>
      <c r="B222" s="3" t="s">
        <v>10</v>
      </c>
      <c r="C222" s="3" t="s">
        <v>11</v>
      </c>
      <c r="D222" s="2" t="s">
        <v>106</v>
      </c>
      <c r="E222" s="3">
        <v>1</v>
      </c>
      <c r="F222" s="3">
        <v>0</v>
      </c>
      <c r="G222" s="3" t="s">
        <v>10</v>
      </c>
      <c r="H222" s="3" t="s">
        <v>12</v>
      </c>
      <c r="I222" s="3">
        <v>2</v>
      </c>
      <c r="J222" s="3" t="s">
        <v>13</v>
      </c>
      <c r="K222" s="3" t="s">
        <v>14</v>
      </c>
      <c r="L222" s="3" t="s">
        <v>14</v>
      </c>
      <c r="M222" s="3" t="s">
        <v>14</v>
      </c>
      <c r="N222" s="3" t="s">
        <v>14</v>
      </c>
      <c r="O222" s="3">
        <v>1</v>
      </c>
    </row>
    <row r="223" spans="1:15" ht="15" customHeight="1" x14ac:dyDescent="0.25">
      <c r="A223" s="2">
        <v>10</v>
      </c>
      <c r="B223" s="2" t="s">
        <v>10</v>
      </c>
      <c r="C223" s="2" t="s">
        <v>20</v>
      </c>
      <c r="D223" s="2" t="s">
        <v>106</v>
      </c>
      <c r="E223" s="2">
        <v>0</v>
      </c>
      <c r="F223" s="2">
        <v>0</v>
      </c>
      <c r="G223" s="2" t="s">
        <v>17</v>
      </c>
      <c r="H223" s="2" t="s">
        <v>106</v>
      </c>
      <c r="I223" s="2">
        <v>1</v>
      </c>
      <c r="J223" s="2" t="s">
        <v>14</v>
      </c>
      <c r="K223" s="2" t="s">
        <v>13</v>
      </c>
      <c r="L223" s="2" t="s">
        <v>13</v>
      </c>
      <c r="M223" s="2" t="s">
        <v>13</v>
      </c>
      <c r="N223" s="2" t="s">
        <v>14</v>
      </c>
      <c r="O223" s="2">
        <v>0</v>
      </c>
    </row>
    <row r="224" spans="1:15" ht="15" customHeight="1" x14ac:dyDescent="0.25">
      <c r="A224" s="3">
        <v>0</v>
      </c>
      <c r="B224" s="3" t="s">
        <v>18</v>
      </c>
      <c r="C224" s="3" t="s">
        <v>11</v>
      </c>
      <c r="D224" s="2" t="s">
        <v>106</v>
      </c>
      <c r="E224" s="3">
        <v>0</v>
      </c>
      <c r="F224" s="3">
        <v>1</v>
      </c>
      <c r="G224" s="3" t="s">
        <v>10</v>
      </c>
      <c r="H224" s="3" t="s">
        <v>16</v>
      </c>
      <c r="I224" s="3">
        <v>1</v>
      </c>
      <c r="J224" s="3" t="s">
        <v>14</v>
      </c>
      <c r="K224" s="3" t="s">
        <v>14</v>
      </c>
      <c r="L224" s="3" t="s">
        <v>14</v>
      </c>
      <c r="M224" s="3" t="s">
        <v>14</v>
      </c>
      <c r="N224" s="3" t="s">
        <v>14</v>
      </c>
      <c r="O224" s="3">
        <v>1</v>
      </c>
    </row>
    <row r="225" spans="1:15" ht="15" customHeight="1" x14ac:dyDescent="0.25">
      <c r="A225" s="2">
        <v>30</v>
      </c>
      <c r="B225" s="2" t="s">
        <v>10</v>
      </c>
      <c r="C225" s="2" t="s">
        <v>11</v>
      </c>
      <c r="D225" s="2" t="s">
        <v>106</v>
      </c>
      <c r="E225" s="2">
        <v>0</v>
      </c>
      <c r="F225" s="2">
        <v>0</v>
      </c>
      <c r="G225" s="2" t="s">
        <v>10</v>
      </c>
      <c r="H225" s="2" t="s">
        <v>12</v>
      </c>
      <c r="I225" s="2">
        <v>2</v>
      </c>
      <c r="J225" s="2" t="s">
        <v>14</v>
      </c>
      <c r="K225" s="2" t="s">
        <v>14</v>
      </c>
      <c r="L225" s="2" t="s">
        <v>14</v>
      </c>
      <c r="M225" s="2" t="s">
        <v>13</v>
      </c>
      <c r="N225" s="2" t="s">
        <v>13</v>
      </c>
      <c r="O225" s="2">
        <v>1</v>
      </c>
    </row>
    <row r="226" spans="1:15" ht="15" customHeight="1" x14ac:dyDescent="0.25">
      <c r="A226" s="3">
        <v>10</v>
      </c>
      <c r="B226" s="3" t="s">
        <v>18</v>
      </c>
      <c r="C226" s="3" t="s">
        <v>19</v>
      </c>
      <c r="D226" s="2" t="s">
        <v>106</v>
      </c>
      <c r="E226" s="3">
        <v>0</v>
      </c>
      <c r="F226" s="3">
        <v>1</v>
      </c>
      <c r="G226" s="3" t="s">
        <v>10</v>
      </c>
      <c r="H226" s="3" t="s">
        <v>12</v>
      </c>
      <c r="I226" s="3" t="s">
        <v>15</v>
      </c>
      <c r="J226" s="3" t="s">
        <v>14</v>
      </c>
      <c r="K226" s="3" t="s">
        <v>13</v>
      </c>
      <c r="L226" s="3" t="s">
        <v>14</v>
      </c>
      <c r="M226" s="3" t="s">
        <v>14</v>
      </c>
      <c r="N226" s="3" t="s">
        <v>14</v>
      </c>
      <c r="O226" s="3">
        <v>1</v>
      </c>
    </row>
    <row r="227" spans="1:15" ht="15" customHeight="1" x14ac:dyDescent="0.25">
      <c r="A227" s="2">
        <v>10</v>
      </c>
      <c r="B227" s="2" t="s">
        <v>10</v>
      </c>
      <c r="C227" s="2" t="s">
        <v>19</v>
      </c>
      <c r="D227" s="2" t="s">
        <v>106</v>
      </c>
      <c r="E227" s="2">
        <v>0</v>
      </c>
      <c r="F227" s="2">
        <v>0</v>
      </c>
      <c r="G227" s="2" t="s">
        <v>10</v>
      </c>
      <c r="H227" s="2" t="s">
        <v>12</v>
      </c>
      <c r="I227" s="2">
        <v>2</v>
      </c>
      <c r="J227" s="2" t="s">
        <v>14</v>
      </c>
      <c r="K227" s="2" t="s">
        <v>14</v>
      </c>
      <c r="L227" s="2" t="s">
        <v>14</v>
      </c>
      <c r="M227" s="2" t="s">
        <v>14</v>
      </c>
      <c r="N227" s="2" t="s">
        <v>14</v>
      </c>
      <c r="O227" s="2">
        <v>1</v>
      </c>
    </row>
    <row r="228" spans="1:15" ht="15" customHeight="1" x14ac:dyDescent="0.25">
      <c r="A228" s="3">
        <v>5</v>
      </c>
      <c r="B228" s="3" t="s">
        <v>18</v>
      </c>
      <c r="C228" s="3" t="s">
        <v>20</v>
      </c>
      <c r="D228" s="2" t="s">
        <v>106</v>
      </c>
      <c r="E228" s="3">
        <v>0</v>
      </c>
      <c r="F228" s="3">
        <v>0</v>
      </c>
      <c r="G228" s="3" t="s">
        <v>10</v>
      </c>
      <c r="H228" s="3" t="s">
        <v>12</v>
      </c>
      <c r="I228" s="3" t="s">
        <v>15</v>
      </c>
      <c r="J228" s="3" t="s">
        <v>14</v>
      </c>
      <c r="K228" s="3" t="s">
        <v>14</v>
      </c>
      <c r="L228" s="3" t="s">
        <v>14</v>
      </c>
      <c r="M228" s="3" t="s">
        <v>14</v>
      </c>
      <c r="N228" s="3" t="s">
        <v>14</v>
      </c>
      <c r="O228" s="3">
        <v>1</v>
      </c>
    </row>
    <row r="229" spans="1:15" ht="15" customHeight="1" x14ac:dyDescent="0.25">
      <c r="A229" s="2">
        <v>30</v>
      </c>
      <c r="B229" s="2" t="s">
        <v>10</v>
      </c>
      <c r="C229" s="2" t="s">
        <v>19</v>
      </c>
      <c r="D229" s="2" t="s">
        <v>106</v>
      </c>
      <c r="E229" s="2">
        <v>1</v>
      </c>
      <c r="F229" s="2">
        <v>0</v>
      </c>
      <c r="G229" s="2" t="s">
        <v>10</v>
      </c>
      <c r="H229" s="2" t="s">
        <v>12</v>
      </c>
      <c r="I229" s="2">
        <v>1</v>
      </c>
      <c r="J229" s="2" t="s">
        <v>14</v>
      </c>
      <c r="K229" s="2" t="s">
        <v>14</v>
      </c>
      <c r="L229" s="2" t="s">
        <v>14</v>
      </c>
      <c r="M229" s="2" t="s">
        <v>13</v>
      </c>
      <c r="N229" s="2" t="s">
        <v>14</v>
      </c>
      <c r="O229" s="2">
        <v>0</v>
      </c>
    </row>
    <row r="230" spans="1:15" ht="15" customHeight="1" x14ac:dyDescent="0.25">
      <c r="A230" s="3">
        <v>10</v>
      </c>
      <c r="B230" s="3" t="s">
        <v>14</v>
      </c>
      <c r="C230" s="3" t="s">
        <v>19</v>
      </c>
      <c r="D230" s="2" t="s">
        <v>106</v>
      </c>
      <c r="E230" s="3">
        <v>0</v>
      </c>
      <c r="F230" s="3">
        <v>0</v>
      </c>
      <c r="G230" s="3" t="s">
        <v>10</v>
      </c>
      <c r="H230" s="3" t="s">
        <v>12</v>
      </c>
      <c r="I230" s="3" t="s">
        <v>15</v>
      </c>
      <c r="J230" s="3" t="s">
        <v>14</v>
      </c>
      <c r="K230" s="3" t="s">
        <v>14</v>
      </c>
      <c r="L230" s="3" t="s">
        <v>14</v>
      </c>
      <c r="M230" s="3" t="s">
        <v>14</v>
      </c>
      <c r="N230" s="3" t="s">
        <v>14</v>
      </c>
      <c r="O230" s="3">
        <v>1</v>
      </c>
    </row>
    <row r="231" spans="1:15" ht="15" customHeight="1" x14ac:dyDescent="0.25">
      <c r="A231" s="2">
        <v>0</v>
      </c>
      <c r="B231" s="2" t="s">
        <v>14</v>
      </c>
      <c r="C231" s="2" t="s">
        <v>19</v>
      </c>
      <c r="D231" s="2" t="s">
        <v>106</v>
      </c>
      <c r="E231" s="2">
        <v>0</v>
      </c>
      <c r="F231" s="2">
        <v>0</v>
      </c>
      <c r="G231" s="2" t="s">
        <v>10</v>
      </c>
      <c r="H231" s="2" t="s">
        <v>12</v>
      </c>
      <c r="I231" s="2">
        <v>2</v>
      </c>
      <c r="J231" s="2" t="s">
        <v>14</v>
      </c>
      <c r="K231" s="2" t="s">
        <v>14</v>
      </c>
      <c r="L231" s="2" t="s">
        <v>14</v>
      </c>
      <c r="M231" s="2" t="s">
        <v>14</v>
      </c>
      <c r="N231" s="2" t="s">
        <v>14</v>
      </c>
      <c r="O231" s="2">
        <v>1</v>
      </c>
    </row>
    <row r="232" spans="1:15" ht="15" customHeight="1" x14ac:dyDescent="0.25">
      <c r="A232" s="3">
        <v>5</v>
      </c>
      <c r="B232" s="3" t="s">
        <v>18</v>
      </c>
      <c r="C232" s="3" t="s">
        <v>19</v>
      </c>
      <c r="D232" s="2" t="s">
        <v>106</v>
      </c>
      <c r="E232" s="3">
        <v>0</v>
      </c>
      <c r="F232" s="3">
        <v>0</v>
      </c>
      <c r="G232" s="3" t="s">
        <v>10</v>
      </c>
      <c r="H232" s="3" t="s">
        <v>12</v>
      </c>
      <c r="I232" s="3">
        <v>2</v>
      </c>
      <c r="J232" s="3" t="s">
        <v>14</v>
      </c>
      <c r="K232" s="3" t="s">
        <v>14</v>
      </c>
      <c r="L232" s="3" t="s">
        <v>14</v>
      </c>
      <c r="M232" s="3" t="s">
        <v>14</v>
      </c>
      <c r="N232" s="3" t="s">
        <v>14</v>
      </c>
      <c r="O232" s="3">
        <v>1</v>
      </c>
    </row>
    <row r="233" spans="1:15" ht="15" customHeight="1" x14ac:dyDescent="0.25">
      <c r="A233" s="2">
        <v>5</v>
      </c>
      <c r="B233" s="2" t="s">
        <v>18</v>
      </c>
      <c r="C233" s="2" t="s">
        <v>19</v>
      </c>
      <c r="D233" s="2" t="s">
        <v>106</v>
      </c>
      <c r="E233" s="2">
        <v>0</v>
      </c>
      <c r="F233" s="2">
        <v>0</v>
      </c>
      <c r="G233" s="2" t="s">
        <v>10</v>
      </c>
      <c r="H233" s="2" t="s">
        <v>16</v>
      </c>
      <c r="I233" s="2">
        <v>2</v>
      </c>
      <c r="J233" s="2" t="s">
        <v>14</v>
      </c>
      <c r="K233" s="2" t="s">
        <v>14</v>
      </c>
      <c r="L233" s="2" t="s">
        <v>14</v>
      </c>
      <c r="M233" s="2" t="s">
        <v>14</v>
      </c>
      <c r="N233" s="2" t="s">
        <v>14</v>
      </c>
      <c r="O233" s="2">
        <v>1</v>
      </c>
    </row>
    <row r="234" spans="1:15" ht="15" customHeight="1" x14ac:dyDescent="0.25">
      <c r="A234" s="3">
        <v>20</v>
      </c>
      <c r="B234" s="3" t="s">
        <v>10</v>
      </c>
      <c r="C234" s="3" t="s">
        <v>19</v>
      </c>
      <c r="D234" s="2" t="s">
        <v>106</v>
      </c>
      <c r="E234" s="3">
        <v>0</v>
      </c>
      <c r="F234" s="3">
        <v>0</v>
      </c>
      <c r="G234" s="3" t="s">
        <v>10</v>
      </c>
      <c r="H234" s="3" t="s">
        <v>12</v>
      </c>
      <c r="I234" s="3">
        <v>2</v>
      </c>
      <c r="J234" s="3" t="s">
        <v>14</v>
      </c>
      <c r="K234" s="3" t="s">
        <v>14</v>
      </c>
      <c r="L234" s="3" t="s">
        <v>14</v>
      </c>
      <c r="M234" s="3" t="s">
        <v>14</v>
      </c>
      <c r="N234" s="3" t="s">
        <v>14</v>
      </c>
      <c r="O234" s="3">
        <v>1</v>
      </c>
    </row>
    <row r="235" spans="1:15" ht="15" customHeight="1" x14ac:dyDescent="0.25">
      <c r="A235" s="2">
        <v>10</v>
      </c>
      <c r="B235" s="2" t="s">
        <v>10</v>
      </c>
      <c r="C235" s="2" t="s">
        <v>19</v>
      </c>
      <c r="D235" s="2" t="s">
        <v>106</v>
      </c>
      <c r="E235" s="2">
        <v>0</v>
      </c>
      <c r="F235" s="2">
        <v>0</v>
      </c>
      <c r="G235" s="2" t="s">
        <v>10</v>
      </c>
      <c r="H235" s="2" t="s">
        <v>12</v>
      </c>
      <c r="I235" s="2">
        <v>2</v>
      </c>
      <c r="J235" s="2" t="s">
        <v>14</v>
      </c>
      <c r="K235" s="2" t="s">
        <v>14</v>
      </c>
      <c r="L235" s="2" t="s">
        <v>14</v>
      </c>
      <c r="M235" s="2" t="s">
        <v>14</v>
      </c>
      <c r="N235" s="2" t="s">
        <v>14</v>
      </c>
      <c r="O235" s="2">
        <v>1</v>
      </c>
    </row>
    <row r="236" spans="1:15" ht="15" customHeight="1" x14ac:dyDescent="0.25">
      <c r="A236" s="3">
        <v>5</v>
      </c>
      <c r="B236" s="3" t="s">
        <v>10</v>
      </c>
      <c r="C236" s="3" t="s">
        <v>19</v>
      </c>
      <c r="D236" s="2" t="s">
        <v>106</v>
      </c>
      <c r="E236" s="3">
        <v>1</v>
      </c>
      <c r="F236" s="3">
        <v>0</v>
      </c>
      <c r="G236" s="3" t="s">
        <v>10</v>
      </c>
      <c r="H236" s="3" t="s">
        <v>12</v>
      </c>
      <c r="I236" s="3">
        <v>1</v>
      </c>
      <c r="J236" s="3" t="s">
        <v>14</v>
      </c>
      <c r="K236" s="3" t="s">
        <v>14</v>
      </c>
      <c r="L236" s="3" t="s">
        <v>14</v>
      </c>
      <c r="M236" s="3" t="s">
        <v>14</v>
      </c>
      <c r="N236" s="3" t="s">
        <v>14</v>
      </c>
      <c r="O236" s="3">
        <v>1</v>
      </c>
    </row>
    <row r="237" spans="1:15" ht="15" customHeight="1" x14ac:dyDescent="0.25">
      <c r="A237" s="2">
        <v>20</v>
      </c>
      <c r="B237" s="2" t="s">
        <v>14</v>
      </c>
      <c r="C237" s="2" t="s">
        <v>11</v>
      </c>
      <c r="D237" s="2" t="s">
        <v>106</v>
      </c>
      <c r="E237" s="2">
        <v>1</v>
      </c>
      <c r="F237" s="2">
        <v>1</v>
      </c>
      <c r="G237" s="2" t="s">
        <v>10</v>
      </c>
      <c r="H237" s="2" t="s">
        <v>12</v>
      </c>
      <c r="I237" s="2">
        <v>2</v>
      </c>
      <c r="J237" s="2" t="s">
        <v>14</v>
      </c>
      <c r="K237" s="2" t="s">
        <v>14</v>
      </c>
      <c r="L237" s="2" t="s">
        <v>14</v>
      </c>
      <c r="M237" s="2" t="s">
        <v>13</v>
      </c>
      <c r="N237" s="2" t="s">
        <v>13</v>
      </c>
      <c r="O237" s="2">
        <v>0</v>
      </c>
    </row>
    <row r="238" spans="1:15" ht="15" customHeight="1" x14ac:dyDescent="0.25">
      <c r="A238" s="3">
        <v>10</v>
      </c>
      <c r="B238" s="3" t="s">
        <v>10</v>
      </c>
      <c r="C238" s="3" t="s">
        <v>20</v>
      </c>
      <c r="D238" s="2" t="s">
        <v>106</v>
      </c>
      <c r="E238" s="3">
        <v>0</v>
      </c>
      <c r="F238" s="3">
        <v>1</v>
      </c>
      <c r="G238" s="3" t="s">
        <v>10</v>
      </c>
      <c r="H238" s="3" t="s">
        <v>12</v>
      </c>
      <c r="I238" s="3">
        <v>2</v>
      </c>
      <c r="J238" s="3" t="s">
        <v>14</v>
      </c>
      <c r="K238" s="3" t="s">
        <v>13</v>
      </c>
      <c r="L238" s="3" t="s">
        <v>14</v>
      </c>
      <c r="M238" s="3" t="s">
        <v>14</v>
      </c>
      <c r="N238" s="3" t="s">
        <v>14</v>
      </c>
      <c r="O238" s="3">
        <v>1</v>
      </c>
    </row>
    <row r="239" spans="1:15" ht="15" customHeight="1" x14ac:dyDescent="0.25">
      <c r="A239" s="2">
        <v>5</v>
      </c>
      <c r="B239" s="2" t="s">
        <v>18</v>
      </c>
      <c r="C239" s="2" t="s">
        <v>20</v>
      </c>
      <c r="D239" s="2" t="s">
        <v>106</v>
      </c>
      <c r="E239" s="2">
        <v>0</v>
      </c>
      <c r="F239" s="2">
        <v>1</v>
      </c>
      <c r="G239" s="2" t="s">
        <v>10</v>
      </c>
      <c r="H239" s="2" t="s">
        <v>12</v>
      </c>
      <c r="I239" s="2">
        <v>2</v>
      </c>
      <c r="J239" s="2" t="s">
        <v>14</v>
      </c>
      <c r="K239" s="2" t="s">
        <v>14</v>
      </c>
      <c r="L239" s="2" t="s">
        <v>14</v>
      </c>
      <c r="M239" s="2" t="s">
        <v>14</v>
      </c>
      <c r="N239" s="2" t="s">
        <v>14</v>
      </c>
      <c r="O239" s="2">
        <v>0</v>
      </c>
    </row>
    <row r="240" spans="1:15" ht="15" customHeight="1" x14ac:dyDescent="0.25">
      <c r="A240" s="3">
        <v>10</v>
      </c>
      <c r="B240" s="3" t="s">
        <v>10</v>
      </c>
      <c r="C240" s="3" t="s">
        <v>20</v>
      </c>
      <c r="D240" s="2" t="s">
        <v>106</v>
      </c>
      <c r="E240" s="3">
        <v>0</v>
      </c>
      <c r="F240" s="3">
        <v>1</v>
      </c>
      <c r="G240" s="3" t="s">
        <v>10</v>
      </c>
      <c r="H240" s="3" t="s">
        <v>12</v>
      </c>
      <c r="I240" s="3">
        <v>2</v>
      </c>
      <c r="J240" s="3" t="s">
        <v>14</v>
      </c>
      <c r="K240" s="3" t="s">
        <v>14</v>
      </c>
      <c r="L240" s="3" t="s">
        <v>14</v>
      </c>
      <c r="M240" s="3" t="s">
        <v>14</v>
      </c>
      <c r="N240" s="3" t="s">
        <v>14</v>
      </c>
      <c r="O240" s="3">
        <v>1</v>
      </c>
    </row>
    <row r="241" spans="1:15" ht="15" customHeight="1" x14ac:dyDescent="0.25">
      <c r="A241" s="2">
        <v>10</v>
      </c>
      <c r="B241" s="2" t="s">
        <v>18</v>
      </c>
      <c r="C241" s="2" t="s">
        <v>20</v>
      </c>
      <c r="D241" s="2" t="s">
        <v>106</v>
      </c>
      <c r="E241" s="2">
        <v>2</v>
      </c>
      <c r="F241" s="2">
        <v>1</v>
      </c>
      <c r="G241" s="2" t="s">
        <v>10</v>
      </c>
      <c r="H241" s="2" t="s">
        <v>12</v>
      </c>
      <c r="I241" s="2">
        <v>2</v>
      </c>
      <c r="J241" s="2" t="s">
        <v>14</v>
      </c>
      <c r="K241" s="2" t="s">
        <v>14</v>
      </c>
      <c r="L241" s="2" t="s">
        <v>14</v>
      </c>
      <c r="M241" s="2" t="s">
        <v>13</v>
      </c>
      <c r="N241" s="2" t="s">
        <v>14</v>
      </c>
      <c r="O241" s="2">
        <v>1</v>
      </c>
    </row>
    <row r="242" spans="1:15" ht="15" customHeight="1" x14ac:dyDescent="0.25">
      <c r="A242" s="3">
        <v>10</v>
      </c>
      <c r="B242" s="3" t="s">
        <v>10</v>
      </c>
      <c r="C242" s="3" t="s">
        <v>20</v>
      </c>
      <c r="D242" s="2" t="s">
        <v>106</v>
      </c>
      <c r="E242" s="3">
        <v>0</v>
      </c>
      <c r="F242" s="3">
        <v>0</v>
      </c>
      <c r="G242" s="3" t="s">
        <v>10</v>
      </c>
      <c r="H242" s="3" t="s">
        <v>12</v>
      </c>
      <c r="I242" s="3">
        <v>2</v>
      </c>
      <c r="J242" s="3" t="s">
        <v>14</v>
      </c>
      <c r="K242" s="3" t="s">
        <v>14</v>
      </c>
      <c r="L242" s="3" t="s">
        <v>14</v>
      </c>
      <c r="M242" s="3" t="s">
        <v>14</v>
      </c>
      <c r="N242" s="3" t="s">
        <v>14</v>
      </c>
      <c r="O242" s="3">
        <v>1</v>
      </c>
    </row>
    <row r="243" spans="1:15" ht="15" customHeight="1" x14ac:dyDescent="0.25">
      <c r="A243" s="2">
        <v>10</v>
      </c>
      <c r="B243" s="2" t="s">
        <v>10</v>
      </c>
      <c r="C243" s="2" t="s">
        <v>19</v>
      </c>
      <c r="D243" s="2" t="s">
        <v>106</v>
      </c>
      <c r="E243" s="2">
        <v>1</v>
      </c>
      <c r="F243" s="2">
        <v>0</v>
      </c>
      <c r="G243" s="2" t="s">
        <v>10</v>
      </c>
      <c r="H243" s="2" t="s">
        <v>16</v>
      </c>
      <c r="I243" s="2">
        <v>1</v>
      </c>
      <c r="J243" s="2" t="s">
        <v>14</v>
      </c>
      <c r="K243" s="2" t="s">
        <v>14</v>
      </c>
      <c r="L243" s="2" t="s">
        <v>14</v>
      </c>
      <c r="M243" s="2" t="s">
        <v>14</v>
      </c>
      <c r="N243" s="2" t="s">
        <v>14</v>
      </c>
      <c r="O243" s="2">
        <v>0</v>
      </c>
    </row>
    <row r="244" spans="1:15" ht="15" customHeight="1" x14ac:dyDescent="0.25">
      <c r="A244" s="3">
        <v>10</v>
      </c>
      <c r="B244" s="3" t="s">
        <v>10</v>
      </c>
      <c r="C244" s="3" t="s">
        <v>11</v>
      </c>
      <c r="D244" s="2" t="s">
        <v>106</v>
      </c>
      <c r="E244" s="3">
        <v>1</v>
      </c>
      <c r="F244" s="3">
        <v>0</v>
      </c>
      <c r="G244" s="3" t="s">
        <v>10</v>
      </c>
      <c r="H244" s="3" t="s">
        <v>12</v>
      </c>
      <c r="I244" s="3">
        <v>1</v>
      </c>
      <c r="J244" s="3" t="s">
        <v>14</v>
      </c>
      <c r="K244" s="3" t="s">
        <v>13</v>
      </c>
      <c r="L244" s="3" t="s">
        <v>13</v>
      </c>
      <c r="M244" s="3" t="s">
        <v>14</v>
      </c>
      <c r="N244" s="3" t="s">
        <v>14</v>
      </c>
      <c r="O244" s="3">
        <v>1</v>
      </c>
    </row>
    <row r="245" spans="1:15" ht="15" customHeight="1" x14ac:dyDescent="0.25">
      <c r="A245" s="2">
        <v>0</v>
      </c>
      <c r="B245" s="2" t="s">
        <v>18</v>
      </c>
      <c r="C245" s="2" t="s">
        <v>11</v>
      </c>
      <c r="D245" s="2" t="s">
        <v>106</v>
      </c>
      <c r="E245" s="2">
        <v>0</v>
      </c>
      <c r="F245" s="2">
        <v>0</v>
      </c>
      <c r="G245" s="2" t="s">
        <v>10</v>
      </c>
      <c r="H245" s="2" t="s">
        <v>12</v>
      </c>
      <c r="I245" s="2">
        <v>2</v>
      </c>
      <c r="J245" s="2" t="s">
        <v>14</v>
      </c>
      <c r="K245" s="2" t="s">
        <v>14</v>
      </c>
      <c r="L245" s="2" t="s">
        <v>14</v>
      </c>
      <c r="M245" s="2" t="s">
        <v>14</v>
      </c>
      <c r="N245" s="2" t="s">
        <v>14</v>
      </c>
      <c r="O245" s="2">
        <v>1</v>
      </c>
    </row>
    <row r="246" spans="1:15" ht="15" customHeight="1" x14ac:dyDescent="0.25">
      <c r="A246" s="3">
        <v>10</v>
      </c>
      <c r="B246" s="3" t="s">
        <v>14</v>
      </c>
      <c r="C246" s="3" t="s">
        <v>11</v>
      </c>
      <c r="D246" s="2" t="s">
        <v>106</v>
      </c>
      <c r="E246" s="3">
        <v>0</v>
      </c>
      <c r="F246" s="3">
        <v>0</v>
      </c>
      <c r="G246" s="3" t="s">
        <v>10</v>
      </c>
      <c r="H246" s="3" t="s">
        <v>12</v>
      </c>
      <c r="I246" s="3">
        <v>2</v>
      </c>
      <c r="J246" s="3" t="s">
        <v>14</v>
      </c>
      <c r="K246" s="3" t="s">
        <v>14</v>
      </c>
      <c r="L246" s="3" t="s">
        <v>14</v>
      </c>
      <c r="M246" s="3" t="s">
        <v>14</v>
      </c>
      <c r="N246" s="3" t="s">
        <v>14</v>
      </c>
      <c r="O246" s="3">
        <v>1</v>
      </c>
    </row>
    <row r="247" spans="1:15" ht="15" customHeight="1" x14ac:dyDescent="0.25">
      <c r="A247" s="2">
        <v>10</v>
      </c>
      <c r="B247" s="2" t="s">
        <v>10</v>
      </c>
      <c r="C247" s="2" t="s">
        <v>11</v>
      </c>
      <c r="D247" s="2" t="s">
        <v>106</v>
      </c>
      <c r="E247" s="2">
        <v>1</v>
      </c>
      <c r="F247" s="2">
        <v>0</v>
      </c>
      <c r="G247" s="2" t="s">
        <v>10</v>
      </c>
      <c r="H247" s="2" t="s">
        <v>12</v>
      </c>
      <c r="I247" s="2">
        <v>2</v>
      </c>
      <c r="J247" s="2" t="s">
        <v>14</v>
      </c>
      <c r="K247" s="2" t="s">
        <v>14</v>
      </c>
      <c r="L247" s="2" t="s">
        <v>14</v>
      </c>
      <c r="M247" s="2" t="s">
        <v>14</v>
      </c>
      <c r="N247" s="2" t="s">
        <v>13</v>
      </c>
      <c r="O247" s="2">
        <v>1</v>
      </c>
    </row>
    <row r="248" spans="1:15" ht="15" customHeight="1" x14ac:dyDescent="0.25">
      <c r="A248" s="3">
        <v>10</v>
      </c>
      <c r="B248" s="3" t="s">
        <v>14</v>
      </c>
      <c r="C248" s="3" t="s">
        <v>20</v>
      </c>
      <c r="D248" s="2" t="s">
        <v>106</v>
      </c>
      <c r="E248" s="3">
        <v>0</v>
      </c>
      <c r="F248" s="3">
        <v>0</v>
      </c>
      <c r="G248" s="3" t="s">
        <v>17</v>
      </c>
      <c r="H248" s="3" t="s">
        <v>106</v>
      </c>
      <c r="I248" s="3">
        <v>1</v>
      </c>
      <c r="J248" s="3" t="s">
        <v>14</v>
      </c>
      <c r="K248" s="3" t="s">
        <v>13</v>
      </c>
      <c r="L248" s="3" t="s">
        <v>13</v>
      </c>
      <c r="M248" s="3" t="s">
        <v>13</v>
      </c>
      <c r="N248" s="3" t="s">
        <v>14</v>
      </c>
      <c r="O248" s="3">
        <v>0</v>
      </c>
    </row>
    <row r="249" spans="1:15" ht="15" customHeight="1" x14ac:dyDescent="0.25">
      <c r="A249" s="2">
        <v>10</v>
      </c>
      <c r="B249" s="2" t="s">
        <v>14</v>
      </c>
      <c r="C249" s="2" t="s">
        <v>11</v>
      </c>
      <c r="D249" s="2" t="s">
        <v>106</v>
      </c>
      <c r="E249" s="2">
        <v>2</v>
      </c>
      <c r="F249" s="2">
        <v>0</v>
      </c>
      <c r="G249" s="2" t="s">
        <v>10</v>
      </c>
      <c r="H249" s="2" t="s">
        <v>12</v>
      </c>
      <c r="I249" s="2">
        <v>1</v>
      </c>
      <c r="J249" s="2" t="s">
        <v>14</v>
      </c>
      <c r="K249" s="2" t="s">
        <v>13</v>
      </c>
      <c r="L249" s="2" t="s">
        <v>13</v>
      </c>
      <c r="M249" s="2" t="s">
        <v>13</v>
      </c>
      <c r="N249" s="2" t="s">
        <v>13</v>
      </c>
      <c r="O249" s="2">
        <v>0</v>
      </c>
    </row>
    <row r="250" spans="1:15" ht="15" customHeight="1" x14ac:dyDescent="0.25">
      <c r="A250" s="3">
        <v>10</v>
      </c>
      <c r="B250" s="3" t="s">
        <v>18</v>
      </c>
      <c r="C250" s="3" t="s">
        <v>11</v>
      </c>
      <c r="D250" s="2" t="s">
        <v>106</v>
      </c>
      <c r="E250" s="3">
        <v>0</v>
      </c>
      <c r="F250" s="3">
        <v>0</v>
      </c>
      <c r="G250" s="3" t="s">
        <v>10</v>
      </c>
      <c r="H250" s="3" t="s">
        <v>12</v>
      </c>
      <c r="I250" s="3" t="s">
        <v>15</v>
      </c>
      <c r="J250" s="3" t="s">
        <v>14</v>
      </c>
      <c r="K250" s="3" t="s">
        <v>14</v>
      </c>
      <c r="L250" s="3" t="s">
        <v>14</v>
      </c>
      <c r="M250" s="3" t="s">
        <v>14</v>
      </c>
      <c r="N250" s="3" t="s">
        <v>14</v>
      </c>
      <c r="O250" s="3">
        <v>1</v>
      </c>
    </row>
    <row r="251" spans="1:15" ht="15" customHeight="1" x14ac:dyDescent="0.25">
      <c r="A251" s="2">
        <v>5</v>
      </c>
      <c r="B251" s="2" t="s">
        <v>10</v>
      </c>
      <c r="C251" s="2" t="s">
        <v>11</v>
      </c>
      <c r="D251" s="2" t="s">
        <v>106</v>
      </c>
      <c r="E251" s="2">
        <v>0</v>
      </c>
      <c r="F251" s="2">
        <v>0</v>
      </c>
      <c r="G251" s="2" t="s">
        <v>10</v>
      </c>
      <c r="H251" s="2" t="s">
        <v>12</v>
      </c>
      <c r="I251" s="2">
        <v>1</v>
      </c>
      <c r="J251" s="2" t="s">
        <v>14</v>
      </c>
      <c r="K251" s="2" t="s">
        <v>14</v>
      </c>
      <c r="L251" s="2" t="s">
        <v>14</v>
      </c>
      <c r="M251" s="2" t="s">
        <v>14</v>
      </c>
      <c r="N251" s="2" t="s">
        <v>14</v>
      </c>
      <c r="O251" s="2">
        <v>1</v>
      </c>
    </row>
    <row r="252" spans="1:15" ht="15" customHeight="1" x14ac:dyDescent="0.25">
      <c r="A252" s="3">
        <v>10</v>
      </c>
      <c r="B252" s="3" t="s">
        <v>18</v>
      </c>
      <c r="C252" s="3" t="s">
        <v>11</v>
      </c>
      <c r="D252" s="2" t="s">
        <v>106</v>
      </c>
      <c r="E252" s="3">
        <v>0</v>
      </c>
      <c r="F252" s="3">
        <v>0</v>
      </c>
      <c r="G252" s="3" t="s">
        <v>10</v>
      </c>
      <c r="H252" s="3" t="s">
        <v>12</v>
      </c>
      <c r="I252" s="3" t="s">
        <v>15</v>
      </c>
      <c r="J252" s="3" t="s">
        <v>14</v>
      </c>
      <c r="K252" s="3" t="s">
        <v>14</v>
      </c>
      <c r="L252" s="3" t="s">
        <v>14</v>
      </c>
      <c r="M252" s="3" t="s">
        <v>14</v>
      </c>
      <c r="N252" s="3" t="s">
        <v>14</v>
      </c>
      <c r="O252" s="3">
        <v>1</v>
      </c>
    </row>
    <row r="253" spans="1:15" ht="15" customHeight="1" x14ac:dyDescent="0.25">
      <c r="A253" s="2">
        <v>10</v>
      </c>
      <c r="B253" s="2" t="s">
        <v>10</v>
      </c>
      <c r="C253" s="2" t="s">
        <v>11</v>
      </c>
      <c r="D253" s="2" t="s">
        <v>106</v>
      </c>
      <c r="E253" s="2">
        <v>1</v>
      </c>
      <c r="F253" s="2">
        <v>1</v>
      </c>
      <c r="G253" s="2" t="s">
        <v>10</v>
      </c>
      <c r="H253" s="2" t="s">
        <v>12</v>
      </c>
      <c r="I253" s="2">
        <v>2</v>
      </c>
      <c r="J253" s="2" t="s">
        <v>13</v>
      </c>
      <c r="K253" s="2" t="s">
        <v>14</v>
      </c>
      <c r="L253" s="2" t="s">
        <v>14</v>
      </c>
      <c r="M253" s="2" t="s">
        <v>14</v>
      </c>
      <c r="N253" s="2" t="s">
        <v>14</v>
      </c>
      <c r="O253" s="2">
        <v>0</v>
      </c>
    </row>
    <row r="254" spans="1:15" ht="15" customHeight="1" x14ac:dyDescent="0.25">
      <c r="A254" s="3">
        <v>5</v>
      </c>
      <c r="B254" s="3" t="s">
        <v>14</v>
      </c>
      <c r="C254" s="3" t="s">
        <v>20</v>
      </c>
      <c r="D254" s="2" t="s">
        <v>106</v>
      </c>
      <c r="E254" s="3">
        <v>0</v>
      </c>
      <c r="F254" s="3">
        <v>0</v>
      </c>
      <c r="G254" s="3" t="s">
        <v>10</v>
      </c>
      <c r="H254" s="3" t="s">
        <v>12</v>
      </c>
      <c r="I254" s="3">
        <v>2</v>
      </c>
      <c r="J254" s="3" t="s">
        <v>14</v>
      </c>
      <c r="K254" s="3" t="s">
        <v>14</v>
      </c>
      <c r="L254" s="3" t="s">
        <v>14</v>
      </c>
      <c r="M254" s="3" t="s">
        <v>14</v>
      </c>
      <c r="N254" s="3" t="s">
        <v>14</v>
      </c>
      <c r="O254" s="3">
        <v>1</v>
      </c>
    </row>
    <row r="255" spans="1:15" ht="15" customHeight="1" x14ac:dyDescent="0.25">
      <c r="A255" s="2">
        <v>5</v>
      </c>
      <c r="B255" s="2" t="s">
        <v>10</v>
      </c>
      <c r="C255" s="2" t="s">
        <v>20</v>
      </c>
      <c r="D255" s="2" t="s">
        <v>106</v>
      </c>
      <c r="E255" s="2">
        <v>0</v>
      </c>
      <c r="F255" s="2">
        <v>1</v>
      </c>
      <c r="G255" s="2" t="s">
        <v>10</v>
      </c>
      <c r="H255" s="2" t="s">
        <v>16</v>
      </c>
      <c r="I255" s="2">
        <v>2</v>
      </c>
      <c r="J255" s="2" t="s">
        <v>14</v>
      </c>
      <c r="K255" s="2" t="s">
        <v>14</v>
      </c>
      <c r="L255" s="2" t="s">
        <v>14</v>
      </c>
      <c r="M255" s="2" t="s">
        <v>14</v>
      </c>
      <c r="N255" s="2" t="s">
        <v>14</v>
      </c>
      <c r="O255" s="2">
        <v>1</v>
      </c>
    </row>
    <row r="256" spans="1:15" ht="15" customHeight="1" x14ac:dyDescent="0.25">
      <c r="A256" s="3">
        <v>20</v>
      </c>
      <c r="B256" s="3" t="s">
        <v>14</v>
      </c>
      <c r="C256" s="3" t="s">
        <v>20</v>
      </c>
      <c r="D256" s="2" t="s">
        <v>106</v>
      </c>
      <c r="E256" s="3">
        <v>0</v>
      </c>
      <c r="F256" s="3">
        <v>1</v>
      </c>
      <c r="G256" s="3" t="s">
        <v>10</v>
      </c>
      <c r="H256" s="3" t="s">
        <v>12</v>
      </c>
      <c r="I256" s="3">
        <v>1</v>
      </c>
      <c r="J256" s="3" t="s">
        <v>14</v>
      </c>
      <c r="K256" s="3" t="s">
        <v>14</v>
      </c>
      <c r="L256" s="3" t="s">
        <v>14</v>
      </c>
      <c r="M256" s="3" t="s">
        <v>14</v>
      </c>
      <c r="N256" s="3" t="s">
        <v>13</v>
      </c>
      <c r="O256" s="3">
        <v>1</v>
      </c>
    </row>
    <row r="257" spans="1:15" ht="15" customHeight="1" x14ac:dyDescent="0.25">
      <c r="A257" s="2">
        <v>20</v>
      </c>
      <c r="B257" s="2" t="s">
        <v>10</v>
      </c>
      <c r="C257" s="2" t="s">
        <v>19</v>
      </c>
      <c r="D257" s="2" t="s">
        <v>106</v>
      </c>
      <c r="E257" s="2">
        <v>0</v>
      </c>
      <c r="F257" s="2">
        <v>1</v>
      </c>
      <c r="G257" s="2" t="s">
        <v>10</v>
      </c>
      <c r="H257" s="2" t="s">
        <v>12</v>
      </c>
      <c r="I257" s="2">
        <v>2</v>
      </c>
      <c r="J257" s="2" t="s">
        <v>14</v>
      </c>
      <c r="K257" s="2" t="s">
        <v>14</v>
      </c>
      <c r="L257" s="2" t="s">
        <v>14</v>
      </c>
      <c r="M257" s="2" t="s">
        <v>14</v>
      </c>
      <c r="N257" s="2" t="s">
        <v>14</v>
      </c>
      <c r="O257" s="2">
        <v>0</v>
      </c>
    </row>
    <row r="258" spans="1:15" ht="15" customHeight="1" x14ac:dyDescent="0.25">
      <c r="A258" s="3">
        <v>10</v>
      </c>
      <c r="B258" s="3" t="s">
        <v>10</v>
      </c>
      <c r="C258" s="3" t="s">
        <v>11</v>
      </c>
      <c r="D258" s="2" t="s">
        <v>106</v>
      </c>
      <c r="E258" s="3">
        <v>1</v>
      </c>
      <c r="F258" s="3">
        <v>0</v>
      </c>
      <c r="G258" s="3" t="s">
        <v>10</v>
      </c>
      <c r="H258" s="3" t="s">
        <v>12</v>
      </c>
      <c r="I258" s="3">
        <v>1</v>
      </c>
      <c r="J258" s="3" t="s">
        <v>14</v>
      </c>
      <c r="K258" s="3" t="s">
        <v>14</v>
      </c>
      <c r="L258" s="3" t="s">
        <v>14</v>
      </c>
      <c r="M258" s="3" t="s">
        <v>14</v>
      </c>
      <c r="N258" s="3" t="s">
        <v>14</v>
      </c>
      <c r="O258" s="3">
        <v>0</v>
      </c>
    </row>
    <row r="259" spans="1:15" ht="15" customHeight="1" x14ac:dyDescent="0.25">
      <c r="A259" s="2">
        <v>10</v>
      </c>
      <c r="B259" s="2" t="s">
        <v>14</v>
      </c>
      <c r="C259" s="2" t="s">
        <v>20</v>
      </c>
      <c r="D259" s="2" t="s">
        <v>106</v>
      </c>
      <c r="E259" s="2">
        <v>0</v>
      </c>
      <c r="F259" s="2">
        <v>0</v>
      </c>
      <c r="G259" s="2" t="s">
        <v>10</v>
      </c>
      <c r="H259" s="2" t="s">
        <v>12</v>
      </c>
      <c r="I259" s="2">
        <v>2</v>
      </c>
      <c r="J259" s="2" t="s">
        <v>14</v>
      </c>
      <c r="K259" s="2" t="s">
        <v>14</v>
      </c>
      <c r="L259" s="2" t="s">
        <v>14</v>
      </c>
      <c r="M259" s="2" t="s">
        <v>14</v>
      </c>
      <c r="N259" s="2" t="s">
        <v>14</v>
      </c>
      <c r="O259" s="2">
        <v>1</v>
      </c>
    </row>
    <row r="260" spans="1:15" ht="15" customHeight="1" x14ac:dyDescent="0.25">
      <c r="A260" s="3">
        <v>10</v>
      </c>
      <c r="B260" s="3" t="s">
        <v>14</v>
      </c>
      <c r="C260" s="3" t="s">
        <v>20</v>
      </c>
      <c r="D260" s="2" t="s">
        <v>106</v>
      </c>
      <c r="E260" s="3">
        <v>0</v>
      </c>
      <c r="F260" s="3">
        <v>0</v>
      </c>
      <c r="G260" s="3" t="s">
        <v>10</v>
      </c>
      <c r="H260" s="3" t="s">
        <v>12</v>
      </c>
      <c r="I260" s="3">
        <v>2</v>
      </c>
      <c r="J260" s="3" t="s">
        <v>14</v>
      </c>
      <c r="K260" s="3" t="s">
        <v>14</v>
      </c>
      <c r="L260" s="3" t="s">
        <v>14</v>
      </c>
      <c r="M260" s="3" t="s">
        <v>14</v>
      </c>
      <c r="N260" s="3" t="s">
        <v>14</v>
      </c>
      <c r="O260" s="3">
        <v>1</v>
      </c>
    </row>
    <row r="261" spans="1:15" ht="15" customHeight="1" x14ac:dyDescent="0.25">
      <c r="A261" s="2">
        <v>10</v>
      </c>
      <c r="B261" s="2" t="s">
        <v>10</v>
      </c>
      <c r="C261" s="2" t="s">
        <v>19</v>
      </c>
      <c r="D261" s="2" t="s">
        <v>106</v>
      </c>
      <c r="E261" s="2">
        <v>1</v>
      </c>
      <c r="F261" s="2">
        <v>0</v>
      </c>
      <c r="G261" s="2" t="s">
        <v>10</v>
      </c>
      <c r="H261" s="2" t="s">
        <v>12</v>
      </c>
      <c r="I261" s="2">
        <v>2</v>
      </c>
      <c r="J261" s="2" t="s">
        <v>14</v>
      </c>
      <c r="K261" s="2" t="s">
        <v>14</v>
      </c>
      <c r="L261" s="2" t="s">
        <v>14</v>
      </c>
      <c r="M261" s="2" t="s">
        <v>14</v>
      </c>
      <c r="N261" s="2" t="s">
        <v>14</v>
      </c>
      <c r="O261" s="2">
        <v>0</v>
      </c>
    </row>
    <row r="262" spans="1:15" ht="15" customHeight="1" x14ac:dyDescent="0.25">
      <c r="A262" s="3">
        <v>5</v>
      </c>
      <c r="B262" s="3" t="s">
        <v>10</v>
      </c>
      <c r="C262" s="3" t="s">
        <v>11</v>
      </c>
      <c r="D262" s="2" t="s">
        <v>106</v>
      </c>
      <c r="E262" s="3">
        <v>0</v>
      </c>
      <c r="F262" s="3">
        <v>1</v>
      </c>
      <c r="G262" s="3" t="s">
        <v>10</v>
      </c>
      <c r="H262" s="3" t="s">
        <v>12</v>
      </c>
      <c r="I262" s="3" t="s">
        <v>15</v>
      </c>
      <c r="J262" s="3" t="s">
        <v>13</v>
      </c>
      <c r="K262" s="3" t="s">
        <v>14</v>
      </c>
      <c r="L262" s="3" t="s">
        <v>14</v>
      </c>
      <c r="M262" s="3" t="s">
        <v>14</v>
      </c>
      <c r="N262" s="3" t="s">
        <v>14</v>
      </c>
      <c r="O262" s="3">
        <v>1</v>
      </c>
    </row>
    <row r="263" spans="1:15" ht="15" customHeight="1" x14ac:dyDescent="0.25">
      <c r="A263" s="2">
        <v>20</v>
      </c>
      <c r="B263" s="2" t="s">
        <v>14</v>
      </c>
      <c r="C263" s="2" t="s">
        <v>11</v>
      </c>
      <c r="D263" s="2" t="s">
        <v>106</v>
      </c>
      <c r="E263" s="2">
        <v>1</v>
      </c>
      <c r="F263" s="2">
        <v>0</v>
      </c>
      <c r="G263" s="2" t="s">
        <v>10</v>
      </c>
      <c r="H263" s="2" t="s">
        <v>12</v>
      </c>
      <c r="I263" s="2">
        <v>1</v>
      </c>
      <c r="J263" s="2" t="s">
        <v>14</v>
      </c>
      <c r="K263" s="2" t="s">
        <v>14</v>
      </c>
      <c r="L263" s="2" t="s">
        <v>14</v>
      </c>
      <c r="M263" s="2" t="s">
        <v>13</v>
      </c>
      <c r="N263" s="2" t="s">
        <v>13</v>
      </c>
      <c r="O263" s="2">
        <v>0</v>
      </c>
    </row>
    <row r="264" spans="1:15" ht="15" customHeight="1" x14ac:dyDescent="0.25">
      <c r="A264" s="3">
        <v>10</v>
      </c>
      <c r="B264" s="3" t="s">
        <v>10</v>
      </c>
      <c r="C264" s="3" t="s">
        <v>19</v>
      </c>
      <c r="D264" s="2" t="s">
        <v>106</v>
      </c>
      <c r="E264" s="3">
        <v>1</v>
      </c>
      <c r="F264" s="3">
        <v>0</v>
      </c>
      <c r="G264" s="3" t="s">
        <v>10</v>
      </c>
      <c r="H264" s="3" t="s">
        <v>12</v>
      </c>
      <c r="I264" s="3">
        <v>1</v>
      </c>
      <c r="J264" s="3" t="s">
        <v>14</v>
      </c>
      <c r="K264" s="3" t="s">
        <v>13</v>
      </c>
      <c r="L264" s="3" t="s">
        <v>13</v>
      </c>
      <c r="M264" s="3" t="s">
        <v>13</v>
      </c>
      <c r="N264" s="3" t="s">
        <v>14</v>
      </c>
      <c r="O264" s="3">
        <v>0</v>
      </c>
    </row>
    <row r="265" spans="1:15" ht="15" customHeight="1" x14ac:dyDescent="0.25">
      <c r="A265" s="2">
        <v>0</v>
      </c>
      <c r="B265" s="2" t="s">
        <v>18</v>
      </c>
      <c r="C265" s="2" t="s">
        <v>11</v>
      </c>
      <c r="D265" s="2" t="s">
        <v>106</v>
      </c>
      <c r="E265" s="2">
        <v>1</v>
      </c>
      <c r="F265" s="2">
        <v>0</v>
      </c>
      <c r="G265" s="2" t="s">
        <v>10</v>
      </c>
      <c r="H265" s="2" t="s">
        <v>12</v>
      </c>
      <c r="I265" s="2">
        <v>1</v>
      </c>
      <c r="J265" s="2" t="s">
        <v>14</v>
      </c>
      <c r="K265" s="2" t="s">
        <v>14</v>
      </c>
      <c r="L265" s="2" t="s">
        <v>14</v>
      </c>
      <c r="M265" s="2" t="s">
        <v>14</v>
      </c>
      <c r="N265" s="2" t="s">
        <v>14</v>
      </c>
      <c r="O265" s="2">
        <v>0</v>
      </c>
    </row>
    <row r="266" spans="1:15" ht="15" customHeight="1" x14ac:dyDescent="0.25">
      <c r="A266" s="3">
        <v>10</v>
      </c>
      <c r="B266" s="3" t="s">
        <v>14</v>
      </c>
      <c r="C266" s="3" t="s">
        <v>20</v>
      </c>
      <c r="D266" s="2" t="s">
        <v>106</v>
      </c>
      <c r="E266" s="3">
        <v>0</v>
      </c>
      <c r="F266" s="3">
        <v>0</v>
      </c>
      <c r="G266" s="3" t="s">
        <v>10</v>
      </c>
      <c r="H266" s="3" t="s">
        <v>12</v>
      </c>
      <c r="I266" s="3">
        <v>1</v>
      </c>
      <c r="J266" s="3" t="s">
        <v>14</v>
      </c>
      <c r="K266" s="3" t="s">
        <v>14</v>
      </c>
      <c r="L266" s="3" t="s">
        <v>14</v>
      </c>
      <c r="M266" s="3" t="s">
        <v>14</v>
      </c>
      <c r="N266" s="3" t="s">
        <v>14</v>
      </c>
      <c r="O266" s="3">
        <v>1</v>
      </c>
    </row>
    <row r="267" spans="1:15" ht="15" customHeight="1" x14ac:dyDescent="0.25">
      <c r="A267" s="2">
        <v>30</v>
      </c>
      <c r="B267" s="2" t="s">
        <v>10</v>
      </c>
      <c r="C267" s="2" t="s">
        <v>19</v>
      </c>
      <c r="D267" s="2" t="s">
        <v>106</v>
      </c>
      <c r="E267" s="2">
        <v>1</v>
      </c>
      <c r="F267" s="2">
        <v>0</v>
      </c>
      <c r="G267" s="2" t="s">
        <v>10</v>
      </c>
      <c r="H267" s="2" t="s">
        <v>12</v>
      </c>
      <c r="I267" s="2">
        <v>1</v>
      </c>
      <c r="J267" s="2" t="s">
        <v>14</v>
      </c>
      <c r="K267" s="2" t="s">
        <v>14</v>
      </c>
      <c r="L267" s="2" t="s">
        <v>14</v>
      </c>
      <c r="M267" s="2" t="s">
        <v>13</v>
      </c>
      <c r="N267" s="2" t="s">
        <v>14</v>
      </c>
      <c r="O267" s="2">
        <v>0</v>
      </c>
    </row>
    <row r="268" spans="1:15" ht="15" customHeight="1" x14ac:dyDescent="0.25">
      <c r="A268" s="3">
        <v>20</v>
      </c>
      <c r="B268" s="3" t="s">
        <v>18</v>
      </c>
      <c r="C268" s="3" t="s">
        <v>20</v>
      </c>
      <c r="D268" s="2" t="s">
        <v>106</v>
      </c>
      <c r="E268" s="3">
        <v>0</v>
      </c>
      <c r="F268" s="3">
        <v>1</v>
      </c>
      <c r="G268" s="3" t="s">
        <v>10</v>
      </c>
      <c r="H268" s="3" t="s">
        <v>16</v>
      </c>
      <c r="I268" s="3">
        <v>1</v>
      </c>
      <c r="J268" s="3" t="s">
        <v>14</v>
      </c>
      <c r="K268" s="3" t="s">
        <v>13</v>
      </c>
      <c r="L268" s="3" t="s">
        <v>13</v>
      </c>
      <c r="M268" s="3" t="s">
        <v>14</v>
      </c>
      <c r="N268" s="3" t="s">
        <v>14</v>
      </c>
      <c r="O268" s="3">
        <v>1</v>
      </c>
    </row>
    <row r="269" spans="1:15" ht="15" customHeight="1" x14ac:dyDescent="0.25">
      <c r="A269" s="2">
        <v>10</v>
      </c>
      <c r="B269" s="2" t="s">
        <v>14</v>
      </c>
      <c r="C269" s="2" t="s">
        <v>20</v>
      </c>
      <c r="D269" s="2" t="s">
        <v>106</v>
      </c>
      <c r="E269" s="2">
        <v>0</v>
      </c>
      <c r="F269" s="2">
        <v>0</v>
      </c>
      <c r="G269" s="2" t="s">
        <v>10</v>
      </c>
      <c r="H269" s="2" t="s">
        <v>12</v>
      </c>
      <c r="I269" s="2" t="s">
        <v>15</v>
      </c>
      <c r="J269" s="2" t="s">
        <v>14</v>
      </c>
      <c r="K269" s="2" t="s">
        <v>14</v>
      </c>
      <c r="L269" s="2" t="s">
        <v>14</v>
      </c>
      <c r="M269" s="2" t="s">
        <v>14</v>
      </c>
      <c r="N269" s="2" t="s">
        <v>14</v>
      </c>
      <c r="O269" s="2">
        <v>1</v>
      </c>
    </row>
    <row r="270" spans="1:15" ht="15" customHeight="1" x14ac:dyDescent="0.25">
      <c r="A270" s="3">
        <v>30</v>
      </c>
      <c r="B270" s="3" t="s">
        <v>10</v>
      </c>
      <c r="C270" s="3" t="s">
        <v>19</v>
      </c>
      <c r="D270" s="2" t="s">
        <v>106</v>
      </c>
      <c r="E270" s="3">
        <v>0</v>
      </c>
      <c r="F270" s="3">
        <v>1</v>
      </c>
      <c r="G270" s="3" t="s">
        <v>10</v>
      </c>
      <c r="H270" s="3" t="s">
        <v>12</v>
      </c>
      <c r="I270" s="3">
        <v>1</v>
      </c>
      <c r="J270" s="3" t="s">
        <v>14</v>
      </c>
      <c r="K270" s="3" t="s">
        <v>14</v>
      </c>
      <c r="L270" s="3" t="s">
        <v>14</v>
      </c>
      <c r="M270" s="3" t="s">
        <v>13</v>
      </c>
      <c r="N270" s="3" t="s">
        <v>14</v>
      </c>
      <c r="O270" s="3">
        <v>1</v>
      </c>
    </row>
    <row r="271" spans="1:15" ht="15" customHeight="1" x14ac:dyDescent="0.25">
      <c r="A271" s="2">
        <v>5</v>
      </c>
      <c r="B271" s="2" t="s">
        <v>18</v>
      </c>
      <c r="C271" s="2" t="s">
        <v>19</v>
      </c>
      <c r="D271" s="2" t="s">
        <v>106</v>
      </c>
      <c r="E271" s="2">
        <v>1</v>
      </c>
      <c r="F271" s="2">
        <v>0</v>
      </c>
      <c r="G271" s="2" t="s">
        <v>10</v>
      </c>
      <c r="H271" s="2" t="s">
        <v>12</v>
      </c>
      <c r="I271" s="2">
        <v>1</v>
      </c>
      <c r="J271" s="2" t="s">
        <v>14</v>
      </c>
      <c r="K271" s="2" t="s">
        <v>13</v>
      </c>
      <c r="L271" s="2" t="s">
        <v>14</v>
      </c>
      <c r="M271" s="2" t="s">
        <v>14</v>
      </c>
      <c r="N271" s="2" t="s">
        <v>14</v>
      </c>
      <c r="O271" s="2">
        <v>1</v>
      </c>
    </row>
    <row r="272" spans="1:15" ht="15" customHeight="1" x14ac:dyDescent="0.25">
      <c r="A272" s="3">
        <v>0</v>
      </c>
      <c r="B272" s="3" t="s">
        <v>10</v>
      </c>
      <c r="C272" s="3" t="s">
        <v>19</v>
      </c>
      <c r="D272" s="2" t="s">
        <v>106</v>
      </c>
      <c r="E272" s="3">
        <v>0</v>
      </c>
      <c r="F272" s="3">
        <v>0</v>
      </c>
      <c r="G272" s="3" t="s">
        <v>10</v>
      </c>
      <c r="H272" s="3" t="s">
        <v>12</v>
      </c>
      <c r="I272" s="3">
        <v>2</v>
      </c>
      <c r="J272" s="3" t="s">
        <v>14</v>
      </c>
      <c r="K272" s="3" t="s">
        <v>14</v>
      </c>
      <c r="L272" s="3" t="s">
        <v>14</v>
      </c>
      <c r="M272" s="3" t="s">
        <v>14</v>
      </c>
      <c r="N272" s="3" t="s">
        <v>14</v>
      </c>
      <c r="O272" s="3">
        <v>1</v>
      </c>
    </row>
    <row r="273" spans="1:15" ht="15" customHeight="1" x14ac:dyDescent="0.25">
      <c r="A273" s="2">
        <v>5</v>
      </c>
      <c r="B273" s="2" t="s">
        <v>18</v>
      </c>
      <c r="C273" s="2" t="s">
        <v>20</v>
      </c>
      <c r="D273" s="2" t="s">
        <v>106</v>
      </c>
      <c r="E273" s="2">
        <v>0</v>
      </c>
      <c r="F273" s="2">
        <v>0</v>
      </c>
      <c r="G273" s="2" t="s">
        <v>10</v>
      </c>
      <c r="H273" s="2" t="s">
        <v>12</v>
      </c>
      <c r="I273" s="2">
        <v>2</v>
      </c>
      <c r="J273" s="2" t="s">
        <v>14</v>
      </c>
      <c r="K273" s="2" t="s">
        <v>14</v>
      </c>
      <c r="L273" s="2" t="s">
        <v>14</v>
      </c>
      <c r="M273" s="2" t="s">
        <v>14</v>
      </c>
      <c r="N273" s="2" t="s">
        <v>14</v>
      </c>
      <c r="O273" s="2">
        <v>1</v>
      </c>
    </row>
    <row r="274" spans="1:15" ht="15" customHeight="1" x14ac:dyDescent="0.25">
      <c r="A274" s="3">
        <v>20</v>
      </c>
      <c r="B274" s="3" t="s">
        <v>10</v>
      </c>
      <c r="C274" s="3" t="s">
        <v>19</v>
      </c>
      <c r="D274" s="2" t="s">
        <v>106</v>
      </c>
      <c r="E274" s="3">
        <v>0</v>
      </c>
      <c r="F274" s="3">
        <v>0</v>
      </c>
      <c r="G274" s="3" t="s">
        <v>10</v>
      </c>
      <c r="H274" s="3" t="s">
        <v>12</v>
      </c>
      <c r="I274" s="3">
        <v>2</v>
      </c>
      <c r="J274" s="3" t="s">
        <v>14</v>
      </c>
      <c r="K274" s="3" t="s">
        <v>14</v>
      </c>
      <c r="L274" s="3" t="s">
        <v>14</v>
      </c>
      <c r="M274" s="3" t="s">
        <v>14</v>
      </c>
      <c r="N274" s="3" t="s">
        <v>14</v>
      </c>
      <c r="O274" s="3">
        <v>1</v>
      </c>
    </row>
    <row r="275" spans="1:15" ht="15" customHeight="1" x14ac:dyDescent="0.25">
      <c r="A275" s="2">
        <v>5</v>
      </c>
      <c r="B275" s="2" t="s">
        <v>10</v>
      </c>
      <c r="C275" s="2" t="s">
        <v>19</v>
      </c>
      <c r="D275" s="2" t="s">
        <v>106</v>
      </c>
      <c r="E275" s="2">
        <v>0</v>
      </c>
      <c r="F275" s="2">
        <v>0</v>
      </c>
      <c r="G275" s="2" t="s">
        <v>10</v>
      </c>
      <c r="H275" s="2" t="s">
        <v>12</v>
      </c>
      <c r="I275" s="2">
        <v>2</v>
      </c>
      <c r="J275" s="2" t="s">
        <v>14</v>
      </c>
      <c r="K275" s="2" t="s">
        <v>14</v>
      </c>
      <c r="L275" s="2" t="s">
        <v>14</v>
      </c>
      <c r="M275" s="2" t="s">
        <v>14</v>
      </c>
      <c r="N275" s="2" t="s">
        <v>14</v>
      </c>
      <c r="O275" s="2">
        <v>1</v>
      </c>
    </row>
    <row r="276" spans="1:15" ht="15" customHeight="1" x14ac:dyDescent="0.25">
      <c r="A276" s="3">
        <v>5</v>
      </c>
      <c r="B276" s="3" t="s">
        <v>18</v>
      </c>
      <c r="C276" s="3" t="s">
        <v>19</v>
      </c>
      <c r="D276" s="2" t="s">
        <v>106</v>
      </c>
      <c r="E276" s="3">
        <v>0</v>
      </c>
      <c r="F276" s="3">
        <v>0</v>
      </c>
      <c r="G276" s="3" t="s">
        <v>10</v>
      </c>
      <c r="H276" s="3" t="s">
        <v>16</v>
      </c>
      <c r="I276" s="3">
        <v>2</v>
      </c>
      <c r="J276" s="3" t="s">
        <v>14</v>
      </c>
      <c r="K276" s="3" t="s">
        <v>14</v>
      </c>
      <c r="L276" s="3" t="s">
        <v>14</v>
      </c>
      <c r="M276" s="3" t="s">
        <v>14</v>
      </c>
      <c r="N276" s="3" t="s">
        <v>14</v>
      </c>
      <c r="O276" s="3">
        <v>1</v>
      </c>
    </row>
    <row r="277" spans="1:15" ht="15" customHeight="1" x14ac:dyDescent="0.25">
      <c r="A277" s="2">
        <v>30</v>
      </c>
      <c r="B277" s="2" t="s">
        <v>10</v>
      </c>
      <c r="C277" s="2" t="s">
        <v>11</v>
      </c>
      <c r="D277" s="2" t="s">
        <v>106</v>
      </c>
      <c r="E277" s="2">
        <v>1</v>
      </c>
      <c r="F277" s="2">
        <v>0</v>
      </c>
      <c r="G277" s="2" t="s">
        <v>10</v>
      </c>
      <c r="H277" s="2" t="s">
        <v>12</v>
      </c>
      <c r="I277" s="2" t="s">
        <v>15</v>
      </c>
      <c r="J277" s="2" t="s">
        <v>13</v>
      </c>
      <c r="K277" s="2" t="s">
        <v>14</v>
      </c>
      <c r="L277" s="2" t="s">
        <v>14</v>
      </c>
      <c r="M277" s="2" t="s">
        <v>14</v>
      </c>
      <c r="N277" s="2" t="s">
        <v>13</v>
      </c>
      <c r="O277" s="2">
        <v>0</v>
      </c>
    </row>
    <row r="278" spans="1:15" ht="15" customHeight="1" x14ac:dyDescent="0.25">
      <c r="A278" s="3">
        <v>10</v>
      </c>
      <c r="B278" s="3" t="s">
        <v>10</v>
      </c>
      <c r="C278" s="3" t="s">
        <v>20</v>
      </c>
      <c r="D278" s="2" t="s">
        <v>106</v>
      </c>
      <c r="E278" s="3">
        <v>0</v>
      </c>
      <c r="F278" s="3">
        <v>1</v>
      </c>
      <c r="G278" s="3" t="s">
        <v>10</v>
      </c>
      <c r="H278" s="3" t="s">
        <v>16</v>
      </c>
      <c r="I278" s="3" t="s">
        <v>15</v>
      </c>
      <c r="J278" s="3" t="s">
        <v>14</v>
      </c>
      <c r="K278" s="3" t="s">
        <v>14</v>
      </c>
      <c r="L278" s="3" t="s">
        <v>14</v>
      </c>
      <c r="M278" s="3" t="s">
        <v>14</v>
      </c>
      <c r="N278" s="3" t="s">
        <v>14</v>
      </c>
      <c r="O278" s="3">
        <v>1</v>
      </c>
    </row>
    <row r="279" spans="1:15" ht="15" customHeight="1" x14ac:dyDescent="0.25">
      <c r="A279" s="2">
        <v>10</v>
      </c>
      <c r="B279" s="2" t="s">
        <v>18</v>
      </c>
      <c r="C279" s="2" t="s">
        <v>20</v>
      </c>
      <c r="D279" s="2" t="s">
        <v>106</v>
      </c>
      <c r="E279" s="2">
        <v>0</v>
      </c>
      <c r="F279" s="2">
        <v>0</v>
      </c>
      <c r="G279" s="2" t="s">
        <v>10</v>
      </c>
      <c r="H279" s="2" t="s">
        <v>12</v>
      </c>
      <c r="I279" s="2">
        <v>2</v>
      </c>
      <c r="J279" s="2" t="s">
        <v>14</v>
      </c>
      <c r="K279" s="2" t="s">
        <v>14</v>
      </c>
      <c r="L279" s="2" t="s">
        <v>14</v>
      </c>
      <c r="M279" s="2" t="s">
        <v>14</v>
      </c>
      <c r="N279" s="2" t="s">
        <v>14</v>
      </c>
      <c r="O279" s="2">
        <v>1</v>
      </c>
    </row>
    <row r="280" spans="1:15" ht="15" customHeight="1" x14ac:dyDescent="0.25">
      <c r="A280" s="3">
        <v>5</v>
      </c>
      <c r="B280" s="3" t="s">
        <v>10</v>
      </c>
      <c r="C280" s="3" t="s">
        <v>20</v>
      </c>
      <c r="D280" s="2" t="s">
        <v>106</v>
      </c>
      <c r="E280" s="3">
        <v>0</v>
      </c>
      <c r="F280" s="3">
        <v>0</v>
      </c>
      <c r="G280" s="3" t="s">
        <v>10</v>
      </c>
      <c r="H280" s="3" t="s">
        <v>16</v>
      </c>
      <c r="I280" s="3">
        <v>1</v>
      </c>
      <c r="J280" s="3" t="s">
        <v>14</v>
      </c>
      <c r="K280" s="3" t="s">
        <v>14</v>
      </c>
      <c r="L280" s="3" t="s">
        <v>14</v>
      </c>
      <c r="M280" s="3" t="s">
        <v>14</v>
      </c>
      <c r="N280" s="3" t="s">
        <v>14</v>
      </c>
      <c r="O280" s="3">
        <v>1</v>
      </c>
    </row>
    <row r="281" spans="1:15" ht="15" customHeight="1" x14ac:dyDescent="0.25">
      <c r="A281" s="2">
        <v>30</v>
      </c>
      <c r="B281" s="2" t="s">
        <v>10</v>
      </c>
      <c r="C281" s="2" t="s">
        <v>11</v>
      </c>
      <c r="D281" s="2" t="s">
        <v>106</v>
      </c>
      <c r="E281" s="2">
        <v>1</v>
      </c>
      <c r="F281" s="2">
        <v>0</v>
      </c>
      <c r="G281" s="2" t="s">
        <v>10</v>
      </c>
      <c r="H281" s="2" t="s">
        <v>12</v>
      </c>
      <c r="I281" s="2" t="s">
        <v>15</v>
      </c>
      <c r="J281" s="2" t="s">
        <v>14</v>
      </c>
      <c r="K281" s="2" t="s">
        <v>14</v>
      </c>
      <c r="L281" s="2" t="s">
        <v>14</v>
      </c>
      <c r="M281" s="2" t="s">
        <v>13</v>
      </c>
      <c r="N281" s="2" t="s">
        <v>14</v>
      </c>
      <c r="O281" s="2">
        <v>0</v>
      </c>
    </row>
    <row r="282" spans="1:15" ht="15" customHeight="1" x14ac:dyDescent="0.25">
      <c r="A282" s="3">
        <v>5</v>
      </c>
      <c r="B282" s="3" t="s">
        <v>18</v>
      </c>
      <c r="C282" s="3" t="s">
        <v>19</v>
      </c>
      <c r="D282" s="2" t="s">
        <v>106</v>
      </c>
      <c r="E282" s="3">
        <v>0</v>
      </c>
      <c r="F282" s="3">
        <v>0</v>
      </c>
      <c r="G282" s="3" t="s">
        <v>10</v>
      </c>
      <c r="H282" s="3" t="s">
        <v>16</v>
      </c>
      <c r="I282" s="3" t="s">
        <v>15</v>
      </c>
      <c r="J282" s="3" t="s">
        <v>14</v>
      </c>
      <c r="K282" s="3" t="s">
        <v>14</v>
      </c>
      <c r="L282" s="3" t="s">
        <v>14</v>
      </c>
      <c r="M282" s="3" t="s">
        <v>14</v>
      </c>
      <c r="N282" s="3" t="s">
        <v>14</v>
      </c>
      <c r="O282" s="3">
        <v>1</v>
      </c>
    </row>
    <row r="283" spans="1:15" ht="15" customHeight="1" x14ac:dyDescent="0.25">
      <c r="A283" s="2">
        <v>20</v>
      </c>
      <c r="B283" s="2" t="s">
        <v>18</v>
      </c>
      <c r="C283" s="2" t="s">
        <v>19</v>
      </c>
      <c r="D283" s="2" t="s">
        <v>106</v>
      </c>
      <c r="E283" s="2">
        <v>0</v>
      </c>
      <c r="F283" s="2">
        <v>0</v>
      </c>
      <c r="G283" s="2" t="s">
        <v>10</v>
      </c>
      <c r="H283" s="2" t="s">
        <v>12</v>
      </c>
      <c r="I283" s="2">
        <v>2</v>
      </c>
      <c r="J283" s="2" t="s">
        <v>14</v>
      </c>
      <c r="K283" s="2" t="s">
        <v>14</v>
      </c>
      <c r="L283" s="2" t="s">
        <v>14</v>
      </c>
      <c r="M283" s="2" t="s">
        <v>14</v>
      </c>
      <c r="N283" s="2" t="s">
        <v>14</v>
      </c>
      <c r="O283" s="2">
        <v>1</v>
      </c>
    </row>
    <row r="284" spans="1:15" ht="15" customHeight="1" x14ac:dyDescent="0.25">
      <c r="A284" s="3">
        <v>5</v>
      </c>
      <c r="B284" s="3" t="s">
        <v>10</v>
      </c>
      <c r="C284" s="3" t="s">
        <v>19</v>
      </c>
      <c r="D284" s="2" t="s">
        <v>106</v>
      </c>
      <c r="E284" s="3">
        <v>0</v>
      </c>
      <c r="F284" s="3">
        <v>0</v>
      </c>
      <c r="G284" s="3" t="s">
        <v>10</v>
      </c>
      <c r="H284" s="3" t="s">
        <v>12</v>
      </c>
      <c r="I284" s="3">
        <v>2</v>
      </c>
      <c r="J284" s="3" t="s">
        <v>14</v>
      </c>
      <c r="K284" s="3" t="s">
        <v>14</v>
      </c>
      <c r="L284" s="3" t="s">
        <v>14</v>
      </c>
      <c r="M284" s="3" t="s">
        <v>14</v>
      </c>
      <c r="N284" s="3" t="s">
        <v>14</v>
      </c>
      <c r="O284" s="3">
        <v>1</v>
      </c>
    </row>
    <row r="285" spans="1:15" ht="15" customHeight="1" x14ac:dyDescent="0.25">
      <c r="A285" s="2">
        <v>10</v>
      </c>
      <c r="B285" s="2" t="s">
        <v>14</v>
      </c>
      <c r="C285" s="2" t="s">
        <v>19</v>
      </c>
      <c r="D285" s="2" t="s">
        <v>106</v>
      </c>
      <c r="E285" s="2">
        <v>0</v>
      </c>
      <c r="F285" s="2">
        <v>0</v>
      </c>
      <c r="G285" s="2" t="s">
        <v>10</v>
      </c>
      <c r="H285" s="2" t="s">
        <v>12</v>
      </c>
      <c r="I285" s="2" t="s">
        <v>15</v>
      </c>
      <c r="J285" s="2" t="s">
        <v>14</v>
      </c>
      <c r="K285" s="2" t="s">
        <v>14</v>
      </c>
      <c r="L285" s="2" t="s">
        <v>14</v>
      </c>
      <c r="M285" s="2" t="s">
        <v>14</v>
      </c>
      <c r="N285" s="2" t="s">
        <v>14</v>
      </c>
      <c r="O285" s="2">
        <v>1</v>
      </c>
    </row>
    <row r="286" spans="1:15" ht="15" customHeight="1" x14ac:dyDescent="0.25">
      <c r="A286" s="3">
        <v>30</v>
      </c>
      <c r="B286" s="3" t="s">
        <v>10</v>
      </c>
      <c r="C286" s="3" t="s">
        <v>11</v>
      </c>
      <c r="D286" s="2" t="s">
        <v>106</v>
      </c>
      <c r="E286" s="3">
        <v>1</v>
      </c>
      <c r="F286" s="3">
        <v>1</v>
      </c>
      <c r="G286" s="3" t="s">
        <v>10</v>
      </c>
      <c r="H286" s="3" t="s">
        <v>12</v>
      </c>
      <c r="I286" s="3">
        <v>2</v>
      </c>
      <c r="J286" s="3" t="s">
        <v>13</v>
      </c>
      <c r="K286" s="3" t="s">
        <v>14</v>
      </c>
      <c r="L286" s="3" t="s">
        <v>14</v>
      </c>
      <c r="M286" s="3" t="s">
        <v>13</v>
      </c>
      <c r="N286" s="3" t="s">
        <v>13</v>
      </c>
      <c r="O286" s="3">
        <v>0</v>
      </c>
    </row>
    <row r="287" spans="1:15" ht="15" customHeight="1" x14ac:dyDescent="0.25">
      <c r="A287" s="2">
        <v>10</v>
      </c>
      <c r="B287" s="2" t="s">
        <v>14</v>
      </c>
      <c r="C287" s="2" t="s">
        <v>20</v>
      </c>
      <c r="D287" s="2" t="s">
        <v>106</v>
      </c>
      <c r="E287" s="2">
        <v>0</v>
      </c>
      <c r="F287" s="2">
        <v>0</v>
      </c>
      <c r="G287" s="2" t="s">
        <v>10</v>
      </c>
      <c r="H287" s="2" t="s">
        <v>12</v>
      </c>
      <c r="I287" s="2" t="s">
        <v>15</v>
      </c>
      <c r="J287" s="2" t="s">
        <v>14</v>
      </c>
      <c r="K287" s="2" t="s">
        <v>14</v>
      </c>
      <c r="L287" s="2" t="s">
        <v>14</v>
      </c>
      <c r="M287" s="2" t="s">
        <v>14</v>
      </c>
      <c r="N287" s="2" t="s">
        <v>14</v>
      </c>
      <c r="O287" s="2">
        <v>1</v>
      </c>
    </row>
    <row r="288" spans="1:15" ht="15" customHeight="1" x14ac:dyDescent="0.25">
      <c r="A288" s="3">
        <v>30</v>
      </c>
      <c r="B288" s="3" t="s">
        <v>10</v>
      </c>
      <c r="C288" s="3" t="s">
        <v>11</v>
      </c>
      <c r="D288" s="2" t="s">
        <v>106</v>
      </c>
      <c r="E288" s="3">
        <v>1</v>
      </c>
      <c r="F288" s="3">
        <v>0</v>
      </c>
      <c r="G288" s="3" t="s">
        <v>10</v>
      </c>
      <c r="H288" s="3" t="s">
        <v>12</v>
      </c>
      <c r="I288" s="3" t="s">
        <v>15</v>
      </c>
      <c r="J288" s="3" t="s">
        <v>14</v>
      </c>
      <c r="K288" s="3" t="s">
        <v>14</v>
      </c>
      <c r="L288" s="3" t="s">
        <v>14</v>
      </c>
      <c r="M288" s="3" t="s">
        <v>13</v>
      </c>
      <c r="N288" s="3" t="s">
        <v>14</v>
      </c>
      <c r="O288" s="3">
        <v>0</v>
      </c>
    </row>
    <row r="289" spans="1:15" ht="15" customHeight="1" x14ac:dyDescent="0.25">
      <c r="A289" s="2">
        <v>5</v>
      </c>
      <c r="B289" s="2" t="s">
        <v>10</v>
      </c>
      <c r="C289" s="2" t="s">
        <v>19</v>
      </c>
      <c r="D289" s="2" t="s">
        <v>106</v>
      </c>
      <c r="E289" s="2">
        <v>0</v>
      </c>
      <c r="F289" s="2">
        <v>0</v>
      </c>
      <c r="G289" s="2" t="s">
        <v>10</v>
      </c>
      <c r="H289" s="2" t="s">
        <v>12</v>
      </c>
      <c r="I289" s="2">
        <v>2</v>
      </c>
      <c r="J289" s="2" t="s">
        <v>14</v>
      </c>
      <c r="K289" s="2" t="s">
        <v>14</v>
      </c>
      <c r="L289" s="2" t="s">
        <v>14</v>
      </c>
      <c r="M289" s="2" t="s">
        <v>14</v>
      </c>
      <c r="N289" s="2" t="s">
        <v>14</v>
      </c>
      <c r="O289" s="2">
        <v>1</v>
      </c>
    </row>
    <row r="290" spans="1:15" ht="15" customHeight="1" x14ac:dyDescent="0.25">
      <c r="A290" s="3">
        <v>10</v>
      </c>
      <c r="B290" s="3" t="s">
        <v>10</v>
      </c>
      <c r="C290" s="3" t="s">
        <v>19</v>
      </c>
      <c r="D290" s="2" t="s">
        <v>106</v>
      </c>
      <c r="E290" s="3">
        <v>0</v>
      </c>
      <c r="F290" s="3">
        <v>1</v>
      </c>
      <c r="G290" s="3" t="s">
        <v>10</v>
      </c>
      <c r="H290" s="3" t="s">
        <v>12</v>
      </c>
      <c r="I290" s="3" t="s">
        <v>15</v>
      </c>
      <c r="J290" s="3" t="s">
        <v>14</v>
      </c>
      <c r="K290" s="3" t="s">
        <v>14</v>
      </c>
      <c r="L290" s="3" t="s">
        <v>14</v>
      </c>
      <c r="M290" s="3" t="s">
        <v>14</v>
      </c>
      <c r="N290" s="3" t="s">
        <v>14</v>
      </c>
      <c r="O290" s="3">
        <v>1</v>
      </c>
    </row>
    <row r="291" spans="1:15" ht="15" customHeight="1" x14ac:dyDescent="0.25">
      <c r="A291" s="2">
        <v>5</v>
      </c>
      <c r="B291" s="2" t="s">
        <v>10</v>
      </c>
      <c r="C291" s="2" t="s">
        <v>11</v>
      </c>
      <c r="D291" s="2" t="s">
        <v>106</v>
      </c>
      <c r="E291" s="2">
        <v>0</v>
      </c>
      <c r="F291" s="2">
        <v>1</v>
      </c>
      <c r="G291" s="2" t="s">
        <v>10</v>
      </c>
      <c r="H291" s="2" t="s">
        <v>12</v>
      </c>
      <c r="I291" s="2">
        <v>1</v>
      </c>
      <c r="J291" s="2" t="s">
        <v>13</v>
      </c>
      <c r="K291" s="2" t="s">
        <v>14</v>
      </c>
      <c r="L291" s="2" t="s">
        <v>14</v>
      </c>
      <c r="M291" s="2" t="s">
        <v>14</v>
      </c>
      <c r="N291" s="2" t="s">
        <v>14</v>
      </c>
      <c r="O291" s="2">
        <v>1</v>
      </c>
    </row>
    <row r="292" spans="1:15" ht="15" customHeight="1" x14ac:dyDescent="0.25">
      <c r="A292" s="3">
        <v>0</v>
      </c>
      <c r="B292" s="3" t="s">
        <v>10</v>
      </c>
      <c r="C292" s="3" t="s">
        <v>11</v>
      </c>
      <c r="D292" s="2" t="s">
        <v>106</v>
      </c>
      <c r="E292" s="3">
        <v>1</v>
      </c>
      <c r="F292" s="3">
        <v>0</v>
      </c>
      <c r="G292" s="3" t="s">
        <v>10</v>
      </c>
      <c r="H292" s="3" t="s">
        <v>12</v>
      </c>
      <c r="I292" s="3">
        <v>1</v>
      </c>
      <c r="J292" s="3" t="s">
        <v>13</v>
      </c>
      <c r="K292" s="3" t="s">
        <v>14</v>
      </c>
      <c r="L292" s="3" t="s">
        <v>14</v>
      </c>
      <c r="M292" s="3" t="s">
        <v>14</v>
      </c>
      <c r="N292" s="3" t="s">
        <v>14</v>
      </c>
      <c r="O292" s="3">
        <v>1</v>
      </c>
    </row>
    <row r="293" spans="1:15" ht="15" customHeight="1" x14ac:dyDescent="0.25">
      <c r="A293" s="2">
        <v>5</v>
      </c>
      <c r="B293" s="2" t="s">
        <v>14</v>
      </c>
      <c r="C293" s="2" t="s">
        <v>19</v>
      </c>
      <c r="D293" s="2" t="s">
        <v>106</v>
      </c>
      <c r="E293" s="2">
        <v>1</v>
      </c>
      <c r="F293" s="2">
        <v>0</v>
      </c>
      <c r="G293" s="2" t="s">
        <v>10</v>
      </c>
      <c r="H293" s="2" t="s">
        <v>12</v>
      </c>
      <c r="I293" s="2">
        <v>2</v>
      </c>
      <c r="J293" s="2" t="s">
        <v>14</v>
      </c>
      <c r="K293" s="2" t="s">
        <v>13</v>
      </c>
      <c r="L293" s="2" t="s">
        <v>13</v>
      </c>
      <c r="M293" s="2" t="s">
        <v>14</v>
      </c>
      <c r="N293" s="2" t="s">
        <v>14</v>
      </c>
      <c r="O293" s="2">
        <v>1</v>
      </c>
    </row>
    <row r="294" spans="1:15" ht="15" customHeight="1" x14ac:dyDescent="0.25">
      <c r="A294" s="3">
        <v>5</v>
      </c>
      <c r="B294" s="3" t="s">
        <v>18</v>
      </c>
      <c r="C294" s="3" t="s">
        <v>19</v>
      </c>
      <c r="D294" s="2" t="s">
        <v>106</v>
      </c>
      <c r="E294" s="3">
        <v>0</v>
      </c>
      <c r="F294" s="3">
        <v>0</v>
      </c>
      <c r="G294" s="3" t="s">
        <v>10</v>
      </c>
      <c r="H294" s="3" t="s">
        <v>12</v>
      </c>
      <c r="I294" s="3" t="s">
        <v>15</v>
      </c>
      <c r="J294" s="3" t="s">
        <v>14</v>
      </c>
      <c r="K294" s="3" t="s">
        <v>14</v>
      </c>
      <c r="L294" s="3" t="s">
        <v>14</v>
      </c>
      <c r="M294" s="3" t="s">
        <v>14</v>
      </c>
      <c r="N294" s="3" t="s">
        <v>14</v>
      </c>
      <c r="O294" s="3">
        <v>1</v>
      </c>
    </row>
    <row r="295" spans="1:15" ht="15" customHeight="1" x14ac:dyDescent="0.25">
      <c r="A295" s="2">
        <v>10</v>
      </c>
      <c r="B295" s="2" t="s">
        <v>18</v>
      </c>
      <c r="C295" s="2" t="s">
        <v>19</v>
      </c>
      <c r="D295" s="2" t="s">
        <v>106</v>
      </c>
      <c r="E295" s="2">
        <v>0</v>
      </c>
      <c r="F295" s="2">
        <v>0</v>
      </c>
      <c r="G295" s="2" t="s">
        <v>10</v>
      </c>
      <c r="H295" s="2" t="s">
        <v>12</v>
      </c>
      <c r="I295" s="2">
        <v>2</v>
      </c>
      <c r="J295" s="2" t="s">
        <v>14</v>
      </c>
      <c r="K295" s="2" t="s">
        <v>14</v>
      </c>
      <c r="L295" s="2" t="s">
        <v>14</v>
      </c>
      <c r="M295" s="2" t="s">
        <v>14</v>
      </c>
      <c r="N295" s="2" t="s">
        <v>14</v>
      </c>
      <c r="O295" s="2">
        <v>1</v>
      </c>
    </row>
    <row r="296" spans="1:15" ht="15" customHeight="1" x14ac:dyDescent="0.25">
      <c r="A296" s="3">
        <v>20</v>
      </c>
      <c r="B296" s="3" t="s">
        <v>18</v>
      </c>
      <c r="C296" s="3" t="s">
        <v>20</v>
      </c>
      <c r="D296" s="2" t="s">
        <v>106</v>
      </c>
      <c r="E296" s="3">
        <v>0</v>
      </c>
      <c r="F296" s="3">
        <v>0</v>
      </c>
      <c r="G296" s="3" t="s">
        <v>10</v>
      </c>
      <c r="H296" s="3" t="s">
        <v>12</v>
      </c>
      <c r="I296" s="3">
        <v>1</v>
      </c>
      <c r="J296" s="3" t="s">
        <v>14</v>
      </c>
      <c r="K296" s="3" t="s">
        <v>14</v>
      </c>
      <c r="L296" s="3" t="s">
        <v>14</v>
      </c>
      <c r="M296" s="3" t="s">
        <v>14</v>
      </c>
      <c r="N296" s="3" t="s">
        <v>14</v>
      </c>
      <c r="O296" s="3">
        <v>1</v>
      </c>
    </row>
    <row r="297" spans="1:15" ht="15" customHeight="1" x14ac:dyDescent="0.25">
      <c r="A297" s="2">
        <v>20</v>
      </c>
      <c r="B297" s="2" t="s">
        <v>14</v>
      </c>
      <c r="C297" s="2" t="s">
        <v>20</v>
      </c>
      <c r="D297" s="2" t="s">
        <v>106</v>
      </c>
      <c r="E297" s="2">
        <v>0</v>
      </c>
      <c r="F297" s="2">
        <v>0</v>
      </c>
      <c r="G297" s="2" t="s">
        <v>10</v>
      </c>
      <c r="H297" s="2" t="s">
        <v>12</v>
      </c>
      <c r="I297" s="2">
        <v>1</v>
      </c>
      <c r="J297" s="2" t="s">
        <v>14</v>
      </c>
      <c r="K297" s="2" t="s">
        <v>14</v>
      </c>
      <c r="L297" s="2" t="s">
        <v>14</v>
      </c>
      <c r="M297" s="2" t="s">
        <v>14</v>
      </c>
      <c r="N297" s="2" t="s">
        <v>14</v>
      </c>
      <c r="O297" s="2">
        <v>1</v>
      </c>
    </row>
    <row r="298" spans="1:15" ht="15" customHeight="1" x14ac:dyDescent="0.25">
      <c r="A298" s="3">
        <v>10</v>
      </c>
      <c r="B298" s="3" t="s">
        <v>10</v>
      </c>
      <c r="C298" s="3" t="s">
        <v>19</v>
      </c>
      <c r="D298" s="2" t="s">
        <v>106</v>
      </c>
      <c r="E298" s="3">
        <v>0</v>
      </c>
      <c r="F298" s="3">
        <v>1</v>
      </c>
      <c r="G298" s="3" t="s">
        <v>10</v>
      </c>
      <c r="H298" s="3" t="s">
        <v>16</v>
      </c>
      <c r="I298" s="3">
        <v>1</v>
      </c>
      <c r="J298" s="3" t="s">
        <v>14</v>
      </c>
      <c r="K298" s="3" t="s">
        <v>14</v>
      </c>
      <c r="L298" s="3" t="s">
        <v>14</v>
      </c>
      <c r="M298" s="3" t="s">
        <v>14</v>
      </c>
      <c r="N298" s="3" t="s">
        <v>14</v>
      </c>
      <c r="O298" s="3">
        <v>1</v>
      </c>
    </row>
    <row r="299" spans="1:15" ht="15" customHeight="1" x14ac:dyDescent="0.25">
      <c r="A299" s="2">
        <v>20</v>
      </c>
      <c r="B299" s="2" t="s">
        <v>10</v>
      </c>
      <c r="C299" s="2" t="s">
        <v>19</v>
      </c>
      <c r="D299" s="2" t="s">
        <v>106</v>
      </c>
      <c r="E299" s="2">
        <v>2</v>
      </c>
      <c r="F299" s="2">
        <v>1</v>
      </c>
      <c r="G299" s="2" t="s">
        <v>10</v>
      </c>
      <c r="H299" s="2" t="s">
        <v>12</v>
      </c>
      <c r="I299" s="2">
        <v>2</v>
      </c>
      <c r="J299" s="2" t="s">
        <v>14</v>
      </c>
      <c r="K299" s="2" t="s">
        <v>14</v>
      </c>
      <c r="L299" s="2" t="s">
        <v>14</v>
      </c>
      <c r="M299" s="2" t="s">
        <v>13</v>
      </c>
      <c r="N299" s="2" t="s">
        <v>14</v>
      </c>
      <c r="O299" s="2">
        <v>1</v>
      </c>
    </row>
    <row r="300" spans="1:15" ht="15" customHeight="1" x14ac:dyDescent="0.25">
      <c r="A300" s="3">
        <v>0</v>
      </c>
      <c r="B300" s="3" t="s">
        <v>14</v>
      </c>
      <c r="C300" s="3" t="s">
        <v>19</v>
      </c>
      <c r="D300" s="2" t="s">
        <v>106</v>
      </c>
      <c r="E300" s="3">
        <v>0</v>
      </c>
      <c r="F300" s="3">
        <v>0</v>
      </c>
      <c r="G300" s="3" t="s">
        <v>10</v>
      </c>
      <c r="H300" s="3" t="s">
        <v>12</v>
      </c>
      <c r="I300" s="3">
        <v>2</v>
      </c>
      <c r="J300" s="3" t="s">
        <v>14</v>
      </c>
      <c r="K300" s="3" t="s">
        <v>14</v>
      </c>
      <c r="L300" s="3" t="s">
        <v>14</v>
      </c>
      <c r="M300" s="3" t="s">
        <v>14</v>
      </c>
      <c r="N300" s="3" t="s">
        <v>14</v>
      </c>
      <c r="O300" s="3">
        <v>1</v>
      </c>
    </row>
    <row r="301" spans="1:15" ht="15" customHeight="1" x14ac:dyDescent="0.25">
      <c r="A301" s="2">
        <v>10</v>
      </c>
      <c r="B301" s="2" t="s">
        <v>10</v>
      </c>
      <c r="C301" s="2" t="s">
        <v>11</v>
      </c>
      <c r="D301" s="2" t="s">
        <v>106</v>
      </c>
      <c r="E301" s="2">
        <v>1</v>
      </c>
      <c r="F301" s="2">
        <v>1</v>
      </c>
      <c r="G301" s="2" t="s">
        <v>10</v>
      </c>
      <c r="H301" s="2" t="s">
        <v>16</v>
      </c>
      <c r="I301" s="2" t="s">
        <v>15</v>
      </c>
      <c r="J301" s="2" t="s">
        <v>13</v>
      </c>
      <c r="K301" s="2" t="s">
        <v>14</v>
      </c>
      <c r="L301" s="2" t="s">
        <v>14</v>
      </c>
      <c r="M301" s="2" t="s">
        <v>14</v>
      </c>
      <c r="N301" s="2" t="s">
        <v>14</v>
      </c>
      <c r="O301" s="2">
        <v>0</v>
      </c>
    </row>
    <row r="302" spans="1:15" ht="15" customHeight="1" x14ac:dyDescent="0.25">
      <c r="A302" s="3">
        <v>5</v>
      </c>
      <c r="B302" s="3" t="s">
        <v>18</v>
      </c>
      <c r="C302" s="3" t="s">
        <v>20</v>
      </c>
      <c r="D302" s="2" t="s">
        <v>106</v>
      </c>
      <c r="E302" s="3">
        <v>0</v>
      </c>
      <c r="F302" s="3">
        <v>1</v>
      </c>
      <c r="G302" s="3" t="s">
        <v>10</v>
      </c>
      <c r="H302" s="3" t="s">
        <v>16</v>
      </c>
      <c r="I302" s="3">
        <v>1</v>
      </c>
      <c r="J302" s="3" t="s">
        <v>14</v>
      </c>
      <c r="K302" s="3" t="s">
        <v>14</v>
      </c>
      <c r="L302" s="3" t="s">
        <v>14</v>
      </c>
      <c r="M302" s="3" t="s">
        <v>14</v>
      </c>
      <c r="N302" s="3" t="s">
        <v>14</v>
      </c>
      <c r="O302" s="3">
        <v>1</v>
      </c>
    </row>
    <row r="303" spans="1:15" ht="15" customHeight="1" x14ac:dyDescent="0.25">
      <c r="A303" s="2">
        <v>30</v>
      </c>
      <c r="B303" s="2" t="s">
        <v>10</v>
      </c>
      <c r="C303" s="2" t="s">
        <v>19</v>
      </c>
      <c r="D303" s="2" t="s">
        <v>106</v>
      </c>
      <c r="E303" s="2">
        <v>1</v>
      </c>
      <c r="F303" s="2">
        <v>0</v>
      </c>
      <c r="G303" s="2" t="s">
        <v>10</v>
      </c>
      <c r="H303" s="2" t="s">
        <v>12</v>
      </c>
      <c r="I303" s="2">
        <v>1</v>
      </c>
      <c r="J303" s="2" t="s">
        <v>14</v>
      </c>
      <c r="K303" s="2" t="s">
        <v>14</v>
      </c>
      <c r="L303" s="2" t="s">
        <v>14</v>
      </c>
      <c r="M303" s="2" t="s">
        <v>13</v>
      </c>
      <c r="N303" s="2" t="s">
        <v>14</v>
      </c>
      <c r="O303" s="2">
        <v>0</v>
      </c>
    </row>
    <row r="304" spans="1:15" ht="15" customHeight="1" x14ac:dyDescent="0.25">
      <c r="A304" s="3">
        <v>10</v>
      </c>
      <c r="B304" s="3" t="s">
        <v>10</v>
      </c>
      <c r="C304" s="3" t="s">
        <v>19</v>
      </c>
      <c r="D304" s="2" t="s">
        <v>106</v>
      </c>
      <c r="E304" s="3">
        <v>0</v>
      </c>
      <c r="F304" s="3">
        <v>0</v>
      </c>
      <c r="G304" s="3" t="s">
        <v>10</v>
      </c>
      <c r="H304" s="3" t="s">
        <v>12</v>
      </c>
      <c r="I304" s="3">
        <v>2</v>
      </c>
      <c r="J304" s="3" t="s">
        <v>14</v>
      </c>
      <c r="K304" s="3" t="s">
        <v>14</v>
      </c>
      <c r="L304" s="3" t="s">
        <v>14</v>
      </c>
      <c r="M304" s="3" t="s">
        <v>14</v>
      </c>
      <c r="N304" s="3" t="s">
        <v>14</v>
      </c>
      <c r="O304" s="3">
        <v>1</v>
      </c>
    </row>
    <row r="305" spans="1:15" ht="15" customHeight="1" x14ac:dyDescent="0.25">
      <c r="A305" s="2">
        <v>5</v>
      </c>
      <c r="B305" s="2" t="s">
        <v>18</v>
      </c>
      <c r="C305" s="2" t="s">
        <v>19</v>
      </c>
      <c r="D305" s="2" t="s">
        <v>106</v>
      </c>
      <c r="E305" s="2">
        <v>0</v>
      </c>
      <c r="F305" s="2">
        <v>0</v>
      </c>
      <c r="G305" s="2" t="s">
        <v>10</v>
      </c>
      <c r="H305" s="2" t="s">
        <v>12</v>
      </c>
      <c r="I305" s="2" t="s">
        <v>15</v>
      </c>
      <c r="J305" s="2" t="s">
        <v>14</v>
      </c>
      <c r="K305" s="2" t="s">
        <v>14</v>
      </c>
      <c r="L305" s="2" t="s">
        <v>14</v>
      </c>
      <c r="M305" s="2" t="s">
        <v>14</v>
      </c>
      <c r="N305" s="2" t="s">
        <v>14</v>
      </c>
      <c r="O305" s="2">
        <v>1</v>
      </c>
    </row>
    <row r="306" spans="1:15" ht="15" customHeight="1" x14ac:dyDescent="0.25">
      <c r="A306" s="3">
        <v>0</v>
      </c>
      <c r="B306" s="3" t="s">
        <v>10</v>
      </c>
      <c r="C306" s="3" t="s">
        <v>19</v>
      </c>
      <c r="D306" s="2" t="s">
        <v>106</v>
      </c>
      <c r="E306" s="3">
        <v>0</v>
      </c>
      <c r="F306" s="3">
        <v>0</v>
      </c>
      <c r="G306" s="3" t="s">
        <v>10</v>
      </c>
      <c r="H306" s="3" t="s">
        <v>12</v>
      </c>
      <c r="I306" s="3" t="s">
        <v>15</v>
      </c>
      <c r="J306" s="3" t="s">
        <v>14</v>
      </c>
      <c r="K306" s="3" t="s">
        <v>14</v>
      </c>
      <c r="L306" s="3" t="s">
        <v>14</v>
      </c>
      <c r="M306" s="3" t="s">
        <v>14</v>
      </c>
      <c r="N306" s="3" t="s">
        <v>14</v>
      </c>
      <c r="O306" s="3">
        <v>1</v>
      </c>
    </row>
    <row r="307" spans="1:15" ht="15" customHeight="1" x14ac:dyDescent="0.25">
      <c r="A307" s="2">
        <v>0</v>
      </c>
      <c r="B307" s="2" t="s">
        <v>18</v>
      </c>
      <c r="C307" s="2" t="s">
        <v>19</v>
      </c>
      <c r="D307" s="2" t="s">
        <v>106</v>
      </c>
      <c r="E307" s="2">
        <v>0</v>
      </c>
      <c r="F307" s="2">
        <v>0</v>
      </c>
      <c r="G307" s="2" t="s">
        <v>10</v>
      </c>
      <c r="H307" s="2" t="s">
        <v>12</v>
      </c>
      <c r="I307" s="2">
        <v>1</v>
      </c>
      <c r="J307" s="2" t="s">
        <v>14</v>
      </c>
      <c r="K307" s="2" t="s">
        <v>14</v>
      </c>
      <c r="L307" s="2" t="s">
        <v>14</v>
      </c>
      <c r="M307" s="2" t="s">
        <v>14</v>
      </c>
      <c r="N307" s="2" t="s">
        <v>14</v>
      </c>
      <c r="O307" s="2">
        <v>1</v>
      </c>
    </row>
    <row r="308" spans="1:15" ht="15" customHeight="1" x14ac:dyDescent="0.25">
      <c r="A308" s="3">
        <v>0</v>
      </c>
      <c r="B308" s="3" t="s">
        <v>14</v>
      </c>
      <c r="C308" s="3" t="s">
        <v>19</v>
      </c>
      <c r="D308" s="2" t="s">
        <v>106</v>
      </c>
      <c r="E308" s="3">
        <v>0</v>
      </c>
      <c r="F308" s="3">
        <v>0</v>
      </c>
      <c r="G308" s="3" t="s">
        <v>10</v>
      </c>
      <c r="H308" s="3" t="s">
        <v>12</v>
      </c>
      <c r="I308" s="3">
        <v>1</v>
      </c>
      <c r="J308" s="3" t="s">
        <v>14</v>
      </c>
      <c r="K308" s="3" t="s">
        <v>14</v>
      </c>
      <c r="L308" s="3" t="s">
        <v>14</v>
      </c>
      <c r="M308" s="3" t="s">
        <v>14</v>
      </c>
      <c r="N308" s="3" t="s">
        <v>14</v>
      </c>
      <c r="O308" s="3">
        <v>1</v>
      </c>
    </row>
    <row r="309" spans="1:15" ht="15" customHeight="1" x14ac:dyDescent="0.25">
      <c r="A309" s="2">
        <v>10</v>
      </c>
      <c r="B309" s="2" t="s">
        <v>18</v>
      </c>
      <c r="C309" s="2" t="s">
        <v>19</v>
      </c>
      <c r="D309" s="2" t="s">
        <v>106</v>
      </c>
      <c r="E309" s="2">
        <v>0</v>
      </c>
      <c r="F309" s="2">
        <v>0</v>
      </c>
      <c r="G309" s="2" t="s">
        <v>10</v>
      </c>
      <c r="H309" s="2" t="s">
        <v>12</v>
      </c>
      <c r="I309" s="2">
        <v>2</v>
      </c>
      <c r="J309" s="2" t="s">
        <v>14</v>
      </c>
      <c r="K309" s="2" t="s">
        <v>14</v>
      </c>
      <c r="L309" s="2" t="s">
        <v>14</v>
      </c>
      <c r="M309" s="2" t="s">
        <v>14</v>
      </c>
      <c r="N309" s="2" t="s">
        <v>14</v>
      </c>
      <c r="O309" s="2">
        <v>1</v>
      </c>
    </row>
    <row r="310" spans="1:15" ht="15" customHeight="1" x14ac:dyDescent="0.25">
      <c r="A310" s="3">
        <v>20</v>
      </c>
      <c r="B310" s="3" t="s">
        <v>10</v>
      </c>
      <c r="C310" s="3" t="s">
        <v>19</v>
      </c>
      <c r="D310" s="2" t="s">
        <v>106</v>
      </c>
      <c r="E310" s="3">
        <v>0</v>
      </c>
      <c r="F310" s="3">
        <v>1</v>
      </c>
      <c r="G310" s="3" t="s">
        <v>10</v>
      </c>
      <c r="H310" s="3" t="s">
        <v>12</v>
      </c>
      <c r="I310" s="3">
        <v>2</v>
      </c>
      <c r="J310" s="3" t="s">
        <v>14</v>
      </c>
      <c r="K310" s="3" t="s">
        <v>14</v>
      </c>
      <c r="L310" s="3" t="s">
        <v>14</v>
      </c>
      <c r="M310" s="3" t="s">
        <v>14</v>
      </c>
      <c r="N310" s="3" t="s">
        <v>14</v>
      </c>
      <c r="O310" s="3">
        <v>1</v>
      </c>
    </row>
    <row r="311" spans="1:15" ht="15" customHeight="1" x14ac:dyDescent="0.25">
      <c r="A311" s="2">
        <v>10</v>
      </c>
      <c r="B311" s="2" t="s">
        <v>18</v>
      </c>
      <c r="C311" s="2" t="s">
        <v>20</v>
      </c>
      <c r="D311" s="2" t="s">
        <v>106</v>
      </c>
      <c r="E311" s="2">
        <v>0</v>
      </c>
      <c r="F311" s="2">
        <v>1</v>
      </c>
      <c r="G311" s="2" t="s">
        <v>10</v>
      </c>
      <c r="H311" s="2" t="s">
        <v>16</v>
      </c>
      <c r="I311" s="2">
        <v>1</v>
      </c>
      <c r="J311" s="2" t="s">
        <v>14</v>
      </c>
      <c r="K311" s="2" t="s">
        <v>14</v>
      </c>
      <c r="L311" s="2" t="s">
        <v>14</v>
      </c>
      <c r="M311" s="2" t="s">
        <v>14</v>
      </c>
      <c r="N311" s="2" t="s">
        <v>14</v>
      </c>
      <c r="O311" s="2">
        <v>1</v>
      </c>
    </row>
    <row r="312" spans="1:15" ht="15" customHeight="1" x14ac:dyDescent="0.25">
      <c r="A312" s="3">
        <v>10</v>
      </c>
      <c r="B312" s="3" t="s">
        <v>18</v>
      </c>
      <c r="C312" s="3" t="s">
        <v>20</v>
      </c>
      <c r="D312" s="2" t="s">
        <v>106</v>
      </c>
      <c r="E312" s="3">
        <v>0</v>
      </c>
      <c r="F312" s="3">
        <v>0</v>
      </c>
      <c r="G312" s="3" t="s">
        <v>10</v>
      </c>
      <c r="H312" s="3" t="s">
        <v>12</v>
      </c>
      <c r="I312" s="3">
        <v>1</v>
      </c>
      <c r="J312" s="3" t="s">
        <v>14</v>
      </c>
      <c r="K312" s="3" t="s">
        <v>14</v>
      </c>
      <c r="L312" s="3" t="s">
        <v>14</v>
      </c>
      <c r="M312" s="3" t="s">
        <v>14</v>
      </c>
      <c r="N312" s="3" t="s">
        <v>14</v>
      </c>
      <c r="O312" s="3">
        <v>1</v>
      </c>
    </row>
    <row r="313" spans="1:15" ht="15" customHeight="1" x14ac:dyDescent="0.25">
      <c r="A313" s="2">
        <v>5</v>
      </c>
      <c r="B313" s="2" t="s">
        <v>10</v>
      </c>
      <c r="C313" s="2" t="s">
        <v>20</v>
      </c>
      <c r="D313" s="2" t="s">
        <v>106</v>
      </c>
      <c r="E313" s="2">
        <v>0</v>
      </c>
      <c r="F313" s="2">
        <v>0</v>
      </c>
      <c r="G313" s="2" t="s">
        <v>10</v>
      </c>
      <c r="H313" s="2" t="s">
        <v>12</v>
      </c>
      <c r="I313" s="2">
        <v>2</v>
      </c>
      <c r="J313" s="2" t="s">
        <v>14</v>
      </c>
      <c r="K313" s="2" t="s">
        <v>14</v>
      </c>
      <c r="L313" s="2" t="s">
        <v>14</v>
      </c>
      <c r="M313" s="2" t="s">
        <v>14</v>
      </c>
      <c r="N313" s="2" t="s">
        <v>14</v>
      </c>
      <c r="O313" s="2">
        <v>1</v>
      </c>
    </row>
    <row r="314" spans="1:15" ht="15" customHeight="1" x14ac:dyDescent="0.25">
      <c r="A314" s="3">
        <v>30</v>
      </c>
      <c r="B314" s="3" t="s">
        <v>10</v>
      </c>
      <c r="C314" s="3" t="s">
        <v>11</v>
      </c>
      <c r="D314" s="2" t="s">
        <v>106</v>
      </c>
      <c r="E314" s="3">
        <v>0</v>
      </c>
      <c r="F314" s="3">
        <v>1</v>
      </c>
      <c r="G314" s="3" t="s">
        <v>10</v>
      </c>
      <c r="H314" s="3" t="s">
        <v>12</v>
      </c>
      <c r="I314" s="3">
        <v>2</v>
      </c>
      <c r="J314" s="3" t="s">
        <v>14</v>
      </c>
      <c r="K314" s="3" t="s">
        <v>14</v>
      </c>
      <c r="L314" s="3" t="s">
        <v>14</v>
      </c>
      <c r="M314" s="3" t="s">
        <v>13</v>
      </c>
      <c r="N314" s="3" t="s">
        <v>14</v>
      </c>
      <c r="O314" s="3">
        <v>0</v>
      </c>
    </row>
    <row r="315" spans="1:15" ht="15" customHeight="1" x14ac:dyDescent="0.25">
      <c r="A315" s="2">
        <v>30</v>
      </c>
      <c r="B315" s="2" t="s">
        <v>10</v>
      </c>
      <c r="C315" s="2" t="s">
        <v>19</v>
      </c>
      <c r="D315" s="2" t="s">
        <v>106</v>
      </c>
      <c r="E315" s="2">
        <v>1</v>
      </c>
      <c r="F315" s="2">
        <v>0</v>
      </c>
      <c r="G315" s="2" t="s">
        <v>10</v>
      </c>
      <c r="H315" s="2" t="s">
        <v>12</v>
      </c>
      <c r="I315" s="2" t="s">
        <v>15</v>
      </c>
      <c r="J315" s="2" t="s">
        <v>14</v>
      </c>
      <c r="K315" s="2" t="s">
        <v>14</v>
      </c>
      <c r="L315" s="2" t="s">
        <v>14</v>
      </c>
      <c r="M315" s="2" t="s">
        <v>13</v>
      </c>
      <c r="N315" s="2" t="s">
        <v>14</v>
      </c>
      <c r="O315" s="2">
        <v>0</v>
      </c>
    </row>
    <row r="316" spans="1:15" ht="15" customHeight="1" x14ac:dyDescent="0.25">
      <c r="A316" s="3">
        <v>0</v>
      </c>
      <c r="B316" s="3" t="s">
        <v>14</v>
      </c>
      <c r="C316" s="3" t="s">
        <v>19</v>
      </c>
      <c r="D316" s="2" t="s">
        <v>106</v>
      </c>
      <c r="E316" s="3">
        <v>0</v>
      </c>
      <c r="F316" s="3">
        <v>1</v>
      </c>
      <c r="G316" s="3" t="s">
        <v>10</v>
      </c>
      <c r="H316" s="3" t="s">
        <v>16</v>
      </c>
      <c r="I316" s="3" t="s">
        <v>15</v>
      </c>
      <c r="J316" s="3" t="s">
        <v>14</v>
      </c>
      <c r="K316" s="3" t="s">
        <v>14</v>
      </c>
      <c r="L316" s="3" t="s">
        <v>14</v>
      </c>
      <c r="M316" s="3" t="s">
        <v>14</v>
      </c>
      <c r="N316" s="3" t="s">
        <v>14</v>
      </c>
      <c r="O316" s="3">
        <v>0</v>
      </c>
    </row>
    <row r="317" spans="1:15" ht="15" customHeight="1" x14ac:dyDescent="0.25">
      <c r="A317" s="2">
        <v>0</v>
      </c>
      <c r="B317" s="2" t="s">
        <v>18</v>
      </c>
      <c r="C317" s="2" t="s">
        <v>11</v>
      </c>
      <c r="D317" s="2" t="s">
        <v>106</v>
      </c>
      <c r="E317" s="2">
        <v>0</v>
      </c>
      <c r="F317" s="2">
        <v>0</v>
      </c>
      <c r="G317" s="2" t="s">
        <v>10</v>
      </c>
      <c r="H317" s="2" t="s">
        <v>12</v>
      </c>
      <c r="I317" s="2" t="s">
        <v>15</v>
      </c>
      <c r="J317" s="2" t="s">
        <v>14</v>
      </c>
      <c r="K317" s="2" t="s">
        <v>14</v>
      </c>
      <c r="L317" s="2" t="s">
        <v>14</v>
      </c>
      <c r="M317" s="2" t="s">
        <v>14</v>
      </c>
      <c r="N317" s="2" t="s">
        <v>14</v>
      </c>
      <c r="O317" s="2">
        <v>1</v>
      </c>
    </row>
    <row r="318" spans="1:15" ht="15" customHeight="1" x14ac:dyDescent="0.25">
      <c r="A318" s="3">
        <v>5</v>
      </c>
      <c r="B318" s="3" t="s">
        <v>10</v>
      </c>
      <c r="C318" s="3" t="s">
        <v>11</v>
      </c>
      <c r="D318" s="2" t="s">
        <v>106</v>
      </c>
      <c r="E318" s="3">
        <v>0</v>
      </c>
      <c r="F318" s="3">
        <v>1</v>
      </c>
      <c r="G318" s="3" t="s">
        <v>10</v>
      </c>
      <c r="H318" s="3" t="s">
        <v>12</v>
      </c>
      <c r="I318" s="3">
        <v>2</v>
      </c>
      <c r="J318" s="3" t="s">
        <v>14</v>
      </c>
      <c r="K318" s="3" t="s">
        <v>14</v>
      </c>
      <c r="L318" s="3" t="s">
        <v>14</v>
      </c>
      <c r="M318" s="3" t="s">
        <v>14</v>
      </c>
      <c r="N318" s="3" t="s">
        <v>14</v>
      </c>
      <c r="O318" s="3">
        <v>1</v>
      </c>
    </row>
    <row r="319" spans="1:15" ht="15" customHeight="1" x14ac:dyDescent="0.25">
      <c r="A319" s="2">
        <v>0</v>
      </c>
      <c r="B319" s="2" t="s">
        <v>10</v>
      </c>
      <c r="C319" s="2" t="s">
        <v>11</v>
      </c>
      <c r="D319" s="2" t="s">
        <v>106</v>
      </c>
      <c r="E319" s="2">
        <v>0</v>
      </c>
      <c r="F319" s="2">
        <v>0</v>
      </c>
      <c r="G319" s="2" t="s">
        <v>10</v>
      </c>
      <c r="H319" s="2" t="s">
        <v>12</v>
      </c>
      <c r="I319" s="2" t="s">
        <v>15</v>
      </c>
      <c r="J319" s="2" t="s">
        <v>13</v>
      </c>
      <c r="K319" s="2" t="s">
        <v>14</v>
      </c>
      <c r="L319" s="2" t="s">
        <v>14</v>
      </c>
      <c r="M319" s="2" t="s">
        <v>14</v>
      </c>
      <c r="N319" s="2" t="s">
        <v>14</v>
      </c>
      <c r="O319" s="2">
        <v>0</v>
      </c>
    </row>
    <row r="320" spans="1:15" ht="15" customHeight="1" x14ac:dyDescent="0.25">
      <c r="A320" s="3">
        <v>10</v>
      </c>
      <c r="B320" s="3" t="s">
        <v>10</v>
      </c>
      <c r="C320" s="3" t="s">
        <v>19</v>
      </c>
      <c r="D320" s="2" t="s">
        <v>106</v>
      </c>
      <c r="E320" s="3">
        <v>0</v>
      </c>
      <c r="F320" s="3">
        <v>0</v>
      </c>
      <c r="G320" s="3" t="s">
        <v>10</v>
      </c>
      <c r="H320" s="3" t="s">
        <v>12</v>
      </c>
      <c r="I320" s="3">
        <v>2</v>
      </c>
      <c r="J320" s="3" t="s">
        <v>14</v>
      </c>
      <c r="K320" s="3" t="s">
        <v>14</v>
      </c>
      <c r="L320" s="3" t="s">
        <v>14</v>
      </c>
      <c r="M320" s="3" t="s">
        <v>14</v>
      </c>
      <c r="N320" s="3" t="s">
        <v>14</v>
      </c>
      <c r="O320" s="3">
        <v>1</v>
      </c>
    </row>
    <row r="321" spans="1:15" ht="15" customHeight="1" x14ac:dyDescent="0.25">
      <c r="A321" s="2">
        <v>5</v>
      </c>
      <c r="B321" s="2" t="s">
        <v>18</v>
      </c>
      <c r="C321" s="2" t="s">
        <v>19</v>
      </c>
      <c r="D321" s="2" t="s">
        <v>106</v>
      </c>
      <c r="E321" s="2">
        <v>0</v>
      </c>
      <c r="F321" s="2">
        <v>0</v>
      </c>
      <c r="G321" s="2" t="s">
        <v>10</v>
      </c>
      <c r="H321" s="2" t="s">
        <v>12</v>
      </c>
      <c r="I321" s="2" t="s">
        <v>15</v>
      </c>
      <c r="J321" s="2" t="s">
        <v>14</v>
      </c>
      <c r="K321" s="2" t="s">
        <v>14</v>
      </c>
      <c r="L321" s="2" t="s">
        <v>14</v>
      </c>
      <c r="M321" s="2" t="s">
        <v>14</v>
      </c>
      <c r="N321" s="2" t="s">
        <v>14</v>
      </c>
      <c r="O321" s="2">
        <v>1</v>
      </c>
    </row>
    <row r="322" spans="1:15" ht="15" customHeight="1" x14ac:dyDescent="0.25">
      <c r="A322" s="3">
        <v>10</v>
      </c>
      <c r="B322" s="3" t="s">
        <v>10</v>
      </c>
      <c r="C322" s="3" t="s">
        <v>11</v>
      </c>
      <c r="D322" s="2" t="s">
        <v>106</v>
      </c>
      <c r="E322" s="3">
        <v>0</v>
      </c>
      <c r="F322" s="3">
        <v>1</v>
      </c>
      <c r="G322" s="3" t="s">
        <v>10</v>
      </c>
      <c r="H322" s="3" t="s">
        <v>12</v>
      </c>
      <c r="I322" s="3" t="s">
        <v>15</v>
      </c>
      <c r="J322" s="3" t="s">
        <v>14</v>
      </c>
      <c r="K322" s="3" t="s">
        <v>14</v>
      </c>
      <c r="L322" s="3" t="s">
        <v>14</v>
      </c>
      <c r="M322" s="3" t="s">
        <v>14</v>
      </c>
      <c r="N322" s="3" t="s">
        <v>14</v>
      </c>
      <c r="O322" s="3">
        <v>1</v>
      </c>
    </row>
    <row r="323" spans="1:15" ht="15" customHeight="1" x14ac:dyDescent="0.25">
      <c r="A323" s="2">
        <v>0</v>
      </c>
      <c r="B323" s="2" t="s">
        <v>18</v>
      </c>
      <c r="C323" s="2" t="s">
        <v>11</v>
      </c>
      <c r="D323" s="2" t="s">
        <v>106</v>
      </c>
      <c r="E323" s="2">
        <v>1</v>
      </c>
      <c r="F323" s="2">
        <v>0</v>
      </c>
      <c r="G323" s="2" t="s">
        <v>10</v>
      </c>
      <c r="H323" s="2" t="s">
        <v>12</v>
      </c>
      <c r="I323" s="2">
        <v>2</v>
      </c>
      <c r="J323" s="2" t="s">
        <v>14</v>
      </c>
      <c r="K323" s="2" t="s">
        <v>14</v>
      </c>
      <c r="L323" s="2" t="s">
        <v>14</v>
      </c>
      <c r="M323" s="2" t="s">
        <v>13</v>
      </c>
      <c r="N323" s="2" t="s">
        <v>14</v>
      </c>
      <c r="O323" s="2">
        <v>1</v>
      </c>
    </row>
    <row r="324" spans="1:15" ht="15" customHeight="1" x14ac:dyDescent="0.25">
      <c r="A324" s="3">
        <v>0</v>
      </c>
      <c r="B324" s="3" t="s">
        <v>10</v>
      </c>
      <c r="C324" s="3" t="s">
        <v>20</v>
      </c>
      <c r="D324" s="2" t="s">
        <v>106</v>
      </c>
      <c r="E324" s="3">
        <v>0</v>
      </c>
      <c r="F324" s="3">
        <v>0</v>
      </c>
      <c r="G324" s="3" t="s">
        <v>17</v>
      </c>
      <c r="H324" s="3" t="s">
        <v>106</v>
      </c>
      <c r="I324" s="3">
        <v>1</v>
      </c>
      <c r="J324" s="3" t="s">
        <v>14</v>
      </c>
      <c r="K324" s="3" t="s">
        <v>13</v>
      </c>
      <c r="L324" s="3" t="s">
        <v>13</v>
      </c>
      <c r="M324" s="3" t="s">
        <v>13</v>
      </c>
      <c r="N324" s="3" t="s">
        <v>14</v>
      </c>
      <c r="O324" s="3">
        <v>1</v>
      </c>
    </row>
    <row r="325" spans="1:15" ht="15" customHeight="1" x14ac:dyDescent="0.25">
      <c r="A325" s="2">
        <v>0</v>
      </c>
      <c r="B325" s="2" t="s">
        <v>10</v>
      </c>
      <c r="C325" s="2" t="s">
        <v>20</v>
      </c>
      <c r="D325" s="2" t="s">
        <v>106</v>
      </c>
      <c r="E325" s="2">
        <v>0</v>
      </c>
      <c r="F325" s="2">
        <v>2</v>
      </c>
      <c r="G325" s="2" t="s">
        <v>17</v>
      </c>
      <c r="H325" s="2" t="s">
        <v>106</v>
      </c>
      <c r="I325" s="2">
        <v>1</v>
      </c>
      <c r="J325" s="2" t="s">
        <v>14</v>
      </c>
      <c r="K325" s="2" t="s">
        <v>13</v>
      </c>
      <c r="L325" s="2" t="s">
        <v>13</v>
      </c>
      <c r="M325" s="2" t="s">
        <v>13</v>
      </c>
      <c r="N325" s="2" t="s">
        <v>14</v>
      </c>
      <c r="O325" s="2">
        <v>1</v>
      </c>
    </row>
    <row r="326" spans="1:15" ht="15" customHeight="1" x14ac:dyDescent="0.25">
      <c r="A326" s="3">
        <v>10</v>
      </c>
      <c r="B326" s="3" t="s">
        <v>18</v>
      </c>
      <c r="C326" s="3" t="s">
        <v>19</v>
      </c>
      <c r="D326" s="2" t="s">
        <v>106</v>
      </c>
      <c r="E326" s="3">
        <v>0</v>
      </c>
      <c r="F326" s="3">
        <v>0</v>
      </c>
      <c r="G326" s="3" t="s">
        <v>10</v>
      </c>
      <c r="H326" s="3" t="s">
        <v>12</v>
      </c>
      <c r="I326" s="3">
        <v>1</v>
      </c>
      <c r="J326" s="3" t="s">
        <v>14</v>
      </c>
      <c r="K326" s="3" t="s">
        <v>13</v>
      </c>
      <c r="L326" s="3" t="s">
        <v>13</v>
      </c>
      <c r="M326" s="3" t="s">
        <v>14</v>
      </c>
      <c r="N326" s="3" t="s">
        <v>14</v>
      </c>
      <c r="O326" s="3">
        <v>1</v>
      </c>
    </row>
    <row r="327" spans="1:15" ht="15" customHeight="1" x14ac:dyDescent="0.25">
      <c r="A327" s="2">
        <v>30</v>
      </c>
      <c r="B327" s="2" t="s">
        <v>10</v>
      </c>
      <c r="C327" s="2" t="s">
        <v>11</v>
      </c>
      <c r="D327" s="2" t="s">
        <v>106</v>
      </c>
      <c r="E327" s="2">
        <v>0</v>
      </c>
      <c r="F327" s="2">
        <v>0</v>
      </c>
      <c r="G327" s="2" t="s">
        <v>10</v>
      </c>
      <c r="H327" s="2" t="s">
        <v>12</v>
      </c>
      <c r="I327" s="2">
        <v>2</v>
      </c>
      <c r="J327" s="2" t="s">
        <v>13</v>
      </c>
      <c r="K327" s="2" t="s">
        <v>14</v>
      </c>
      <c r="L327" s="2" t="s">
        <v>14</v>
      </c>
      <c r="M327" s="2" t="s">
        <v>13</v>
      </c>
      <c r="N327" s="2" t="s">
        <v>14</v>
      </c>
      <c r="O327" s="2">
        <v>1</v>
      </c>
    </row>
    <row r="328" spans="1:15" ht="15" customHeight="1" x14ac:dyDescent="0.25">
      <c r="A328" s="3">
        <v>5</v>
      </c>
      <c r="B328" s="3" t="s">
        <v>10</v>
      </c>
      <c r="C328" s="3" t="s">
        <v>11</v>
      </c>
      <c r="D328" s="2" t="s">
        <v>106</v>
      </c>
      <c r="E328" s="3">
        <v>0</v>
      </c>
      <c r="F328" s="3">
        <v>1</v>
      </c>
      <c r="G328" s="3" t="s">
        <v>10</v>
      </c>
      <c r="H328" s="3" t="s">
        <v>12</v>
      </c>
      <c r="I328" s="3">
        <v>2</v>
      </c>
      <c r="J328" s="3" t="s">
        <v>14</v>
      </c>
      <c r="K328" s="3" t="s">
        <v>14</v>
      </c>
      <c r="L328" s="3" t="s">
        <v>14</v>
      </c>
      <c r="M328" s="3" t="s">
        <v>14</v>
      </c>
      <c r="N328" s="3" t="s">
        <v>14</v>
      </c>
      <c r="O328" s="3">
        <v>1</v>
      </c>
    </row>
    <row r="329" spans="1:15" ht="15" customHeight="1" x14ac:dyDescent="0.25">
      <c r="A329" s="2">
        <v>20</v>
      </c>
      <c r="B329" s="2" t="s">
        <v>10</v>
      </c>
      <c r="C329" s="2" t="s">
        <v>19</v>
      </c>
      <c r="D329" s="2" t="s">
        <v>106</v>
      </c>
      <c r="E329" s="2">
        <v>0</v>
      </c>
      <c r="F329" s="2">
        <v>0</v>
      </c>
      <c r="G329" s="2" t="s">
        <v>10</v>
      </c>
      <c r="H329" s="2" t="s">
        <v>12</v>
      </c>
      <c r="I329" s="2">
        <v>1</v>
      </c>
      <c r="J329" s="2" t="s">
        <v>14</v>
      </c>
      <c r="K329" s="2" t="s">
        <v>14</v>
      </c>
      <c r="L329" s="2" t="s">
        <v>14</v>
      </c>
      <c r="M329" s="2" t="s">
        <v>13</v>
      </c>
      <c r="N329" s="2" t="s">
        <v>14</v>
      </c>
      <c r="O329" s="2">
        <v>1</v>
      </c>
    </row>
    <row r="330" spans="1:15" ht="15" customHeight="1" x14ac:dyDescent="0.25">
      <c r="A330" s="3">
        <v>5</v>
      </c>
      <c r="B330" s="3" t="s">
        <v>10</v>
      </c>
      <c r="C330" s="3" t="s">
        <v>11</v>
      </c>
      <c r="D330" s="2" t="s">
        <v>106</v>
      </c>
      <c r="E330" s="3">
        <v>1</v>
      </c>
      <c r="F330" s="3">
        <v>0</v>
      </c>
      <c r="G330" s="3" t="s">
        <v>17</v>
      </c>
      <c r="H330" s="3" t="s">
        <v>106</v>
      </c>
      <c r="I330" s="3">
        <v>1</v>
      </c>
      <c r="J330" s="3" t="s">
        <v>14</v>
      </c>
      <c r="K330" s="3" t="s">
        <v>13</v>
      </c>
      <c r="L330" s="3" t="s">
        <v>13</v>
      </c>
      <c r="M330" s="3" t="s">
        <v>13</v>
      </c>
      <c r="N330" s="3" t="s">
        <v>14</v>
      </c>
      <c r="O330" s="3">
        <v>0</v>
      </c>
    </row>
    <row r="331" spans="1:15" ht="15" customHeight="1" x14ac:dyDescent="0.25">
      <c r="A331" s="2">
        <v>20</v>
      </c>
      <c r="B331" s="2" t="s">
        <v>14</v>
      </c>
      <c r="C331" s="2" t="s">
        <v>20</v>
      </c>
      <c r="D331" s="2" t="s">
        <v>106</v>
      </c>
      <c r="E331" s="2">
        <v>0</v>
      </c>
      <c r="F331" s="2">
        <v>0</v>
      </c>
      <c r="G331" s="2" t="s">
        <v>10</v>
      </c>
      <c r="H331" s="2" t="s">
        <v>12</v>
      </c>
      <c r="I331" s="2">
        <v>1</v>
      </c>
      <c r="J331" s="2" t="s">
        <v>14</v>
      </c>
      <c r="K331" s="2" t="s">
        <v>14</v>
      </c>
      <c r="L331" s="2" t="s">
        <v>14</v>
      </c>
      <c r="M331" s="2" t="s">
        <v>13</v>
      </c>
      <c r="N331" s="2" t="s">
        <v>14</v>
      </c>
      <c r="O331" s="2">
        <v>0</v>
      </c>
    </row>
    <row r="332" spans="1:15" ht="15" customHeight="1" x14ac:dyDescent="0.25">
      <c r="A332" s="3">
        <v>5</v>
      </c>
      <c r="B332" s="3" t="s">
        <v>18</v>
      </c>
      <c r="C332" s="3" t="s">
        <v>19</v>
      </c>
      <c r="D332" s="2" t="s">
        <v>106</v>
      </c>
      <c r="E332" s="3">
        <v>0</v>
      </c>
      <c r="F332" s="3">
        <v>0</v>
      </c>
      <c r="G332" s="3" t="s">
        <v>10</v>
      </c>
      <c r="H332" s="3" t="s">
        <v>12</v>
      </c>
      <c r="I332" s="3">
        <v>1</v>
      </c>
      <c r="J332" s="3" t="s">
        <v>14</v>
      </c>
      <c r="K332" s="3" t="s">
        <v>14</v>
      </c>
      <c r="L332" s="3" t="s">
        <v>14</v>
      </c>
      <c r="M332" s="3" t="s">
        <v>14</v>
      </c>
      <c r="N332" s="3" t="s">
        <v>14</v>
      </c>
      <c r="O332" s="3">
        <v>1</v>
      </c>
    </row>
    <row r="333" spans="1:15" ht="15" customHeight="1" x14ac:dyDescent="0.25">
      <c r="A333" s="2">
        <v>20</v>
      </c>
      <c r="B333" s="2" t="s">
        <v>10</v>
      </c>
      <c r="C333" s="2" t="s">
        <v>11</v>
      </c>
      <c r="D333" s="2" t="s">
        <v>106</v>
      </c>
      <c r="E333" s="2">
        <v>2</v>
      </c>
      <c r="F333" s="2">
        <v>0</v>
      </c>
      <c r="G333" s="2" t="s">
        <v>10</v>
      </c>
      <c r="H333" s="2" t="s">
        <v>12</v>
      </c>
      <c r="I333" s="2">
        <v>2</v>
      </c>
      <c r="J333" s="2" t="s">
        <v>14</v>
      </c>
      <c r="K333" s="2" t="s">
        <v>14</v>
      </c>
      <c r="L333" s="2" t="s">
        <v>14</v>
      </c>
      <c r="M333" s="2" t="s">
        <v>13</v>
      </c>
      <c r="N333" s="2" t="s">
        <v>13</v>
      </c>
      <c r="O333" s="2">
        <v>0</v>
      </c>
    </row>
    <row r="334" spans="1:15" ht="15" customHeight="1" x14ac:dyDescent="0.25">
      <c r="A334" s="3">
        <v>10</v>
      </c>
      <c r="B334" s="3" t="s">
        <v>10</v>
      </c>
      <c r="C334" s="3" t="s">
        <v>19</v>
      </c>
      <c r="D334" s="2" t="s">
        <v>106</v>
      </c>
      <c r="E334" s="3">
        <v>0</v>
      </c>
      <c r="F334" s="3">
        <v>0</v>
      </c>
      <c r="G334" s="3" t="s">
        <v>10</v>
      </c>
      <c r="H334" s="3" t="s">
        <v>12</v>
      </c>
      <c r="I334" s="3">
        <v>2</v>
      </c>
      <c r="J334" s="3" t="s">
        <v>14</v>
      </c>
      <c r="K334" s="3" t="s">
        <v>14</v>
      </c>
      <c r="L334" s="3" t="s">
        <v>14</v>
      </c>
      <c r="M334" s="3" t="s">
        <v>14</v>
      </c>
      <c r="N334" s="3" t="s">
        <v>14</v>
      </c>
      <c r="O334" s="3">
        <v>1</v>
      </c>
    </row>
    <row r="335" spans="1:15" ht="15" customHeight="1" x14ac:dyDescent="0.25">
      <c r="A335" s="2">
        <v>5</v>
      </c>
      <c r="B335" s="2" t="s">
        <v>10</v>
      </c>
      <c r="C335" s="2" t="s">
        <v>19</v>
      </c>
      <c r="D335" s="2" t="s">
        <v>106</v>
      </c>
      <c r="E335" s="2">
        <v>0</v>
      </c>
      <c r="F335" s="2">
        <v>1</v>
      </c>
      <c r="G335" s="2" t="s">
        <v>10</v>
      </c>
      <c r="H335" s="2" t="s">
        <v>12</v>
      </c>
      <c r="I335" s="2">
        <v>2</v>
      </c>
      <c r="J335" s="2" t="s">
        <v>14</v>
      </c>
      <c r="K335" s="2" t="s">
        <v>14</v>
      </c>
      <c r="L335" s="2" t="s">
        <v>14</v>
      </c>
      <c r="M335" s="2" t="s">
        <v>14</v>
      </c>
      <c r="N335" s="2" t="s">
        <v>14</v>
      </c>
      <c r="O335" s="2">
        <v>1</v>
      </c>
    </row>
    <row r="336" spans="1:15" ht="15" customHeight="1" x14ac:dyDescent="0.25">
      <c r="A336" s="3">
        <v>0</v>
      </c>
      <c r="B336" s="3" t="s">
        <v>14</v>
      </c>
      <c r="C336" s="3" t="s">
        <v>19</v>
      </c>
      <c r="D336" s="2" t="s">
        <v>106</v>
      </c>
      <c r="E336" s="3">
        <v>0</v>
      </c>
      <c r="F336" s="3">
        <v>1</v>
      </c>
      <c r="G336" s="3" t="s">
        <v>10</v>
      </c>
      <c r="H336" s="3" t="s">
        <v>12</v>
      </c>
      <c r="I336" s="3" t="s">
        <v>15</v>
      </c>
      <c r="J336" s="3" t="s">
        <v>14</v>
      </c>
      <c r="K336" s="3" t="s">
        <v>14</v>
      </c>
      <c r="L336" s="3" t="s">
        <v>14</v>
      </c>
      <c r="M336" s="3" t="s">
        <v>14</v>
      </c>
      <c r="N336" s="3" t="s">
        <v>14</v>
      </c>
      <c r="O336" s="3">
        <v>1</v>
      </c>
    </row>
    <row r="337" spans="1:15" ht="15" customHeight="1" x14ac:dyDescent="0.25">
      <c r="A337" s="2">
        <v>0</v>
      </c>
      <c r="B337" s="2" t="s">
        <v>14</v>
      </c>
      <c r="C337" s="2" t="s">
        <v>19</v>
      </c>
      <c r="D337" s="2" t="s">
        <v>106</v>
      </c>
      <c r="E337" s="2">
        <v>0</v>
      </c>
      <c r="F337" s="2">
        <v>0</v>
      </c>
      <c r="G337" s="2" t="s">
        <v>10</v>
      </c>
      <c r="H337" s="2" t="s">
        <v>12</v>
      </c>
      <c r="I337" s="2">
        <v>2</v>
      </c>
      <c r="J337" s="2" t="s">
        <v>14</v>
      </c>
      <c r="K337" s="2" t="s">
        <v>14</v>
      </c>
      <c r="L337" s="2" t="s">
        <v>14</v>
      </c>
      <c r="M337" s="2" t="s">
        <v>14</v>
      </c>
      <c r="N337" s="2" t="s">
        <v>14</v>
      </c>
      <c r="O337" s="2">
        <v>1</v>
      </c>
    </row>
    <row r="338" spans="1:15" ht="15" customHeight="1" x14ac:dyDescent="0.25">
      <c r="A338" s="3">
        <v>10</v>
      </c>
      <c r="B338" s="3" t="s">
        <v>18</v>
      </c>
      <c r="C338" s="3" t="s">
        <v>19</v>
      </c>
      <c r="D338" s="2" t="s">
        <v>106</v>
      </c>
      <c r="E338" s="3">
        <v>0</v>
      </c>
      <c r="F338" s="3">
        <v>0</v>
      </c>
      <c r="G338" s="3" t="s">
        <v>10</v>
      </c>
      <c r="H338" s="3" t="s">
        <v>12</v>
      </c>
      <c r="I338" s="3" t="s">
        <v>15</v>
      </c>
      <c r="J338" s="3" t="s">
        <v>14</v>
      </c>
      <c r="K338" s="3" t="s">
        <v>14</v>
      </c>
      <c r="L338" s="3" t="s">
        <v>14</v>
      </c>
      <c r="M338" s="3" t="s">
        <v>14</v>
      </c>
      <c r="N338" s="3" t="s">
        <v>14</v>
      </c>
      <c r="O338" s="3">
        <v>1</v>
      </c>
    </row>
    <row r="339" spans="1:15" ht="15" customHeight="1" x14ac:dyDescent="0.25">
      <c r="A339" s="2">
        <v>10</v>
      </c>
      <c r="B339" s="2" t="s">
        <v>18</v>
      </c>
      <c r="C339" s="2" t="s">
        <v>20</v>
      </c>
      <c r="D339" s="2" t="s">
        <v>106</v>
      </c>
      <c r="E339" s="2">
        <v>0</v>
      </c>
      <c r="F339" s="2">
        <v>0</v>
      </c>
      <c r="G339" s="2" t="s">
        <v>10</v>
      </c>
      <c r="H339" s="2" t="s">
        <v>12</v>
      </c>
      <c r="I339" s="2">
        <v>2</v>
      </c>
      <c r="J339" s="2" t="s">
        <v>14</v>
      </c>
      <c r="K339" s="2" t="s">
        <v>14</v>
      </c>
      <c r="L339" s="2" t="s">
        <v>14</v>
      </c>
      <c r="M339" s="2" t="s">
        <v>14</v>
      </c>
      <c r="N339" s="2" t="s">
        <v>14</v>
      </c>
      <c r="O339" s="2">
        <v>1</v>
      </c>
    </row>
    <row r="340" spans="1:15" ht="15" customHeight="1" x14ac:dyDescent="0.25">
      <c r="A340" s="3">
        <v>10</v>
      </c>
      <c r="B340" s="3" t="s">
        <v>10</v>
      </c>
      <c r="C340" s="3" t="s">
        <v>20</v>
      </c>
      <c r="D340" s="2" t="s">
        <v>106</v>
      </c>
      <c r="E340" s="3">
        <v>0</v>
      </c>
      <c r="F340" s="3">
        <v>0</v>
      </c>
      <c r="G340" s="3" t="s">
        <v>10</v>
      </c>
      <c r="H340" s="3" t="s">
        <v>12</v>
      </c>
      <c r="I340" s="3">
        <v>2</v>
      </c>
      <c r="J340" s="3" t="s">
        <v>14</v>
      </c>
      <c r="K340" s="3" t="s">
        <v>14</v>
      </c>
      <c r="L340" s="3" t="s">
        <v>14</v>
      </c>
      <c r="M340" s="3" t="s">
        <v>14</v>
      </c>
      <c r="N340" s="3" t="s">
        <v>14</v>
      </c>
      <c r="O340" s="3">
        <v>1</v>
      </c>
    </row>
    <row r="341" spans="1:15" ht="15" customHeight="1" x14ac:dyDescent="0.25">
      <c r="A341" s="2">
        <v>30</v>
      </c>
      <c r="B341" s="2" t="s">
        <v>10</v>
      </c>
      <c r="C341" s="2" t="s">
        <v>19</v>
      </c>
      <c r="D341" s="2" t="s">
        <v>106</v>
      </c>
      <c r="E341" s="2">
        <v>1</v>
      </c>
      <c r="F341" s="2">
        <v>0</v>
      </c>
      <c r="G341" s="2" t="s">
        <v>10</v>
      </c>
      <c r="H341" s="2" t="s">
        <v>12</v>
      </c>
      <c r="I341" s="2" t="s">
        <v>15</v>
      </c>
      <c r="J341" s="2" t="s">
        <v>14</v>
      </c>
      <c r="K341" s="2" t="s">
        <v>14</v>
      </c>
      <c r="L341" s="2" t="s">
        <v>14</v>
      </c>
      <c r="M341" s="2" t="s">
        <v>13</v>
      </c>
      <c r="N341" s="2" t="s">
        <v>14</v>
      </c>
      <c r="O341" s="2">
        <v>0</v>
      </c>
    </row>
    <row r="342" spans="1:15" ht="15" customHeight="1" x14ac:dyDescent="0.25">
      <c r="A342" s="3">
        <v>0</v>
      </c>
      <c r="B342" s="3" t="s">
        <v>10</v>
      </c>
      <c r="C342" s="3" t="s">
        <v>19</v>
      </c>
      <c r="D342" s="2" t="s">
        <v>106</v>
      </c>
      <c r="E342" s="3">
        <v>0</v>
      </c>
      <c r="F342" s="3">
        <v>1</v>
      </c>
      <c r="G342" s="3" t="s">
        <v>10</v>
      </c>
      <c r="H342" s="3" t="s">
        <v>12</v>
      </c>
      <c r="I342" s="3">
        <v>2</v>
      </c>
      <c r="J342" s="3" t="s">
        <v>14</v>
      </c>
      <c r="K342" s="3" t="s">
        <v>13</v>
      </c>
      <c r="L342" s="3" t="s">
        <v>14</v>
      </c>
      <c r="M342" s="3" t="s">
        <v>14</v>
      </c>
      <c r="N342" s="3" t="s">
        <v>14</v>
      </c>
      <c r="O342" s="3">
        <v>1</v>
      </c>
    </row>
    <row r="343" spans="1:15" ht="15" customHeight="1" x14ac:dyDescent="0.25">
      <c r="A343" s="2">
        <v>10</v>
      </c>
      <c r="B343" s="2" t="s">
        <v>10</v>
      </c>
      <c r="C343" s="2" t="s">
        <v>11</v>
      </c>
      <c r="D343" s="2" t="s">
        <v>106</v>
      </c>
      <c r="E343" s="2">
        <v>1</v>
      </c>
      <c r="F343" s="2">
        <v>0</v>
      </c>
      <c r="G343" s="2" t="s">
        <v>10</v>
      </c>
      <c r="H343" s="2" t="s">
        <v>12</v>
      </c>
      <c r="I343" s="2">
        <v>2</v>
      </c>
      <c r="J343" s="2" t="s">
        <v>14</v>
      </c>
      <c r="K343" s="2" t="s">
        <v>14</v>
      </c>
      <c r="L343" s="2" t="s">
        <v>14</v>
      </c>
      <c r="M343" s="2" t="s">
        <v>14</v>
      </c>
      <c r="N343" s="2" t="s">
        <v>14</v>
      </c>
      <c r="O343" s="2">
        <v>1</v>
      </c>
    </row>
    <row r="344" spans="1:15" ht="15" customHeight="1" x14ac:dyDescent="0.25">
      <c r="A344" s="3">
        <v>10</v>
      </c>
      <c r="B344" s="3" t="s">
        <v>14</v>
      </c>
      <c r="C344" s="3" t="s">
        <v>19</v>
      </c>
      <c r="D344" s="2" t="s">
        <v>106</v>
      </c>
      <c r="E344" s="3">
        <v>0</v>
      </c>
      <c r="F344" s="3">
        <v>1</v>
      </c>
      <c r="G344" s="3" t="s">
        <v>10</v>
      </c>
      <c r="H344" s="3" t="s">
        <v>12</v>
      </c>
      <c r="I344" s="3">
        <v>2</v>
      </c>
      <c r="J344" s="3" t="s">
        <v>14</v>
      </c>
      <c r="K344" s="3" t="s">
        <v>14</v>
      </c>
      <c r="L344" s="3" t="s">
        <v>14</v>
      </c>
      <c r="M344" s="3" t="s">
        <v>14</v>
      </c>
      <c r="N344" s="3" t="s">
        <v>14</v>
      </c>
      <c r="O344" s="3">
        <v>1</v>
      </c>
    </row>
    <row r="345" spans="1:15" ht="15" customHeight="1" x14ac:dyDescent="0.25">
      <c r="A345" s="2">
        <v>5</v>
      </c>
      <c r="B345" s="2" t="s">
        <v>18</v>
      </c>
      <c r="C345" s="2" t="s">
        <v>19</v>
      </c>
      <c r="D345" s="2" t="s">
        <v>106</v>
      </c>
      <c r="E345" s="2">
        <v>0</v>
      </c>
      <c r="F345" s="2">
        <v>0</v>
      </c>
      <c r="G345" s="2" t="s">
        <v>10</v>
      </c>
      <c r="H345" s="2" t="s">
        <v>12</v>
      </c>
      <c r="I345" s="2" t="s">
        <v>15</v>
      </c>
      <c r="J345" s="3" t="s">
        <v>14</v>
      </c>
      <c r="K345" s="3" t="s">
        <v>14</v>
      </c>
      <c r="L345" s="3" t="s">
        <v>14</v>
      </c>
      <c r="M345" s="3" t="s">
        <v>14</v>
      </c>
      <c r="N345" s="3" t="s">
        <v>14</v>
      </c>
      <c r="O345" s="2">
        <v>1</v>
      </c>
    </row>
    <row r="346" spans="1:15" ht="15" customHeight="1" x14ac:dyDescent="0.25">
      <c r="A346" s="3">
        <v>5</v>
      </c>
      <c r="B346" s="3" t="s">
        <v>14</v>
      </c>
      <c r="C346" s="3" t="s">
        <v>19</v>
      </c>
      <c r="D346" s="2" t="s">
        <v>106</v>
      </c>
      <c r="E346" s="3">
        <v>0</v>
      </c>
      <c r="F346" s="3">
        <v>0</v>
      </c>
      <c r="G346" s="3" t="s">
        <v>10</v>
      </c>
      <c r="H346" s="3" t="s">
        <v>12</v>
      </c>
      <c r="I346" s="3" t="s">
        <v>15</v>
      </c>
      <c r="J346" s="3" t="s">
        <v>14</v>
      </c>
      <c r="K346" s="3" t="s">
        <v>14</v>
      </c>
      <c r="L346" s="3" t="s">
        <v>14</v>
      </c>
      <c r="M346" s="3" t="s">
        <v>14</v>
      </c>
      <c r="N346" s="3" t="s">
        <v>14</v>
      </c>
      <c r="O346" s="3">
        <v>1</v>
      </c>
    </row>
    <row r="347" spans="1:15" ht="15" customHeight="1" x14ac:dyDescent="0.25">
      <c r="A347" s="2">
        <v>5</v>
      </c>
      <c r="B347" s="2" t="s">
        <v>14</v>
      </c>
      <c r="C347" s="2" t="s">
        <v>19</v>
      </c>
      <c r="D347" s="2" t="s">
        <v>106</v>
      </c>
      <c r="E347" s="2">
        <v>0</v>
      </c>
      <c r="F347" s="2">
        <v>0</v>
      </c>
      <c r="G347" s="2" t="s">
        <v>10</v>
      </c>
      <c r="H347" s="2" t="s">
        <v>12</v>
      </c>
      <c r="I347" s="2" t="s">
        <v>15</v>
      </c>
      <c r="J347" s="3" t="s">
        <v>14</v>
      </c>
      <c r="K347" s="3" t="s">
        <v>14</v>
      </c>
      <c r="L347" s="3" t="s">
        <v>14</v>
      </c>
      <c r="M347" s="3" t="s">
        <v>14</v>
      </c>
      <c r="N347" s="3" t="s">
        <v>14</v>
      </c>
      <c r="O347" s="2">
        <v>1</v>
      </c>
    </row>
    <row r="348" spans="1:15" ht="15" customHeight="1" x14ac:dyDescent="0.25">
      <c r="A348" s="3">
        <v>5</v>
      </c>
      <c r="B348" s="3" t="s">
        <v>10</v>
      </c>
      <c r="C348" s="3" t="s">
        <v>11</v>
      </c>
      <c r="D348" s="2" t="s">
        <v>106</v>
      </c>
      <c r="E348" s="3">
        <v>0</v>
      </c>
      <c r="F348" s="3">
        <v>0</v>
      </c>
      <c r="G348" s="3" t="s">
        <v>10</v>
      </c>
      <c r="H348" s="3" t="s">
        <v>12</v>
      </c>
      <c r="I348" s="3" t="s">
        <v>15</v>
      </c>
      <c r="J348" s="3" t="s">
        <v>14</v>
      </c>
      <c r="K348" s="3" t="s">
        <v>14</v>
      </c>
      <c r="L348" s="3" t="s">
        <v>14</v>
      </c>
      <c r="M348" s="3" t="s">
        <v>14</v>
      </c>
      <c r="N348" s="3" t="s">
        <v>14</v>
      </c>
      <c r="O348" s="3">
        <v>1</v>
      </c>
    </row>
    <row r="349" spans="1:15" ht="15" customHeight="1" x14ac:dyDescent="0.25">
      <c r="A349" s="2">
        <v>5</v>
      </c>
      <c r="B349" s="2" t="s">
        <v>18</v>
      </c>
      <c r="C349" s="2" t="s">
        <v>19</v>
      </c>
      <c r="D349" s="2" t="s">
        <v>106</v>
      </c>
      <c r="E349" s="2">
        <v>0</v>
      </c>
      <c r="F349" s="2">
        <v>0</v>
      </c>
      <c r="G349" s="2" t="s">
        <v>10</v>
      </c>
      <c r="H349" s="2" t="s">
        <v>12</v>
      </c>
      <c r="I349" s="2">
        <v>1</v>
      </c>
      <c r="J349" s="2" t="s">
        <v>14</v>
      </c>
      <c r="K349" s="2" t="s">
        <v>14</v>
      </c>
      <c r="L349" s="2" t="s">
        <v>14</v>
      </c>
      <c r="M349" s="2" t="s">
        <v>14</v>
      </c>
      <c r="N349" s="2" t="s">
        <v>14</v>
      </c>
      <c r="O349" s="2">
        <v>1</v>
      </c>
    </row>
    <row r="350" spans="1:15" ht="15" customHeight="1" x14ac:dyDescent="0.25">
      <c r="A350" s="3">
        <v>10</v>
      </c>
      <c r="B350" s="3" t="s">
        <v>10</v>
      </c>
      <c r="C350" s="3" t="s">
        <v>11</v>
      </c>
      <c r="D350" s="2" t="s">
        <v>106</v>
      </c>
      <c r="E350" s="3">
        <v>1</v>
      </c>
      <c r="F350" s="3">
        <v>0</v>
      </c>
      <c r="G350" s="3" t="s">
        <v>10</v>
      </c>
      <c r="H350" s="3" t="s">
        <v>12</v>
      </c>
      <c r="I350" s="3">
        <v>2</v>
      </c>
      <c r="J350" s="3" t="s">
        <v>13</v>
      </c>
      <c r="K350" s="3" t="s">
        <v>14</v>
      </c>
      <c r="L350" s="3" t="s">
        <v>14</v>
      </c>
      <c r="M350" s="3" t="s">
        <v>14</v>
      </c>
      <c r="N350" s="3" t="s">
        <v>14</v>
      </c>
      <c r="O350" s="3">
        <v>0</v>
      </c>
    </row>
    <row r="351" spans="1:15" ht="15" customHeight="1" x14ac:dyDescent="0.25">
      <c r="A351" s="2">
        <v>10</v>
      </c>
      <c r="B351" s="2" t="s">
        <v>10</v>
      </c>
      <c r="C351" s="2" t="s">
        <v>19</v>
      </c>
      <c r="D351" s="2" t="s">
        <v>106</v>
      </c>
      <c r="E351" s="2">
        <v>0</v>
      </c>
      <c r="F351" s="2">
        <v>0</v>
      </c>
      <c r="G351" s="2" t="s">
        <v>17</v>
      </c>
      <c r="H351" s="2" t="s">
        <v>106</v>
      </c>
      <c r="I351" s="2">
        <v>1</v>
      </c>
      <c r="J351" s="2" t="s">
        <v>14</v>
      </c>
      <c r="K351" s="2" t="s">
        <v>13</v>
      </c>
      <c r="L351" s="2" t="s">
        <v>13</v>
      </c>
      <c r="M351" s="2" t="s">
        <v>13</v>
      </c>
      <c r="N351" s="2" t="s">
        <v>14</v>
      </c>
      <c r="O351" s="2">
        <v>1</v>
      </c>
    </row>
    <row r="352" spans="1:15" ht="15" customHeight="1" x14ac:dyDescent="0.25">
      <c r="A352" s="3">
        <v>5</v>
      </c>
      <c r="B352" s="3" t="s">
        <v>18</v>
      </c>
      <c r="C352" s="3" t="s">
        <v>20</v>
      </c>
      <c r="D352" s="2" t="s">
        <v>106</v>
      </c>
      <c r="E352" s="3">
        <v>0</v>
      </c>
      <c r="F352" s="3">
        <v>0</v>
      </c>
      <c r="G352" s="3" t="s">
        <v>10</v>
      </c>
      <c r="H352" s="3" t="s">
        <v>12</v>
      </c>
      <c r="I352" s="3" t="s">
        <v>15</v>
      </c>
      <c r="J352" s="3" t="s">
        <v>14</v>
      </c>
      <c r="K352" s="3" t="s">
        <v>13</v>
      </c>
      <c r="L352" s="3" t="s">
        <v>14</v>
      </c>
      <c r="M352" s="3" t="s">
        <v>14</v>
      </c>
      <c r="N352" s="3" t="s">
        <v>14</v>
      </c>
      <c r="O352" s="3">
        <v>1</v>
      </c>
    </row>
    <row r="353" spans="1:15" ht="15" customHeight="1" x14ac:dyDescent="0.25">
      <c r="A353" s="2">
        <v>10</v>
      </c>
      <c r="B353" s="2" t="s">
        <v>18</v>
      </c>
      <c r="C353" s="2" t="s">
        <v>20</v>
      </c>
      <c r="D353" s="2" t="s">
        <v>106</v>
      </c>
      <c r="E353" s="2">
        <v>0</v>
      </c>
      <c r="F353" s="2">
        <v>0</v>
      </c>
      <c r="G353" s="2" t="s">
        <v>10</v>
      </c>
      <c r="H353" s="2" t="s">
        <v>12</v>
      </c>
      <c r="I353" s="2">
        <v>1</v>
      </c>
      <c r="J353" s="2" t="s">
        <v>14</v>
      </c>
      <c r="K353" s="2" t="s">
        <v>14</v>
      </c>
      <c r="L353" s="2" t="s">
        <v>14</v>
      </c>
      <c r="M353" s="2" t="s">
        <v>14</v>
      </c>
      <c r="N353" s="2" t="s">
        <v>14</v>
      </c>
      <c r="O353" s="2">
        <v>1</v>
      </c>
    </row>
    <row r="354" spans="1:15" ht="15" customHeight="1" x14ac:dyDescent="0.25">
      <c r="A354" s="3">
        <v>10</v>
      </c>
      <c r="B354" s="3" t="s">
        <v>14</v>
      </c>
      <c r="C354" s="3" t="s">
        <v>20</v>
      </c>
      <c r="D354" s="2" t="s">
        <v>106</v>
      </c>
      <c r="E354" s="3">
        <v>0</v>
      </c>
      <c r="F354" s="3">
        <v>0</v>
      </c>
      <c r="G354" s="3" t="s">
        <v>10</v>
      </c>
      <c r="H354" s="3" t="s">
        <v>12</v>
      </c>
      <c r="I354" s="3">
        <v>2</v>
      </c>
      <c r="J354" s="3" t="s">
        <v>14</v>
      </c>
      <c r="K354" s="3" t="s">
        <v>14</v>
      </c>
      <c r="L354" s="3" t="s">
        <v>14</v>
      </c>
      <c r="M354" s="3" t="s">
        <v>14</v>
      </c>
      <c r="N354" s="3" t="s">
        <v>14</v>
      </c>
      <c r="O354" s="3">
        <v>1</v>
      </c>
    </row>
    <row r="355" spans="1:15" ht="15" customHeight="1" x14ac:dyDescent="0.25">
      <c r="A355" s="2">
        <v>10</v>
      </c>
      <c r="B355" s="2" t="s">
        <v>10</v>
      </c>
      <c r="C355" s="2" t="s">
        <v>19</v>
      </c>
      <c r="D355" s="2" t="s">
        <v>106</v>
      </c>
      <c r="E355" s="2">
        <v>0</v>
      </c>
      <c r="F355" s="2">
        <v>0</v>
      </c>
      <c r="G355" s="2" t="s">
        <v>10</v>
      </c>
      <c r="H355" s="2" t="s">
        <v>16</v>
      </c>
      <c r="I355" s="2">
        <v>2</v>
      </c>
      <c r="J355" s="2" t="s">
        <v>14</v>
      </c>
      <c r="K355" s="2" t="s">
        <v>14</v>
      </c>
      <c r="L355" s="2" t="s">
        <v>14</v>
      </c>
      <c r="M355" s="2" t="s">
        <v>14</v>
      </c>
      <c r="N355" s="2" t="s">
        <v>14</v>
      </c>
      <c r="O355" s="2">
        <v>1</v>
      </c>
    </row>
    <row r="356" spans="1:15" ht="15" customHeight="1" x14ac:dyDescent="0.25">
      <c r="A356" s="3">
        <v>5</v>
      </c>
      <c r="B356" s="3" t="s">
        <v>10</v>
      </c>
      <c r="C356" s="3" t="s">
        <v>19</v>
      </c>
      <c r="D356" s="2" t="s">
        <v>106</v>
      </c>
      <c r="E356" s="3">
        <v>0</v>
      </c>
      <c r="F356" s="3">
        <v>0</v>
      </c>
      <c r="G356" s="3" t="s">
        <v>10</v>
      </c>
      <c r="H356" s="3" t="s">
        <v>12</v>
      </c>
      <c r="I356" s="3" t="s">
        <v>15</v>
      </c>
      <c r="J356" s="3" t="s">
        <v>14</v>
      </c>
      <c r="K356" s="3" t="s">
        <v>14</v>
      </c>
      <c r="L356" s="3" t="s">
        <v>14</v>
      </c>
      <c r="M356" s="3" t="s">
        <v>14</v>
      </c>
      <c r="N356" s="3" t="s">
        <v>14</v>
      </c>
      <c r="O356" s="3">
        <v>1</v>
      </c>
    </row>
    <row r="357" spans="1:15" ht="15" customHeight="1" x14ac:dyDescent="0.25">
      <c r="A357" s="2">
        <v>10</v>
      </c>
      <c r="B357" s="2" t="s">
        <v>10</v>
      </c>
      <c r="C357" s="2" t="s">
        <v>19</v>
      </c>
      <c r="D357" s="2" t="s">
        <v>106</v>
      </c>
      <c r="E357" s="2">
        <v>0</v>
      </c>
      <c r="F357" s="2">
        <v>0</v>
      </c>
      <c r="G357" s="2" t="s">
        <v>10</v>
      </c>
      <c r="H357" s="2" t="s">
        <v>12</v>
      </c>
      <c r="I357" s="2" t="s">
        <v>15</v>
      </c>
      <c r="J357" s="2" t="s">
        <v>13</v>
      </c>
      <c r="K357" s="3" t="s">
        <v>14</v>
      </c>
      <c r="L357" s="3" t="s">
        <v>14</v>
      </c>
      <c r="M357" s="3" t="s">
        <v>14</v>
      </c>
      <c r="N357" s="3" t="s">
        <v>14</v>
      </c>
      <c r="O357" s="2">
        <v>1</v>
      </c>
    </row>
    <row r="358" spans="1:15" ht="15" customHeight="1" x14ac:dyDescent="0.25">
      <c r="A358" s="3">
        <v>10</v>
      </c>
      <c r="B358" s="3" t="s">
        <v>18</v>
      </c>
      <c r="C358" s="3" t="s">
        <v>19</v>
      </c>
      <c r="D358" s="2" t="s">
        <v>106</v>
      </c>
      <c r="E358" s="3">
        <v>0</v>
      </c>
      <c r="F358" s="3">
        <v>0</v>
      </c>
      <c r="G358" s="3" t="s">
        <v>10</v>
      </c>
      <c r="H358" s="3" t="s">
        <v>12</v>
      </c>
      <c r="I358" s="3" t="s">
        <v>15</v>
      </c>
      <c r="J358" s="3" t="s">
        <v>14</v>
      </c>
      <c r="K358" s="3" t="s">
        <v>14</v>
      </c>
      <c r="L358" s="3" t="s">
        <v>14</v>
      </c>
      <c r="M358" s="3" t="s">
        <v>14</v>
      </c>
      <c r="N358" s="3" t="s">
        <v>14</v>
      </c>
      <c r="O358" s="3">
        <v>1</v>
      </c>
    </row>
    <row r="359" spans="1:15" ht="15" customHeight="1" x14ac:dyDescent="0.25">
      <c r="A359" s="2">
        <v>10</v>
      </c>
      <c r="B359" s="2" t="s">
        <v>18</v>
      </c>
      <c r="C359" s="2" t="s">
        <v>19</v>
      </c>
      <c r="D359" s="2" t="s">
        <v>106</v>
      </c>
      <c r="E359" s="2">
        <v>0</v>
      </c>
      <c r="F359" s="2">
        <v>0</v>
      </c>
      <c r="G359" s="2" t="s">
        <v>10</v>
      </c>
      <c r="H359" s="2" t="s">
        <v>12</v>
      </c>
      <c r="I359" s="2">
        <v>2</v>
      </c>
      <c r="J359" s="3" t="s">
        <v>14</v>
      </c>
      <c r="K359" s="3" t="s">
        <v>14</v>
      </c>
      <c r="L359" s="3" t="s">
        <v>14</v>
      </c>
      <c r="M359" s="3" t="s">
        <v>14</v>
      </c>
      <c r="N359" s="3" t="s">
        <v>14</v>
      </c>
      <c r="O359" s="2">
        <v>1</v>
      </c>
    </row>
    <row r="360" spans="1:15" ht="15" customHeight="1" x14ac:dyDescent="0.25">
      <c r="A360" s="3">
        <v>10</v>
      </c>
      <c r="B360" s="3" t="s">
        <v>14</v>
      </c>
      <c r="C360" s="3" t="s">
        <v>19</v>
      </c>
      <c r="D360" s="2" t="s">
        <v>106</v>
      </c>
      <c r="E360" s="3">
        <v>0</v>
      </c>
      <c r="F360" s="3">
        <v>0</v>
      </c>
      <c r="G360" s="3" t="s">
        <v>10</v>
      </c>
      <c r="H360" s="3" t="s">
        <v>12</v>
      </c>
      <c r="I360" s="3">
        <v>2</v>
      </c>
      <c r="J360" s="3" t="s">
        <v>14</v>
      </c>
      <c r="K360" s="3" t="s">
        <v>14</v>
      </c>
      <c r="L360" s="3" t="s">
        <v>14</v>
      </c>
      <c r="M360" s="3" t="s">
        <v>14</v>
      </c>
      <c r="N360" s="3" t="s">
        <v>14</v>
      </c>
      <c r="O360" s="3">
        <v>1</v>
      </c>
    </row>
    <row r="361" spans="1:15" ht="15" customHeight="1" x14ac:dyDescent="0.25">
      <c r="A361" s="2">
        <v>5</v>
      </c>
      <c r="B361" s="2" t="s">
        <v>10</v>
      </c>
      <c r="C361" s="2" t="s">
        <v>19</v>
      </c>
      <c r="D361" s="2" t="s">
        <v>106</v>
      </c>
      <c r="E361" s="2">
        <v>0</v>
      </c>
      <c r="F361" s="2">
        <v>0</v>
      </c>
      <c r="G361" s="2" t="s">
        <v>10</v>
      </c>
      <c r="H361" s="2" t="s">
        <v>12</v>
      </c>
      <c r="I361" s="2">
        <v>2</v>
      </c>
      <c r="J361" s="3" t="s">
        <v>14</v>
      </c>
      <c r="K361" s="3" t="s">
        <v>14</v>
      </c>
      <c r="L361" s="3" t="s">
        <v>14</v>
      </c>
      <c r="M361" s="3" t="s">
        <v>14</v>
      </c>
      <c r="N361" s="3" t="s">
        <v>14</v>
      </c>
      <c r="O361" s="2">
        <v>1</v>
      </c>
    </row>
    <row r="362" spans="1:15" ht="15" customHeight="1" x14ac:dyDescent="0.25">
      <c r="A362" s="3">
        <v>5</v>
      </c>
      <c r="B362" s="3" t="s">
        <v>10</v>
      </c>
      <c r="C362" s="3" t="s">
        <v>19</v>
      </c>
      <c r="D362" s="2" t="s">
        <v>106</v>
      </c>
      <c r="E362" s="3">
        <v>0</v>
      </c>
      <c r="F362" s="3">
        <v>0</v>
      </c>
      <c r="G362" s="3" t="s">
        <v>10</v>
      </c>
      <c r="H362" s="3" t="s">
        <v>12</v>
      </c>
      <c r="I362" s="3">
        <v>2</v>
      </c>
      <c r="J362" s="3" t="s">
        <v>14</v>
      </c>
      <c r="K362" s="3" t="s">
        <v>14</v>
      </c>
      <c r="L362" s="3" t="s">
        <v>14</v>
      </c>
      <c r="M362" s="3" t="s">
        <v>14</v>
      </c>
      <c r="N362" s="3" t="s">
        <v>14</v>
      </c>
      <c r="O362" s="3">
        <v>0</v>
      </c>
    </row>
    <row r="363" spans="1:15" ht="15" customHeight="1" x14ac:dyDescent="0.25">
      <c r="A363" s="2">
        <v>5</v>
      </c>
      <c r="B363" s="2" t="s">
        <v>18</v>
      </c>
      <c r="C363" s="2" t="s">
        <v>19</v>
      </c>
      <c r="D363" s="2" t="s">
        <v>106</v>
      </c>
      <c r="E363" s="2">
        <v>0</v>
      </c>
      <c r="F363" s="2">
        <v>1</v>
      </c>
      <c r="G363" s="2" t="s">
        <v>10</v>
      </c>
      <c r="H363" s="2" t="s">
        <v>16</v>
      </c>
      <c r="I363" s="2" t="s">
        <v>15</v>
      </c>
      <c r="J363" s="3" t="s">
        <v>14</v>
      </c>
      <c r="K363" s="2" t="s">
        <v>13</v>
      </c>
      <c r="L363" s="3" t="s">
        <v>14</v>
      </c>
      <c r="M363" s="3" t="s">
        <v>14</v>
      </c>
      <c r="N363" s="3" t="s">
        <v>14</v>
      </c>
      <c r="O363" s="2">
        <v>1</v>
      </c>
    </row>
    <row r="364" spans="1:15" ht="15" customHeight="1" x14ac:dyDescent="0.25">
      <c r="A364" s="3">
        <v>30</v>
      </c>
      <c r="B364" s="3" t="s">
        <v>10</v>
      </c>
      <c r="C364" s="3" t="s">
        <v>19</v>
      </c>
      <c r="D364" s="2" t="s">
        <v>106</v>
      </c>
      <c r="E364" s="3">
        <v>1</v>
      </c>
      <c r="F364" s="3">
        <v>1</v>
      </c>
      <c r="G364" s="3" t="s">
        <v>10</v>
      </c>
      <c r="H364" s="3" t="s">
        <v>12</v>
      </c>
      <c r="I364" s="3">
        <v>1</v>
      </c>
      <c r="J364" s="3" t="s">
        <v>14</v>
      </c>
      <c r="K364" s="3" t="s">
        <v>13</v>
      </c>
      <c r="L364" s="3" t="s">
        <v>13</v>
      </c>
      <c r="M364" s="3" t="s">
        <v>13</v>
      </c>
      <c r="N364" s="3" t="s">
        <v>14</v>
      </c>
      <c r="O364" s="3">
        <v>0</v>
      </c>
    </row>
    <row r="365" spans="1:15" ht="15" customHeight="1" x14ac:dyDescent="0.25">
      <c r="A365" s="2">
        <v>10</v>
      </c>
      <c r="B365" s="2" t="s">
        <v>10</v>
      </c>
      <c r="C365" s="2" t="s">
        <v>19</v>
      </c>
      <c r="D365" s="2" t="s">
        <v>106</v>
      </c>
      <c r="E365" s="2">
        <v>1</v>
      </c>
      <c r="F365" s="2">
        <v>0</v>
      </c>
      <c r="G365" s="2" t="s">
        <v>17</v>
      </c>
      <c r="H365" s="2" t="s">
        <v>106</v>
      </c>
      <c r="I365" s="2">
        <v>1</v>
      </c>
      <c r="J365" s="3" t="s">
        <v>14</v>
      </c>
      <c r="K365" s="2" t="s">
        <v>13</v>
      </c>
      <c r="L365" s="2" t="s">
        <v>13</v>
      </c>
      <c r="M365" s="2" t="s">
        <v>13</v>
      </c>
      <c r="N365" s="3" t="s">
        <v>14</v>
      </c>
      <c r="O365" s="2">
        <v>0</v>
      </c>
    </row>
    <row r="366" spans="1:15" ht="15" customHeight="1" x14ac:dyDescent="0.25">
      <c r="A366" s="3">
        <v>0</v>
      </c>
      <c r="B366" s="3" t="s">
        <v>10</v>
      </c>
      <c r="C366" s="3" t="s">
        <v>19</v>
      </c>
      <c r="D366" s="2" t="s">
        <v>106</v>
      </c>
      <c r="E366" s="3">
        <v>0</v>
      </c>
      <c r="F366" s="3">
        <v>1</v>
      </c>
      <c r="G366" s="3" t="s">
        <v>10</v>
      </c>
      <c r="H366" s="3" t="s">
        <v>12</v>
      </c>
      <c r="I366" s="3" t="s">
        <v>15</v>
      </c>
      <c r="J366" s="3" t="s">
        <v>14</v>
      </c>
      <c r="K366" s="3" t="s">
        <v>14</v>
      </c>
      <c r="L366" s="3" t="s">
        <v>14</v>
      </c>
      <c r="M366" s="3" t="s">
        <v>14</v>
      </c>
      <c r="N366" s="3" t="s">
        <v>14</v>
      </c>
      <c r="O366" s="3">
        <v>1</v>
      </c>
    </row>
    <row r="367" spans="1:15" ht="15" customHeight="1" x14ac:dyDescent="0.25">
      <c r="A367" s="2">
        <v>5</v>
      </c>
      <c r="B367" s="2" t="s">
        <v>10</v>
      </c>
      <c r="C367" s="2" t="s">
        <v>19</v>
      </c>
      <c r="D367" s="2" t="s">
        <v>106</v>
      </c>
      <c r="E367" s="2">
        <v>0</v>
      </c>
      <c r="F367" s="2">
        <v>0</v>
      </c>
      <c r="G367" s="2" t="s">
        <v>10</v>
      </c>
      <c r="H367" s="2" t="s">
        <v>12</v>
      </c>
      <c r="I367" s="2">
        <v>1</v>
      </c>
      <c r="J367" s="3" t="s">
        <v>14</v>
      </c>
      <c r="K367" s="3" t="s">
        <v>14</v>
      </c>
      <c r="L367" s="3" t="s">
        <v>14</v>
      </c>
      <c r="M367" s="3" t="s">
        <v>14</v>
      </c>
      <c r="N367" s="3" t="s">
        <v>14</v>
      </c>
      <c r="O367" s="2">
        <v>1</v>
      </c>
    </row>
    <row r="368" spans="1:15" ht="15" customHeight="1" x14ac:dyDescent="0.25">
      <c r="A368" s="3">
        <v>10</v>
      </c>
      <c r="B368" s="3" t="s">
        <v>18</v>
      </c>
      <c r="C368" s="3" t="s">
        <v>19</v>
      </c>
      <c r="D368" s="2" t="s">
        <v>106</v>
      </c>
      <c r="E368" s="3">
        <v>0</v>
      </c>
      <c r="F368" s="3">
        <v>0</v>
      </c>
      <c r="G368" s="3" t="s">
        <v>10</v>
      </c>
      <c r="H368" s="3" t="s">
        <v>12</v>
      </c>
      <c r="I368" s="3">
        <v>2</v>
      </c>
      <c r="J368" s="3" t="s">
        <v>14</v>
      </c>
      <c r="K368" s="3" t="s">
        <v>14</v>
      </c>
      <c r="L368" s="3" t="s">
        <v>14</v>
      </c>
      <c r="M368" s="3" t="s">
        <v>14</v>
      </c>
      <c r="N368" s="3" t="s">
        <v>14</v>
      </c>
      <c r="O368" s="3">
        <v>1</v>
      </c>
    </row>
    <row r="369" spans="1:15" ht="15" customHeight="1" x14ac:dyDescent="0.25">
      <c r="A369" s="2">
        <v>5</v>
      </c>
      <c r="B369" s="2" t="s">
        <v>14</v>
      </c>
      <c r="C369" s="2" t="s">
        <v>19</v>
      </c>
      <c r="D369" s="2" t="s">
        <v>106</v>
      </c>
      <c r="E369" s="2">
        <v>0</v>
      </c>
      <c r="F369" s="2">
        <v>0</v>
      </c>
      <c r="G369" s="2" t="s">
        <v>10</v>
      </c>
      <c r="H369" s="2" t="s">
        <v>12</v>
      </c>
      <c r="I369" s="2" t="s">
        <v>15</v>
      </c>
      <c r="J369" s="3" t="s">
        <v>14</v>
      </c>
      <c r="K369" s="3" t="s">
        <v>14</v>
      </c>
      <c r="L369" s="3" t="s">
        <v>14</v>
      </c>
      <c r="M369" s="3" t="s">
        <v>14</v>
      </c>
      <c r="N369" s="3" t="s">
        <v>14</v>
      </c>
      <c r="O369" s="2">
        <v>1</v>
      </c>
    </row>
    <row r="370" spans="1:15" ht="15" customHeight="1" x14ac:dyDescent="0.25">
      <c r="A370" s="3">
        <v>5</v>
      </c>
      <c r="B370" s="3" t="s">
        <v>14</v>
      </c>
      <c r="C370" s="3" t="s">
        <v>19</v>
      </c>
      <c r="D370" s="2" t="s">
        <v>106</v>
      </c>
      <c r="E370" s="3">
        <v>0</v>
      </c>
      <c r="F370" s="3">
        <v>0</v>
      </c>
      <c r="G370" s="3" t="s">
        <v>10</v>
      </c>
      <c r="H370" s="3" t="s">
        <v>16</v>
      </c>
      <c r="I370" s="3">
        <v>2</v>
      </c>
      <c r="J370" s="3" t="s">
        <v>14</v>
      </c>
      <c r="K370" s="3" t="s">
        <v>14</v>
      </c>
      <c r="L370" s="3" t="s">
        <v>14</v>
      </c>
      <c r="M370" s="3" t="s">
        <v>14</v>
      </c>
      <c r="N370" s="3" t="s">
        <v>14</v>
      </c>
      <c r="O370" s="3">
        <v>1</v>
      </c>
    </row>
    <row r="371" spans="1:15" ht="15" customHeight="1" x14ac:dyDescent="0.25">
      <c r="A371" s="2">
        <v>10</v>
      </c>
      <c r="B371" s="2" t="s">
        <v>18</v>
      </c>
      <c r="C371" s="2" t="s">
        <v>19</v>
      </c>
      <c r="D371" s="2" t="s">
        <v>106</v>
      </c>
      <c r="E371" s="2">
        <v>0</v>
      </c>
      <c r="F371" s="2">
        <v>0</v>
      </c>
      <c r="G371" s="2" t="s">
        <v>10</v>
      </c>
      <c r="H371" s="2" t="s">
        <v>12</v>
      </c>
      <c r="I371" s="2">
        <v>1</v>
      </c>
      <c r="J371" s="3" t="s">
        <v>14</v>
      </c>
      <c r="K371" s="3" t="s">
        <v>14</v>
      </c>
      <c r="L371" s="3" t="s">
        <v>14</v>
      </c>
      <c r="M371" s="3" t="s">
        <v>14</v>
      </c>
      <c r="N371" s="3" t="s">
        <v>14</v>
      </c>
      <c r="O371" s="2">
        <v>1</v>
      </c>
    </row>
    <row r="372" spans="1:15" ht="15" customHeight="1" x14ac:dyDescent="0.25">
      <c r="A372" s="3">
        <v>5</v>
      </c>
      <c r="B372" s="3" t="s">
        <v>10</v>
      </c>
      <c r="C372" s="3" t="s">
        <v>19</v>
      </c>
      <c r="D372" s="2" t="s">
        <v>106</v>
      </c>
      <c r="E372" s="3">
        <v>0</v>
      </c>
      <c r="F372" s="3">
        <v>0</v>
      </c>
      <c r="G372" s="3" t="s">
        <v>10</v>
      </c>
      <c r="H372" s="3" t="s">
        <v>12</v>
      </c>
      <c r="I372" s="3">
        <v>2</v>
      </c>
      <c r="J372" s="3" t="s">
        <v>14</v>
      </c>
      <c r="K372" s="3" t="s">
        <v>14</v>
      </c>
      <c r="L372" s="3" t="s">
        <v>14</v>
      </c>
      <c r="M372" s="3" t="s">
        <v>14</v>
      </c>
      <c r="N372" s="3" t="s">
        <v>14</v>
      </c>
      <c r="O372" s="3">
        <v>1</v>
      </c>
    </row>
    <row r="373" spans="1:15" ht="15" customHeight="1" x14ac:dyDescent="0.25">
      <c r="A373" s="2">
        <v>10</v>
      </c>
      <c r="B373" s="2" t="s">
        <v>10</v>
      </c>
      <c r="C373" s="2" t="s">
        <v>11</v>
      </c>
      <c r="D373" s="2" t="s">
        <v>106</v>
      </c>
      <c r="E373" s="2">
        <v>0</v>
      </c>
      <c r="F373" s="2">
        <v>1</v>
      </c>
      <c r="G373" s="2" t="s">
        <v>10</v>
      </c>
      <c r="H373" s="2" t="s">
        <v>12</v>
      </c>
      <c r="I373" s="2" t="s">
        <v>15</v>
      </c>
      <c r="J373" s="3" t="s">
        <v>14</v>
      </c>
      <c r="K373" s="3" t="s">
        <v>14</v>
      </c>
      <c r="L373" s="3" t="s">
        <v>14</v>
      </c>
      <c r="M373" s="3" t="s">
        <v>14</v>
      </c>
      <c r="N373" s="2" t="s">
        <v>14</v>
      </c>
      <c r="O373" s="2">
        <v>1</v>
      </c>
    </row>
    <row r="374" spans="1:15" ht="15" customHeight="1" x14ac:dyDescent="0.25">
      <c r="A374" s="3">
        <v>0</v>
      </c>
      <c r="B374" s="3" t="s">
        <v>14</v>
      </c>
      <c r="C374" s="3" t="s">
        <v>11</v>
      </c>
      <c r="D374" s="2" t="s">
        <v>106</v>
      </c>
      <c r="E374" s="3">
        <v>1</v>
      </c>
      <c r="F374" s="3">
        <v>0</v>
      </c>
      <c r="G374" s="3" t="s">
        <v>10</v>
      </c>
      <c r="H374" s="3" t="s">
        <v>12</v>
      </c>
      <c r="I374" s="3">
        <v>2</v>
      </c>
      <c r="J374" s="3" t="s">
        <v>14</v>
      </c>
      <c r="K374" s="3" t="s">
        <v>13</v>
      </c>
      <c r="L374" s="3" t="s">
        <v>14</v>
      </c>
      <c r="M374" s="3" t="s">
        <v>14</v>
      </c>
      <c r="N374" s="3" t="s">
        <v>14</v>
      </c>
      <c r="O374" s="3">
        <v>1</v>
      </c>
    </row>
    <row r="375" spans="1:15" ht="15" customHeight="1" x14ac:dyDescent="0.25">
      <c r="A375" s="2">
        <v>5</v>
      </c>
      <c r="B375" s="2" t="s">
        <v>18</v>
      </c>
      <c r="C375" s="2" t="s">
        <v>20</v>
      </c>
      <c r="D375" s="2" t="s">
        <v>106</v>
      </c>
      <c r="E375" s="2">
        <v>0</v>
      </c>
      <c r="F375" s="2">
        <v>0</v>
      </c>
      <c r="G375" s="2" t="s">
        <v>17</v>
      </c>
      <c r="H375" s="2" t="s">
        <v>106</v>
      </c>
      <c r="I375" s="2">
        <v>1</v>
      </c>
      <c r="J375" s="3" t="s">
        <v>14</v>
      </c>
      <c r="K375" s="2" t="s">
        <v>13</v>
      </c>
      <c r="L375" s="2" t="s">
        <v>13</v>
      </c>
      <c r="M375" s="2" t="s">
        <v>13</v>
      </c>
      <c r="N375" s="2" t="s">
        <v>14</v>
      </c>
      <c r="O375" s="2">
        <v>1</v>
      </c>
    </row>
    <row r="376" spans="1:15" ht="15" customHeight="1" x14ac:dyDescent="0.25">
      <c r="A376" s="3">
        <v>5</v>
      </c>
      <c r="B376" s="3" t="s">
        <v>10</v>
      </c>
      <c r="C376" s="3" t="s">
        <v>20</v>
      </c>
      <c r="D376" s="2" t="s">
        <v>106</v>
      </c>
      <c r="E376" s="3">
        <v>0</v>
      </c>
      <c r="F376" s="3">
        <v>0</v>
      </c>
      <c r="G376" s="3" t="s">
        <v>10</v>
      </c>
      <c r="H376" s="3" t="s">
        <v>12</v>
      </c>
      <c r="I376" s="3" t="s">
        <v>15</v>
      </c>
      <c r="J376" s="3" t="s">
        <v>14</v>
      </c>
      <c r="K376" s="3" t="s">
        <v>14</v>
      </c>
      <c r="L376" s="3" t="s">
        <v>14</v>
      </c>
      <c r="M376" s="3" t="s">
        <v>14</v>
      </c>
      <c r="N376" s="3" t="s">
        <v>14</v>
      </c>
      <c r="O376" s="3">
        <v>1</v>
      </c>
    </row>
    <row r="377" spans="1:15" ht="15" customHeight="1" x14ac:dyDescent="0.25">
      <c r="A377" s="2">
        <v>10</v>
      </c>
      <c r="B377" s="2" t="s">
        <v>10</v>
      </c>
      <c r="C377" s="2" t="s">
        <v>19</v>
      </c>
      <c r="D377" s="2" t="s">
        <v>106</v>
      </c>
      <c r="E377" s="2">
        <v>0</v>
      </c>
      <c r="F377" s="2">
        <v>0</v>
      </c>
      <c r="G377" s="2" t="s">
        <v>10</v>
      </c>
      <c r="H377" s="2" t="s">
        <v>12</v>
      </c>
      <c r="I377" s="2">
        <v>2</v>
      </c>
      <c r="J377" s="3" t="s">
        <v>14</v>
      </c>
      <c r="K377" s="3" t="s">
        <v>14</v>
      </c>
      <c r="L377" s="3" t="s">
        <v>14</v>
      </c>
      <c r="M377" s="3" t="s">
        <v>14</v>
      </c>
      <c r="N377" s="3" t="s">
        <v>14</v>
      </c>
      <c r="O377" s="2">
        <v>1</v>
      </c>
    </row>
    <row r="378" spans="1:15" ht="15" customHeight="1" x14ac:dyDescent="0.25">
      <c r="A378" s="3">
        <v>10</v>
      </c>
      <c r="B378" s="3" t="s">
        <v>18</v>
      </c>
      <c r="C378" s="3" t="s">
        <v>19</v>
      </c>
      <c r="D378" s="2" t="s">
        <v>106</v>
      </c>
      <c r="E378" s="3">
        <v>0</v>
      </c>
      <c r="F378" s="3">
        <v>0</v>
      </c>
      <c r="G378" s="3" t="s">
        <v>10</v>
      </c>
      <c r="H378" s="3" t="s">
        <v>12</v>
      </c>
      <c r="I378" s="3" t="s">
        <v>15</v>
      </c>
      <c r="J378" s="3" t="s">
        <v>14</v>
      </c>
      <c r="K378" s="3" t="s">
        <v>14</v>
      </c>
      <c r="L378" s="3" t="s">
        <v>14</v>
      </c>
      <c r="M378" s="3" t="s">
        <v>14</v>
      </c>
      <c r="N378" s="3" t="s">
        <v>14</v>
      </c>
      <c r="O378" s="3">
        <v>1</v>
      </c>
    </row>
    <row r="379" spans="1:15" ht="15" customHeight="1" x14ac:dyDescent="0.25">
      <c r="A379" s="2">
        <v>10</v>
      </c>
      <c r="B379" s="2" t="s">
        <v>14</v>
      </c>
      <c r="C379" s="2" t="s">
        <v>19</v>
      </c>
      <c r="D379" s="2" t="s">
        <v>106</v>
      </c>
      <c r="E379" s="2">
        <v>0</v>
      </c>
      <c r="F379" s="2">
        <v>0</v>
      </c>
      <c r="G379" s="2" t="s">
        <v>10</v>
      </c>
      <c r="H379" s="2" t="s">
        <v>12</v>
      </c>
      <c r="I379" s="2">
        <v>2</v>
      </c>
      <c r="J379" s="3" t="s">
        <v>14</v>
      </c>
      <c r="K379" s="3" t="s">
        <v>14</v>
      </c>
      <c r="L379" s="3" t="s">
        <v>14</v>
      </c>
      <c r="M379" s="3" t="s">
        <v>14</v>
      </c>
      <c r="N379" s="3" t="s">
        <v>14</v>
      </c>
      <c r="O379" s="2">
        <v>1</v>
      </c>
    </row>
    <row r="380" spans="1:15" ht="15" customHeight="1" x14ac:dyDescent="0.25">
      <c r="A380" s="3">
        <v>10</v>
      </c>
      <c r="B380" s="3" t="s">
        <v>14</v>
      </c>
      <c r="C380" s="3" t="s">
        <v>19</v>
      </c>
      <c r="D380" s="2" t="s">
        <v>106</v>
      </c>
      <c r="E380" s="3">
        <v>0</v>
      </c>
      <c r="F380" s="3">
        <v>0</v>
      </c>
      <c r="G380" s="3" t="s">
        <v>10</v>
      </c>
      <c r="H380" s="3" t="s">
        <v>12</v>
      </c>
      <c r="I380" s="3" t="s">
        <v>15</v>
      </c>
      <c r="J380" s="3" t="s">
        <v>14</v>
      </c>
      <c r="K380" s="3" t="s">
        <v>14</v>
      </c>
      <c r="L380" s="3" t="s">
        <v>14</v>
      </c>
      <c r="M380" s="3" t="s">
        <v>14</v>
      </c>
      <c r="N380" s="3" t="s">
        <v>14</v>
      </c>
      <c r="O380" s="3">
        <v>1</v>
      </c>
    </row>
    <row r="381" spans="1:15" ht="15" customHeight="1" x14ac:dyDescent="0.25">
      <c r="A381" s="2">
        <v>5</v>
      </c>
      <c r="B381" s="2" t="s">
        <v>14</v>
      </c>
      <c r="C381" s="2" t="s">
        <v>19</v>
      </c>
      <c r="D381" s="2" t="s">
        <v>106</v>
      </c>
      <c r="E381" s="2">
        <v>0</v>
      </c>
      <c r="F381" s="2">
        <v>0</v>
      </c>
      <c r="G381" s="2" t="s">
        <v>10</v>
      </c>
      <c r="H381" s="2" t="s">
        <v>16</v>
      </c>
      <c r="I381" s="2">
        <v>2</v>
      </c>
      <c r="J381" s="3" t="s">
        <v>14</v>
      </c>
      <c r="K381" s="3" t="s">
        <v>14</v>
      </c>
      <c r="L381" s="3" t="s">
        <v>14</v>
      </c>
      <c r="M381" s="3" t="s">
        <v>14</v>
      </c>
      <c r="N381" s="3" t="s">
        <v>14</v>
      </c>
      <c r="O381" s="2">
        <v>1</v>
      </c>
    </row>
    <row r="382" spans="1:15" ht="15" customHeight="1" x14ac:dyDescent="0.25">
      <c r="A382" s="3">
        <v>10</v>
      </c>
      <c r="B382" s="3" t="s">
        <v>18</v>
      </c>
      <c r="C382" s="3" t="s">
        <v>19</v>
      </c>
      <c r="D382" s="2" t="s">
        <v>106</v>
      </c>
      <c r="E382" s="3">
        <v>0</v>
      </c>
      <c r="F382" s="3">
        <v>0</v>
      </c>
      <c r="G382" s="3" t="s">
        <v>10</v>
      </c>
      <c r="H382" s="3" t="s">
        <v>12</v>
      </c>
      <c r="I382" s="3">
        <v>2</v>
      </c>
      <c r="J382" s="3" t="s">
        <v>14</v>
      </c>
      <c r="K382" s="3" t="s">
        <v>14</v>
      </c>
      <c r="L382" s="3" t="s">
        <v>14</v>
      </c>
      <c r="M382" s="3" t="s">
        <v>14</v>
      </c>
      <c r="N382" s="3" t="s">
        <v>14</v>
      </c>
      <c r="O382" s="3">
        <v>1</v>
      </c>
    </row>
    <row r="383" spans="1:15" ht="15" customHeight="1" x14ac:dyDescent="0.25">
      <c r="A383" s="2">
        <v>10</v>
      </c>
      <c r="B383" s="2" t="s">
        <v>14</v>
      </c>
      <c r="C383" s="2" t="s">
        <v>19</v>
      </c>
      <c r="D383" s="2" t="s">
        <v>106</v>
      </c>
      <c r="E383" s="2">
        <v>0</v>
      </c>
      <c r="F383" s="2">
        <v>0</v>
      </c>
      <c r="G383" s="2" t="s">
        <v>10</v>
      </c>
      <c r="H383" s="2" t="s">
        <v>12</v>
      </c>
      <c r="I383" s="2">
        <v>2</v>
      </c>
      <c r="J383" s="3" t="s">
        <v>14</v>
      </c>
      <c r="K383" s="3" t="s">
        <v>14</v>
      </c>
      <c r="L383" s="3" t="s">
        <v>14</v>
      </c>
      <c r="M383" s="3" t="s">
        <v>14</v>
      </c>
      <c r="N383" s="3" t="s">
        <v>14</v>
      </c>
      <c r="O383" s="2">
        <v>1</v>
      </c>
    </row>
    <row r="384" spans="1:15" ht="15" customHeight="1" x14ac:dyDescent="0.25">
      <c r="A384" s="3">
        <v>10</v>
      </c>
      <c r="B384" s="3" t="s">
        <v>10</v>
      </c>
      <c r="C384" s="3" t="s">
        <v>19</v>
      </c>
      <c r="D384" s="2" t="s">
        <v>106</v>
      </c>
      <c r="E384" s="3">
        <v>0</v>
      </c>
      <c r="F384" s="3">
        <v>0</v>
      </c>
      <c r="G384" s="3" t="s">
        <v>10</v>
      </c>
      <c r="H384" s="3" t="s">
        <v>12</v>
      </c>
      <c r="I384" s="3">
        <v>2</v>
      </c>
      <c r="J384" s="3" t="s">
        <v>14</v>
      </c>
      <c r="K384" s="3" t="s">
        <v>14</v>
      </c>
      <c r="L384" s="3" t="s">
        <v>14</v>
      </c>
      <c r="M384" s="3" t="s">
        <v>14</v>
      </c>
      <c r="N384" s="3" t="s">
        <v>14</v>
      </c>
      <c r="O384" s="3">
        <v>1</v>
      </c>
    </row>
    <row r="385" spans="1:15" ht="15" customHeight="1" x14ac:dyDescent="0.25">
      <c r="A385" s="2">
        <v>5</v>
      </c>
      <c r="B385" s="2" t="s">
        <v>18</v>
      </c>
      <c r="C385" s="2" t="s">
        <v>19</v>
      </c>
      <c r="D385" s="2" t="s">
        <v>106</v>
      </c>
      <c r="E385" s="2">
        <v>0</v>
      </c>
      <c r="F385" s="2">
        <v>0</v>
      </c>
      <c r="G385" s="2" t="s">
        <v>10</v>
      </c>
      <c r="H385" s="2" t="s">
        <v>12</v>
      </c>
      <c r="I385" s="2" t="s">
        <v>15</v>
      </c>
      <c r="J385" s="3" t="s">
        <v>14</v>
      </c>
      <c r="K385" s="3" t="s">
        <v>14</v>
      </c>
      <c r="L385" s="3" t="s">
        <v>14</v>
      </c>
      <c r="M385" s="3" t="s">
        <v>14</v>
      </c>
      <c r="N385" s="3" t="s">
        <v>14</v>
      </c>
      <c r="O385" s="2">
        <v>1</v>
      </c>
    </row>
    <row r="386" spans="1:15" ht="15" customHeight="1" x14ac:dyDescent="0.25">
      <c r="A386" s="3">
        <v>10</v>
      </c>
      <c r="B386" s="3" t="s">
        <v>10</v>
      </c>
      <c r="C386" s="3" t="s">
        <v>19</v>
      </c>
      <c r="D386" s="2" t="s">
        <v>106</v>
      </c>
      <c r="E386" s="3">
        <v>0</v>
      </c>
      <c r="F386" s="3">
        <v>0</v>
      </c>
      <c r="G386" s="3" t="s">
        <v>10</v>
      </c>
      <c r="H386" s="3" t="s">
        <v>12</v>
      </c>
      <c r="I386" s="3">
        <v>2</v>
      </c>
      <c r="J386" s="3" t="s">
        <v>14</v>
      </c>
      <c r="K386" s="3" t="s">
        <v>14</v>
      </c>
      <c r="L386" s="3" t="s">
        <v>14</v>
      </c>
      <c r="M386" s="3" t="s">
        <v>14</v>
      </c>
      <c r="N386" s="3" t="s">
        <v>14</v>
      </c>
      <c r="O386" s="3">
        <v>1</v>
      </c>
    </row>
    <row r="387" spans="1:15" ht="15" customHeight="1" x14ac:dyDescent="0.25">
      <c r="A387" s="2">
        <v>5</v>
      </c>
      <c r="B387" s="2" t="s">
        <v>10</v>
      </c>
      <c r="C387" s="2" t="s">
        <v>19</v>
      </c>
      <c r="D387" s="2" t="s">
        <v>106</v>
      </c>
      <c r="E387" s="2">
        <v>1</v>
      </c>
      <c r="F387" s="2">
        <v>0</v>
      </c>
      <c r="G387" s="2" t="s">
        <v>10</v>
      </c>
      <c r="H387" s="2" t="s">
        <v>12</v>
      </c>
      <c r="I387" s="2">
        <v>2</v>
      </c>
      <c r="J387" s="2" t="s">
        <v>13</v>
      </c>
      <c r="K387" s="3" t="s">
        <v>14</v>
      </c>
      <c r="L387" s="3" t="s">
        <v>14</v>
      </c>
      <c r="M387" s="3" t="s">
        <v>14</v>
      </c>
      <c r="N387" s="3" t="s">
        <v>14</v>
      </c>
      <c r="O387" s="2">
        <v>0</v>
      </c>
    </row>
    <row r="388" spans="1:15" ht="15" customHeight="1" x14ac:dyDescent="0.25">
      <c r="A388" s="3">
        <v>0</v>
      </c>
      <c r="B388" s="3" t="s">
        <v>14</v>
      </c>
      <c r="C388" s="3" t="s">
        <v>19</v>
      </c>
      <c r="D388" s="2" t="s">
        <v>106</v>
      </c>
      <c r="E388" s="3">
        <v>0</v>
      </c>
      <c r="F388" s="3">
        <v>0</v>
      </c>
      <c r="G388" s="3" t="s">
        <v>10</v>
      </c>
      <c r="H388" s="3" t="s">
        <v>12</v>
      </c>
      <c r="I388" s="3">
        <v>1</v>
      </c>
      <c r="J388" s="3" t="s">
        <v>14</v>
      </c>
      <c r="K388" s="3" t="s">
        <v>14</v>
      </c>
      <c r="L388" s="3" t="s">
        <v>14</v>
      </c>
      <c r="M388" s="3" t="s">
        <v>14</v>
      </c>
      <c r="N388" s="3" t="s">
        <v>14</v>
      </c>
      <c r="O388" s="3">
        <v>1</v>
      </c>
    </row>
    <row r="389" spans="1:15" ht="15" customHeight="1" x14ac:dyDescent="0.25">
      <c r="A389" s="2">
        <v>0</v>
      </c>
      <c r="B389" s="2" t="s">
        <v>10</v>
      </c>
      <c r="C389" s="2" t="s">
        <v>19</v>
      </c>
      <c r="D389" s="2" t="s">
        <v>106</v>
      </c>
      <c r="E389" s="2">
        <v>1</v>
      </c>
      <c r="F389" s="2">
        <v>0</v>
      </c>
      <c r="G389" s="2" t="s">
        <v>10</v>
      </c>
      <c r="H389" s="2" t="s">
        <v>12</v>
      </c>
      <c r="I389" s="2">
        <v>2</v>
      </c>
      <c r="J389" s="3" t="s">
        <v>14</v>
      </c>
      <c r="K389" s="3" t="s">
        <v>14</v>
      </c>
      <c r="L389" s="3" t="s">
        <v>14</v>
      </c>
      <c r="M389" s="3" t="s">
        <v>14</v>
      </c>
      <c r="N389" s="3" t="s">
        <v>14</v>
      </c>
      <c r="O389" s="2">
        <v>1</v>
      </c>
    </row>
    <row r="390" spans="1:15" ht="15" customHeight="1" x14ac:dyDescent="0.25">
      <c r="A390" s="3">
        <v>0</v>
      </c>
      <c r="B390" s="3" t="s">
        <v>14</v>
      </c>
      <c r="C390" s="3" t="s">
        <v>19</v>
      </c>
      <c r="D390" s="2" t="s">
        <v>106</v>
      </c>
      <c r="E390" s="3">
        <v>0</v>
      </c>
      <c r="F390" s="3">
        <v>0</v>
      </c>
      <c r="G390" s="3" t="s">
        <v>10</v>
      </c>
      <c r="H390" s="3" t="s">
        <v>16</v>
      </c>
      <c r="I390" s="3" t="s">
        <v>15</v>
      </c>
      <c r="J390" s="3" t="s">
        <v>14</v>
      </c>
      <c r="K390" s="3" t="s">
        <v>14</v>
      </c>
      <c r="L390" s="3" t="s">
        <v>14</v>
      </c>
      <c r="M390" s="3" t="s">
        <v>14</v>
      </c>
      <c r="N390" s="3" t="s">
        <v>14</v>
      </c>
      <c r="O390" s="3">
        <v>1</v>
      </c>
    </row>
    <row r="391" spans="1:15" ht="15" customHeight="1" x14ac:dyDescent="0.25">
      <c r="A391" s="2">
        <v>0</v>
      </c>
      <c r="B391" s="2" t="s">
        <v>10</v>
      </c>
      <c r="C391" s="2" t="s">
        <v>19</v>
      </c>
      <c r="D391" s="2" t="s">
        <v>106</v>
      </c>
      <c r="E391" s="2">
        <v>1</v>
      </c>
      <c r="F391" s="2">
        <v>0</v>
      </c>
      <c r="G391" s="2" t="s">
        <v>10</v>
      </c>
      <c r="H391" s="2" t="s">
        <v>16</v>
      </c>
      <c r="I391" s="2">
        <v>1</v>
      </c>
      <c r="J391" s="2" t="s">
        <v>14</v>
      </c>
      <c r="K391" s="3" t="s">
        <v>14</v>
      </c>
      <c r="L391" s="3" t="s">
        <v>14</v>
      </c>
      <c r="M391" s="3" t="s">
        <v>14</v>
      </c>
      <c r="N391" s="3" t="s">
        <v>14</v>
      </c>
      <c r="O391" s="2">
        <v>0</v>
      </c>
    </row>
    <row r="392" spans="1:15" ht="15" customHeight="1" x14ac:dyDescent="0.25">
      <c r="A392" s="3">
        <v>30</v>
      </c>
      <c r="B392" s="3" t="s">
        <v>10</v>
      </c>
      <c r="C392" s="3" t="s">
        <v>11</v>
      </c>
      <c r="D392" s="2" t="s">
        <v>106</v>
      </c>
      <c r="E392" s="3">
        <v>0</v>
      </c>
      <c r="F392" s="3">
        <v>0</v>
      </c>
      <c r="G392" s="3" t="s">
        <v>10</v>
      </c>
      <c r="H392" s="3" t="s">
        <v>12</v>
      </c>
      <c r="I392" s="3">
        <v>2</v>
      </c>
      <c r="J392" s="3" t="s">
        <v>13</v>
      </c>
      <c r="K392" s="3" t="s">
        <v>14</v>
      </c>
      <c r="L392" s="3" t="s">
        <v>14</v>
      </c>
      <c r="M392" s="3" t="s">
        <v>13</v>
      </c>
      <c r="N392" s="3" t="s">
        <v>13</v>
      </c>
      <c r="O392" s="3">
        <v>1</v>
      </c>
    </row>
    <row r="393" spans="1:15" ht="15" customHeight="1" x14ac:dyDescent="0.25">
      <c r="A393" s="2">
        <v>10</v>
      </c>
      <c r="B393" s="2" t="s">
        <v>14</v>
      </c>
      <c r="C393" s="2" t="s">
        <v>11</v>
      </c>
      <c r="D393" s="2" t="s">
        <v>106</v>
      </c>
      <c r="E393" s="2">
        <v>1</v>
      </c>
      <c r="F393" s="2">
        <v>0</v>
      </c>
      <c r="G393" s="2" t="s">
        <v>10</v>
      </c>
      <c r="H393" s="2" t="s">
        <v>16</v>
      </c>
      <c r="I393" s="2">
        <v>1</v>
      </c>
      <c r="J393" s="3" t="s">
        <v>14</v>
      </c>
      <c r="K393" s="2" t="s">
        <v>13</v>
      </c>
      <c r="L393" s="2" t="s">
        <v>13</v>
      </c>
      <c r="M393" s="2" t="s">
        <v>13</v>
      </c>
      <c r="N393" s="2" t="s">
        <v>13</v>
      </c>
      <c r="O393" s="2">
        <v>0</v>
      </c>
    </row>
    <row r="394" spans="1:15" ht="15" customHeight="1" x14ac:dyDescent="0.25">
      <c r="A394" s="3">
        <v>5</v>
      </c>
      <c r="B394" s="3" t="s">
        <v>10</v>
      </c>
      <c r="C394" s="3" t="s">
        <v>20</v>
      </c>
      <c r="D394" s="2" t="s">
        <v>106</v>
      </c>
      <c r="E394" s="3">
        <v>1</v>
      </c>
      <c r="F394" s="3">
        <v>1</v>
      </c>
      <c r="G394" s="3" t="s">
        <v>10</v>
      </c>
      <c r="H394" s="3" t="s">
        <v>12</v>
      </c>
      <c r="I394" s="3">
        <v>1</v>
      </c>
      <c r="J394" s="3" t="s">
        <v>14</v>
      </c>
      <c r="K394" s="3" t="s">
        <v>14</v>
      </c>
      <c r="L394" s="3" t="s">
        <v>13</v>
      </c>
      <c r="M394" s="3" t="s">
        <v>14</v>
      </c>
      <c r="N394" s="3" t="s">
        <v>14</v>
      </c>
      <c r="O394" s="3">
        <v>0</v>
      </c>
    </row>
    <row r="395" spans="1:15" ht="15" customHeight="1" x14ac:dyDescent="0.25">
      <c r="A395" s="2">
        <v>0</v>
      </c>
      <c r="B395" s="2" t="s">
        <v>14</v>
      </c>
      <c r="C395" s="2" t="s">
        <v>19</v>
      </c>
      <c r="D395" s="2" t="s">
        <v>106</v>
      </c>
      <c r="E395" s="2">
        <v>1</v>
      </c>
      <c r="F395" s="2">
        <v>1</v>
      </c>
      <c r="G395" s="2" t="s">
        <v>10</v>
      </c>
      <c r="H395" s="2" t="s">
        <v>12</v>
      </c>
      <c r="I395" s="2" t="s">
        <v>15</v>
      </c>
      <c r="J395" s="3" t="s">
        <v>14</v>
      </c>
      <c r="K395" s="3" t="s">
        <v>14</v>
      </c>
      <c r="L395" s="3" t="s">
        <v>14</v>
      </c>
      <c r="M395" s="3" t="s">
        <v>14</v>
      </c>
      <c r="N395" s="3" t="s">
        <v>14</v>
      </c>
      <c r="O395" s="2">
        <v>0</v>
      </c>
    </row>
    <row r="396" spans="1:15" ht="15" customHeight="1" x14ac:dyDescent="0.25">
      <c r="A396" s="3">
        <v>5</v>
      </c>
      <c r="B396" s="3" t="s">
        <v>10</v>
      </c>
      <c r="C396" s="3" t="s">
        <v>11</v>
      </c>
      <c r="D396" s="2" t="s">
        <v>106</v>
      </c>
      <c r="E396" s="3">
        <v>1</v>
      </c>
      <c r="F396" s="3">
        <v>1</v>
      </c>
      <c r="G396" s="3" t="s">
        <v>10</v>
      </c>
      <c r="H396" s="3" t="s">
        <v>12</v>
      </c>
      <c r="I396" s="3" t="s">
        <v>15</v>
      </c>
      <c r="J396" s="3" t="s">
        <v>14</v>
      </c>
      <c r="K396" s="3" t="s">
        <v>14</v>
      </c>
      <c r="L396" s="3" t="s">
        <v>14</v>
      </c>
      <c r="M396" s="3" t="s">
        <v>14</v>
      </c>
      <c r="N396" s="3" t="s">
        <v>14</v>
      </c>
      <c r="O396" s="3">
        <v>0</v>
      </c>
    </row>
    <row r="397" spans="1:15" ht="15" customHeight="1" x14ac:dyDescent="0.25">
      <c r="A397" s="2">
        <v>10</v>
      </c>
      <c r="B397" s="2" t="s">
        <v>10</v>
      </c>
      <c r="C397" s="2" t="s">
        <v>11</v>
      </c>
      <c r="D397" s="2" t="s">
        <v>106</v>
      </c>
      <c r="E397" s="2">
        <v>0</v>
      </c>
      <c r="F397" s="2">
        <v>2</v>
      </c>
      <c r="G397" s="2" t="s">
        <v>10</v>
      </c>
      <c r="H397" s="2" t="s">
        <v>12</v>
      </c>
      <c r="I397" s="2">
        <v>2</v>
      </c>
      <c r="J397" s="2" t="s">
        <v>13</v>
      </c>
      <c r="K397" s="3" t="s">
        <v>14</v>
      </c>
      <c r="L397" s="3" t="s">
        <v>14</v>
      </c>
      <c r="M397" s="2" t="s">
        <v>13</v>
      </c>
      <c r="N397" s="2" t="s">
        <v>13</v>
      </c>
      <c r="O397" s="2">
        <v>1</v>
      </c>
    </row>
    <row r="398" spans="1:15" ht="15" customHeight="1" x14ac:dyDescent="0.25">
      <c r="A398" s="3">
        <v>5</v>
      </c>
      <c r="B398" s="3" t="s">
        <v>10</v>
      </c>
      <c r="C398" s="3" t="s">
        <v>20</v>
      </c>
      <c r="D398" s="2" t="s">
        <v>106</v>
      </c>
      <c r="E398" s="3">
        <v>0</v>
      </c>
      <c r="F398" s="3">
        <v>1</v>
      </c>
      <c r="G398" s="3" t="s">
        <v>10</v>
      </c>
      <c r="H398" s="3" t="s">
        <v>12</v>
      </c>
      <c r="I398" s="3">
        <v>2</v>
      </c>
      <c r="J398" s="3" t="s">
        <v>14</v>
      </c>
      <c r="K398" s="3" t="s">
        <v>14</v>
      </c>
      <c r="L398" s="3" t="s">
        <v>14</v>
      </c>
      <c r="M398" s="3" t="s">
        <v>14</v>
      </c>
      <c r="N398" s="3" t="s">
        <v>14</v>
      </c>
      <c r="O398" s="3">
        <v>1</v>
      </c>
    </row>
    <row r="399" spans="1:15" ht="15" customHeight="1" x14ac:dyDescent="0.25">
      <c r="A399" s="2">
        <v>5</v>
      </c>
      <c r="B399" s="2" t="s">
        <v>18</v>
      </c>
      <c r="C399" s="2" t="s">
        <v>20</v>
      </c>
      <c r="D399" s="2" t="s">
        <v>106</v>
      </c>
      <c r="E399" s="2">
        <v>0</v>
      </c>
      <c r="F399" s="2">
        <v>0</v>
      </c>
      <c r="G399" s="2" t="s">
        <v>10</v>
      </c>
      <c r="H399" s="2" t="s">
        <v>12</v>
      </c>
      <c r="I399" s="2">
        <v>1</v>
      </c>
      <c r="J399" s="3" t="s">
        <v>14</v>
      </c>
      <c r="K399" s="3" t="s">
        <v>14</v>
      </c>
      <c r="L399" s="3" t="s">
        <v>14</v>
      </c>
      <c r="M399" s="3" t="s">
        <v>14</v>
      </c>
      <c r="N399" s="3" t="s">
        <v>14</v>
      </c>
      <c r="O399" s="2">
        <v>1</v>
      </c>
    </row>
    <row r="400" spans="1:15" ht="15" customHeight="1" x14ac:dyDescent="0.25">
      <c r="A400" s="3">
        <v>10</v>
      </c>
      <c r="B400" s="3" t="s">
        <v>10</v>
      </c>
      <c r="C400" s="3" t="s">
        <v>19</v>
      </c>
      <c r="D400" s="2" t="s">
        <v>106</v>
      </c>
      <c r="E400" s="3">
        <v>0</v>
      </c>
      <c r="F400" s="3">
        <v>1</v>
      </c>
      <c r="G400" s="3" t="s">
        <v>10</v>
      </c>
      <c r="H400" s="3" t="s">
        <v>16</v>
      </c>
      <c r="I400" s="3">
        <v>1</v>
      </c>
      <c r="J400" s="3" t="s">
        <v>14</v>
      </c>
      <c r="K400" s="3" t="s">
        <v>14</v>
      </c>
      <c r="L400" s="3" t="s">
        <v>14</v>
      </c>
      <c r="M400" s="3" t="s">
        <v>13</v>
      </c>
      <c r="N400" s="3" t="s">
        <v>14</v>
      </c>
      <c r="O400" s="3">
        <v>1</v>
      </c>
    </row>
    <row r="401" spans="1:15" ht="15" customHeight="1" x14ac:dyDescent="0.25">
      <c r="A401" s="2">
        <v>0</v>
      </c>
      <c r="B401" s="2" t="s">
        <v>18</v>
      </c>
      <c r="C401" s="2" t="s">
        <v>19</v>
      </c>
      <c r="D401" s="2" t="s">
        <v>106</v>
      </c>
      <c r="E401" s="2">
        <v>0</v>
      </c>
      <c r="F401" s="2">
        <v>1</v>
      </c>
      <c r="G401" s="2" t="s">
        <v>10</v>
      </c>
      <c r="H401" s="2" t="s">
        <v>12</v>
      </c>
      <c r="I401" s="2">
        <v>1</v>
      </c>
      <c r="J401" s="3" t="s">
        <v>14</v>
      </c>
      <c r="K401" s="2" t="s">
        <v>13</v>
      </c>
      <c r="L401" s="2" t="s">
        <v>13</v>
      </c>
      <c r="M401" s="2" t="s">
        <v>13</v>
      </c>
      <c r="N401" s="3" t="s">
        <v>14</v>
      </c>
      <c r="O401" s="2">
        <v>1</v>
      </c>
    </row>
    <row r="402" spans="1:15" ht="15" customHeight="1" x14ac:dyDescent="0.25">
      <c r="A402" s="3">
        <v>0</v>
      </c>
      <c r="B402" s="3" t="s">
        <v>10</v>
      </c>
      <c r="C402" s="3" t="s">
        <v>19</v>
      </c>
      <c r="D402" s="2" t="s">
        <v>106</v>
      </c>
      <c r="E402" s="3">
        <v>1</v>
      </c>
      <c r="F402" s="3">
        <v>0</v>
      </c>
      <c r="G402" s="3" t="s">
        <v>10</v>
      </c>
      <c r="H402" s="3" t="s">
        <v>12</v>
      </c>
      <c r="I402" s="3">
        <v>1</v>
      </c>
      <c r="J402" s="3" t="s">
        <v>14</v>
      </c>
      <c r="K402" s="3" t="s">
        <v>13</v>
      </c>
      <c r="L402" s="3" t="s">
        <v>13</v>
      </c>
      <c r="M402" s="3" t="s">
        <v>13</v>
      </c>
      <c r="N402" s="3" t="s">
        <v>14</v>
      </c>
      <c r="O402" s="3">
        <v>0</v>
      </c>
    </row>
    <row r="403" spans="1:15" ht="15" customHeight="1" x14ac:dyDescent="0.25">
      <c r="A403" s="2">
        <v>5</v>
      </c>
      <c r="B403" s="2" t="s">
        <v>18</v>
      </c>
      <c r="C403" s="2" t="s">
        <v>11</v>
      </c>
      <c r="D403" s="2" t="s">
        <v>106</v>
      </c>
      <c r="E403" s="2">
        <v>0</v>
      </c>
      <c r="F403" s="2">
        <v>1</v>
      </c>
      <c r="G403" s="2" t="s">
        <v>17</v>
      </c>
      <c r="H403" s="2" t="s">
        <v>106</v>
      </c>
      <c r="I403" s="2">
        <v>1</v>
      </c>
      <c r="J403" s="2" t="s">
        <v>14</v>
      </c>
      <c r="K403" s="2" t="s">
        <v>13</v>
      </c>
      <c r="L403" s="2" t="s">
        <v>13</v>
      </c>
      <c r="M403" s="2" t="s">
        <v>13</v>
      </c>
      <c r="N403" s="2" t="s">
        <v>14</v>
      </c>
      <c r="O403" s="2">
        <v>0</v>
      </c>
    </row>
    <row r="404" spans="1:15" ht="15" customHeight="1" x14ac:dyDescent="0.25">
      <c r="A404" s="3">
        <v>20</v>
      </c>
      <c r="B404" s="3" t="s">
        <v>18</v>
      </c>
      <c r="C404" s="3" t="s">
        <v>20</v>
      </c>
      <c r="D404" s="2" t="s">
        <v>106</v>
      </c>
      <c r="E404" s="3">
        <v>0</v>
      </c>
      <c r="F404" s="3">
        <v>0</v>
      </c>
      <c r="G404" s="3" t="s">
        <v>10</v>
      </c>
      <c r="H404" s="3" t="s">
        <v>12</v>
      </c>
      <c r="I404" s="3">
        <v>2</v>
      </c>
      <c r="J404" s="3" t="s">
        <v>14</v>
      </c>
      <c r="K404" s="3" t="s">
        <v>13</v>
      </c>
      <c r="L404" s="3" t="s">
        <v>14</v>
      </c>
      <c r="M404" s="3" t="s">
        <v>14</v>
      </c>
      <c r="N404" s="3" t="s">
        <v>14</v>
      </c>
      <c r="O404" s="3">
        <v>1</v>
      </c>
    </row>
    <row r="405" spans="1:15" ht="15" customHeight="1" x14ac:dyDescent="0.25">
      <c r="A405" s="2">
        <v>20</v>
      </c>
      <c r="B405" s="2" t="s">
        <v>10</v>
      </c>
      <c r="C405" s="2" t="s">
        <v>19</v>
      </c>
      <c r="D405" s="2" t="s">
        <v>106</v>
      </c>
      <c r="E405" s="2">
        <v>0</v>
      </c>
      <c r="F405" s="2">
        <v>0</v>
      </c>
      <c r="G405" s="2" t="s">
        <v>10</v>
      </c>
      <c r="H405" s="2" t="s">
        <v>12</v>
      </c>
      <c r="I405" s="2">
        <v>2</v>
      </c>
      <c r="J405" s="2" t="s">
        <v>14</v>
      </c>
      <c r="K405" s="2" t="s">
        <v>14</v>
      </c>
      <c r="L405" s="2" t="s">
        <v>14</v>
      </c>
      <c r="M405" s="2" t="s">
        <v>14</v>
      </c>
      <c r="N405" s="2" t="s">
        <v>14</v>
      </c>
      <c r="O405" s="2">
        <v>1</v>
      </c>
    </row>
    <row r="406" spans="1:15" ht="15" customHeight="1" x14ac:dyDescent="0.25">
      <c r="A406" s="3">
        <v>10</v>
      </c>
      <c r="B406" s="3" t="s">
        <v>18</v>
      </c>
      <c r="C406" s="3" t="s">
        <v>20</v>
      </c>
      <c r="D406" s="2" t="s">
        <v>106</v>
      </c>
      <c r="E406" s="3">
        <v>0</v>
      </c>
      <c r="F406" s="3">
        <v>0</v>
      </c>
      <c r="G406" s="3" t="s">
        <v>10</v>
      </c>
      <c r="H406" s="3" t="s">
        <v>16</v>
      </c>
      <c r="I406" s="3" t="s">
        <v>15</v>
      </c>
      <c r="J406" s="3" t="s">
        <v>14</v>
      </c>
      <c r="K406" s="3" t="s">
        <v>14</v>
      </c>
      <c r="L406" s="3" t="s">
        <v>14</v>
      </c>
      <c r="M406" s="3" t="s">
        <v>14</v>
      </c>
      <c r="N406" s="3" t="s">
        <v>14</v>
      </c>
      <c r="O406" s="3">
        <v>1</v>
      </c>
    </row>
    <row r="407" spans="1:15" ht="15" customHeight="1" x14ac:dyDescent="0.25">
      <c r="A407" s="2">
        <v>20</v>
      </c>
      <c r="B407" s="2" t="s">
        <v>10</v>
      </c>
      <c r="C407" s="2" t="s">
        <v>19</v>
      </c>
      <c r="D407" s="2" t="s">
        <v>106</v>
      </c>
      <c r="E407" s="2">
        <v>0</v>
      </c>
      <c r="F407" s="2">
        <v>1</v>
      </c>
      <c r="G407" s="2" t="s">
        <v>10</v>
      </c>
      <c r="H407" s="2" t="s">
        <v>12</v>
      </c>
      <c r="I407" s="2">
        <v>1</v>
      </c>
      <c r="J407" s="2" t="s">
        <v>14</v>
      </c>
      <c r="K407" s="2" t="s">
        <v>14</v>
      </c>
      <c r="L407" s="2" t="s">
        <v>14</v>
      </c>
      <c r="M407" s="2" t="s">
        <v>13</v>
      </c>
      <c r="N407" s="2" t="s">
        <v>14</v>
      </c>
      <c r="O407" s="2">
        <v>0</v>
      </c>
    </row>
    <row r="408" spans="1:15" ht="15" customHeight="1" x14ac:dyDescent="0.25">
      <c r="A408" s="3">
        <v>5</v>
      </c>
      <c r="B408" s="3" t="s">
        <v>10</v>
      </c>
      <c r="C408" s="3" t="s">
        <v>19</v>
      </c>
      <c r="D408" s="2" t="s">
        <v>106</v>
      </c>
      <c r="E408" s="3">
        <v>2</v>
      </c>
      <c r="F408" s="3">
        <v>0</v>
      </c>
      <c r="G408" s="3" t="s">
        <v>17</v>
      </c>
      <c r="H408" s="3" t="s">
        <v>106</v>
      </c>
      <c r="I408" s="3">
        <v>1</v>
      </c>
      <c r="J408" s="3" t="s">
        <v>14</v>
      </c>
      <c r="K408" s="3" t="s">
        <v>13</v>
      </c>
      <c r="L408" s="3" t="s">
        <v>13</v>
      </c>
      <c r="M408" s="3" t="s">
        <v>13</v>
      </c>
      <c r="N408" s="3" t="s">
        <v>14</v>
      </c>
      <c r="O408" s="3">
        <v>0</v>
      </c>
    </row>
    <row r="409" spans="1:15" ht="15" customHeight="1" x14ac:dyDescent="0.25">
      <c r="A409" s="2">
        <v>10</v>
      </c>
      <c r="B409" s="2" t="s">
        <v>10</v>
      </c>
      <c r="C409" s="2" t="s">
        <v>11</v>
      </c>
      <c r="D409" s="2" t="s">
        <v>106</v>
      </c>
      <c r="E409" s="2">
        <v>1</v>
      </c>
      <c r="F409" s="2">
        <v>1</v>
      </c>
      <c r="G409" s="2" t="s">
        <v>17</v>
      </c>
      <c r="H409" s="2" t="s">
        <v>106</v>
      </c>
      <c r="I409" s="2">
        <v>1</v>
      </c>
      <c r="J409" s="2" t="s">
        <v>14</v>
      </c>
      <c r="K409" s="2" t="s">
        <v>13</v>
      </c>
      <c r="L409" s="2" t="s">
        <v>13</v>
      </c>
      <c r="M409" s="2" t="s">
        <v>13</v>
      </c>
      <c r="N409" s="2" t="s">
        <v>13</v>
      </c>
      <c r="O409" s="2">
        <v>1</v>
      </c>
    </row>
    <row r="410" spans="1:15" ht="15" customHeight="1" x14ac:dyDescent="0.25">
      <c r="A410" s="3">
        <v>5</v>
      </c>
      <c r="B410" s="3" t="s">
        <v>14</v>
      </c>
      <c r="C410" s="3" t="s">
        <v>11</v>
      </c>
      <c r="D410" s="2" t="s">
        <v>106</v>
      </c>
      <c r="E410" s="3">
        <v>1</v>
      </c>
      <c r="F410" s="3">
        <v>1</v>
      </c>
      <c r="G410" s="3" t="s">
        <v>10</v>
      </c>
      <c r="H410" s="3" t="s">
        <v>16</v>
      </c>
      <c r="I410" s="3" t="s">
        <v>15</v>
      </c>
      <c r="J410" s="3" t="s">
        <v>14</v>
      </c>
      <c r="K410" s="3" t="s">
        <v>13</v>
      </c>
      <c r="L410" s="3" t="s">
        <v>14</v>
      </c>
      <c r="M410" s="3" t="s">
        <v>14</v>
      </c>
      <c r="N410" s="3" t="s">
        <v>14</v>
      </c>
      <c r="O410" s="3">
        <v>1</v>
      </c>
    </row>
    <row r="411" spans="1:15" ht="15" customHeight="1" x14ac:dyDescent="0.25">
      <c r="A411" s="2">
        <v>10</v>
      </c>
      <c r="B411" s="2" t="s">
        <v>18</v>
      </c>
      <c r="C411" s="2" t="s">
        <v>19</v>
      </c>
      <c r="D411" s="2" t="s">
        <v>106</v>
      </c>
      <c r="E411" s="2">
        <v>0</v>
      </c>
      <c r="F411" s="2">
        <v>0</v>
      </c>
      <c r="G411" s="2" t="s">
        <v>10</v>
      </c>
      <c r="H411" s="2" t="s">
        <v>12</v>
      </c>
      <c r="I411" s="2">
        <v>2</v>
      </c>
      <c r="J411" s="2" t="s">
        <v>14</v>
      </c>
      <c r="K411" s="2" t="s">
        <v>13</v>
      </c>
      <c r="L411" s="2" t="s">
        <v>14</v>
      </c>
      <c r="M411" s="2" t="s">
        <v>14</v>
      </c>
      <c r="N411" s="2" t="s">
        <v>14</v>
      </c>
      <c r="O411" s="2">
        <v>1</v>
      </c>
    </row>
    <row r="412" spans="1:15" ht="15" customHeight="1" x14ac:dyDescent="0.25">
      <c r="A412" s="3">
        <v>5</v>
      </c>
      <c r="B412" s="3" t="s">
        <v>10</v>
      </c>
      <c r="C412" s="3" t="s">
        <v>11</v>
      </c>
      <c r="D412" s="2" t="s">
        <v>106</v>
      </c>
      <c r="E412" s="3">
        <v>0</v>
      </c>
      <c r="F412" s="3">
        <v>0</v>
      </c>
      <c r="G412" s="3" t="s">
        <v>10</v>
      </c>
      <c r="H412" s="3" t="s">
        <v>12</v>
      </c>
      <c r="I412" s="3">
        <v>2</v>
      </c>
      <c r="J412" s="3" t="s">
        <v>14</v>
      </c>
      <c r="K412" s="3" t="s">
        <v>14</v>
      </c>
      <c r="L412" s="3" t="s">
        <v>14</v>
      </c>
      <c r="M412" s="3" t="s">
        <v>14</v>
      </c>
      <c r="N412" s="3" t="s">
        <v>14</v>
      </c>
      <c r="O412" s="3">
        <v>1</v>
      </c>
    </row>
    <row r="413" spans="1:15" ht="15" customHeight="1" x14ac:dyDescent="0.25">
      <c r="A413" s="2">
        <v>5</v>
      </c>
      <c r="B413" s="2" t="s">
        <v>10</v>
      </c>
      <c r="C413" s="2" t="s">
        <v>11</v>
      </c>
      <c r="D413" s="2" t="s">
        <v>106</v>
      </c>
      <c r="E413" s="2">
        <v>0</v>
      </c>
      <c r="F413" s="2">
        <v>1</v>
      </c>
      <c r="G413" s="2" t="s">
        <v>10</v>
      </c>
      <c r="H413" s="2" t="s">
        <v>12</v>
      </c>
      <c r="I413" s="2" t="s">
        <v>15</v>
      </c>
      <c r="J413" s="2" t="s">
        <v>14</v>
      </c>
      <c r="K413" s="2" t="s">
        <v>14</v>
      </c>
      <c r="L413" s="2" t="s">
        <v>14</v>
      </c>
      <c r="M413" s="2" t="s">
        <v>14</v>
      </c>
      <c r="N413" s="2" t="s">
        <v>14</v>
      </c>
      <c r="O413" s="2">
        <v>1</v>
      </c>
    </row>
    <row r="414" spans="1:15" ht="15" customHeight="1" x14ac:dyDescent="0.25">
      <c r="A414" s="3">
        <v>20</v>
      </c>
      <c r="B414" s="3" t="s">
        <v>10</v>
      </c>
      <c r="C414" s="3" t="s">
        <v>11</v>
      </c>
      <c r="D414" s="2" t="s">
        <v>106</v>
      </c>
      <c r="E414" s="3">
        <v>3</v>
      </c>
      <c r="F414" s="3">
        <v>1</v>
      </c>
      <c r="G414" s="3" t="s">
        <v>10</v>
      </c>
      <c r="H414" s="3" t="s">
        <v>12</v>
      </c>
      <c r="I414" s="3">
        <v>2</v>
      </c>
      <c r="J414" s="3" t="s">
        <v>14</v>
      </c>
      <c r="K414" s="3" t="s">
        <v>14</v>
      </c>
      <c r="L414" s="3" t="s">
        <v>14</v>
      </c>
      <c r="M414" s="3" t="s">
        <v>13</v>
      </c>
      <c r="N414" s="3" t="s">
        <v>13</v>
      </c>
      <c r="O414" s="3">
        <v>0</v>
      </c>
    </row>
    <row r="415" spans="1:15" ht="15" customHeight="1" x14ac:dyDescent="0.25">
      <c r="A415" s="2">
        <v>10</v>
      </c>
      <c r="B415" s="2" t="s">
        <v>10</v>
      </c>
      <c r="C415" s="2" t="s">
        <v>20</v>
      </c>
      <c r="D415" s="2" t="s">
        <v>106</v>
      </c>
      <c r="E415" s="2">
        <v>0</v>
      </c>
      <c r="F415" s="2">
        <v>0</v>
      </c>
      <c r="G415" s="2" t="s">
        <v>17</v>
      </c>
      <c r="H415" s="2" t="s">
        <v>106</v>
      </c>
      <c r="I415" s="2">
        <v>1</v>
      </c>
      <c r="J415" s="2" t="s">
        <v>14</v>
      </c>
      <c r="K415" s="2" t="s">
        <v>13</v>
      </c>
      <c r="L415" s="2" t="s">
        <v>13</v>
      </c>
      <c r="M415" s="2" t="s">
        <v>13</v>
      </c>
      <c r="N415" s="2" t="s">
        <v>14</v>
      </c>
      <c r="O415" s="2">
        <v>1</v>
      </c>
    </row>
    <row r="416" spans="1:15" ht="15" customHeight="1" x14ac:dyDescent="0.25">
      <c r="A416" s="3">
        <v>0</v>
      </c>
      <c r="B416" s="3" t="s">
        <v>18</v>
      </c>
      <c r="C416" s="3" t="s">
        <v>20</v>
      </c>
      <c r="D416" s="2" t="s">
        <v>106</v>
      </c>
      <c r="E416" s="3">
        <v>0</v>
      </c>
      <c r="F416" s="3">
        <v>0</v>
      </c>
      <c r="G416" s="3" t="s">
        <v>10</v>
      </c>
      <c r="H416" s="3" t="s">
        <v>12</v>
      </c>
      <c r="I416" s="3">
        <v>2</v>
      </c>
      <c r="J416" s="3" t="s">
        <v>14</v>
      </c>
      <c r="K416" s="3" t="s">
        <v>13</v>
      </c>
      <c r="L416" s="3" t="s">
        <v>14</v>
      </c>
      <c r="M416" s="3" t="s">
        <v>14</v>
      </c>
      <c r="N416" s="3" t="s">
        <v>14</v>
      </c>
      <c r="O416" s="3">
        <v>1</v>
      </c>
    </row>
    <row r="417" spans="1:15" ht="15" customHeight="1" x14ac:dyDescent="0.25">
      <c r="A417" s="2">
        <v>30</v>
      </c>
      <c r="B417" s="2" t="s">
        <v>10</v>
      </c>
      <c r="C417" s="2" t="s">
        <v>11</v>
      </c>
      <c r="D417" s="2" t="s">
        <v>106</v>
      </c>
      <c r="E417" s="2">
        <v>1</v>
      </c>
      <c r="F417" s="2">
        <v>0</v>
      </c>
      <c r="G417" s="2" t="s">
        <v>10</v>
      </c>
      <c r="H417" s="2" t="s">
        <v>12</v>
      </c>
      <c r="I417" s="2">
        <v>2</v>
      </c>
      <c r="J417" s="2" t="s">
        <v>13</v>
      </c>
      <c r="K417" s="2" t="s">
        <v>14</v>
      </c>
      <c r="L417" s="2" t="s">
        <v>14</v>
      </c>
      <c r="M417" s="2" t="s">
        <v>13</v>
      </c>
      <c r="N417" s="2" t="s">
        <v>14</v>
      </c>
      <c r="O417" s="2">
        <v>1</v>
      </c>
    </row>
    <row r="418" spans="1:15" ht="15" customHeight="1" x14ac:dyDescent="0.25">
      <c r="A418" s="3">
        <v>30</v>
      </c>
      <c r="B418" s="3" t="s">
        <v>10</v>
      </c>
      <c r="C418" s="3" t="s">
        <v>19</v>
      </c>
      <c r="D418" s="2" t="s">
        <v>106</v>
      </c>
      <c r="E418" s="3">
        <v>1</v>
      </c>
      <c r="F418" s="3">
        <v>0</v>
      </c>
      <c r="G418" s="3" t="s">
        <v>10</v>
      </c>
      <c r="H418" s="3" t="s">
        <v>12</v>
      </c>
      <c r="I418" s="3">
        <v>1</v>
      </c>
      <c r="J418" s="3" t="s">
        <v>14</v>
      </c>
      <c r="K418" s="3" t="s">
        <v>14</v>
      </c>
      <c r="L418" s="3" t="s">
        <v>14</v>
      </c>
      <c r="M418" s="3" t="s">
        <v>14</v>
      </c>
      <c r="N418" s="3" t="s">
        <v>14</v>
      </c>
      <c r="O418" s="3">
        <v>0</v>
      </c>
    </row>
    <row r="419" spans="1:15" ht="15" customHeight="1" x14ac:dyDescent="0.25">
      <c r="A419" s="2">
        <v>20</v>
      </c>
      <c r="B419" s="2" t="s">
        <v>10</v>
      </c>
      <c r="C419" s="2" t="s">
        <v>11</v>
      </c>
      <c r="D419" s="2" t="s">
        <v>106</v>
      </c>
      <c r="E419" s="2">
        <v>0</v>
      </c>
      <c r="F419" s="2">
        <v>1</v>
      </c>
      <c r="G419" s="2" t="s">
        <v>10</v>
      </c>
      <c r="H419" s="2" t="s">
        <v>12</v>
      </c>
      <c r="I419" s="2">
        <v>1</v>
      </c>
      <c r="J419" s="2" t="s">
        <v>14</v>
      </c>
      <c r="K419" s="2" t="s">
        <v>14</v>
      </c>
      <c r="L419" s="2" t="s">
        <v>14</v>
      </c>
      <c r="M419" s="2" t="s">
        <v>13</v>
      </c>
      <c r="N419" s="2" t="s">
        <v>14</v>
      </c>
      <c r="O419" s="2">
        <v>0</v>
      </c>
    </row>
    <row r="420" spans="1:15" ht="15" customHeight="1" x14ac:dyDescent="0.25">
      <c r="A420" s="3">
        <v>5</v>
      </c>
      <c r="B420" s="3" t="s">
        <v>10</v>
      </c>
      <c r="C420" s="3" t="s">
        <v>19</v>
      </c>
      <c r="D420" s="2" t="s">
        <v>106</v>
      </c>
      <c r="E420" s="3">
        <v>1</v>
      </c>
      <c r="F420" s="3">
        <v>1</v>
      </c>
      <c r="G420" s="3" t="s">
        <v>17</v>
      </c>
      <c r="H420" s="3" t="s">
        <v>106</v>
      </c>
      <c r="I420" s="3">
        <v>1</v>
      </c>
      <c r="J420" s="3" t="s">
        <v>14</v>
      </c>
      <c r="K420" s="3" t="s">
        <v>13</v>
      </c>
      <c r="L420" s="3" t="s">
        <v>13</v>
      </c>
      <c r="M420" s="3" t="s">
        <v>13</v>
      </c>
      <c r="N420" s="3" t="s">
        <v>14</v>
      </c>
      <c r="O420" s="3">
        <v>1</v>
      </c>
    </row>
    <row r="421" spans="1:15" ht="15" customHeight="1" x14ac:dyDescent="0.25">
      <c r="A421" s="2">
        <v>0</v>
      </c>
      <c r="B421" s="2" t="s">
        <v>14</v>
      </c>
      <c r="C421" s="2" t="s">
        <v>19</v>
      </c>
      <c r="D421" s="2" t="s">
        <v>106</v>
      </c>
      <c r="E421" s="2">
        <v>0</v>
      </c>
      <c r="F421" s="2">
        <v>1</v>
      </c>
      <c r="G421" s="2" t="s">
        <v>17</v>
      </c>
      <c r="H421" s="2" t="s">
        <v>106</v>
      </c>
      <c r="I421" s="2">
        <v>1</v>
      </c>
      <c r="J421" s="2" t="s">
        <v>14</v>
      </c>
      <c r="K421" s="2" t="s">
        <v>13</v>
      </c>
      <c r="L421" s="2" t="s">
        <v>13</v>
      </c>
      <c r="M421" s="2" t="s">
        <v>14</v>
      </c>
      <c r="N421" s="2" t="s">
        <v>14</v>
      </c>
      <c r="O421" s="2">
        <v>1</v>
      </c>
    </row>
    <row r="422" spans="1:15" ht="15" customHeight="1" x14ac:dyDescent="0.25">
      <c r="A422" s="3">
        <v>20</v>
      </c>
      <c r="B422" s="3" t="s">
        <v>10</v>
      </c>
      <c r="C422" s="3" t="s">
        <v>11</v>
      </c>
      <c r="D422" s="2" t="s">
        <v>106</v>
      </c>
      <c r="E422" s="3">
        <v>1</v>
      </c>
      <c r="F422" s="3">
        <v>0</v>
      </c>
      <c r="G422" s="3" t="s">
        <v>10</v>
      </c>
      <c r="H422" s="3" t="s">
        <v>12</v>
      </c>
      <c r="I422" s="3" t="s">
        <v>15</v>
      </c>
      <c r="J422" s="3" t="s">
        <v>13</v>
      </c>
      <c r="K422" s="3" t="s">
        <v>14</v>
      </c>
      <c r="L422" s="3" t="s">
        <v>14</v>
      </c>
      <c r="M422" s="3" t="s">
        <v>13</v>
      </c>
      <c r="N422" s="3" t="s">
        <v>14</v>
      </c>
      <c r="O422" s="3">
        <v>0</v>
      </c>
    </row>
    <row r="423" spans="1:15" ht="15" customHeight="1" x14ac:dyDescent="0.25">
      <c r="A423" s="2">
        <v>0</v>
      </c>
      <c r="B423" s="2" t="s">
        <v>10</v>
      </c>
      <c r="C423" s="2" t="s">
        <v>19</v>
      </c>
      <c r="D423" s="2" t="s">
        <v>106</v>
      </c>
      <c r="E423" s="2">
        <v>1</v>
      </c>
      <c r="F423" s="2">
        <v>0</v>
      </c>
      <c r="G423" s="2" t="s">
        <v>18</v>
      </c>
      <c r="H423" s="2" t="s">
        <v>106</v>
      </c>
      <c r="I423" s="2">
        <v>1</v>
      </c>
      <c r="J423" s="2" t="s">
        <v>14</v>
      </c>
      <c r="K423" s="2" t="s">
        <v>13</v>
      </c>
      <c r="L423" s="2" t="s">
        <v>13</v>
      </c>
      <c r="M423" s="2" t="s">
        <v>14</v>
      </c>
      <c r="N423" s="2" t="s">
        <v>14</v>
      </c>
      <c r="O423" s="2">
        <v>1</v>
      </c>
    </row>
    <row r="424" spans="1:15" ht="15" customHeight="1" x14ac:dyDescent="0.25">
      <c r="A424" s="3">
        <v>0</v>
      </c>
      <c r="B424" s="3" t="s">
        <v>14</v>
      </c>
      <c r="C424" s="3" t="s">
        <v>19</v>
      </c>
      <c r="D424" s="2" t="s">
        <v>106</v>
      </c>
      <c r="E424" s="3">
        <v>1</v>
      </c>
      <c r="F424" s="3">
        <v>1</v>
      </c>
      <c r="G424" s="3" t="s">
        <v>10</v>
      </c>
      <c r="H424" s="3" t="s">
        <v>12</v>
      </c>
      <c r="I424" s="3" t="s">
        <v>15</v>
      </c>
      <c r="J424" s="3" t="s">
        <v>14</v>
      </c>
      <c r="K424" s="3" t="s">
        <v>14</v>
      </c>
      <c r="L424" s="3" t="s">
        <v>14</v>
      </c>
      <c r="M424" s="3" t="s">
        <v>14</v>
      </c>
      <c r="N424" s="3" t="s">
        <v>14</v>
      </c>
      <c r="O424" s="3">
        <v>0</v>
      </c>
    </row>
    <row r="425" spans="1:15" ht="15" customHeight="1" x14ac:dyDescent="0.25">
      <c r="A425" s="2">
        <v>5</v>
      </c>
      <c r="B425" s="2" t="s">
        <v>14</v>
      </c>
      <c r="C425" s="2" t="s">
        <v>19</v>
      </c>
      <c r="D425" s="2" t="s">
        <v>106</v>
      </c>
      <c r="E425" s="2">
        <v>0</v>
      </c>
      <c r="F425" s="2">
        <v>0</v>
      </c>
      <c r="G425" s="2" t="s">
        <v>10</v>
      </c>
      <c r="H425" s="2" t="s">
        <v>12</v>
      </c>
      <c r="I425" s="2" t="s">
        <v>15</v>
      </c>
      <c r="J425" s="2" t="s">
        <v>14</v>
      </c>
      <c r="K425" s="2" t="s">
        <v>14</v>
      </c>
      <c r="L425" s="2" t="s">
        <v>14</v>
      </c>
      <c r="M425" s="2" t="s">
        <v>14</v>
      </c>
      <c r="N425" s="2" t="s">
        <v>14</v>
      </c>
      <c r="O425" s="2">
        <v>1</v>
      </c>
    </row>
    <row r="426" spans="1:15" ht="15" customHeight="1" x14ac:dyDescent="0.25">
      <c r="A426" s="3">
        <v>5</v>
      </c>
      <c r="B426" s="3" t="s">
        <v>18</v>
      </c>
      <c r="C426" s="3" t="s">
        <v>19</v>
      </c>
      <c r="D426" s="2" t="s">
        <v>106</v>
      </c>
      <c r="E426" s="3">
        <v>0</v>
      </c>
      <c r="F426" s="3">
        <v>0</v>
      </c>
      <c r="G426" s="3" t="s">
        <v>10</v>
      </c>
      <c r="H426" s="3" t="s">
        <v>12</v>
      </c>
      <c r="I426" s="3">
        <v>1</v>
      </c>
      <c r="J426" s="3" t="s">
        <v>14</v>
      </c>
      <c r="K426" s="3" t="s">
        <v>14</v>
      </c>
      <c r="L426" s="3" t="s">
        <v>14</v>
      </c>
      <c r="M426" s="3" t="s">
        <v>14</v>
      </c>
      <c r="N426" s="3" t="s">
        <v>14</v>
      </c>
      <c r="O426" s="3">
        <v>1</v>
      </c>
    </row>
    <row r="427" spans="1:15" ht="15" customHeight="1" x14ac:dyDescent="0.25">
      <c r="A427" s="2">
        <v>0</v>
      </c>
      <c r="B427" s="2" t="s">
        <v>10</v>
      </c>
      <c r="C427" s="2" t="s">
        <v>19</v>
      </c>
      <c r="D427" s="2" t="s">
        <v>106</v>
      </c>
      <c r="E427" s="2">
        <v>1</v>
      </c>
      <c r="F427" s="2">
        <v>1</v>
      </c>
      <c r="G427" s="2" t="s">
        <v>10</v>
      </c>
      <c r="H427" s="2" t="s">
        <v>12</v>
      </c>
      <c r="I427" s="2" t="s">
        <v>15</v>
      </c>
      <c r="J427" s="2" t="s">
        <v>14</v>
      </c>
      <c r="K427" s="2" t="s">
        <v>14</v>
      </c>
      <c r="L427" s="2" t="s">
        <v>14</v>
      </c>
      <c r="M427" s="2" t="s">
        <v>14</v>
      </c>
      <c r="N427" s="2" t="s">
        <v>14</v>
      </c>
      <c r="O427" s="2">
        <v>1</v>
      </c>
    </row>
    <row r="428" spans="1:15" ht="15" customHeight="1" x14ac:dyDescent="0.25">
      <c r="A428" s="3">
        <v>0</v>
      </c>
      <c r="B428" s="3" t="s">
        <v>10</v>
      </c>
      <c r="C428" s="3" t="s">
        <v>19</v>
      </c>
      <c r="D428" s="2" t="s">
        <v>106</v>
      </c>
      <c r="E428" s="3">
        <v>0</v>
      </c>
      <c r="F428" s="3">
        <v>1</v>
      </c>
      <c r="G428" s="3" t="s">
        <v>10</v>
      </c>
      <c r="H428" s="3" t="s">
        <v>16</v>
      </c>
      <c r="I428" s="3">
        <v>1</v>
      </c>
      <c r="J428" s="3" t="s">
        <v>14</v>
      </c>
      <c r="K428" s="3" t="s">
        <v>14</v>
      </c>
      <c r="L428" s="3" t="s">
        <v>14</v>
      </c>
      <c r="M428" s="3" t="s">
        <v>14</v>
      </c>
      <c r="N428" s="3" t="s">
        <v>14</v>
      </c>
      <c r="O428" s="3">
        <v>1</v>
      </c>
    </row>
    <row r="429" spans="1:15" ht="15" customHeight="1" x14ac:dyDescent="0.25">
      <c r="A429" s="2">
        <v>0</v>
      </c>
      <c r="B429" s="2" t="s">
        <v>14</v>
      </c>
      <c r="C429" s="2" t="s">
        <v>19</v>
      </c>
      <c r="D429" s="2" t="s">
        <v>106</v>
      </c>
      <c r="E429" s="2">
        <v>0</v>
      </c>
      <c r="F429" s="2">
        <v>1</v>
      </c>
      <c r="G429" s="2" t="s">
        <v>10</v>
      </c>
      <c r="H429" s="2" t="s">
        <v>16</v>
      </c>
      <c r="I429" s="2">
        <v>1</v>
      </c>
      <c r="J429" s="2" t="s">
        <v>14</v>
      </c>
      <c r="K429" s="2" t="s">
        <v>14</v>
      </c>
      <c r="L429" s="2" t="s">
        <v>14</v>
      </c>
      <c r="M429" s="2" t="s">
        <v>14</v>
      </c>
      <c r="N429" s="2" t="s">
        <v>14</v>
      </c>
      <c r="O429" s="2">
        <v>1</v>
      </c>
    </row>
    <row r="430" spans="1:15" ht="15" customHeight="1" x14ac:dyDescent="0.25">
      <c r="A430" s="3">
        <v>10</v>
      </c>
      <c r="B430" s="3" t="s">
        <v>10</v>
      </c>
      <c r="C430" s="3" t="s">
        <v>19</v>
      </c>
      <c r="D430" s="2" t="s">
        <v>106</v>
      </c>
      <c r="E430" s="3">
        <v>0</v>
      </c>
      <c r="F430" s="3">
        <v>0</v>
      </c>
      <c r="G430" s="3" t="s">
        <v>17</v>
      </c>
      <c r="H430" s="3" t="s">
        <v>106</v>
      </c>
      <c r="I430" s="3">
        <v>1</v>
      </c>
      <c r="J430" s="3" t="s">
        <v>14</v>
      </c>
      <c r="K430" s="3" t="s">
        <v>13</v>
      </c>
      <c r="L430" s="3" t="s">
        <v>13</v>
      </c>
      <c r="M430" s="3" t="s">
        <v>13</v>
      </c>
      <c r="N430" s="3" t="s">
        <v>14</v>
      </c>
      <c r="O430" s="3">
        <v>1</v>
      </c>
    </row>
    <row r="431" spans="1:15" ht="15" customHeight="1" x14ac:dyDescent="0.25">
      <c r="A431" s="2">
        <v>10</v>
      </c>
      <c r="B431" s="2" t="s">
        <v>10</v>
      </c>
      <c r="C431" s="2" t="s">
        <v>19</v>
      </c>
      <c r="D431" s="2" t="s">
        <v>106</v>
      </c>
      <c r="E431" s="2">
        <v>0</v>
      </c>
      <c r="F431" s="2">
        <v>0</v>
      </c>
      <c r="G431" s="2" t="s">
        <v>17</v>
      </c>
      <c r="H431" s="2" t="s">
        <v>106</v>
      </c>
      <c r="I431" s="2">
        <v>1</v>
      </c>
      <c r="J431" s="2" t="s">
        <v>14</v>
      </c>
      <c r="K431" s="2" t="s">
        <v>13</v>
      </c>
      <c r="L431" s="2" t="s">
        <v>13</v>
      </c>
      <c r="M431" s="2" t="s">
        <v>13</v>
      </c>
      <c r="N431" s="2" t="s">
        <v>14</v>
      </c>
      <c r="O431" s="2">
        <v>1</v>
      </c>
    </row>
    <row r="432" spans="1:15" ht="15" customHeight="1" x14ac:dyDescent="0.25">
      <c r="A432" s="3">
        <v>10</v>
      </c>
      <c r="B432" s="3" t="s">
        <v>10</v>
      </c>
      <c r="C432" s="3" t="s">
        <v>19</v>
      </c>
      <c r="D432" s="2" t="s">
        <v>106</v>
      </c>
      <c r="E432" s="3">
        <v>0</v>
      </c>
      <c r="F432" s="3">
        <v>1</v>
      </c>
      <c r="G432" s="3" t="s">
        <v>17</v>
      </c>
      <c r="H432" s="3" t="s">
        <v>106</v>
      </c>
      <c r="I432" s="3">
        <v>1</v>
      </c>
      <c r="J432" s="3" t="s">
        <v>14</v>
      </c>
      <c r="K432" s="3" t="s">
        <v>13</v>
      </c>
      <c r="L432" s="3" t="s">
        <v>13</v>
      </c>
      <c r="M432" s="3" t="s">
        <v>13</v>
      </c>
      <c r="N432" s="3" t="s">
        <v>14</v>
      </c>
      <c r="O432" s="3">
        <v>1</v>
      </c>
    </row>
    <row r="433" spans="1:15" ht="15" customHeight="1" x14ac:dyDescent="0.25">
      <c r="A433" s="2">
        <v>10</v>
      </c>
      <c r="B433" s="2" t="s">
        <v>18</v>
      </c>
      <c r="C433" s="2" t="s">
        <v>19</v>
      </c>
      <c r="D433" s="2" t="s">
        <v>106</v>
      </c>
      <c r="E433" s="2">
        <v>0</v>
      </c>
      <c r="F433" s="2">
        <v>1</v>
      </c>
      <c r="G433" s="2" t="s">
        <v>10</v>
      </c>
      <c r="H433" s="2" t="s">
        <v>16</v>
      </c>
      <c r="I433" s="2">
        <v>1</v>
      </c>
      <c r="J433" s="2" t="s">
        <v>14</v>
      </c>
      <c r="K433" s="2" t="s">
        <v>13</v>
      </c>
      <c r="L433" s="2" t="s">
        <v>13</v>
      </c>
      <c r="M433" s="2" t="s">
        <v>13</v>
      </c>
      <c r="N433" s="2" t="s">
        <v>14</v>
      </c>
      <c r="O433" s="2">
        <v>0</v>
      </c>
    </row>
    <row r="434" spans="1:15" ht="15" customHeight="1" x14ac:dyDescent="0.25">
      <c r="A434" s="3">
        <v>10</v>
      </c>
      <c r="B434" s="3" t="s">
        <v>18</v>
      </c>
      <c r="C434" s="3" t="s">
        <v>19</v>
      </c>
      <c r="D434" s="2" t="s">
        <v>106</v>
      </c>
      <c r="E434" s="3">
        <v>0</v>
      </c>
      <c r="F434" s="3">
        <v>0</v>
      </c>
      <c r="G434" s="3" t="s">
        <v>10</v>
      </c>
      <c r="H434" s="3" t="s">
        <v>12</v>
      </c>
      <c r="I434" s="3" t="s">
        <v>15</v>
      </c>
      <c r="J434" s="3" t="s">
        <v>14</v>
      </c>
      <c r="K434" s="3" t="s">
        <v>13</v>
      </c>
      <c r="L434" s="3" t="s">
        <v>14</v>
      </c>
      <c r="M434" s="3" t="s">
        <v>14</v>
      </c>
      <c r="N434" s="3" t="s">
        <v>14</v>
      </c>
      <c r="O434" s="3">
        <v>1</v>
      </c>
    </row>
    <row r="435" spans="1:15" ht="15" customHeight="1" x14ac:dyDescent="0.25">
      <c r="A435" s="2">
        <v>10</v>
      </c>
      <c r="B435" s="2" t="s">
        <v>18</v>
      </c>
      <c r="C435" s="2" t="s">
        <v>19</v>
      </c>
      <c r="D435" s="2" t="s">
        <v>106</v>
      </c>
      <c r="E435" s="2">
        <v>0</v>
      </c>
      <c r="F435" s="2">
        <v>0</v>
      </c>
      <c r="G435" s="2" t="s">
        <v>10</v>
      </c>
      <c r="H435" s="2" t="s">
        <v>16</v>
      </c>
      <c r="I435" s="2">
        <v>1</v>
      </c>
      <c r="J435" s="2" t="s">
        <v>14</v>
      </c>
      <c r="K435" s="2" t="s">
        <v>14</v>
      </c>
      <c r="L435" s="2" t="s">
        <v>14</v>
      </c>
      <c r="M435" s="2" t="s">
        <v>14</v>
      </c>
      <c r="N435" s="2" t="s">
        <v>14</v>
      </c>
      <c r="O435" s="2">
        <v>1</v>
      </c>
    </row>
    <row r="436" spans="1:15" ht="15" customHeight="1" x14ac:dyDescent="0.25">
      <c r="A436" s="3">
        <v>10</v>
      </c>
      <c r="B436" s="3" t="s">
        <v>18</v>
      </c>
      <c r="C436" s="3" t="s">
        <v>19</v>
      </c>
      <c r="D436" s="2" t="s">
        <v>106</v>
      </c>
      <c r="E436" s="3">
        <v>1</v>
      </c>
      <c r="F436" s="3">
        <v>0</v>
      </c>
      <c r="G436" s="3" t="s">
        <v>10</v>
      </c>
      <c r="H436" s="3" t="s">
        <v>12</v>
      </c>
      <c r="I436" s="3" t="s">
        <v>15</v>
      </c>
      <c r="J436" s="3" t="s">
        <v>14</v>
      </c>
      <c r="K436" s="3" t="s">
        <v>14</v>
      </c>
      <c r="L436" s="3" t="s">
        <v>14</v>
      </c>
      <c r="M436" s="3" t="s">
        <v>14</v>
      </c>
      <c r="N436" s="3" t="s">
        <v>14</v>
      </c>
      <c r="O436" s="3">
        <v>1</v>
      </c>
    </row>
    <row r="437" spans="1:15" ht="15" customHeight="1" x14ac:dyDescent="0.25">
      <c r="A437" s="2">
        <v>10</v>
      </c>
      <c r="B437" s="2" t="s">
        <v>18</v>
      </c>
      <c r="C437" s="2" t="s">
        <v>20</v>
      </c>
      <c r="D437" s="2" t="s">
        <v>106</v>
      </c>
      <c r="E437" s="2">
        <v>0</v>
      </c>
      <c r="F437" s="2">
        <v>0</v>
      </c>
      <c r="G437" s="2" t="s">
        <v>10</v>
      </c>
      <c r="H437" s="2" t="s">
        <v>12</v>
      </c>
      <c r="I437" s="2">
        <v>1</v>
      </c>
      <c r="J437" s="2" t="s">
        <v>14</v>
      </c>
      <c r="K437" s="2" t="s">
        <v>14</v>
      </c>
      <c r="L437" s="2" t="s">
        <v>14</v>
      </c>
      <c r="M437" s="2" t="s">
        <v>14</v>
      </c>
      <c r="N437" s="2" t="s">
        <v>14</v>
      </c>
      <c r="O437" s="2">
        <v>1</v>
      </c>
    </row>
    <row r="438" spans="1:15" ht="15" customHeight="1" x14ac:dyDescent="0.25">
      <c r="A438" s="3">
        <v>20</v>
      </c>
      <c r="B438" s="3" t="s">
        <v>10</v>
      </c>
      <c r="C438" s="3" t="s">
        <v>19</v>
      </c>
      <c r="D438" s="2" t="s">
        <v>106</v>
      </c>
      <c r="E438" s="3">
        <v>1</v>
      </c>
      <c r="F438" s="3">
        <v>1</v>
      </c>
      <c r="G438" s="3" t="s">
        <v>10</v>
      </c>
      <c r="H438" s="3" t="s">
        <v>12</v>
      </c>
      <c r="I438" s="3">
        <v>2</v>
      </c>
      <c r="J438" s="3" t="s">
        <v>14</v>
      </c>
      <c r="K438" s="3" t="s">
        <v>14</v>
      </c>
      <c r="L438" s="3" t="s">
        <v>14</v>
      </c>
      <c r="M438" s="3" t="s">
        <v>13</v>
      </c>
      <c r="N438" s="3" t="s">
        <v>14</v>
      </c>
      <c r="O438" s="3">
        <v>1</v>
      </c>
    </row>
    <row r="439" spans="1:15" ht="15" customHeight="1" x14ac:dyDescent="0.25">
      <c r="A439" s="2">
        <v>10</v>
      </c>
      <c r="B439" s="2" t="s">
        <v>14</v>
      </c>
      <c r="C439" s="2" t="s">
        <v>19</v>
      </c>
      <c r="D439" s="2" t="s">
        <v>106</v>
      </c>
      <c r="E439" s="2">
        <v>1</v>
      </c>
      <c r="F439" s="2">
        <v>0</v>
      </c>
      <c r="G439" s="2" t="s">
        <v>10</v>
      </c>
      <c r="H439" s="2" t="s">
        <v>12</v>
      </c>
      <c r="I439" s="2">
        <v>1</v>
      </c>
      <c r="J439" s="2" t="s">
        <v>14</v>
      </c>
      <c r="K439" s="2" t="s">
        <v>13</v>
      </c>
      <c r="L439" s="2" t="s">
        <v>13</v>
      </c>
      <c r="M439" s="2" t="s">
        <v>13</v>
      </c>
      <c r="N439" s="2" t="s">
        <v>14</v>
      </c>
      <c r="O439" s="2">
        <v>1</v>
      </c>
    </row>
    <row r="440" spans="1:15" ht="15" customHeight="1" x14ac:dyDescent="0.25">
      <c r="A440" s="3">
        <v>30</v>
      </c>
      <c r="B440" s="3" t="s">
        <v>10</v>
      </c>
      <c r="C440" s="3" t="s">
        <v>19</v>
      </c>
      <c r="D440" s="2" t="s">
        <v>106</v>
      </c>
      <c r="E440" s="3">
        <v>0</v>
      </c>
      <c r="F440" s="3">
        <v>1</v>
      </c>
      <c r="G440" s="3" t="s">
        <v>10</v>
      </c>
      <c r="H440" s="3" t="s">
        <v>12</v>
      </c>
      <c r="I440" s="3">
        <v>1</v>
      </c>
      <c r="J440" s="3" t="s">
        <v>13</v>
      </c>
      <c r="K440" s="3" t="s">
        <v>13</v>
      </c>
      <c r="L440" s="3" t="s">
        <v>13</v>
      </c>
      <c r="M440" s="3" t="s">
        <v>13</v>
      </c>
      <c r="N440" s="3" t="s">
        <v>14</v>
      </c>
      <c r="O440" s="3">
        <v>0</v>
      </c>
    </row>
    <row r="441" spans="1:15" ht="15" customHeight="1" x14ac:dyDescent="0.25">
      <c r="A441" s="2">
        <v>5</v>
      </c>
      <c r="B441" s="2" t="s">
        <v>10</v>
      </c>
      <c r="C441" s="2" t="s">
        <v>11</v>
      </c>
      <c r="D441" s="2" t="s">
        <v>106</v>
      </c>
      <c r="E441" s="2">
        <v>0</v>
      </c>
      <c r="F441" s="2">
        <v>1</v>
      </c>
      <c r="G441" s="2" t="s">
        <v>10</v>
      </c>
      <c r="H441" s="2" t="s">
        <v>12</v>
      </c>
      <c r="I441" s="2">
        <v>1</v>
      </c>
      <c r="J441" s="2" t="s">
        <v>13</v>
      </c>
      <c r="K441" s="2" t="s">
        <v>13</v>
      </c>
      <c r="L441" s="2" t="s">
        <v>13</v>
      </c>
      <c r="M441" s="2" t="s">
        <v>13</v>
      </c>
      <c r="N441" s="2" t="s">
        <v>14</v>
      </c>
      <c r="O441" s="2">
        <v>0</v>
      </c>
    </row>
    <row r="442" spans="1:15" ht="15" customHeight="1" x14ac:dyDescent="0.25">
      <c r="A442" s="3">
        <v>5</v>
      </c>
      <c r="B442" s="3" t="s">
        <v>10</v>
      </c>
      <c r="C442" s="3" t="s">
        <v>20</v>
      </c>
      <c r="D442" s="2" t="s">
        <v>106</v>
      </c>
      <c r="E442" s="3">
        <v>0</v>
      </c>
      <c r="F442" s="3">
        <v>0</v>
      </c>
      <c r="G442" s="3" t="s">
        <v>10</v>
      </c>
      <c r="H442" s="3" t="s">
        <v>12</v>
      </c>
      <c r="I442" s="3">
        <v>1</v>
      </c>
      <c r="J442" s="3" t="s">
        <v>14</v>
      </c>
      <c r="K442" s="3" t="s">
        <v>14</v>
      </c>
      <c r="L442" s="3" t="s">
        <v>14</v>
      </c>
      <c r="M442" s="3" t="s">
        <v>14</v>
      </c>
      <c r="N442" s="3" t="s">
        <v>14</v>
      </c>
      <c r="O442" s="3">
        <v>1</v>
      </c>
    </row>
    <row r="443" spans="1:15" ht="15" customHeight="1" x14ac:dyDescent="0.25">
      <c r="A443" s="2">
        <v>10</v>
      </c>
      <c r="B443" s="2" t="s">
        <v>18</v>
      </c>
      <c r="C443" s="2" t="s">
        <v>20</v>
      </c>
      <c r="D443" s="2" t="s">
        <v>106</v>
      </c>
      <c r="E443" s="2">
        <v>0</v>
      </c>
      <c r="F443" s="2">
        <v>0</v>
      </c>
      <c r="G443" s="2" t="s">
        <v>10</v>
      </c>
      <c r="H443" s="2" t="s">
        <v>12</v>
      </c>
      <c r="I443" s="2" t="s">
        <v>15</v>
      </c>
      <c r="J443" s="2" t="s">
        <v>14</v>
      </c>
      <c r="K443" s="2" t="s">
        <v>14</v>
      </c>
      <c r="L443" s="2" t="s">
        <v>14</v>
      </c>
      <c r="M443" s="2" t="s">
        <v>14</v>
      </c>
      <c r="N443" s="2" t="s">
        <v>14</v>
      </c>
      <c r="O443" s="2">
        <v>1</v>
      </c>
    </row>
    <row r="444" spans="1:15" ht="15" customHeight="1" x14ac:dyDescent="0.25">
      <c r="A444" s="3">
        <v>30</v>
      </c>
      <c r="B444" s="3" t="s">
        <v>10</v>
      </c>
      <c r="C444" s="3" t="s">
        <v>19</v>
      </c>
      <c r="D444" s="2" t="s">
        <v>106</v>
      </c>
      <c r="E444" s="3">
        <v>0</v>
      </c>
      <c r="F444" s="3">
        <v>1</v>
      </c>
      <c r="G444" s="3" t="s">
        <v>10</v>
      </c>
      <c r="H444" s="3" t="s">
        <v>12</v>
      </c>
      <c r="I444" s="3" t="s">
        <v>15</v>
      </c>
      <c r="J444" s="3" t="s">
        <v>14</v>
      </c>
      <c r="K444" s="3" t="s">
        <v>14</v>
      </c>
      <c r="L444" s="3" t="s">
        <v>14</v>
      </c>
      <c r="M444" s="3" t="s">
        <v>13</v>
      </c>
      <c r="N444" s="3" t="s">
        <v>14</v>
      </c>
      <c r="O444" s="3">
        <v>1</v>
      </c>
    </row>
    <row r="445" spans="1:15" ht="15" customHeight="1" x14ac:dyDescent="0.25">
      <c r="A445" s="2">
        <v>10</v>
      </c>
      <c r="B445" s="2" t="s">
        <v>10</v>
      </c>
      <c r="C445" s="2" t="s">
        <v>19</v>
      </c>
      <c r="D445" s="2" t="s">
        <v>106</v>
      </c>
      <c r="E445" s="2">
        <v>0</v>
      </c>
      <c r="F445" s="2">
        <v>0</v>
      </c>
      <c r="G445" s="2" t="s">
        <v>10</v>
      </c>
      <c r="H445" s="2" t="s">
        <v>12</v>
      </c>
      <c r="I445" s="2">
        <v>2</v>
      </c>
      <c r="J445" s="2" t="s">
        <v>14</v>
      </c>
      <c r="K445" s="2" t="s">
        <v>14</v>
      </c>
      <c r="L445" s="2" t="s">
        <v>14</v>
      </c>
      <c r="M445" s="2" t="s">
        <v>14</v>
      </c>
      <c r="N445" s="2" t="s">
        <v>14</v>
      </c>
      <c r="O445" s="2">
        <v>1</v>
      </c>
    </row>
    <row r="446" spans="1:15" ht="15" customHeight="1" x14ac:dyDescent="0.25">
      <c r="A446" s="3">
        <v>5</v>
      </c>
      <c r="B446" s="3" t="s">
        <v>18</v>
      </c>
      <c r="C446" s="3" t="s">
        <v>19</v>
      </c>
      <c r="D446" s="2" t="s">
        <v>106</v>
      </c>
      <c r="E446" s="3">
        <v>0</v>
      </c>
      <c r="F446" s="3">
        <v>0</v>
      </c>
      <c r="G446" s="3" t="s">
        <v>10</v>
      </c>
      <c r="H446" s="3" t="s">
        <v>12</v>
      </c>
      <c r="I446" s="3" t="s">
        <v>15</v>
      </c>
      <c r="J446" s="3" t="s">
        <v>14</v>
      </c>
      <c r="K446" s="3" t="s">
        <v>14</v>
      </c>
      <c r="L446" s="3" t="s">
        <v>14</v>
      </c>
      <c r="M446" s="3" t="s">
        <v>14</v>
      </c>
      <c r="N446" s="3" t="s">
        <v>14</v>
      </c>
      <c r="O446" s="3">
        <v>1</v>
      </c>
    </row>
    <row r="447" spans="1:15" ht="15" customHeight="1" x14ac:dyDescent="0.25">
      <c r="A447" s="2">
        <v>10</v>
      </c>
      <c r="B447" s="2" t="s">
        <v>14</v>
      </c>
      <c r="C447" s="2" t="s">
        <v>19</v>
      </c>
      <c r="D447" s="2" t="s">
        <v>106</v>
      </c>
      <c r="E447" s="2">
        <v>0</v>
      </c>
      <c r="F447" s="2">
        <v>0</v>
      </c>
      <c r="G447" s="2" t="s">
        <v>10</v>
      </c>
      <c r="H447" s="2" t="s">
        <v>12</v>
      </c>
      <c r="I447" s="2">
        <v>2</v>
      </c>
      <c r="J447" s="2" t="s">
        <v>14</v>
      </c>
      <c r="K447" s="2" t="s">
        <v>14</v>
      </c>
      <c r="L447" s="2" t="s">
        <v>14</v>
      </c>
      <c r="M447" s="2" t="s">
        <v>14</v>
      </c>
      <c r="N447" s="2" t="s">
        <v>14</v>
      </c>
      <c r="O447" s="2">
        <v>1</v>
      </c>
    </row>
    <row r="448" spans="1:15" ht="15" customHeight="1" x14ac:dyDescent="0.25">
      <c r="A448" s="3">
        <v>10</v>
      </c>
      <c r="B448" s="3" t="s">
        <v>14</v>
      </c>
      <c r="C448" s="3" t="s">
        <v>19</v>
      </c>
      <c r="D448" s="2" t="s">
        <v>106</v>
      </c>
      <c r="E448" s="3">
        <v>0</v>
      </c>
      <c r="F448" s="3">
        <v>0</v>
      </c>
      <c r="G448" s="3" t="s">
        <v>10</v>
      </c>
      <c r="H448" s="3" t="s">
        <v>12</v>
      </c>
      <c r="I448" s="3">
        <v>2</v>
      </c>
      <c r="J448" s="3" t="s">
        <v>14</v>
      </c>
      <c r="K448" s="3" t="s">
        <v>14</v>
      </c>
      <c r="L448" s="3" t="s">
        <v>14</v>
      </c>
      <c r="M448" s="3" t="s">
        <v>14</v>
      </c>
      <c r="N448" s="3" t="s">
        <v>14</v>
      </c>
      <c r="O448" s="3">
        <v>1</v>
      </c>
    </row>
    <row r="449" spans="1:15" ht="15" customHeight="1" x14ac:dyDescent="0.25">
      <c r="A449" s="2">
        <v>10</v>
      </c>
      <c r="B449" s="2" t="s">
        <v>10</v>
      </c>
      <c r="C449" s="2" t="s">
        <v>19</v>
      </c>
      <c r="D449" s="2" t="s">
        <v>106</v>
      </c>
      <c r="E449" s="2">
        <v>0</v>
      </c>
      <c r="F449" s="2">
        <v>0</v>
      </c>
      <c r="G449" s="2" t="s">
        <v>10</v>
      </c>
      <c r="H449" s="2" t="s">
        <v>12</v>
      </c>
      <c r="I449" s="2" t="s">
        <v>15</v>
      </c>
      <c r="J449" s="2" t="s">
        <v>14</v>
      </c>
      <c r="K449" s="2" t="s">
        <v>14</v>
      </c>
      <c r="L449" s="2" t="s">
        <v>14</v>
      </c>
      <c r="M449" s="2" t="s">
        <v>14</v>
      </c>
      <c r="N449" s="2" t="s">
        <v>14</v>
      </c>
      <c r="O449" s="2">
        <v>0</v>
      </c>
    </row>
    <row r="450" spans="1:15" ht="15" customHeight="1" x14ac:dyDescent="0.25">
      <c r="A450" s="3">
        <v>5</v>
      </c>
      <c r="B450" s="3" t="s">
        <v>10</v>
      </c>
      <c r="C450" s="3" t="s">
        <v>19</v>
      </c>
      <c r="D450" s="2" t="s">
        <v>106</v>
      </c>
      <c r="E450" s="3">
        <v>0</v>
      </c>
      <c r="F450" s="3">
        <v>0</v>
      </c>
      <c r="G450" s="3" t="s">
        <v>10</v>
      </c>
      <c r="H450" s="3" t="s">
        <v>12</v>
      </c>
      <c r="I450" s="3">
        <v>1</v>
      </c>
      <c r="J450" s="3" t="s">
        <v>14</v>
      </c>
      <c r="K450" s="3" t="s">
        <v>14</v>
      </c>
      <c r="L450" s="3" t="s">
        <v>14</v>
      </c>
      <c r="M450" s="3" t="s">
        <v>14</v>
      </c>
      <c r="N450" s="3" t="s">
        <v>14</v>
      </c>
      <c r="O450" s="3">
        <v>1</v>
      </c>
    </row>
    <row r="451" spans="1:15" ht="15" customHeight="1" x14ac:dyDescent="0.25">
      <c r="A451" s="2">
        <v>0</v>
      </c>
      <c r="B451" s="2" t="s">
        <v>18</v>
      </c>
      <c r="C451" s="2" t="s">
        <v>19</v>
      </c>
      <c r="D451" s="2" t="s">
        <v>106</v>
      </c>
      <c r="E451" s="2">
        <v>0</v>
      </c>
      <c r="F451" s="2">
        <v>0</v>
      </c>
      <c r="G451" s="2" t="s">
        <v>10</v>
      </c>
      <c r="H451" s="2" t="s">
        <v>12</v>
      </c>
      <c r="I451" s="2">
        <v>1</v>
      </c>
      <c r="J451" s="2" t="s">
        <v>14</v>
      </c>
      <c r="K451" s="2" t="s">
        <v>14</v>
      </c>
      <c r="L451" s="2" t="s">
        <v>14</v>
      </c>
      <c r="M451" s="2" t="s">
        <v>14</v>
      </c>
      <c r="N451" s="2" t="s">
        <v>14</v>
      </c>
      <c r="O451" s="2">
        <v>1</v>
      </c>
    </row>
    <row r="452" spans="1:15" ht="15" customHeight="1" x14ac:dyDescent="0.25">
      <c r="A452" s="3">
        <v>10</v>
      </c>
      <c r="B452" s="3" t="s">
        <v>10</v>
      </c>
      <c r="C452" s="3" t="s">
        <v>11</v>
      </c>
      <c r="D452" s="2" t="s">
        <v>106</v>
      </c>
      <c r="E452" s="3">
        <v>0</v>
      </c>
      <c r="F452" s="3">
        <v>0</v>
      </c>
      <c r="G452" s="3" t="s">
        <v>10</v>
      </c>
      <c r="H452" s="3" t="s">
        <v>12</v>
      </c>
      <c r="I452" s="3" t="s">
        <v>15</v>
      </c>
      <c r="J452" s="3" t="s">
        <v>14</v>
      </c>
      <c r="K452" s="3" t="s">
        <v>14</v>
      </c>
      <c r="L452" s="3" t="s">
        <v>14</v>
      </c>
      <c r="M452" s="3" t="s">
        <v>14</v>
      </c>
      <c r="N452" s="3" t="s">
        <v>14</v>
      </c>
      <c r="O452" s="3">
        <v>1</v>
      </c>
    </row>
    <row r="453" spans="1:15" ht="15" customHeight="1" x14ac:dyDescent="0.25">
      <c r="A453" s="2">
        <v>20</v>
      </c>
      <c r="B453" s="2" t="s">
        <v>14</v>
      </c>
      <c r="C453" s="2" t="s">
        <v>11</v>
      </c>
      <c r="D453" s="2" t="s">
        <v>106</v>
      </c>
      <c r="E453" s="2">
        <v>1</v>
      </c>
      <c r="F453" s="2">
        <v>0</v>
      </c>
      <c r="G453" s="2" t="s">
        <v>10</v>
      </c>
      <c r="H453" s="2" t="s">
        <v>12</v>
      </c>
      <c r="I453" s="2">
        <v>2</v>
      </c>
      <c r="J453" s="2" t="s">
        <v>14</v>
      </c>
      <c r="K453" s="2" t="s">
        <v>14</v>
      </c>
      <c r="L453" s="2" t="s">
        <v>14</v>
      </c>
      <c r="M453" s="2" t="s">
        <v>13</v>
      </c>
      <c r="N453" s="2" t="s">
        <v>13</v>
      </c>
      <c r="O453" s="2">
        <v>0</v>
      </c>
    </row>
    <row r="454" spans="1:15" ht="15" customHeight="1" x14ac:dyDescent="0.25">
      <c r="A454" s="3">
        <v>0</v>
      </c>
      <c r="B454" s="3" t="s">
        <v>14</v>
      </c>
      <c r="C454" s="3" t="s">
        <v>19</v>
      </c>
      <c r="D454" s="2" t="s">
        <v>106</v>
      </c>
      <c r="E454" s="3">
        <v>0</v>
      </c>
      <c r="F454" s="3">
        <v>1</v>
      </c>
      <c r="G454" s="3" t="s">
        <v>18</v>
      </c>
      <c r="H454" s="3" t="s">
        <v>106</v>
      </c>
      <c r="I454" s="3">
        <v>1</v>
      </c>
      <c r="J454" s="3" t="s">
        <v>14</v>
      </c>
      <c r="K454" s="3" t="s">
        <v>13</v>
      </c>
      <c r="L454" s="3" t="s">
        <v>13</v>
      </c>
      <c r="M454" s="3" t="s">
        <v>13</v>
      </c>
      <c r="N454" s="3" t="s">
        <v>14</v>
      </c>
      <c r="O454" s="3">
        <v>1</v>
      </c>
    </row>
    <row r="455" spans="1:15" ht="15" customHeight="1" x14ac:dyDescent="0.25">
      <c r="A455" s="2">
        <v>10</v>
      </c>
      <c r="B455" s="2" t="s">
        <v>18</v>
      </c>
      <c r="C455" s="2" t="s">
        <v>11</v>
      </c>
      <c r="D455" s="2" t="s">
        <v>106</v>
      </c>
      <c r="E455" s="2">
        <v>0</v>
      </c>
      <c r="F455" s="2">
        <v>1</v>
      </c>
      <c r="G455" s="2" t="s">
        <v>10</v>
      </c>
      <c r="H455" s="2" t="s">
        <v>16</v>
      </c>
      <c r="I455" s="2" t="s">
        <v>15</v>
      </c>
      <c r="J455" s="2" t="s">
        <v>14</v>
      </c>
      <c r="K455" s="2" t="s">
        <v>13</v>
      </c>
      <c r="L455" s="2" t="s">
        <v>14</v>
      </c>
      <c r="M455" s="2" t="s">
        <v>14</v>
      </c>
      <c r="N455" s="2" t="s">
        <v>14</v>
      </c>
      <c r="O455" s="2">
        <v>1</v>
      </c>
    </row>
    <row r="456" spans="1:15" ht="15" customHeight="1" x14ac:dyDescent="0.25">
      <c r="A456" s="3">
        <v>0</v>
      </c>
      <c r="B456" s="3" t="s">
        <v>10</v>
      </c>
      <c r="C456" s="3" t="s">
        <v>11</v>
      </c>
      <c r="D456" s="2" t="s">
        <v>106</v>
      </c>
      <c r="E456" s="3">
        <v>0</v>
      </c>
      <c r="F456" s="3">
        <v>1</v>
      </c>
      <c r="G456" s="3" t="s">
        <v>10</v>
      </c>
      <c r="H456" s="3" t="s">
        <v>12</v>
      </c>
      <c r="I456" s="3">
        <v>2</v>
      </c>
      <c r="J456" s="3" t="s">
        <v>14</v>
      </c>
      <c r="K456" s="3" t="s">
        <v>14</v>
      </c>
      <c r="L456" s="3" t="s">
        <v>14</v>
      </c>
      <c r="M456" s="3" t="s">
        <v>14</v>
      </c>
      <c r="N456" s="3" t="s">
        <v>14</v>
      </c>
      <c r="O456" s="3">
        <v>1</v>
      </c>
    </row>
    <row r="457" spans="1:15" ht="15" customHeight="1" x14ac:dyDescent="0.25">
      <c r="A457" s="2">
        <v>5</v>
      </c>
      <c r="B457" s="2" t="s">
        <v>10</v>
      </c>
      <c r="C457" s="2" t="s">
        <v>11</v>
      </c>
      <c r="D457" s="2" t="s">
        <v>106</v>
      </c>
      <c r="E457" s="2">
        <v>0</v>
      </c>
      <c r="F457" s="2">
        <v>0</v>
      </c>
      <c r="G457" s="2" t="s">
        <v>10</v>
      </c>
      <c r="H457" s="2" t="s">
        <v>12</v>
      </c>
      <c r="I457" s="2">
        <v>2</v>
      </c>
      <c r="J457" s="2" t="s">
        <v>13</v>
      </c>
      <c r="K457" s="2" t="s">
        <v>14</v>
      </c>
      <c r="L457" s="2" t="s">
        <v>14</v>
      </c>
      <c r="M457" s="2" t="s">
        <v>14</v>
      </c>
      <c r="N457" s="2" t="s">
        <v>14</v>
      </c>
      <c r="O457" s="2">
        <v>1</v>
      </c>
    </row>
    <row r="458" spans="1:15" ht="15" customHeight="1" x14ac:dyDescent="0.25">
      <c r="A458" s="3">
        <v>20</v>
      </c>
      <c r="B458" s="3" t="s">
        <v>14</v>
      </c>
      <c r="C458" s="3" t="s">
        <v>11</v>
      </c>
      <c r="D458" s="2" t="s">
        <v>106</v>
      </c>
      <c r="E458" s="3">
        <v>1</v>
      </c>
      <c r="F458" s="3">
        <v>0</v>
      </c>
      <c r="G458" s="3" t="s">
        <v>10</v>
      </c>
      <c r="H458" s="3" t="s">
        <v>12</v>
      </c>
      <c r="I458" s="3">
        <v>1</v>
      </c>
      <c r="J458" s="3" t="s">
        <v>14</v>
      </c>
      <c r="K458" s="3" t="s">
        <v>14</v>
      </c>
      <c r="L458" s="3" t="s">
        <v>14</v>
      </c>
      <c r="M458" s="3" t="s">
        <v>13</v>
      </c>
      <c r="N458" s="3" t="s">
        <v>13</v>
      </c>
      <c r="O458" s="3">
        <v>0</v>
      </c>
    </row>
    <row r="459" spans="1:15" ht="15" customHeight="1" x14ac:dyDescent="0.25">
      <c r="A459" s="2">
        <v>10</v>
      </c>
      <c r="B459" s="2" t="s">
        <v>18</v>
      </c>
      <c r="C459" s="2" t="s">
        <v>20</v>
      </c>
      <c r="D459" s="2" t="s">
        <v>106</v>
      </c>
      <c r="E459" s="2">
        <v>0</v>
      </c>
      <c r="F459" s="2">
        <v>0</v>
      </c>
      <c r="G459" s="2" t="s">
        <v>10</v>
      </c>
      <c r="H459" s="2" t="s">
        <v>16</v>
      </c>
      <c r="I459" s="2">
        <v>2</v>
      </c>
      <c r="J459" s="2" t="s">
        <v>14</v>
      </c>
      <c r="K459" s="2" t="s">
        <v>14</v>
      </c>
      <c r="L459" s="2" t="s">
        <v>14</v>
      </c>
      <c r="M459" s="2" t="s">
        <v>14</v>
      </c>
      <c r="N459" s="2" t="s">
        <v>14</v>
      </c>
      <c r="O459" s="2">
        <v>1</v>
      </c>
    </row>
    <row r="460" spans="1:15" ht="15" customHeight="1" x14ac:dyDescent="0.25">
      <c r="A460" s="3">
        <v>10</v>
      </c>
      <c r="B460" s="3" t="s">
        <v>14</v>
      </c>
      <c r="C460" s="3" t="s">
        <v>20</v>
      </c>
      <c r="D460" s="2" t="s">
        <v>106</v>
      </c>
      <c r="E460" s="3">
        <v>0</v>
      </c>
      <c r="F460" s="3">
        <v>0</v>
      </c>
      <c r="G460" s="3" t="s">
        <v>10</v>
      </c>
      <c r="H460" s="3" t="s">
        <v>12</v>
      </c>
      <c r="I460" s="3" t="s">
        <v>15</v>
      </c>
      <c r="J460" s="3" t="s">
        <v>14</v>
      </c>
      <c r="K460" s="3" t="s">
        <v>14</v>
      </c>
      <c r="L460" s="3" t="s">
        <v>14</v>
      </c>
      <c r="M460" s="3" t="s">
        <v>14</v>
      </c>
      <c r="N460" s="3" t="s">
        <v>14</v>
      </c>
      <c r="O460" s="3">
        <v>1</v>
      </c>
    </row>
    <row r="461" spans="1:15" ht="15" customHeight="1" x14ac:dyDescent="0.25">
      <c r="A461" s="2">
        <v>30</v>
      </c>
      <c r="B461" s="2" t="s">
        <v>10</v>
      </c>
      <c r="C461" s="2" t="s">
        <v>11</v>
      </c>
      <c r="D461" s="2" t="s">
        <v>106</v>
      </c>
      <c r="E461" s="2">
        <v>1</v>
      </c>
      <c r="F461" s="2">
        <v>0</v>
      </c>
      <c r="G461" s="2" t="s">
        <v>10</v>
      </c>
      <c r="H461" s="2" t="s">
        <v>12</v>
      </c>
      <c r="I461" s="2" t="s">
        <v>15</v>
      </c>
      <c r="J461" s="2" t="s">
        <v>13</v>
      </c>
      <c r="K461" s="2" t="s">
        <v>14</v>
      </c>
      <c r="L461" s="2" t="s">
        <v>14</v>
      </c>
      <c r="M461" s="2" t="s">
        <v>13</v>
      </c>
      <c r="N461" s="2" t="s">
        <v>14</v>
      </c>
      <c r="O461" s="2">
        <v>0</v>
      </c>
    </row>
    <row r="462" spans="1:15" ht="15" customHeight="1" x14ac:dyDescent="0.25">
      <c r="A462" s="3">
        <v>10</v>
      </c>
      <c r="B462" s="3" t="s">
        <v>10</v>
      </c>
      <c r="C462" s="3" t="s">
        <v>19</v>
      </c>
      <c r="D462" s="2" t="s">
        <v>106</v>
      </c>
      <c r="E462" s="3">
        <v>0</v>
      </c>
      <c r="F462" s="3">
        <v>0</v>
      </c>
      <c r="G462" s="3" t="s">
        <v>10</v>
      </c>
      <c r="H462" s="3" t="s">
        <v>12</v>
      </c>
      <c r="I462" s="3">
        <v>2</v>
      </c>
      <c r="J462" s="3" t="s">
        <v>14</v>
      </c>
      <c r="K462" s="3" t="s">
        <v>14</v>
      </c>
      <c r="L462" s="3" t="s">
        <v>14</v>
      </c>
      <c r="M462" s="3" t="s">
        <v>14</v>
      </c>
      <c r="N462" s="3" t="s">
        <v>14</v>
      </c>
      <c r="O462" s="3">
        <v>1</v>
      </c>
    </row>
    <row r="463" spans="1:15" ht="15" customHeight="1" x14ac:dyDescent="0.25">
      <c r="A463" s="2">
        <v>10</v>
      </c>
      <c r="B463" s="2" t="s">
        <v>18</v>
      </c>
      <c r="C463" s="2" t="s">
        <v>19</v>
      </c>
      <c r="D463" s="2" t="s">
        <v>106</v>
      </c>
      <c r="E463" s="2">
        <v>0</v>
      </c>
      <c r="F463" s="2">
        <v>0</v>
      </c>
      <c r="G463" s="2" t="s">
        <v>10</v>
      </c>
      <c r="H463" s="2" t="s">
        <v>12</v>
      </c>
      <c r="I463" s="2">
        <v>2</v>
      </c>
      <c r="J463" s="2" t="s">
        <v>14</v>
      </c>
      <c r="K463" s="2" t="s">
        <v>14</v>
      </c>
      <c r="L463" s="2" t="s">
        <v>14</v>
      </c>
      <c r="M463" s="2" t="s">
        <v>14</v>
      </c>
      <c r="N463" s="2" t="s">
        <v>14</v>
      </c>
      <c r="O463" s="2">
        <v>1</v>
      </c>
    </row>
    <row r="464" spans="1:15" ht="15" customHeight="1" x14ac:dyDescent="0.25">
      <c r="A464" s="3">
        <v>20</v>
      </c>
      <c r="B464" s="3" t="s">
        <v>18</v>
      </c>
      <c r="C464" s="3" t="s">
        <v>20</v>
      </c>
      <c r="D464" s="2" t="s">
        <v>106</v>
      </c>
      <c r="E464" s="3">
        <v>0</v>
      </c>
      <c r="F464" s="3">
        <v>0</v>
      </c>
      <c r="G464" s="3" t="s">
        <v>10</v>
      </c>
      <c r="H464" s="3" t="s">
        <v>16</v>
      </c>
      <c r="I464" s="3">
        <v>1</v>
      </c>
      <c r="J464" s="3" t="s">
        <v>14</v>
      </c>
      <c r="K464" s="3" t="s">
        <v>14</v>
      </c>
      <c r="L464" s="3" t="s">
        <v>14</v>
      </c>
      <c r="M464" s="3" t="s">
        <v>14</v>
      </c>
      <c r="N464" s="3" t="s">
        <v>14</v>
      </c>
      <c r="O464" s="3">
        <v>1</v>
      </c>
    </row>
    <row r="465" spans="1:15" ht="15" customHeight="1" x14ac:dyDescent="0.25">
      <c r="A465" s="2">
        <v>30</v>
      </c>
      <c r="B465" s="2" t="s">
        <v>10</v>
      </c>
      <c r="C465" s="2" t="s">
        <v>19</v>
      </c>
      <c r="D465" s="2" t="s">
        <v>106</v>
      </c>
      <c r="E465" s="2">
        <v>1</v>
      </c>
      <c r="F465" s="2">
        <v>0</v>
      </c>
      <c r="G465" s="2" t="s">
        <v>10</v>
      </c>
      <c r="H465" s="2" t="s">
        <v>16</v>
      </c>
      <c r="I465" s="2">
        <v>2</v>
      </c>
      <c r="J465" s="2" t="s">
        <v>14</v>
      </c>
      <c r="K465" s="2" t="s">
        <v>14</v>
      </c>
      <c r="L465" s="2" t="s">
        <v>14</v>
      </c>
      <c r="M465" s="2" t="s">
        <v>13</v>
      </c>
      <c r="N465" s="2" t="s">
        <v>14</v>
      </c>
      <c r="O465" s="2">
        <v>0</v>
      </c>
    </row>
    <row r="466" spans="1:15" ht="15" customHeight="1" x14ac:dyDescent="0.25">
      <c r="A466" s="3">
        <v>0</v>
      </c>
      <c r="B466" s="3" t="s">
        <v>10</v>
      </c>
      <c r="C466" s="3" t="s">
        <v>19</v>
      </c>
      <c r="D466" s="2" t="s">
        <v>106</v>
      </c>
      <c r="E466" s="3">
        <v>1</v>
      </c>
      <c r="F466" s="3">
        <v>1</v>
      </c>
      <c r="G466" s="3" t="s">
        <v>17</v>
      </c>
      <c r="H466" s="3" t="s">
        <v>106</v>
      </c>
      <c r="I466" s="3">
        <v>1</v>
      </c>
      <c r="J466" s="3" t="s">
        <v>14</v>
      </c>
      <c r="K466" s="3" t="s">
        <v>13</v>
      </c>
      <c r="L466" s="3" t="s">
        <v>13</v>
      </c>
      <c r="M466" s="3" t="s">
        <v>13</v>
      </c>
      <c r="N466" s="3" t="s">
        <v>14</v>
      </c>
      <c r="O466" s="3">
        <v>0</v>
      </c>
    </row>
    <row r="467" spans="1:15" ht="15" customHeight="1" x14ac:dyDescent="0.25">
      <c r="A467" s="2">
        <v>10</v>
      </c>
      <c r="B467" s="2" t="s">
        <v>14</v>
      </c>
      <c r="C467" s="2" t="s">
        <v>19</v>
      </c>
      <c r="D467" s="2" t="s">
        <v>106</v>
      </c>
      <c r="E467" s="2">
        <v>0</v>
      </c>
      <c r="F467" s="2">
        <v>0</v>
      </c>
      <c r="G467" s="2" t="s">
        <v>17</v>
      </c>
      <c r="H467" s="2" t="s">
        <v>106</v>
      </c>
      <c r="I467" s="2">
        <v>1</v>
      </c>
      <c r="J467" s="2" t="s">
        <v>14</v>
      </c>
      <c r="K467" s="2" t="s">
        <v>13</v>
      </c>
      <c r="L467" s="2" t="s">
        <v>13</v>
      </c>
      <c r="M467" s="2" t="s">
        <v>14</v>
      </c>
      <c r="N467" s="2" t="s">
        <v>14</v>
      </c>
      <c r="O467" s="2">
        <v>1</v>
      </c>
    </row>
    <row r="468" spans="1:15" ht="15" customHeight="1" x14ac:dyDescent="0.25">
      <c r="A468" s="3">
        <v>5</v>
      </c>
      <c r="B468" s="3" t="s">
        <v>10</v>
      </c>
      <c r="C468" s="3" t="s">
        <v>11</v>
      </c>
      <c r="D468" s="2" t="s">
        <v>106</v>
      </c>
      <c r="E468" s="3">
        <v>0</v>
      </c>
      <c r="F468" s="3">
        <v>1</v>
      </c>
      <c r="G468" s="3" t="s">
        <v>10</v>
      </c>
      <c r="H468" s="3" t="s">
        <v>12</v>
      </c>
      <c r="I468" s="3">
        <v>2</v>
      </c>
      <c r="J468" s="3" t="s">
        <v>14</v>
      </c>
      <c r="K468" s="3" t="s">
        <v>14</v>
      </c>
      <c r="L468" s="3" t="s">
        <v>14</v>
      </c>
      <c r="M468" s="3" t="s">
        <v>14</v>
      </c>
      <c r="N468" s="3" t="s">
        <v>14</v>
      </c>
      <c r="O468" s="3">
        <v>0</v>
      </c>
    </row>
    <row r="469" spans="1:15" ht="15" customHeight="1" x14ac:dyDescent="0.25">
      <c r="A469" s="2">
        <v>0</v>
      </c>
      <c r="B469" s="2" t="s">
        <v>10</v>
      </c>
      <c r="C469" s="2" t="s">
        <v>20</v>
      </c>
      <c r="D469" s="2" t="s">
        <v>106</v>
      </c>
      <c r="E469" s="2">
        <v>0</v>
      </c>
      <c r="F469" s="2">
        <v>0</v>
      </c>
      <c r="G469" s="2" t="s">
        <v>10</v>
      </c>
      <c r="H469" s="2" t="s">
        <v>12</v>
      </c>
      <c r="I469" s="2">
        <v>1</v>
      </c>
      <c r="J469" s="2" t="s">
        <v>14</v>
      </c>
      <c r="K469" s="2" t="s">
        <v>14</v>
      </c>
      <c r="L469" s="2" t="s">
        <v>14</v>
      </c>
      <c r="M469" s="2" t="s">
        <v>14</v>
      </c>
      <c r="N469" s="2" t="s">
        <v>14</v>
      </c>
      <c r="O469" s="2">
        <v>1</v>
      </c>
    </row>
    <row r="470" spans="1:15" ht="15" customHeight="1" x14ac:dyDescent="0.25">
      <c r="A470" s="3">
        <v>20</v>
      </c>
      <c r="B470" s="3" t="s">
        <v>10</v>
      </c>
      <c r="C470" s="3" t="s">
        <v>19</v>
      </c>
      <c r="D470" s="2" t="s">
        <v>106</v>
      </c>
      <c r="E470" s="3">
        <v>0</v>
      </c>
      <c r="F470" s="3">
        <v>0</v>
      </c>
      <c r="G470" s="3" t="s">
        <v>10</v>
      </c>
      <c r="H470" s="3" t="s">
        <v>12</v>
      </c>
      <c r="I470" s="3" t="s">
        <v>15</v>
      </c>
      <c r="J470" s="3" t="s">
        <v>14</v>
      </c>
      <c r="K470" s="3" t="s">
        <v>14</v>
      </c>
      <c r="L470" s="3" t="s">
        <v>14</v>
      </c>
      <c r="M470" s="3" t="s">
        <v>13</v>
      </c>
      <c r="N470" s="3" t="s">
        <v>14</v>
      </c>
      <c r="O470" s="3">
        <v>1</v>
      </c>
    </row>
    <row r="471" spans="1:15" ht="15" customHeight="1" x14ac:dyDescent="0.25">
      <c r="A471" s="2">
        <v>20</v>
      </c>
      <c r="B471" s="2" t="s">
        <v>10</v>
      </c>
      <c r="C471" s="2" t="s">
        <v>19</v>
      </c>
      <c r="D471" s="2" t="s">
        <v>106</v>
      </c>
      <c r="E471" s="2">
        <v>2</v>
      </c>
      <c r="F471" s="2">
        <v>0</v>
      </c>
      <c r="G471" s="2" t="s">
        <v>10</v>
      </c>
      <c r="H471" s="2" t="s">
        <v>16</v>
      </c>
      <c r="I471" s="2">
        <v>2</v>
      </c>
      <c r="J471" s="2" t="s">
        <v>13</v>
      </c>
      <c r="K471" s="2" t="s">
        <v>14</v>
      </c>
      <c r="L471" s="2" t="s">
        <v>14</v>
      </c>
      <c r="M471" s="2" t="s">
        <v>13</v>
      </c>
      <c r="N471" s="2" t="s">
        <v>14</v>
      </c>
      <c r="O471" s="2">
        <v>1</v>
      </c>
    </row>
    <row r="472" spans="1:15" ht="15" customHeight="1" x14ac:dyDescent="0.25">
      <c r="A472" s="3">
        <v>10</v>
      </c>
      <c r="B472" s="3" t="s">
        <v>14</v>
      </c>
      <c r="C472" s="3" t="s">
        <v>11</v>
      </c>
      <c r="D472" s="2" t="s">
        <v>106</v>
      </c>
      <c r="E472" s="3">
        <v>1</v>
      </c>
      <c r="F472" s="3">
        <v>1</v>
      </c>
      <c r="G472" s="3" t="s">
        <v>10</v>
      </c>
      <c r="H472" s="3" t="s">
        <v>16</v>
      </c>
      <c r="I472" s="3">
        <v>2</v>
      </c>
      <c r="J472" s="3" t="s">
        <v>14</v>
      </c>
      <c r="K472" s="3" t="s">
        <v>14</v>
      </c>
      <c r="L472" s="3" t="s">
        <v>14</v>
      </c>
      <c r="M472" s="3" t="s">
        <v>14</v>
      </c>
      <c r="N472" s="3" t="s">
        <v>14</v>
      </c>
      <c r="O472" s="3">
        <v>0</v>
      </c>
    </row>
    <row r="473" spans="1:15" ht="15" customHeight="1" x14ac:dyDescent="0.25">
      <c r="A473" s="2">
        <v>0</v>
      </c>
      <c r="B473" s="2" t="s">
        <v>10</v>
      </c>
      <c r="C473" s="2" t="s">
        <v>20</v>
      </c>
      <c r="D473" s="2" t="s">
        <v>106</v>
      </c>
      <c r="E473" s="2">
        <v>0</v>
      </c>
      <c r="F473" s="2">
        <v>0</v>
      </c>
      <c r="G473" s="2" t="s">
        <v>10</v>
      </c>
      <c r="H473" s="2" t="s">
        <v>12</v>
      </c>
      <c r="I473" s="2">
        <v>2</v>
      </c>
      <c r="J473" s="2" t="s">
        <v>14</v>
      </c>
      <c r="K473" s="2" t="s">
        <v>14</v>
      </c>
      <c r="L473" s="2" t="s">
        <v>14</v>
      </c>
      <c r="M473" s="2" t="s">
        <v>14</v>
      </c>
      <c r="N473" s="2" t="s">
        <v>14</v>
      </c>
      <c r="O473" s="2">
        <v>1</v>
      </c>
    </row>
    <row r="474" spans="1:15" ht="15" customHeight="1" x14ac:dyDescent="0.25">
      <c r="A474" s="3">
        <v>5</v>
      </c>
      <c r="B474" s="3" t="s">
        <v>10</v>
      </c>
      <c r="C474" s="3" t="s">
        <v>19</v>
      </c>
      <c r="D474" s="2" t="s">
        <v>106</v>
      </c>
      <c r="E474" s="3">
        <v>0</v>
      </c>
      <c r="F474" s="3">
        <v>0</v>
      </c>
      <c r="G474" s="3" t="s">
        <v>10</v>
      </c>
      <c r="H474" s="3" t="s">
        <v>12</v>
      </c>
      <c r="I474" s="3">
        <v>2</v>
      </c>
      <c r="J474" s="3" t="s">
        <v>14</v>
      </c>
      <c r="K474" s="3" t="s">
        <v>14</v>
      </c>
      <c r="L474" s="3" t="s">
        <v>14</v>
      </c>
      <c r="M474" s="3" t="s">
        <v>14</v>
      </c>
      <c r="N474" s="3" t="s">
        <v>14</v>
      </c>
      <c r="O474" s="3">
        <v>1</v>
      </c>
    </row>
    <row r="475" spans="1:15" ht="15" customHeight="1" x14ac:dyDescent="0.25">
      <c r="A475" s="2">
        <v>5</v>
      </c>
      <c r="B475" s="2" t="s">
        <v>14</v>
      </c>
      <c r="C475" s="2" t="s">
        <v>19</v>
      </c>
      <c r="D475" s="2" t="s">
        <v>106</v>
      </c>
      <c r="E475" s="2">
        <v>0</v>
      </c>
      <c r="F475" s="2">
        <v>0</v>
      </c>
      <c r="G475" s="2" t="s">
        <v>10</v>
      </c>
      <c r="H475" s="2" t="s">
        <v>12</v>
      </c>
      <c r="I475" s="2">
        <v>1</v>
      </c>
      <c r="J475" s="2" t="s">
        <v>14</v>
      </c>
      <c r="K475" s="2" t="s">
        <v>14</v>
      </c>
      <c r="L475" s="2" t="s">
        <v>14</v>
      </c>
      <c r="M475" s="2" t="s">
        <v>14</v>
      </c>
      <c r="N475" s="2" t="s">
        <v>14</v>
      </c>
      <c r="O475" s="2">
        <v>1</v>
      </c>
    </row>
    <row r="476" spans="1:15" ht="15" customHeight="1" x14ac:dyDescent="0.25">
      <c r="A476" s="3">
        <v>5</v>
      </c>
      <c r="B476" s="3" t="s">
        <v>10</v>
      </c>
      <c r="C476" s="3" t="s">
        <v>19</v>
      </c>
      <c r="D476" s="2" t="s">
        <v>106</v>
      </c>
      <c r="E476" s="3">
        <v>0</v>
      </c>
      <c r="F476" s="3">
        <v>0</v>
      </c>
      <c r="G476" s="3" t="s">
        <v>10</v>
      </c>
      <c r="H476" s="3" t="s">
        <v>12</v>
      </c>
      <c r="I476" s="3">
        <v>2</v>
      </c>
      <c r="J476" s="3" t="s">
        <v>14</v>
      </c>
      <c r="K476" s="3" t="s">
        <v>14</v>
      </c>
      <c r="L476" s="3" t="s">
        <v>14</v>
      </c>
      <c r="M476" s="3" t="s">
        <v>14</v>
      </c>
      <c r="N476" s="3" t="s">
        <v>14</v>
      </c>
      <c r="O476" s="3">
        <v>1</v>
      </c>
    </row>
    <row r="477" spans="1:15" ht="15" customHeight="1" x14ac:dyDescent="0.25">
      <c r="A477" s="2">
        <v>10</v>
      </c>
      <c r="B477" s="2" t="s">
        <v>10</v>
      </c>
      <c r="C477" s="2" t="s">
        <v>11</v>
      </c>
      <c r="D477" s="2" t="s">
        <v>106</v>
      </c>
      <c r="E477" s="2">
        <v>0</v>
      </c>
      <c r="F477" s="2">
        <v>0</v>
      </c>
      <c r="G477" s="2" t="s">
        <v>10</v>
      </c>
      <c r="H477" s="2" t="s">
        <v>12</v>
      </c>
      <c r="I477" s="2" t="s">
        <v>15</v>
      </c>
      <c r="J477" s="2" t="s">
        <v>14</v>
      </c>
      <c r="K477" s="2" t="s">
        <v>14</v>
      </c>
      <c r="L477" s="2" t="s">
        <v>14</v>
      </c>
      <c r="M477" s="2" t="s">
        <v>14</v>
      </c>
      <c r="N477" s="2" t="s">
        <v>14</v>
      </c>
      <c r="O477" s="2">
        <v>1</v>
      </c>
    </row>
    <row r="478" spans="1:15" ht="15" customHeight="1" x14ac:dyDescent="0.25">
      <c r="A478" s="3">
        <v>5</v>
      </c>
      <c r="B478" s="3" t="s">
        <v>14</v>
      </c>
      <c r="C478" s="3" t="s">
        <v>20</v>
      </c>
      <c r="D478" s="2" t="s">
        <v>106</v>
      </c>
      <c r="E478" s="3">
        <v>0</v>
      </c>
      <c r="F478" s="3">
        <v>0</v>
      </c>
      <c r="G478" s="3" t="s">
        <v>10</v>
      </c>
      <c r="H478" s="3" t="s">
        <v>12</v>
      </c>
      <c r="I478" s="3">
        <v>2</v>
      </c>
      <c r="J478" s="3" t="s">
        <v>14</v>
      </c>
      <c r="K478" s="3" t="s">
        <v>14</v>
      </c>
      <c r="L478" s="3" t="s">
        <v>14</v>
      </c>
      <c r="M478" s="3" t="s">
        <v>14</v>
      </c>
      <c r="N478" s="3" t="s">
        <v>14</v>
      </c>
      <c r="O478" s="3">
        <v>1</v>
      </c>
    </row>
    <row r="479" spans="1:15" ht="15" customHeight="1" x14ac:dyDescent="0.25">
      <c r="A479" s="2">
        <v>20</v>
      </c>
      <c r="B479" s="2" t="s">
        <v>10</v>
      </c>
      <c r="C479" s="2" t="s">
        <v>19</v>
      </c>
      <c r="D479" s="2" t="s">
        <v>106</v>
      </c>
      <c r="E479" s="2">
        <v>0</v>
      </c>
      <c r="F479" s="2">
        <v>0</v>
      </c>
      <c r="G479" s="2" t="s">
        <v>10</v>
      </c>
      <c r="H479" s="2" t="s">
        <v>12</v>
      </c>
      <c r="I479" s="2">
        <v>2</v>
      </c>
      <c r="J479" s="2" t="s">
        <v>14</v>
      </c>
      <c r="K479" s="2" t="s">
        <v>14</v>
      </c>
      <c r="L479" s="2" t="s">
        <v>14</v>
      </c>
      <c r="M479" s="2" t="s">
        <v>14</v>
      </c>
      <c r="N479" s="2" t="s">
        <v>14</v>
      </c>
      <c r="O479" s="2">
        <v>1</v>
      </c>
    </row>
    <row r="480" spans="1:15" ht="15" customHeight="1" x14ac:dyDescent="0.25">
      <c r="A480" s="3">
        <v>10</v>
      </c>
      <c r="B480" s="3" t="s">
        <v>10</v>
      </c>
      <c r="C480" s="3" t="s">
        <v>19</v>
      </c>
      <c r="D480" s="2" t="s">
        <v>106</v>
      </c>
      <c r="E480" s="3">
        <v>0</v>
      </c>
      <c r="F480" s="3">
        <v>0</v>
      </c>
      <c r="G480" s="3" t="s">
        <v>10</v>
      </c>
      <c r="H480" s="3" t="s">
        <v>12</v>
      </c>
      <c r="I480" s="3" t="s">
        <v>15</v>
      </c>
      <c r="J480" s="3" t="s">
        <v>14</v>
      </c>
      <c r="K480" s="3" t="s">
        <v>14</v>
      </c>
      <c r="L480" s="3" t="s">
        <v>14</v>
      </c>
      <c r="M480" s="3" t="s">
        <v>14</v>
      </c>
      <c r="N480" s="3" t="s">
        <v>14</v>
      </c>
      <c r="O480" s="3">
        <v>1</v>
      </c>
    </row>
    <row r="481" spans="1:15" ht="15" customHeight="1" x14ac:dyDescent="0.25">
      <c r="A481" s="2">
        <v>5</v>
      </c>
      <c r="B481" s="2" t="s">
        <v>18</v>
      </c>
      <c r="C481" s="2" t="s">
        <v>19</v>
      </c>
      <c r="D481" s="2" t="s">
        <v>106</v>
      </c>
      <c r="E481" s="2">
        <v>0</v>
      </c>
      <c r="F481" s="2">
        <v>0</v>
      </c>
      <c r="G481" s="2" t="s">
        <v>10</v>
      </c>
      <c r="H481" s="2" t="s">
        <v>12</v>
      </c>
      <c r="I481" s="2" t="s">
        <v>15</v>
      </c>
      <c r="J481" s="2" t="s">
        <v>14</v>
      </c>
      <c r="K481" s="2" t="s">
        <v>14</v>
      </c>
      <c r="L481" s="2" t="s">
        <v>14</v>
      </c>
      <c r="M481" s="2" t="s">
        <v>14</v>
      </c>
      <c r="N481" s="2" t="s">
        <v>14</v>
      </c>
      <c r="O481" s="2">
        <v>1</v>
      </c>
    </row>
    <row r="482" spans="1:15" ht="15" customHeight="1" x14ac:dyDescent="0.25">
      <c r="A482" s="3">
        <v>10</v>
      </c>
      <c r="B482" s="3" t="s">
        <v>10</v>
      </c>
      <c r="C482" s="3" t="s">
        <v>19</v>
      </c>
      <c r="D482" s="2" t="s">
        <v>106</v>
      </c>
      <c r="E482" s="3">
        <v>0</v>
      </c>
      <c r="F482" s="3">
        <v>1</v>
      </c>
      <c r="G482" s="3" t="s">
        <v>10</v>
      </c>
      <c r="H482" s="3" t="s">
        <v>12</v>
      </c>
      <c r="I482" s="3" t="s">
        <v>15</v>
      </c>
      <c r="J482" s="3" t="s">
        <v>14</v>
      </c>
      <c r="K482" s="3" t="s">
        <v>14</v>
      </c>
      <c r="L482" s="3" t="s">
        <v>14</v>
      </c>
      <c r="M482" s="3" t="s">
        <v>14</v>
      </c>
      <c r="N482" s="3" t="s">
        <v>14</v>
      </c>
      <c r="O482" s="3">
        <v>1</v>
      </c>
    </row>
    <row r="483" spans="1:15" ht="15" customHeight="1" x14ac:dyDescent="0.25">
      <c r="A483" s="2">
        <v>10</v>
      </c>
      <c r="B483" s="2" t="s">
        <v>10</v>
      </c>
      <c r="C483" s="2" t="s">
        <v>11</v>
      </c>
      <c r="D483" s="2" t="s">
        <v>106</v>
      </c>
      <c r="E483" s="2">
        <v>1</v>
      </c>
      <c r="F483" s="2">
        <v>1</v>
      </c>
      <c r="G483" s="2" t="s">
        <v>10</v>
      </c>
      <c r="H483" s="2" t="s">
        <v>16</v>
      </c>
      <c r="I483" s="2" t="s">
        <v>15</v>
      </c>
      <c r="J483" s="2" t="s">
        <v>14</v>
      </c>
      <c r="K483" s="2" t="s">
        <v>14</v>
      </c>
      <c r="L483" s="2" t="s">
        <v>14</v>
      </c>
      <c r="M483" s="2" t="s">
        <v>13</v>
      </c>
      <c r="N483" s="2" t="s">
        <v>13</v>
      </c>
      <c r="O483" s="2">
        <v>0</v>
      </c>
    </row>
    <row r="484" spans="1:15" ht="15" customHeight="1" x14ac:dyDescent="0.25">
      <c r="A484" s="3">
        <v>10</v>
      </c>
      <c r="B484" s="3" t="s">
        <v>10</v>
      </c>
      <c r="C484" s="3" t="s">
        <v>19</v>
      </c>
      <c r="D484" s="2" t="s">
        <v>106</v>
      </c>
      <c r="E484" s="3">
        <v>0</v>
      </c>
      <c r="F484" s="3">
        <v>1</v>
      </c>
      <c r="G484" s="3" t="s">
        <v>10</v>
      </c>
      <c r="H484" s="3" t="s">
        <v>12</v>
      </c>
      <c r="I484" s="3">
        <v>1</v>
      </c>
      <c r="J484" s="3" t="s">
        <v>13</v>
      </c>
      <c r="K484" s="3" t="s">
        <v>14</v>
      </c>
      <c r="L484" s="3" t="s">
        <v>14</v>
      </c>
      <c r="M484" s="3" t="s">
        <v>14</v>
      </c>
      <c r="N484" s="3" t="s">
        <v>14</v>
      </c>
      <c r="O484" s="3">
        <v>1</v>
      </c>
    </row>
    <row r="485" spans="1:15" ht="15" customHeight="1" x14ac:dyDescent="0.25">
      <c r="A485" s="2">
        <v>5</v>
      </c>
      <c r="B485" s="2" t="s">
        <v>18</v>
      </c>
      <c r="C485" s="2" t="s">
        <v>20</v>
      </c>
      <c r="D485" s="2" t="s">
        <v>106</v>
      </c>
      <c r="E485" s="2">
        <v>0</v>
      </c>
      <c r="F485" s="2">
        <v>0</v>
      </c>
      <c r="G485" s="2" t="s">
        <v>10</v>
      </c>
      <c r="H485" s="2" t="s">
        <v>12</v>
      </c>
      <c r="I485" s="2">
        <v>1</v>
      </c>
      <c r="J485" s="2" t="s">
        <v>14</v>
      </c>
      <c r="K485" s="2" t="s">
        <v>14</v>
      </c>
      <c r="L485" s="2" t="s">
        <v>14</v>
      </c>
      <c r="M485" s="2" t="s">
        <v>14</v>
      </c>
      <c r="N485" s="2" t="s">
        <v>14</v>
      </c>
      <c r="O485" s="2">
        <v>1</v>
      </c>
    </row>
    <row r="486" spans="1:15" ht="15" customHeight="1" x14ac:dyDescent="0.25">
      <c r="A486" s="3">
        <v>5</v>
      </c>
      <c r="B486" s="3" t="s">
        <v>14</v>
      </c>
      <c r="C486" s="3" t="s">
        <v>19</v>
      </c>
      <c r="D486" s="2" t="s">
        <v>106</v>
      </c>
      <c r="E486" s="3">
        <v>0</v>
      </c>
      <c r="F486" s="3">
        <v>0</v>
      </c>
      <c r="G486" s="3" t="s">
        <v>10</v>
      </c>
      <c r="H486" s="3" t="s">
        <v>12</v>
      </c>
      <c r="I486" s="3" t="s">
        <v>15</v>
      </c>
      <c r="J486" s="3" t="s">
        <v>14</v>
      </c>
      <c r="K486" s="3" t="s">
        <v>14</v>
      </c>
      <c r="L486" s="3" t="s">
        <v>14</v>
      </c>
      <c r="M486" s="3" t="s">
        <v>14</v>
      </c>
      <c r="N486" s="3" t="s">
        <v>14</v>
      </c>
      <c r="O486" s="3">
        <v>1</v>
      </c>
    </row>
    <row r="487" spans="1:15" ht="15" customHeight="1" x14ac:dyDescent="0.25">
      <c r="A487" s="2">
        <v>30</v>
      </c>
      <c r="B487" s="2" t="s">
        <v>10</v>
      </c>
      <c r="C487" s="2" t="s">
        <v>11</v>
      </c>
      <c r="D487" s="2" t="s">
        <v>106</v>
      </c>
      <c r="E487" s="2">
        <v>1</v>
      </c>
      <c r="F487" s="2">
        <v>0</v>
      </c>
      <c r="G487" s="2" t="s">
        <v>10</v>
      </c>
      <c r="H487" s="2" t="s">
        <v>12</v>
      </c>
      <c r="I487" s="2">
        <v>2</v>
      </c>
      <c r="J487" s="2" t="s">
        <v>14</v>
      </c>
      <c r="K487" s="2" t="s">
        <v>14</v>
      </c>
      <c r="L487" s="2" t="s">
        <v>14</v>
      </c>
      <c r="M487" s="2" t="s">
        <v>13</v>
      </c>
      <c r="N487" s="2" t="s">
        <v>14</v>
      </c>
      <c r="O487" s="2">
        <v>0</v>
      </c>
    </row>
    <row r="488" spans="1:15" ht="15" customHeight="1" x14ac:dyDescent="0.25">
      <c r="A488" s="3">
        <v>30</v>
      </c>
      <c r="B488" s="3" t="s">
        <v>10</v>
      </c>
      <c r="C488" s="3" t="s">
        <v>19</v>
      </c>
      <c r="D488" s="2" t="s">
        <v>106</v>
      </c>
      <c r="E488" s="3">
        <v>1</v>
      </c>
      <c r="F488" s="3">
        <v>0</v>
      </c>
      <c r="G488" s="3" t="s">
        <v>10</v>
      </c>
      <c r="H488" s="3" t="s">
        <v>12</v>
      </c>
      <c r="I488" s="3" t="s">
        <v>15</v>
      </c>
      <c r="J488" s="3" t="s">
        <v>14</v>
      </c>
      <c r="K488" s="3" t="s">
        <v>14</v>
      </c>
      <c r="L488" s="3" t="s">
        <v>14</v>
      </c>
      <c r="M488" s="3" t="s">
        <v>13</v>
      </c>
      <c r="N488" s="3" t="s">
        <v>14</v>
      </c>
      <c r="O488" s="3">
        <v>0</v>
      </c>
    </row>
    <row r="489" spans="1:15" ht="15" customHeight="1" x14ac:dyDescent="0.25">
      <c r="A489" s="2">
        <v>10</v>
      </c>
      <c r="B489" s="2" t="s">
        <v>10</v>
      </c>
      <c r="C489" s="2" t="s">
        <v>11</v>
      </c>
      <c r="D489" s="2" t="s">
        <v>106</v>
      </c>
      <c r="E489" s="2">
        <v>0</v>
      </c>
      <c r="F489" s="2">
        <v>2</v>
      </c>
      <c r="G489" s="2" t="s">
        <v>17</v>
      </c>
      <c r="H489" s="2" t="s">
        <v>106</v>
      </c>
      <c r="I489" s="2">
        <v>1</v>
      </c>
      <c r="J489" s="2" t="s">
        <v>14</v>
      </c>
      <c r="K489" s="2" t="s">
        <v>13</v>
      </c>
      <c r="L489" s="2" t="s">
        <v>13</v>
      </c>
      <c r="M489" s="2" t="s">
        <v>13</v>
      </c>
      <c r="N489" s="2" t="s">
        <v>14</v>
      </c>
      <c r="O489" s="2">
        <v>1</v>
      </c>
    </row>
    <row r="490" spans="1:15" ht="15" customHeight="1" x14ac:dyDescent="0.25">
      <c r="A490" s="3">
        <v>0</v>
      </c>
      <c r="B490" s="3" t="s">
        <v>14</v>
      </c>
      <c r="C490" s="3" t="s">
        <v>11</v>
      </c>
      <c r="D490" s="2" t="s">
        <v>106</v>
      </c>
      <c r="E490" s="3">
        <v>0</v>
      </c>
      <c r="F490" s="3">
        <v>1</v>
      </c>
      <c r="G490" s="3" t="s">
        <v>10</v>
      </c>
      <c r="H490" s="3" t="s">
        <v>12</v>
      </c>
      <c r="I490" s="3">
        <v>1</v>
      </c>
      <c r="J490" s="3" t="s">
        <v>14</v>
      </c>
      <c r="K490" s="3" t="s">
        <v>13</v>
      </c>
      <c r="L490" s="3" t="s">
        <v>13</v>
      </c>
      <c r="M490" s="3" t="s">
        <v>14</v>
      </c>
      <c r="N490" s="3" t="s">
        <v>14</v>
      </c>
      <c r="O490" s="3">
        <v>0</v>
      </c>
    </row>
    <row r="491" spans="1:15" ht="15" customHeight="1" x14ac:dyDescent="0.25">
      <c r="A491" s="2">
        <v>30</v>
      </c>
      <c r="B491" s="2" t="s">
        <v>10</v>
      </c>
      <c r="C491" s="2" t="s">
        <v>19</v>
      </c>
      <c r="D491" s="2" t="s">
        <v>106</v>
      </c>
      <c r="E491" s="2">
        <v>1</v>
      </c>
      <c r="F491" s="2">
        <v>0</v>
      </c>
      <c r="G491" s="2" t="s">
        <v>10</v>
      </c>
      <c r="H491" s="2" t="s">
        <v>12</v>
      </c>
      <c r="I491" s="2">
        <v>1</v>
      </c>
      <c r="J491" s="2" t="s">
        <v>14</v>
      </c>
      <c r="K491" s="2" t="s">
        <v>14</v>
      </c>
      <c r="L491" s="2" t="s">
        <v>14</v>
      </c>
      <c r="M491" s="2" t="s">
        <v>13</v>
      </c>
      <c r="N491" s="2" t="s">
        <v>14</v>
      </c>
      <c r="O491" s="2">
        <v>1</v>
      </c>
    </row>
    <row r="492" spans="1:15" ht="15" customHeight="1" x14ac:dyDescent="0.25">
      <c r="A492" s="3">
        <v>20</v>
      </c>
      <c r="B492" s="3" t="s">
        <v>10</v>
      </c>
      <c r="C492" s="3" t="s">
        <v>11</v>
      </c>
      <c r="D492" s="2" t="s">
        <v>106</v>
      </c>
      <c r="E492" s="3">
        <v>0</v>
      </c>
      <c r="F492" s="3">
        <v>1</v>
      </c>
      <c r="G492" s="3" t="s">
        <v>10</v>
      </c>
      <c r="H492" s="3" t="s">
        <v>12</v>
      </c>
      <c r="I492" s="3" t="s">
        <v>15</v>
      </c>
      <c r="J492" s="3" t="s">
        <v>13</v>
      </c>
      <c r="K492" s="3" t="s">
        <v>14</v>
      </c>
      <c r="L492" s="3" t="s">
        <v>14</v>
      </c>
      <c r="M492" s="3" t="s">
        <v>13</v>
      </c>
      <c r="N492" s="3" t="s">
        <v>13</v>
      </c>
      <c r="O492" s="3">
        <v>1</v>
      </c>
    </row>
    <row r="493" spans="1:15" ht="15" customHeight="1" x14ac:dyDescent="0.25">
      <c r="A493" s="2">
        <v>5</v>
      </c>
      <c r="B493" s="2" t="s">
        <v>18</v>
      </c>
      <c r="C493" s="2" t="s">
        <v>19</v>
      </c>
      <c r="D493" s="2" t="s">
        <v>106</v>
      </c>
      <c r="E493" s="2">
        <v>0</v>
      </c>
      <c r="F493" s="2">
        <v>1</v>
      </c>
      <c r="G493" s="2" t="s">
        <v>10</v>
      </c>
      <c r="H493" s="2" t="s">
        <v>12</v>
      </c>
      <c r="I493" s="2" t="s">
        <v>15</v>
      </c>
      <c r="J493" s="2" t="s">
        <v>14</v>
      </c>
      <c r="K493" s="2" t="s">
        <v>14</v>
      </c>
      <c r="L493" s="2" t="s">
        <v>14</v>
      </c>
      <c r="M493" s="2" t="s">
        <v>14</v>
      </c>
      <c r="N493" s="2" t="s">
        <v>14</v>
      </c>
      <c r="O493" s="2">
        <v>1</v>
      </c>
    </row>
    <row r="494" spans="1:15" ht="15" customHeight="1" x14ac:dyDescent="0.25">
      <c r="A494" s="3">
        <v>20</v>
      </c>
      <c r="B494" s="3" t="s">
        <v>10</v>
      </c>
      <c r="C494" s="3" t="s">
        <v>11</v>
      </c>
      <c r="D494" s="2" t="s">
        <v>106</v>
      </c>
      <c r="E494" s="3">
        <v>1</v>
      </c>
      <c r="F494" s="3">
        <v>0</v>
      </c>
      <c r="G494" s="3" t="s">
        <v>10</v>
      </c>
      <c r="H494" s="3" t="s">
        <v>12</v>
      </c>
      <c r="I494" s="3">
        <v>2</v>
      </c>
      <c r="J494" s="3" t="s">
        <v>14</v>
      </c>
      <c r="K494" s="3" t="s">
        <v>14</v>
      </c>
      <c r="L494" s="3" t="s">
        <v>14</v>
      </c>
      <c r="M494" s="3" t="s">
        <v>13</v>
      </c>
      <c r="N494" s="3" t="s">
        <v>13</v>
      </c>
      <c r="O494" s="3">
        <v>0</v>
      </c>
    </row>
    <row r="495" spans="1:15" ht="15" customHeight="1" x14ac:dyDescent="0.25">
      <c r="A495" s="2">
        <v>0</v>
      </c>
      <c r="B495" s="2" t="s">
        <v>10</v>
      </c>
      <c r="C495" s="2" t="s">
        <v>11</v>
      </c>
      <c r="D495" s="2" t="s">
        <v>106</v>
      </c>
      <c r="E495" s="2">
        <v>1</v>
      </c>
      <c r="F495" s="2">
        <v>0</v>
      </c>
      <c r="G495" s="2" t="s">
        <v>10</v>
      </c>
      <c r="H495" s="2" t="s">
        <v>12</v>
      </c>
      <c r="I495" s="2">
        <v>2</v>
      </c>
      <c r="J495" s="2" t="s">
        <v>13</v>
      </c>
      <c r="K495" s="2" t="s">
        <v>14</v>
      </c>
      <c r="L495" s="2" t="s">
        <v>14</v>
      </c>
      <c r="M495" s="2" t="s">
        <v>14</v>
      </c>
      <c r="N495" s="2" t="s">
        <v>14</v>
      </c>
      <c r="O495" s="2">
        <v>0</v>
      </c>
    </row>
    <row r="496" spans="1:15" ht="15" customHeight="1" x14ac:dyDescent="0.25">
      <c r="A496" s="3">
        <v>5</v>
      </c>
      <c r="B496" s="3" t="s">
        <v>10</v>
      </c>
      <c r="C496" s="3" t="s">
        <v>19</v>
      </c>
      <c r="D496" s="2" t="s">
        <v>106</v>
      </c>
      <c r="E496" s="3">
        <v>1</v>
      </c>
      <c r="F496" s="3">
        <v>0</v>
      </c>
      <c r="G496" s="3" t="s">
        <v>10</v>
      </c>
      <c r="H496" s="3" t="s">
        <v>12</v>
      </c>
      <c r="I496" s="3">
        <v>1</v>
      </c>
      <c r="J496" s="3" t="s">
        <v>14</v>
      </c>
      <c r="K496" s="3" t="s">
        <v>13</v>
      </c>
      <c r="L496" s="3" t="s">
        <v>13</v>
      </c>
      <c r="M496" s="3" t="s">
        <v>14</v>
      </c>
      <c r="N496" s="3" t="s">
        <v>14</v>
      </c>
      <c r="O496" s="3">
        <v>1</v>
      </c>
    </row>
    <row r="497" spans="1:15" ht="15" customHeight="1" x14ac:dyDescent="0.25">
      <c r="A497" s="2">
        <v>5</v>
      </c>
      <c r="B497" s="2" t="s">
        <v>18</v>
      </c>
      <c r="C497" s="2" t="s">
        <v>19</v>
      </c>
      <c r="D497" s="2" t="s">
        <v>106</v>
      </c>
      <c r="E497" s="2">
        <v>0</v>
      </c>
      <c r="F497" s="2">
        <v>0</v>
      </c>
      <c r="G497" s="2" t="s">
        <v>17</v>
      </c>
      <c r="H497" s="2" t="s">
        <v>106</v>
      </c>
      <c r="I497" s="2">
        <v>1</v>
      </c>
      <c r="J497" s="2" t="s">
        <v>14</v>
      </c>
      <c r="K497" s="2" t="s">
        <v>13</v>
      </c>
      <c r="L497" s="2" t="s">
        <v>13</v>
      </c>
      <c r="M497" s="2" t="s">
        <v>13</v>
      </c>
      <c r="N497" s="2" t="s">
        <v>14</v>
      </c>
      <c r="O497" s="2">
        <v>1</v>
      </c>
    </row>
    <row r="498" spans="1:15" ht="15" customHeight="1" x14ac:dyDescent="0.25">
      <c r="A498" s="3">
        <v>20</v>
      </c>
      <c r="B498" s="3" t="s">
        <v>10</v>
      </c>
      <c r="C498" s="3" t="s">
        <v>19</v>
      </c>
      <c r="D498" s="2" t="s">
        <v>106</v>
      </c>
      <c r="E498" s="3">
        <v>0</v>
      </c>
      <c r="F498" s="3">
        <v>0</v>
      </c>
      <c r="G498" s="3" t="s">
        <v>10</v>
      </c>
      <c r="H498" s="3" t="s">
        <v>16</v>
      </c>
      <c r="I498" s="3" t="s">
        <v>15</v>
      </c>
      <c r="J498" s="3" t="s">
        <v>14</v>
      </c>
      <c r="K498" s="3" t="s">
        <v>14</v>
      </c>
      <c r="L498" s="3" t="s">
        <v>14</v>
      </c>
      <c r="M498" s="3" t="s">
        <v>14</v>
      </c>
      <c r="N498" s="3" t="s">
        <v>14</v>
      </c>
      <c r="O498" s="3">
        <v>1</v>
      </c>
    </row>
    <row r="499" spans="1:15" ht="15" customHeight="1" x14ac:dyDescent="0.25">
      <c r="A499" s="2">
        <v>5</v>
      </c>
      <c r="B499" s="2" t="s">
        <v>10</v>
      </c>
      <c r="C499" s="2" t="s">
        <v>20</v>
      </c>
      <c r="D499" s="2" t="s">
        <v>106</v>
      </c>
      <c r="E499" s="2">
        <v>0</v>
      </c>
      <c r="F499" s="2">
        <v>0</v>
      </c>
      <c r="G499" s="2" t="s">
        <v>17</v>
      </c>
      <c r="H499" s="2" t="s">
        <v>106</v>
      </c>
      <c r="I499" s="2">
        <v>1</v>
      </c>
      <c r="J499" s="2" t="s">
        <v>14</v>
      </c>
      <c r="K499" s="2" t="s">
        <v>13</v>
      </c>
      <c r="L499" s="2" t="s">
        <v>13</v>
      </c>
      <c r="M499" s="2" t="s">
        <v>13</v>
      </c>
      <c r="N499" s="2" t="s">
        <v>14</v>
      </c>
      <c r="O499" s="2">
        <v>1</v>
      </c>
    </row>
    <row r="500" spans="1:15" ht="15" customHeight="1" x14ac:dyDescent="0.25">
      <c r="A500" s="3">
        <v>20</v>
      </c>
      <c r="B500" s="3" t="s">
        <v>18</v>
      </c>
      <c r="C500" s="3" t="s">
        <v>20</v>
      </c>
      <c r="D500" s="2" t="s">
        <v>106</v>
      </c>
      <c r="E500" s="3">
        <v>0</v>
      </c>
      <c r="F500" s="3">
        <v>0</v>
      </c>
      <c r="G500" s="3" t="s">
        <v>10</v>
      </c>
      <c r="H500" s="3" t="s">
        <v>16</v>
      </c>
      <c r="I500" s="3">
        <v>1</v>
      </c>
      <c r="J500" s="3" t="s">
        <v>14</v>
      </c>
      <c r="K500" s="3" t="s">
        <v>14</v>
      </c>
      <c r="L500" s="3" t="s">
        <v>14</v>
      </c>
      <c r="M500" s="3" t="s">
        <v>14</v>
      </c>
      <c r="N500" s="3" t="s">
        <v>14</v>
      </c>
      <c r="O500" s="3">
        <v>1</v>
      </c>
    </row>
    <row r="501" spans="1:15" ht="15" customHeight="1" x14ac:dyDescent="0.25">
      <c r="A501" s="2">
        <v>5</v>
      </c>
      <c r="B501" s="2" t="s">
        <v>14</v>
      </c>
      <c r="C501" s="2" t="s">
        <v>20</v>
      </c>
      <c r="D501" s="2" t="s">
        <v>106</v>
      </c>
      <c r="E501" s="2">
        <v>0</v>
      </c>
      <c r="F501" s="2">
        <v>0</v>
      </c>
      <c r="G501" s="2" t="s">
        <v>10</v>
      </c>
      <c r="H501" s="2" t="s">
        <v>12</v>
      </c>
      <c r="I501" s="2">
        <v>2</v>
      </c>
      <c r="J501" s="2" t="s">
        <v>14</v>
      </c>
      <c r="K501" s="2" t="s">
        <v>14</v>
      </c>
      <c r="L501" s="2" t="s">
        <v>14</v>
      </c>
      <c r="M501" s="2" t="s">
        <v>14</v>
      </c>
      <c r="N501" s="2" t="s">
        <v>14</v>
      </c>
      <c r="O501" s="2">
        <v>1</v>
      </c>
    </row>
    <row r="502" spans="1:15" ht="15" customHeight="1" x14ac:dyDescent="0.25">
      <c r="A502" s="3">
        <v>20</v>
      </c>
      <c r="B502" s="3" t="s">
        <v>10</v>
      </c>
      <c r="C502" s="3" t="s">
        <v>19</v>
      </c>
      <c r="D502" s="2" t="s">
        <v>106</v>
      </c>
      <c r="E502" s="3">
        <v>0</v>
      </c>
      <c r="F502" s="3">
        <v>0</v>
      </c>
      <c r="G502" s="3" t="s">
        <v>10</v>
      </c>
      <c r="H502" s="3" t="s">
        <v>12</v>
      </c>
      <c r="I502" s="3">
        <v>2</v>
      </c>
      <c r="J502" s="3" t="s">
        <v>14</v>
      </c>
      <c r="K502" s="3" t="s">
        <v>14</v>
      </c>
      <c r="L502" s="3" t="s">
        <v>14</v>
      </c>
      <c r="M502" s="3" t="s">
        <v>13</v>
      </c>
      <c r="N502" s="3" t="s">
        <v>14</v>
      </c>
      <c r="O502" s="3">
        <v>1</v>
      </c>
    </row>
    <row r="503" spans="1:15" ht="15" customHeight="1" x14ac:dyDescent="0.25">
      <c r="A503" s="2">
        <v>5</v>
      </c>
      <c r="B503" s="2" t="s">
        <v>14</v>
      </c>
      <c r="C503" s="2" t="s">
        <v>19</v>
      </c>
      <c r="D503" s="2" t="s">
        <v>106</v>
      </c>
      <c r="E503" s="2">
        <v>0</v>
      </c>
      <c r="F503" s="2">
        <v>0</v>
      </c>
      <c r="G503" s="2" t="s">
        <v>10</v>
      </c>
      <c r="H503" s="2" t="s">
        <v>16</v>
      </c>
      <c r="I503" s="2">
        <v>2</v>
      </c>
      <c r="J503" s="2" t="s">
        <v>14</v>
      </c>
      <c r="K503" s="2" t="s">
        <v>13</v>
      </c>
      <c r="L503" s="2" t="s">
        <v>14</v>
      </c>
      <c r="M503" s="2" t="s">
        <v>14</v>
      </c>
      <c r="N503" s="2" t="s">
        <v>14</v>
      </c>
      <c r="O503" s="2">
        <v>1</v>
      </c>
    </row>
    <row r="504" spans="1:15" ht="15" customHeight="1" x14ac:dyDescent="0.25">
      <c r="A504" s="3">
        <v>5</v>
      </c>
      <c r="B504" s="3" t="s">
        <v>10</v>
      </c>
      <c r="C504" s="3" t="s">
        <v>19</v>
      </c>
      <c r="D504" s="2" t="s">
        <v>106</v>
      </c>
      <c r="E504" s="3">
        <v>0</v>
      </c>
      <c r="F504" s="3">
        <v>0</v>
      </c>
      <c r="G504" s="3" t="s">
        <v>10</v>
      </c>
      <c r="H504" s="3" t="s">
        <v>12</v>
      </c>
      <c r="I504" s="3" t="s">
        <v>15</v>
      </c>
      <c r="J504" s="3" t="s">
        <v>14</v>
      </c>
      <c r="K504" s="3" t="s">
        <v>14</v>
      </c>
      <c r="L504" s="3" t="s">
        <v>14</v>
      </c>
      <c r="M504" s="3" t="s">
        <v>14</v>
      </c>
      <c r="N504" s="3" t="s">
        <v>14</v>
      </c>
      <c r="O504" s="3">
        <v>1</v>
      </c>
    </row>
    <row r="505" spans="1:15" ht="15" customHeight="1" x14ac:dyDescent="0.25">
      <c r="A505" s="2">
        <v>10</v>
      </c>
      <c r="B505" s="2" t="s">
        <v>10</v>
      </c>
      <c r="C505" s="2" t="s">
        <v>11</v>
      </c>
      <c r="D505" s="2" t="s">
        <v>106</v>
      </c>
      <c r="E505" s="2">
        <v>0</v>
      </c>
      <c r="F505" s="2">
        <v>0</v>
      </c>
      <c r="G505" s="2" t="s">
        <v>10</v>
      </c>
      <c r="H505" s="2" t="s">
        <v>12</v>
      </c>
      <c r="I505" s="2" t="s">
        <v>15</v>
      </c>
      <c r="J505" s="2" t="s">
        <v>14</v>
      </c>
      <c r="K505" s="2" t="s">
        <v>14</v>
      </c>
      <c r="L505" s="2" t="s">
        <v>14</v>
      </c>
      <c r="M505" s="2" t="s">
        <v>13</v>
      </c>
      <c r="N505" s="2" t="s">
        <v>13</v>
      </c>
      <c r="O505" s="2">
        <v>1</v>
      </c>
    </row>
    <row r="506" spans="1:15" ht="15" customHeight="1" x14ac:dyDescent="0.25">
      <c r="A506" s="3">
        <v>5</v>
      </c>
      <c r="B506" s="3" t="s">
        <v>14</v>
      </c>
      <c r="C506" s="3" t="s">
        <v>11</v>
      </c>
      <c r="D506" s="2" t="s">
        <v>106</v>
      </c>
      <c r="E506" s="3">
        <v>0</v>
      </c>
      <c r="F506" s="3">
        <v>1</v>
      </c>
      <c r="G506" s="3" t="s">
        <v>10</v>
      </c>
      <c r="H506" s="3" t="s">
        <v>12</v>
      </c>
      <c r="I506" s="3">
        <v>2</v>
      </c>
      <c r="J506" s="3" t="s">
        <v>14</v>
      </c>
      <c r="K506" s="3" t="s">
        <v>13</v>
      </c>
      <c r="L506" s="3" t="s">
        <v>14</v>
      </c>
      <c r="M506" s="3" t="s">
        <v>14</v>
      </c>
      <c r="N506" s="3" t="s">
        <v>14</v>
      </c>
      <c r="O506" s="3">
        <v>1</v>
      </c>
    </row>
    <row r="507" spans="1:15" ht="15" customHeight="1" x14ac:dyDescent="0.25">
      <c r="A507" s="2">
        <v>5</v>
      </c>
      <c r="B507" s="2" t="s">
        <v>14</v>
      </c>
      <c r="C507" s="2" t="s">
        <v>11</v>
      </c>
      <c r="D507" s="2" t="s">
        <v>106</v>
      </c>
      <c r="E507" s="2">
        <v>0</v>
      </c>
      <c r="F507" s="2">
        <v>0</v>
      </c>
      <c r="G507" s="2" t="s">
        <v>10</v>
      </c>
      <c r="H507" s="2" t="s">
        <v>16</v>
      </c>
      <c r="I507" s="2">
        <v>1</v>
      </c>
      <c r="J507" s="2" t="s">
        <v>14</v>
      </c>
      <c r="K507" s="2" t="s">
        <v>14</v>
      </c>
      <c r="L507" s="2" t="s">
        <v>14</v>
      </c>
      <c r="M507" s="2" t="s">
        <v>14</v>
      </c>
      <c r="N507" s="2" t="s">
        <v>14</v>
      </c>
      <c r="O507" s="2">
        <v>1</v>
      </c>
    </row>
    <row r="508" spans="1:15" ht="15" customHeight="1" x14ac:dyDescent="0.25">
      <c r="A508" s="3">
        <v>10</v>
      </c>
      <c r="B508" s="3" t="s">
        <v>14</v>
      </c>
      <c r="C508" s="3" t="s">
        <v>11</v>
      </c>
      <c r="D508" s="2" t="s">
        <v>106</v>
      </c>
      <c r="E508" s="3">
        <v>0</v>
      </c>
      <c r="F508" s="3">
        <v>0</v>
      </c>
      <c r="G508" s="3" t="s">
        <v>10</v>
      </c>
      <c r="H508" s="3" t="s">
        <v>12</v>
      </c>
      <c r="I508" s="3" t="s">
        <v>15</v>
      </c>
      <c r="J508" s="3" t="s">
        <v>14</v>
      </c>
      <c r="K508" s="3" t="s">
        <v>14</v>
      </c>
      <c r="L508" s="3" t="s">
        <v>14</v>
      </c>
      <c r="M508" s="3" t="s">
        <v>14</v>
      </c>
      <c r="N508" s="3" t="s">
        <v>14</v>
      </c>
      <c r="O508" s="3">
        <v>1</v>
      </c>
    </row>
    <row r="509" spans="1:15" ht="15" customHeight="1" x14ac:dyDescent="0.25">
      <c r="A509" s="2">
        <v>10</v>
      </c>
      <c r="B509" s="2" t="s">
        <v>18</v>
      </c>
      <c r="C509" s="2" t="s">
        <v>19</v>
      </c>
      <c r="D509" s="2" t="s">
        <v>106</v>
      </c>
      <c r="E509" s="2">
        <v>0</v>
      </c>
      <c r="F509" s="2">
        <v>0</v>
      </c>
      <c r="G509" s="2" t="s">
        <v>10</v>
      </c>
      <c r="H509" s="2" t="s">
        <v>12</v>
      </c>
      <c r="I509" s="2" t="s">
        <v>15</v>
      </c>
      <c r="J509" s="2" t="s">
        <v>14</v>
      </c>
      <c r="K509" s="2" t="s">
        <v>14</v>
      </c>
      <c r="L509" s="2" t="s">
        <v>14</v>
      </c>
      <c r="M509" s="2" t="s">
        <v>14</v>
      </c>
      <c r="N509" s="2" t="s">
        <v>14</v>
      </c>
      <c r="O509" s="2">
        <v>1</v>
      </c>
    </row>
    <row r="510" spans="1:15" ht="15" customHeight="1" x14ac:dyDescent="0.25">
      <c r="A510" s="3">
        <v>20</v>
      </c>
      <c r="B510" s="3" t="s">
        <v>14</v>
      </c>
      <c r="C510" s="3" t="s">
        <v>19</v>
      </c>
      <c r="D510" s="2" t="s">
        <v>106</v>
      </c>
      <c r="E510" s="3">
        <v>0</v>
      </c>
      <c r="F510" s="3">
        <v>0</v>
      </c>
      <c r="G510" s="3" t="s">
        <v>10</v>
      </c>
      <c r="H510" s="3" t="s">
        <v>12</v>
      </c>
      <c r="I510" s="3">
        <v>2</v>
      </c>
      <c r="J510" s="3" t="s">
        <v>14</v>
      </c>
      <c r="K510" s="3" t="s">
        <v>14</v>
      </c>
      <c r="L510" s="3" t="s">
        <v>14</v>
      </c>
      <c r="M510" s="3" t="s">
        <v>14</v>
      </c>
      <c r="N510" s="3" t="s">
        <v>13</v>
      </c>
      <c r="O510" s="3">
        <v>1</v>
      </c>
    </row>
    <row r="511" spans="1:15" ht="15" customHeight="1" x14ac:dyDescent="0.25">
      <c r="A511" s="2">
        <v>20</v>
      </c>
      <c r="B511" s="2" t="s">
        <v>10</v>
      </c>
      <c r="C511" s="2" t="s">
        <v>11</v>
      </c>
      <c r="D511" s="2" t="s">
        <v>106</v>
      </c>
      <c r="E511" s="2">
        <v>2</v>
      </c>
      <c r="F511" s="2">
        <v>0</v>
      </c>
      <c r="G511" s="2" t="s">
        <v>10</v>
      </c>
      <c r="H511" s="2" t="s">
        <v>12</v>
      </c>
      <c r="I511" s="2">
        <v>2</v>
      </c>
      <c r="J511" s="2" t="s">
        <v>14</v>
      </c>
      <c r="K511" s="2" t="s">
        <v>14</v>
      </c>
      <c r="L511" s="2" t="s">
        <v>14</v>
      </c>
      <c r="M511" s="2" t="s">
        <v>13</v>
      </c>
      <c r="N511" s="2" t="s">
        <v>13</v>
      </c>
      <c r="O511" s="2">
        <v>0</v>
      </c>
    </row>
    <row r="512" spans="1:15" ht="15" customHeight="1" x14ac:dyDescent="0.25">
      <c r="A512" s="3">
        <v>5</v>
      </c>
      <c r="B512" s="3" t="s">
        <v>10</v>
      </c>
      <c r="C512" s="3" t="s">
        <v>20</v>
      </c>
      <c r="D512" s="2" t="s">
        <v>106</v>
      </c>
      <c r="E512" s="3">
        <v>0</v>
      </c>
      <c r="F512" s="3">
        <v>0</v>
      </c>
      <c r="G512" s="3" t="s">
        <v>17</v>
      </c>
      <c r="H512" s="3" t="s">
        <v>106</v>
      </c>
      <c r="I512" s="3">
        <v>1</v>
      </c>
      <c r="J512" s="3" t="s">
        <v>14</v>
      </c>
      <c r="K512" s="3" t="s">
        <v>13</v>
      </c>
      <c r="L512" s="3" t="s">
        <v>13</v>
      </c>
      <c r="M512" s="3" t="s">
        <v>13</v>
      </c>
      <c r="N512" s="3" t="s">
        <v>14</v>
      </c>
      <c r="O512" s="3">
        <v>1</v>
      </c>
    </row>
    <row r="513" spans="1:15" ht="15" customHeight="1" x14ac:dyDescent="0.25">
      <c r="A513" s="2">
        <v>5</v>
      </c>
      <c r="B513" s="2" t="s">
        <v>10</v>
      </c>
      <c r="C513" s="2" t="s">
        <v>20</v>
      </c>
      <c r="D513" s="2" t="s">
        <v>106</v>
      </c>
      <c r="E513" s="2">
        <v>1</v>
      </c>
      <c r="F513" s="2">
        <v>0</v>
      </c>
      <c r="G513" s="2" t="s">
        <v>17</v>
      </c>
      <c r="H513" s="2" t="s">
        <v>106</v>
      </c>
      <c r="I513" s="2">
        <v>1</v>
      </c>
      <c r="J513" s="2" t="s">
        <v>14</v>
      </c>
      <c r="K513" s="2" t="s">
        <v>13</v>
      </c>
      <c r="L513" s="2" t="s">
        <v>13</v>
      </c>
      <c r="M513" s="2" t="s">
        <v>13</v>
      </c>
      <c r="N513" s="2" t="s">
        <v>14</v>
      </c>
      <c r="O513" s="2">
        <v>0</v>
      </c>
    </row>
    <row r="514" spans="1:15" ht="15" customHeight="1" x14ac:dyDescent="0.25">
      <c r="A514" s="3">
        <v>5</v>
      </c>
      <c r="B514" s="3" t="s">
        <v>14</v>
      </c>
      <c r="C514" s="3" t="s">
        <v>11</v>
      </c>
      <c r="D514" s="2" t="s">
        <v>106</v>
      </c>
      <c r="E514" s="3">
        <v>0</v>
      </c>
      <c r="F514" s="3">
        <v>0</v>
      </c>
      <c r="G514" s="3" t="s">
        <v>10</v>
      </c>
      <c r="H514" s="3" t="s">
        <v>12</v>
      </c>
      <c r="I514" s="3">
        <v>1</v>
      </c>
      <c r="J514" s="3" t="s">
        <v>14</v>
      </c>
      <c r="K514" s="3" t="s">
        <v>13</v>
      </c>
      <c r="L514" s="3" t="s">
        <v>13</v>
      </c>
      <c r="M514" s="3" t="s">
        <v>14</v>
      </c>
      <c r="N514" s="3" t="s">
        <v>14</v>
      </c>
      <c r="O514" s="3">
        <v>1</v>
      </c>
    </row>
    <row r="515" spans="1:15" ht="15" customHeight="1" x14ac:dyDescent="0.25">
      <c r="A515" s="2">
        <v>5</v>
      </c>
      <c r="B515" s="2" t="s">
        <v>10</v>
      </c>
      <c r="C515" s="2" t="s">
        <v>11</v>
      </c>
      <c r="D515" s="2" t="s">
        <v>106</v>
      </c>
      <c r="E515" s="2">
        <v>0</v>
      </c>
      <c r="F515" s="2">
        <v>0</v>
      </c>
      <c r="G515" s="2" t="s">
        <v>10</v>
      </c>
      <c r="H515" s="2" t="s">
        <v>12</v>
      </c>
      <c r="I515" s="2">
        <v>2</v>
      </c>
      <c r="J515" s="2" t="s">
        <v>14</v>
      </c>
      <c r="K515" s="2" t="s">
        <v>14</v>
      </c>
      <c r="L515" s="2" t="s">
        <v>14</v>
      </c>
      <c r="M515" s="2" t="s">
        <v>14</v>
      </c>
      <c r="N515" s="2" t="s">
        <v>14</v>
      </c>
      <c r="O515" s="2">
        <v>1</v>
      </c>
    </row>
    <row r="516" spans="1:15" ht="15" customHeight="1" x14ac:dyDescent="0.25">
      <c r="A516" s="3">
        <v>10</v>
      </c>
      <c r="B516" s="3" t="s">
        <v>18</v>
      </c>
      <c r="C516" s="3" t="s">
        <v>11</v>
      </c>
      <c r="D516" s="2" t="s">
        <v>106</v>
      </c>
      <c r="E516" s="3">
        <v>2</v>
      </c>
      <c r="F516" s="3">
        <v>0</v>
      </c>
      <c r="G516" s="3" t="s">
        <v>10</v>
      </c>
      <c r="H516" s="3" t="s">
        <v>12</v>
      </c>
      <c r="I516" s="3" t="s">
        <v>15</v>
      </c>
      <c r="J516" s="3" t="s">
        <v>14</v>
      </c>
      <c r="K516" s="3" t="s">
        <v>14</v>
      </c>
      <c r="L516" s="3" t="s">
        <v>14</v>
      </c>
      <c r="M516" s="3" t="s">
        <v>13</v>
      </c>
      <c r="N516" s="3" t="s">
        <v>13</v>
      </c>
      <c r="O516" s="3">
        <v>0</v>
      </c>
    </row>
    <row r="517" spans="1:15" ht="15" customHeight="1" x14ac:dyDescent="0.25">
      <c r="A517" s="2">
        <v>10</v>
      </c>
      <c r="B517" s="2" t="s">
        <v>10</v>
      </c>
      <c r="C517" s="2" t="s">
        <v>20</v>
      </c>
      <c r="D517" s="2" t="s">
        <v>106</v>
      </c>
      <c r="E517" s="2">
        <v>0</v>
      </c>
      <c r="F517" s="2">
        <v>1</v>
      </c>
      <c r="G517" s="2" t="s">
        <v>17</v>
      </c>
      <c r="H517" s="2" t="s">
        <v>106</v>
      </c>
      <c r="I517" s="2">
        <v>1</v>
      </c>
      <c r="J517" s="2" t="s">
        <v>14</v>
      </c>
      <c r="K517" s="2" t="s">
        <v>13</v>
      </c>
      <c r="L517" s="2" t="s">
        <v>13</v>
      </c>
      <c r="M517" s="2" t="s">
        <v>13</v>
      </c>
      <c r="N517" s="2" t="s">
        <v>14</v>
      </c>
      <c r="O517" s="2">
        <v>0</v>
      </c>
    </row>
    <row r="518" spans="1:15" ht="15" customHeight="1" x14ac:dyDescent="0.25">
      <c r="A518" s="3">
        <v>10</v>
      </c>
      <c r="B518" s="3" t="s">
        <v>18</v>
      </c>
      <c r="C518" s="3" t="s">
        <v>11</v>
      </c>
      <c r="D518" s="2" t="s">
        <v>106</v>
      </c>
      <c r="E518" s="3">
        <v>0</v>
      </c>
      <c r="F518" s="3">
        <v>0</v>
      </c>
      <c r="G518" s="3" t="s">
        <v>10</v>
      </c>
      <c r="H518" s="3" t="s">
        <v>12</v>
      </c>
      <c r="I518" s="3" t="s">
        <v>15</v>
      </c>
      <c r="J518" s="3" t="s">
        <v>14</v>
      </c>
      <c r="K518" s="3" t="s">
        <v>14</v>
      </c>
      <c r="L518" s="3" t="s">
        <v>14</v>
      </c>
      <c r="M518" s="3" t="s">
        <v>14</v>
      </c>
      <c r="N518" s="3" t="s">
        <v>14</v>
      </c>
      <c r="O518" s="3">
        <v>1</v>
      </c>
    </row>
    <row r="519" spans="1:15" ht="15" customHeight="1" x14ac:dyDescent="0.25">
      <c r="A519" s="2">
        <v>20</v>
      </c>
      <c r="B519" s="2" t="s">
        <v>10</v>
      </c>
      <c r="C519" s="2" t="s">
        <v>11</v>
      </c>
      <c r="D519" s="2" t="s">
        <v>106</v>
      </c>
      <c r="E519" s="2">
        <v>1</v>
      </c>
      <c r="F519" s="2">
        <v>1</v>
      </c>
      <c r="G519" s="2" t="s">
        <v>10</v>
      </c>
      <c r="H519" s="2" t="s">
        <v>12</v>
      </c>
      <c r="I519" s="2">
        <v>2</v>
      </c>
      <c r="J519" s="2" t="s">
        <v>14</v>
      </c>
      <c r="K519" s="2" t="s">
        <v>14</v>
      </c>
      <c r="L519" s="2" t="s">
        <v>14</v>
      </c>
      <c r="M519" s="2" t="s">
        <v>13</v>
      </c>
      <c r="N519" s="2" t="s">
        <v>13</v>
      </c>
      <c r="O519" s="2">
        <v>1</v>
      </c>
    </row>
    <row r="520" spans="1:15" ht="15" customHeight="1" x14ac:dyDescent="0.25">
      <c r="A520" s="3">
        <v>10</v>
      </c>
      <c r="B520" s="3" t="s">
        <v>10</v>
      </c>
      <c r="C520" s="3" t="s">
        <v>11</v>
      </c>
      <c r="D520" s="2" t="s">
        <v>106</v>
      </c>
      <c r="E520" s="3">
        <v>0</v>
      </c>
      <c r="F520" s="3">
        <v>0</v>
      </c>
      <c r="G520" s="3" t="s">
        <v>10</v>
      </c>
      <c r="H520" s="3" t="s">
        <v>12</v>
      </c>
      <c r="I520" s="3" t="s">
        <v>15</v>
      </c>
      <c r="J520" s="3" t="s">
        <v>13</v>
      </c>
      <c r="K520" s="3" t="s">
        <v>14</v>
      </c>
      <c r="L520" s="3" t="s">
        <v>14</v>
      </c>
      <c r="M520" s="3" t="s">
        <v>14</v>
      </c>
      <c r="N520" s="3" t="s">
        <v>14</v>
      </c>
      <c r="O520" s="3">
        <v>1</v>
      </c>
    </row>
    <row r="521" spans="1:15" ht="15" customHeight="1" x14ac:dyDescent="0.25">
      <c r="A521" s="2">
        <v>10</v>
      </c>
      <c r="B521" s="2" t="s">
        <v>18</v>
      </c>
      <c r="C521" s="2" t="s">
        <v>19</v>
      </c>
      <c r="D521" s="2" t="s">
        <v>106</v>
      </c>
      <c r="E521" s="2">
        <v>0</v>
      </c>
      <c r="F521" s="2">
        <v>0</v>
      </c>
      <c r="G521" s="2" t="s">
        <v>10</v>
      </c>
      <c r="H521" s="2" t="s">
        <v>12</v>
      </c>
      <c r="I521" s="2" t="s">
        <v>15</v>
      </c>
      <c r="J521" s="2" t="s">
        <v>14</v>
      </c>
      <c r="K521" s="2" t="s">
        <v>14</v>
      </c>
      <c r="L521" s="2" t="s">
        <v>14</v>
      </c>
      <c r="M521" s="2" t="s">
        <v>14</v>
      </c>
      <c r="N521" s="2" t="s">
        <v>14</v>
      </c>
      <c r="O521" s="2">
        <v>1</v>
      </c>
    </row>
    <row r="522" spans="1:15" ht="15" customHeight="1" x14ac:dyDescent="0.25">
      <c r="A522" s="3">
        <v>20</v>
      </c>
      <c r="B522" s="3" t="s">
        <v>10</v>
      </c>
      <c r="C522" s="3" t="s">
        <v>11</v>
      </c>
      <c r="D522" s="2" t="s">
        <v>106</v>
      </c>
      <c r="E522" s="3">
        <v>1</v>
      </c>
      <c r="F522" s="3">
        <v>1</v>
      </c>
      <c r="G522" s="3" t="s">
        <v>10</v>
      </c>
      <c r="H522" s="3" t="s">
        <v>12</v>
      </c>
      <c r="I522" s="3">
        <v>1</v>
      </c>
      <c r="J522" s="3" t="s">
        <v>14</v>
      </c>
      <c r="K522" s="3" t="s">
        <v>14</v>
      </c>
      <c r="L522" s="3" t="s">
        <v>14</v>
      </c>
      <c r="M522" s="3" t="s">
        <v>13</v>
      </c>
      <c r="N522" s="3" t="s">
        <v>13</v>
      </c>
      <c r="O522" s="3">
        <v>0</v>
      </c>
    </row>
    <row r="523" spans="1:15" ht="15" customHeight="1" x14ac:dyDescent="0.25">
      <c r="A523" s="2">
        <v>10</v>
      </c>
      <c r="B523" s="2" t="s">
        <v>10</v>
      </c>
      <c r="C523" s="2" t="s">
        <v>20</v>
      </c>
      <c r="D523" s="2" t="s">
        <v>106</v>
      </c>
      <c r="E523" s="2">
        <v>0</v>
      </c>
      <c r="F523" s="2">
        <v>0</v>
      </c>
      <c r="G523" s="2" t="s">
        <v>17</v>
      </c>
      <c r="H523" s="2" t="s">
        <v>106</v>
      </c>
      <c r="I523" s="2">
        <v>1</v>
      </c>
      <c r="J523" s="2" t="s">
        <v>14</v>
      </c>
      <c r="K523" s="2" t="s">
        <v>13</v>
      </c>
      <c r="L523" s="2" t="s">
        <v>13</v>
      </c>
      <c r="M523" s="2" t="s">
        <v>13</v>
      </c>
      <c r="N523" s="2" t="s">
        <v>14</v>
      </c>
      <c r="O523" s="2">
        <v>1</v>
      </c>
    </row>
    <row r="524" spans="1:15" ht="15" customHeight="1" x14ac:dyDescent="0.25">
      <c r="A524" s="3">
        <v>5</v>
      </c>
      <c r="B524" s="3" t="s">
        <v>10</v>
      </c>
      <c r="C524" s="3" t="s">
        <v>19</v>
      </c>
      <c r="D524" s="2" t="s">
        <v>106</v>
      </c>
      <c r="E524" s="3">
        <v>0</v>
      </c>
      <c r="F524" s="3">
        <v>0</v>
      </c>
      <c r="G524" s="3" t="s">
        <v>10</v>
      </c>
      <c r="H524" s="3" t="s">
        <v>12</v>
      </c>
      <c r="I524" s="3">
        <v>2</v>
      </c>
      <c r="J524" s="3" t="s">
        <v>14</v>
      </c>
      <c r="K524" s="3" t="s">
        <v>13</v>
      </c>
      <c r="L524" s="3" t="s">
        <v>14</v>
      </c>
      <c r="M524" s="3" t="s">
        <v>14</v>
      </c>
      <c r="N524" s="3" t="s">
        <v>14</v>
      </c>
      <c r="O524" s="3">
        <v>1</v>
      </c>
    </row>
    <row r="525" spans="1:15" ht="15" customHeight="1" x14ac:dyDescent="0.25">
      <c r="A525" s="2">
        <v>10</v>
      </c>
      <c r="B525" s="2" t="s">
        <v>10</v>
      </c>
      <c r="C525" s="2" t="s">
        <v>19</v>
      </c>
      <c r="D525" s="2" t="s">
        <v>106</v>
      </c>
      <c r="E525" s="2">
        <v>1</v>
      </c>
      <c r="F525" s="2">
        <v>0</v>
      </c>
      <c r="G525" s="2" t="s">
        <v>10</v>
      </c>
      <c r="H525" s="2" t="s">
        <v>12</v>
      </c>
      <c r="I525" s="2">
        <v>1</v>
      </c>
      <c r="J525" s="2" t="s">
        <v>14</v>
      </c>
      <c r="K525" s="2" t="s">
        <v>14</v>
      </c>
      <c r="L525" s="2" t="s">
        <v>14</v>
      </c>
      <c r="M525" s="2" t="s">
        <v>14</v>
      </c>
      <c r="N525" s="2" t="s">
        <v>14</v>
      </c>
      <c r="O525" s="2">
        <v>1</v>
      </c>
    </row>
    <row r="526" spans="1:15" ht="15" customHeight="1" x14ac:dyDescent="0.25">
      <c r="A526" s="3">
        <v>10</v>
      </c>
      <c r="B526" s="3" t="s">
        <v>10</v>
      </c>
      <c r="C526" s="3" t="s">
        <v>11</v>
      </c>
      <c r="D526" s="2" t="s">
        <v>106</v>
      </c>
      <c r="E526" s="3">
        <v>1</v>
      </c>
      <c r="F526" s="3">
        <v>1</v>
      </c>
      <c r="G526" s="3" t="s">
        <v>10</v>
      </c>
      <c r="H526" s="3" t="s">
        <v>12</v>
      </c>
      <c r="I526" s="3" t="s">
        <v>15</v>
      </c>
      <c r="J526" s="3" t="s">
        <v>13</v>
      </c>
      <c r="K526" s="3" t="s">
        <v>14</v>
      </c>
      <c r="L526" s="3" t="s">
        <v>14</v>
      </c>
      <c r="M526" s="3" t="s">
        <v>14</v>
      </c>
      <c r="N526" s="3" t="s">
        <v>14</v>
      </c>
      <c r="O526" s="3">
        <v>0</v>
      </c>
    </row>
    <row r="527" spans="1:15" ht="15" customHeight="1" x14ac:dyDescent="0.25">
      <c r="A527" s="2">
        <v>5</v>
      </c>
      <c r="B527" s="2" t="s">
        <v>10</v>
      </c>
      <c r="C527" s="2" t="s">
        <v>19</v>
      </c>
      <c r="D527" s="2" t="s">
        <v>106</v>
      </c>
      <c r="E527" s="2">
        <v>1</v>
      </c>
      <c r="F527" s="2">
        <v>0</v>
      </c>
      <c r="G527" s="2" t="s">
        <v>10</v>
      </c>
      <c r="H527" s="2" t="s">
        <v>12</v>
      </c>
      <c r="I527" s="2">
        <v>1</v>
      </c>
      <c r="J527" s="2" t="s">
        <v>14</v>
      </c>
      <c r="K527" s="2" t="s">
        <v>13</v>
      </c>
      <c r="L527" s="2" t="s">
        <v>13</v>
      </c>
      <c r="M527" s="2" t="s">
        <v>14</v>
      </c>
      <c r="N527" s="2" t="s">
        <v>14</v>
      </c>
      <c r="O527" s="2">
        <v>0</v>
      </c>
    </row>
    <row r="528" spans="1:15" ht="15" customHeight="1" x14ac:dyDescent="0.25">
      <c r="A528" s="3">
        <v>5</v>
      </c>
      <c r="B528" s="3" t="s">
        <v>10</v>
      </c>
      <c r="C528" s="3" t="s">
        <v>19</v>
      </c>
      <c r="D528" s="2" t="s">
        <v>106</v>
      </c>
      <c r="E528" s="3">
        <v>0</v>
      </c>
      <c r="F528" s="3">
        <v>0</v>
      </c>
      <c r="G528" s="3" t="s">
        <v>10</v>
      </c>
      <c r="H528" s="3" t="s">
        <v>12</v>
      </c>
      <c r="I528" s="3">
        <v>2</v>
      </c>
      <c r="J528" s="3" t="s">
        <v>14</v>
      </c>
      <c r="K528" s="3" t="s">
        <v>14</v>
      </c>
      <c r="L528" s="3" t="s">
        <v>14</v>
      </c>
      <c r="M528" s="3" t="s">
        <v>14</v>
      </c>
      <c r="N528" s="3" t="s">
        <v>14</v>
      </c>
      <c r="O528" s="3">
        <v>1</v>
      </c>
    </row>
    <row r="529" spans="1:15" ht="15" customHeight="1" x14ac:dyDescent="0.25">
      <c r="A529" s="2">
        <v>5</v>
      </c>
      <c r="B529" s="2" t="s">
        <v>10</v>
      </c>
      <c r="C529" s="2" t="s">
        <v>19</v>
      </c>
      <c r="D529" s="2" t="s">
        <v>106</v>
      </c>
      <c r="E529" s="2">
        <v>0</v>
      </c>
      <c r="F529" s="2">
        <v>1</v>
      </c>
      <c r="G529" s="2" t="s">
        <v>10</v>
      </c>
      <c r="H529" s="2" t="s">
        <v>12</v>
      </c>
      <c r="I529" s="2">
        <v>1</v>
      </c>
      <c r="J529" s="2" t="s">
        <v>14</v>
      </c>
      <c r="K529" s="2" t="s">
        <v>14</v>
      </c>
      <c r="L529" s="2" t="s">
        <v>14</v>
      </c>
      <c r="M529" s="2" t="s">
        <v>14</v>
      </c>
      <c r="N529" s="2" t="s">
        <v>14</v>
      </c>
      <c r="O529" s="2">
        <v>1</v>
      </c>
    </row>
    <row r="530" spans="1:15" ht="15" customHeight="1" x14ac:dyDescent="0.25">
      <c r="A530" s="3">
        <v>5</v>
      </c>
      <c r="B530" s="3" t="s">
        <v>10</v>
      </c>
      <c r="C530" s="3" t="s">
        <v>19</v>
      </c>
      <c r="D530" s="2" t="s">
        <v>106</v>
      </c>
      <c r="E530" s="3">
        <v>0</v>
      </c>
      <c r="F530" s="3">
        <v>1</v>
      </c>
      <c r="G530" s="3" t="s">
        <v>10</v>
      </c>
      <c r="H530" s="3" t="s">
        <v>12</v>
      </c>
      <c r="I530" s="3" t="s">
        <v>15</v>
      </c>
      <c r="J530" s="3" t="s">
        <v>14</v>
      </c>
      <c r="K530" s="3" t="s">
        <v>14</v>
      </c>
      <c r="L530" s="3" t="s">
        <v>14</v>
      </c>
      <c r="M530" s="3" t="s">
        <v>14</v>
      </c>
      <c r="N530" s="3" t="s">
        <v>14</v>
      </c>
      <c r="O530" s="3">
        <v>1</v>
      </c>
    </row>
    <row r="531" spans="1:15" ht="15" customHeight="1" x14ac:dyDescent="0.25">
      <c r="A531" s="2">
        <v>5</v>
      </c>
      <c r="B531" s="2" t="s">
        <v>10</v>
      </c>
      <c r="C531" s="2" t="s">
        <v>19</v>
      </c>
      <c r="D531" s="2" t="s">
        <v>106</v>
      </c>
      <c r="E531" s="2">
        <v>0</v>
      </c>
      <c r="F531" s="2">
        <v>0</v>
      </c>
      <c r="G531" s="2" t="s">
        <v>10</v>
      </c>
      <c r="H531" s="2" t="s">
        <v>12</v>
      </c>
      <c r="I531" s="2">
        <v>2</v>
      </c>
      <c r="J531" s="2" t="s">
        <v>14</v>
      </c>
      <c r="K531" s="2" t="s">
        <v>14</v>
      </c>
      <c r="L531" s="2" t="s">
        <v>14</v>
      </c>
      <c r="M531" s="2" t="s">
        <v>14</v>
      </c>
      <c r="N531" s="2" t="s">
        <v>14</v>
      </c>
      <c r="O531" s="2">
        <v>1</v>
      </c>
    </row>
    <row r="532" spans="1:15" ht="15" customHeight="1" x14ac:dyDescent="0.25">
      <c r="A532" s="3">
        <v>5</v>
      </c>
      <c r="B532" s="3" t="s">
        <v>10</v>
      </c>
      <c r="C532" s="3" t="s">
        <v>11</v>
      </c>
      <c r="D532" s="2" t="s">
        <v>106</v>
      </c>
      <c r="E532" s="3">
        <v>0</v>
      </c>
      <c r="F532" s="3">
        <v>0</v>
      </c>
      <c r="G532" s="3" t="s">
        <v>10</v>
      </c>
      <c r="H532" s="3" t="s">
        <v>12</v>
      </c>
      <c r="I532" s="3">
        <v>2</v>
      </c>
      <c r="J532" s="3" t="s">
        <v>14</v>
      </c>
      <c r="K532" s="3" t="s">
        <v>14</v>
      </c>
      <c r="L532" s="3" t="s">
        <v>14</v>
      </c>
      <c r="M532" s="3" t="s">
        <v>14</v>
      </c>
      <c r="N532" s="3" t="s">
        <v>14</v>
      </c>
      <c r="O532" s="3">
        <v>1</v>
      </c>
    </row>
    <row r="533" spans="1:15" ht="15" customHeight="1" x14ac:dyDescent="0.25">
      <c r="A533" s="2">
        <v>10</v>
      </c>
      <c r="B533" s="2" t="s">
        <v>14</v>
      </c>
      <c r="C533" s="2" t="s">
        <v>20</v>
      </c>
      <c r="D533" s="2" t="s">
        <v>106</v>
      </c>
      <c r="E533" s="2">
        <v>0</v>
      </c>
      <c r="F533" s="2">
        <v>0</v>
      </c>
      <c r="G533" s="2" t="s">
        <v>10</v>
      </c>
      <c r="H533" s="2" t="s">
        <v>12</v>
      </c>
      <c r="I533" s="2" t="s">
        <v>15</v>
      </c>
      <c r="J533" s="2" t="s">
        <v>14</v>
      </c>
      <c r="K533" s="2" t="s">
        <v>14</v>
      </c>
      <c r="L533" s="2" t="s">
        <v>14</v>
      </c>
      <c r="M533" s="2" t="s">
        <v>14</v>
      </c>
      <c r="N533" s="2" t="s">
        <v>14</v>
      </c>
      <c r="O533" s="2">
        <v>1</v>
      </c>
    </row>
    <row r="534" spans="1:15" ht="15" customHeight="1" x14ac:dyDescent="0.25">
      <c r="A534" s="3">
        <v>5</v>
      </c>
      <c r="B534" s="3" t="s">
        <v>18</v>
      </c>
      <c r="C534" s="3" t="s">
        <v>20</v>
      </c>
      <c r="D534" s="2" t="s">
        <v>106</v>
      </c>
      <c r="E534" s="3">
        <v>0</v>
      </c>
      <c r="F534" s="3">
        <v>0</v>
      </c>
      <c r="G534" s="3" t="s">
        <v>10</v>
      </c>
      <c r="H534" s="3" t="s">
        <v>12</v>
      </c>
      <c r="I534" s="3">
        <v>2</v>
      </c>
      <c r="J534" s="3" t="s">
        <v>14</v>
      </c>
      <c r="K534" s="3" t="s">
        <v>14</v>
      </c>
      <c r="L534" s="3" t="s">
        <v>14</v>
      </c>
      <c r="M534" s="3" t="s">
        <v>14</v>
      </c>
      <c r="N534" s="3" t="s">
        <v>14</v>
      </c>
      <c r="O534" s="3">
        <v>1</v>
      </c>
    </row>
    <row r="535" spans="1:15" ht="15" customHeight="1" x14ac:dyDescent="0.25">
      <c r="A535" s="2">
        <v>5</v>
      </c>
      <c r="B535" s="2" t="s">
        <v>14</v>
      </c>
      <c r="C535" s="2" t="s">
        <v>20</v>
      </c>
      <c r="D535" s="2" t="s">
        <v>106</v>
      </c>
      <c r="E535" s="2">
        <v>0</v>
      </c>
      <c r="F535" s="2">
        <v>0</v>
      </c>
      <c r="G535" s="2" t="s">
        <v>10</v>
      </c>
      <c r="H535" s="2" t="s">
        <v>12</v>
      </c>
      <c r="I535" s="2">
        <v>2</v>
      </c>
      <c r="J535" s="2" t="s">
        <v>14</v>
      </c>
      <c r="K535" s="2" t="s">
        <v>14</v>
      </c>
      <c r="L535" s="2" t="s">
        <v>14</v>
      </c>
      <c r="M535" s="2" t="s">
        <v>14</v>
      </c>
      <c r="N535" s="2" t="s">
        <v>14</v>
      </c>
      <c r="O535" s="2">
        <v>1</v>
      </c>
    </row>
    <row r="536" spans="1:15" ht="15" customHeight="1" x14ac:dyDescent="0.25">
      <c r="A536" s="3">
        <v>20</v>
      </c>
      <c r="B536" s="3" t="s">
        <v>10</v>
      </c>
      <c r="C536" s="3" t="s">
        <v>19</v>
      </c>
      <c r="D536" s="2" t="s">
        <v>106</v>
      </c>
      <c r="E536" s="3">
        <v>1</v>
      </c>
      <c r="F536" s="3">
        <v>1</v>
      </c>
      <c r="G536" s="3" t="s">
        <v>10</v>
      </c>
      <c r="H536" s="3" t="s">
        <v>12</v>
      </c>
      <c r="I536" s="3">
        <v>2</v>
      </c>
      <c r="J536" s="3" t="s">
        <v>14</v>
      </c>
      <c r="K536" s="3" t="s">
        <v>14</v>
      </c>
      <c r="L536" s="3" t="s">
        <v>14</v>
      </c>
      <c r="M536" s="3" t="s">
        <v>13</v>
      </c>
      <c r="N536" s="3" t="s">
        <v>14</v>
      </c>
      <c r="O536" s="3">
        <v>0</v>
      </c>
    </row>
    <row r="537" spans="1:15" ht="15" customHeight="1" x14ac:dyDescent="0.25">
      <c r="A537" s="2">
        <v>5</v>
      </c>
      <c r="B537" s="2" t="s">
        <v>14</v>
      </c>
      <c r="C537" s="2" t="s">
        <v>19</v>
      </c>
      <c r="D537" s="2" t="s">
        <v>106</v>
      </c>
      <c r="E537" s="2">
        <v>0</v>
      </c>
      <c r="F537" s="2">
        <v>0</v>
      </c>
      <c r="G537" s="2" t="s">
        <v>10</v>
      </c>
      <c r="H537" s="2" t="s">
        <v>12</v>
      </c>
      <c r="I537" s="2">
        <v>2</v>
      </c>
      <c r="J537" s="2" t="s">
        <v>14</v>
      </c>
      <c r="K537" s="2" t="s">
        <v>13</v>
      </c>
      <c r="L537" s="2" t="s">
        <v>14</v>
      </c>
      <c r="M537" s="2" t="s">
        <v>14</v>
      </c>
      <c r="N537" s="2" t="s">
        <v>14</v>
      </c>
      <c r="O537" s="2">
        <v>0</v>
      </c>
    </row>
    <row r="538" spans="1:15" ht="15" customHeight="1" x14ac:dyDescent="0.25">
      <c r="A538" s="3">
        <v>10</v>
      </c>
      <c r="B538" s="3" t="s">
        <v>10</v>
      </c>
      <c r="C538" s="3" t="s">
        <v>11</v>
      </c>
      <c r="D538" s="2" t="s">
        <v>106</v>
      </c>
      <c r="E538" s="3">
        <v>0</v>
      </c>
      <c r="F538" s="3">
        <v>1</v>
      </c>
      <c r="G538" s="3" t="s">
        <v>10</v>
      </c>
      <c r="H538" s="3" t="s">
        <v>12</v>
      </c>
      <c r="I538" s="3">
        <v>2</v>
      </c>
      <c r="J538" s="3" t="s">
        <v>14</v>
      </c>
      <c r="K538" s="3" t="s">
        <v>14</v>
      </c>
      <c r="L538" s="3" t="s">
        <v>14</v>
      </c>
      <c r="M538" s="3" t="s">
        <v>14</v>
      </c>
      <c r="N538" s="3" t="s">
        <v>14</v>
      </c>
      <c r="O538" s="3">
        <v>1</v>
      </c>
    </row>
    <row r="539" spans="1:15" ht="15" customHeight="1" x14ac:dyDescent="0.25">
      <c r="A539" s="2">
        <v>0</v>
      </c>
      <c r="B539" s="2" t="s">
        <v>18</v>
      </c>
      <c r="C539" s="2" t="s">
        <v>11</v>
      </c>
      <c r="D539" s="2" t="s">
        <v>106</v>
      </c>
      <c r="E539" s="2">
        <v>0</v>
      </c>
      <c r="F539" s="2">
        <v>0</v>
      </c>
      <c r="G539" s="2" t="s">
        <v>10</v>
      </c>
      <c r="H539" s="2" t="s">
        <v>12</v>
      </c>
      <c r="I539" s="2">
        <v>1</v>
      </c>
      <c r="J539" s="2" t="s">
        <v>14</v>
      </c>
      <c r="K539" s="2" t="s">
        <v>14</v>
      </c>
      <c r="L539" s="2" t="s">
        <v>14</v>
      </c>
      <c r="M539" s="2" t="s">
        <v>14</v>
      </c>
      <c r="N539" s="2" t="s">
        <v>14</v>
      </c>
      <c r="O539" s="2">
        <v>1</v>
      </c>
    </row>
    <row r="540" spans="1:15" ht="15" customHeight="1" x14ac:dyDescent="0.25">
      <c r="A540" s="3">
        <v>20</v>
      </c>
      <c r="B540" s="3" t="s">
        <v>10</v>
      </c>
      <c r="C540" s="3" t="s">
        <v>19</v>
      </c>
      <c r="D540" s="2" t="s">
        <v>106</v>
      </c>
      <c r="E540" s="3">
        <v>0</v>
      </c>
      <c r="F540" s="3">
        <v>2</v>
      </c>
      <c r="G540" s="3" t="s">
        <v>10</v>
      </c>
      <c r="H540" s="3" t="s">
        <v>12</v>
      </c>
      <c r="I540" s="3" t="s">
        <v>15</v>
      </c>
      <c r="J540" s="3" t="s">
        <v>14</v>
      </c>
      <c r="K540" s="3" t="s">
        <v>14</v>
      </c>
      <c r="L540" s="3" t="s">
        <v>14</v>
      </c>
      <c r="M540" s="3" t="s">
        <v>13</v>
      </c>
      <c r="N540" s="3" t="s">
        <v>14</v>
      </c>
      <c r="O540" s="3">
        <v>1</v>
      </c>
    </row>
    <row r="541" spans="1:15" ht="15" customHeight="1" x14ac:dyDescent="0.25">
      <c r="A541" s="2">
        <v>10</v>
      </c>
      <c r="B541" s="2" t="s">
        <v>18</v>
      </c>
      <c r="C541" s="2" t="s">
        <v>19</v>
      </c>
      <c r="D541" s="2" t="s">
        <v>106</v>
      </c>
      <c r="E541" s="2">
        <v>0</v>
      </c>
      <c r="F541" s="2">
        <v>1</v>
      </c>
      <c r="G541" s="2" t="s">
        <v>10</v>
      </c>
      <c r="H541" s="2" t="s">
        <v>12</v>
      </c>
      <c r="I541" s="2" t="s">
        <v>15</v>
      </c>
      <c r="J541" s="2" t="s">
        <v>14</v>
      </c>
      <c r="K541" s="2" t="s">
        <v>14</v>
      </c>
      <c r="L541" s="2" t="s">
        <v>14</v>
      </c>
      <c r="M541" s="2" t="s">
        <v>14</v>
      </c>
      <c r="N541" s="2" t="s">
        <v>14</v>
      </c>
      <c r="O541" s="2">
        <v>1</v>
      </c>
    </row>
    <row r="542" spans="1:15" ht="15" customHeight="1" x14ac:dyDescent="0.25">
      <c r="A542" s="3">
        <v>5</v>
      </c>
      <c r="B542" s="3" t="s">
        <v>18</v>
      </c>
      <c r="C542" s="3" t="s">
        <v>20</v>
      </c>
      <c r="D542" s="2" t="s">
        <v>106</v>
      </c>
      <c r="E542" s="3">
        <v>0</v>
      </c>
      <c r="F542" s="3">
        <v>0</v>
      </c>
      <c r="G542" s="3" t="s">
        <v>10</v>
      </c>
      <c r="H542" s="3" t="s">
        <v>12</v>
      </c>
      <c r="I542" s="3">
        <v>1</v>
      </c>
      <c r="J542" s="3" t="s">
        <v>14</v>
      </c>
      <c r="K542" s="3" t="s">
        <v>14</v>
      </c>
      <c r="L542" s="3" t="s">
        <v>14</v>
      </c>
      <c r="M542" s="3" t="s">
        <v>14</v>
      </c>
      <c r="N542" s="3" t="s">
        <v>14</v>
      </c>
      <c r="O542" s="3">
        <v>1</v>
      </c>
    </row>
    <row r="543" spans="1:15" ht="15" customHeight="1" x14ac:dyDescent="0.25">
      <c r="A543" s="2">
        <v>10</v>
      </c>
      <c r="B543" s="2" t="s">
        <v>10</v>
      </c>
      <c r="C543" s="2" t="s">
        <v>20</v>
      </c>
      <c r="D543" s="2" t="s">
        <v>106</v>
      </c>
      <c r="E543" s="2">
        <v>0</v>
      </c>
      <c r="F543" s="2">
        <v>1</v>
      </c>
      <c r="G543" s="2" t="s">
        <v>10</v>
      </c>
      <c r="H543" s="2" t="s">
        <v>12</v>
      </c>
      <c r="I543" s="2">
        <v>2</v>
      </c>
      <c r="J543" s="2" t="s">
        <v>14</v>
      </c>
      <c r="K543" s="2" t="s">
        <v>14</v>
      </c>
      <c r="L543" s="2" t="s">
        <v>14</v>
      </c>
      <c r="M543" s="2" t="s">
        <v>13</v>
      </c>
      <c r="N543" s="2" t="s">
        <v>14</v>
      </c>
      <c r="O543" s="2">
        <v>1</v>
      </c>
    </row>
    <row r="544" spans="1:15" ht="15" customHeight="1" x14ac:dyDescent="0.25">
      <c r="A544" s="3">
        <v>10</v>
      </c>
      <c r="B544" s="3" t="s">
        <v>10</v>
      </c>
      <c r="C544" s="3" t="s">
        <v>19</v>
      </c>
      <c r="D544" s="2" t="s">
        <v>106</v>
      </c>
      <c r="E544" s="3">
        <v>2</v>
      </c>
      <c r="F544" s="3">
        <v>0</v>
      </c>
      <c r="G544" s="3" t="s">
        <v>17</v>
      </c>
      <c r="H544" s="3" t="s">
        <v>106</v>
      </c>
      <c r="I544" s="3">
        <v>1</v>
      </c>
      <c r="J544" s="3" t="s">
        <v>14</v>
      </c>
      <c r="K544" s="3" t="s">
        <v>13</v>
      </c>
      <c r="L544" s="3" t="s">
        <v>13</v>
      </c>
      <c r="M544" s="3" t="s">
        <v>13</v>
      </c>
      <c r="N544" s="3" t="s">
        <v>14</v>
      </c>
      <c r="O544" s="3">
        <v>0</v>
      </c>
    </row>
    <row r="545" spans="1:15" ht="15" customHeight="1" x14ac:dyDescent="0.25">
      <c r="A545" s="2">
        <v>0</v>
      </c>
      <c r="B545" s="2" t="s">
        <v>10</v>
      </c>
      <c r="C545" s="2" t="s">
        <v>19</v>
      </c>
      <c r="D545" s="2" t="s">
        <v>106</v>
      </c>
      <c r="E545" s="2">
        <v>0</v>
      </c>
      <c r="F545" s="2">
        <v>1</v>
      </c>
      <c r="G545" s="2" t="s">
        <v>17</v>
      </c>
      <c r="H545" s="2" t="s">
        <v>106</v>
      </c>
      <c r="I545" s="2">
        <v>1</v>
      </c>
      <c r="J545" s="2" t="s">
        <v>14</v>
      </c>
      <c r="K545" s="2" t="s">
        <v>13</v>
      </c>
      <c r="L545" s="2" t="s">
        <v>13</v>
      </c>
      <c r="M545" s="2" t="s">
        <v>13</v>
      </c>
      <c r="N545" s="2" t="s">
        <v>14</v>
      </c>
      <c r="O545" s="2">
        <v>1</v>
      </c>
    </row>
    <row r="546" spans="1:15" ht="15" customHeight="1" x14ac:dyDescent="0.25">
      <c r="A546" s="2">
        <v>5</v>
      </c>
      <c r="B546" s="2" t="s">
        <v>10</v>
      </c>
      <c r="C546" s="2" t="s">
        <v>20</v>
      </c>
      <c r="D546" s="2" t="s">
        <v>106</v>
      </c>
      <c r="E546" s="2">
        <v>1</v>
      </c>
      <c r="F546" s="2">
        <v>0</v>
      </c>
      <c r="G546" s="2" t="s">
        <v>17</v>
      </c>
      <c r="H546" s="2" t="s">
        <v>106</v>
      </c>
      <c r="I546" s="2">
        <v>1</v>
      </c>
      <c r="J546" s="2" t="s">
        <v>14</v>
      </c>
      <c r="K546" s="2" t="s">
        <v>13</v>
      </c>
      <c r="L546" s="2" t="s">
        <v>13</v>
      </c>
      <c r="M546" s="2" t="s">
        <v>13</v>
      </c>
      <c r="N546" s="2" t="s">
        <v>14</v>
      </c>
      <c r="O546" s="2">
        <v>0</v>
      </c>
    </row>
    <row r="547" spans="1:15" ht="15" customHeight="1" x14ac:dyDescent="0.25">
      <c r="A547" s="3">
        <v>5</v>
      </c>
      <c r="B547" s="3" t="s">
        <v>10</v>
      </c>
      <c r="C547" s="3" t="s">
        <v>11</v>
      </c>
      <c r="D547" s="2" t="s">
        <v>106</v>
      </c>
      <c r="E547" s="3">
        <v>2</v>
      </c>
      <c r="F547" s="3">
        <v>0</v>
      </c>
      <c r="G547" s="3" t="s">
        <v>17</v>
      </c>
      <c r="H547" s="3" t="s">
        <v>106</v>
      </c>
      <c r="I547" s="3">
        <v>1</v>
      </c>
      <c r="J547" s="3" t="s">
        <v>14</v>
      </c>
      <c r="K547" s="3" t="s">
        <v>13</v>
      </c>
      <c r="L547" s="3" t="s">
        <v>13</v>
      </c>
      <c r="M547" s="3" t="s">
        <v>13</v>
      </c>
      <c r="N547" s="3" t="s">
        <v>14</v>
      </c>
      <c r="O547" s="3">
        <v>0</v>
      </c>
    </row>
    <row r="548" spans="1:15" ht="15" customHeight="1" x14ac:dyDescent="0.25">
      <c r="A548" s="2">
        <v>30</v>
      </c>
      <c r="B548" s="2" t="s">
        <v>10</v>
      </c>
      <c r="C548" s="2" t="s">
        <v>19</v>
      </c>
      <c r="D548" s="2" t="s">
        <v>106</v>
      </c>
      <c r="E548" s="2">
        <v>0</v>
      </c>
      <c r="F548" s="2">
        <v>1</v>
      </c>
      <c r="G548" s="2" t="s">
        <v>10</v>
      </c>
      <c r="H548" s="2" t="s">
        <v>12</v>
      </c>
      <c r="I548" s="2" t="s">
        <v>15</v>
      </c>
      <c r="J548" s="2" t="s">
        <v>14</v>
      </c>
      <c r="K548" s="2" t="s">
        <v>14</v>
      </c>
      <c r="L548" s="2" t="s">
        <v>14</v>
      </c>
      <c r="M548" s="2" t="s">
        <v>13</v>
      </c>
      <c r="N548" s="2" t="s">
        <v>14</v>
      </c>
      <c r="O548" s="2">
        <v>1</v>
      </c>
    </row>
    <row r="549" spans="1:15" ht="15" customHeight="1" x14ac:dyDescent="0.25">
      <c r="A549" s="3">
        <v>0</v>
      </c>
      <c r="B549" s="3" t="s">
        <v>10</v>
      </c>
      <c r="C549" s="3" t="s">
        <v>19</v>
      </c>
      <c r="D549" s="2" t="s">
        <v>106</v>
      </c>
      <c r="E549" s="3">
        <v>0</v>
      </c>
      <c r="F549" s="3">
        <v>0</v>
      </c>
      <c r="G549" s="3" t="s">
        <v>10</v>
      </c>
      <c r="H549" s="3" t="s">
        <v>12</v>
      </c>
      <c r="I549" s="3">
        <v>1</v>
      </c>
      <c r="J549" s="3" t="s">
        <v>14</v>
      </c>
      <c r="K549" s="3" t="s">
        <v>14</v>
      </c>
      <c r="L549" s="3" t="s">
        <v>14</v>
      </c>
      <c r="M549" s="3" t="s">
        <v>14</v>
      </c>
      <c r="N549" s="3" t="s">
        <v>14</v>
      </c>
      <c r="O549" s="3">
        <v>1</v>
      </c>
    </row>
    <row r="550" spans="1:15" ht="15" customHeight="1" x14ac:dyDescent="0.25">
      <c r="A550" s="2">
        <v>10</v>
      </c>
      <c r="B550" s="2" t="s">
        <v>10</v>
      </c>
      <c r="C550" s="2" t="s">
        <v>11</v>
      </c>
      <c r="D550" s="2" t="s">
        <v>106</v>
      </c>
      <c r="E550" s="2">
        <v>0</v>
      </c>
      <c r="F550" s="2">
        <v>1</v>
      </c>
      <c r="G550" s="2" t="s">
        <v>10</v>
      </c>
      <c r="H550" s="2" t="s">
        <v>12</v>
      </c>
      <c r="I550" s="2" t="s">
        <v>15</v>
      </c>
      <c r="J550" s="2" t="s">
        <v>14</v>
      </c>
      <c r="K550" s="2" t="s">
        <v>14</v>
      </c>
      <c r="L550" s="2" t="s">
        <v>14</v>
      </c>
      <c r="M550" s="2" t="s">
        <v>14</v>
      </c>
      <c r="N550" s="2" t="s">
        <v>14</v>
      </c>
      <c r="O550" s="2">
        <v>1</v>
      </c>
    </row>
    <row r="551" spans="1:15" ht="15" customHeight="1" x14ac:dyDescent="0.25">
      <c r="A551" s="3">
        <v>10</v>
      </c>
      <c r="B551" s="3" t="s">
        <v>14</v>
      </c>
      <c r="C551" s="3" t="s">
        <v>20</v>
      </c>
      <c r="D551" s="2" t="s">
        <v>106</v>
      </c>
      <c r="E551" s="3">
        <v>0</v>
      </c>
      <c r="F551" s="3">
        <v>0</v>
      </c>
      <c r="G551" s="3" t="s">
        <v>10</v>
      </c>
      <c r="H551" s="3" t="s">
        <v>12</v>
      </c>
      <c r="I551" s="3">
        <v>2</v>
      </c>
      <c r="J551" s="3" t="s">
        <v>14</v>
      </c>
      <c r="K551" s="3" t="s">
        <v>14</v>
      </c>
      <c r="L551" s="3" t="s">
        <v>14</v>
      </c>
      <c r="M551" s="3" t="s">
        <v>14</v>
      </c>
      <c r="N551" s="3" t="s">
        <v>14</v>
      </c>
      <c r="O551" s="3">
        <v>1</v>
      </c>
    </row>
    <row r="552" spans="1:15" ht="15" customHeight="1" x14ac:dyDescent="0.25">
      <c r="A552" s="2">
        <v>30</v>
      </c>
      <c r="B552" s="2" t="s">
        <v>10</v>
      </c>
      <c r="C552" s="2" t="s">
        <v>19</v>
      </c>
      <c r="D552" s="2" t="s">
        <v>106</v>
      </c>
      <c r="E552" s="2">
        <v>1</v>
      </c>
      <c r="F552" s="2">
        <v>0</v>
      </c>
      <c r="G552" s="2" t="s">
        <v>10</v>
      </c>
      <c r="H552" s="2" t="s">
        <v>16</v>
      </c>
      <c r="I552" s="2" t="s">
        <v>15</v>
      </c>
      <c r="J552" s="2" t="s">
        <v>14</v>
      </c>
      <c r="K552" s="2" t="s">
        <v>14</v>
      </c>
      <c r="L552" s="2" t="s">
        <v>14</v>
      </c>
      <c r="M552" s="2" t="s">
        <v>13</v>
      </c>
      <c r="N552" s="2" t="s">
        <v>14</v>
      </c>
      <c r="O552" s="2">
        <v>0</v>
      </c>
    </row>
    <row r="553" spans="1:15" ht="15" customHeight="1" x14ac:dyDescent="0.25">
      <c r="A553" s="3">
        <v>20</v>
      </c>
      <c r="B553" s="3" t="s">
        <v>10</v>
      </c>
      <c r="C553" s="3" t="s">
        <v>11</v>
      </c>
      <c r="D553" s="2" t="s">
        <v>106</v>
      </c>
      <c r="E553" s="3">
        <v>0</v>
      </c>
      <c r="F553" s="3">
        <v>0</v>
      </c>
      <c r="G553" s="3" t="s">
        <v>17</v>
      </c>
      <c r="H553" s="3" t="s">
        <v>106</v>
      </c>
      <c r="I553" s="3">
        <v>1</v>
      </c>
      <c r="J553" s="3" t="s">
        <v>14</v>
      </c>
      <c r="K553" s="3" t="s">
        <v>13</v>
      </c>
      <c r="L553" s="3" t="s">
        <v>13</v>
      </c>
      <c r="M553" s="3" t="s">
        <v>13</v>
      </c>
      <c r="N553" s="3" t="s">
        <v>14</v>
      </c>
      <c r="O553" s="3">
        <v>0</v>
      </c>
    </row>
    <row r="554" spans="1:15" ht="15" customHeight="1" x14ac:dyDescent="0.25">
      <c r="A554" s="2">
        <v>0</v>
      </c>
      <c r="B554" s="2" t="s">
        <v>14</v>
      </c>
      <c r="C554" s="2" t="s">
        <v>19</v>
      </c>
      <c r="D554" s="2" t="s">
        <v>106</v>
      </c>
      <c r="E554" s="2">
        <v>0</v>
      </c>
      <c r="F554" s="2">
        <v>0</v>
      </c>
      <c r="G554" s="2" t="s">
        <v>10</v>
      </c>
      <c r="H554" s="2" t="s">
        <v>12</v>
      </c>
      <c r="I554" s="2">
        <v>1</v>
      </c>
      <c r="J554" s="2" t="s">
        <v>14</v>
      </c>
      <c r="K554" s="2" t="s">
        <v>13</v>
      </c>
      <c r="L554" s="2" t="s">
        <v>13</v>
      </c>
      <c r="M554" s="2" t="s">
        <v>14</v>
      </c>
      <c r="N554" s="2" t="s">
        <v>14</v>
      </c>
      <c r="O554" s="2">
        <v>0</v>
      </c>
    </row>
    <row r="555" spans="1:15" ht="15" customHeight="1" x14ac:dyDescent="0.25">
      <c r="A555" s="3">
        <v>10</v>
      </c>
      <c r="B555" s="3" t="s">
        <v>18</v>
      </c>
      <c r="C555" s="3" t="s">
        <v>20</v>
      </c>
      <c r="D555" s="2" t="s">
        <v>106</v>
      </c>
      <c r="E555" s="3">
        <v>0</v>
      </c>
      <c r="F555" s="3">
        <v>0</v>
      </c>
      <c r="G555" s="3" t="s">
        <v>10</v>
      </c>
      <c r="H555" s="3" t="s">
        <v>12</v>
      </c>
      <c r="I555" s="3">
        <v>1</v>
      </c>
      <c r="J555" s="3" t="s">
        <v>14</v>
      </c>
      <c r="K555" s="3" t="s">
        <v>14</v>
      </c>
      <c r="L555" s="3" t="s">
        <v>14</v>
      </c>
      <c r="M555" s="3" t="s">
        <v>14</v>
      </c>
      <c r="N555" s="3" t="s">
        <v>14</v>
      </c>
      <c r="O555" s="3">
        <v>1</v>
      </c>
    </row>
    <row r="556" spans="1:15" ht="15" customHeight="1" x14ac:dyDescent="0.25">
      <c r="A556" s="2">
        <v>10</v>
      </c>
      <c r="B556" s="2" t="s">
        <v>14</v>
      </c>
      <c r="C556" s="2" t="s">
        <v>20</v>
      </c>
      <c r="D556" s="2" t="s">
        <v>106</v>
      </c>
      <c r="E556" s="2">
        <v>0</v>
      </c>
      <c r="F556" s="2">
        <v>0</v>
      </c>
      <c r="G556" s="2" t="s">
        <v>10</v>
      </c>
      <c r="H556" s="2" t="s">
        <v>12</v>
      </c>
      <c r="I556" s="2">
        <v>2</v>
      </c>
      <c r="J556" s="2" t="s">
        <v>14</v>
      </c>
      <c r="K556" s="2" t="s">
        <v>14</v>
      </c>
      <c r="L556" s="2" t="s">
        <v>14</v>
      </c>
      <c r="M556" s="2" t="s">
        <v>14</v>
      </c>
      <c r="N556" s="2" t="s">
        <v>14</v>
      </c>
      <c r="O556" s="2">
        <v>1</v>
      </c>
    </row>
    <row r="557" spans="1:15" ht="15" customHeight="1" x14ac:dyDescent="0.25">
      <c r="A557" s="3">
        <v>10</v>
      </c>
      <c r="B557" s="3" t="s">
        <v>14</v>
      </c>
      <c r="C557" s="3" t="s">
        <v>19</v>
      </c>
      <c r="D557" s="2" t="s">
        <v>106</v>
      </c>
      <c r="E557" s="3">
        <v>0</v>
      </c>
      <c r="F557" s="3">
        <v>0</v>
      </c>
      <c r="G557" s="3" t="s">
        <v>10</v>
      </c>
      <c r="H557" s="3" t="s">
        <v>16</v>
      </c>
      <c r="I557" s="3" t="s">
        <v>15</v>
      </c>
      <c r="J557" s="3" t="s">
        <v>14</v>
      </c>
      <c r="K557" s="3" t="s">
        <v>14</v>
      </c>
      <c r="L557" s="3" t="s">
        <v>14</v>
      </c>
      <c r="M557" s="3" t="s">
        <v>14</v>
      </c>
      <c r="N557" s="3" t="s">
        <v>14</v>
      </c>
      <c r="O557" s="3">
        <v>1</v>
      </c>
    </row>
    <row r="558" spans="1:15" ht="15" customHeight="1" x14ac:dyDescent="0.25">
      <c r="A558" s="2">
        <v>10</v>
      </c>
      <c r="B558" s="2" t="s">
        <v>10</v>
      </c>
      <c r="C558" s="2" t="s">
        <v>19</v>
      </c>
      <c r="D558" s="2" t="s">
        <v>106</v>
      </c>
      <c r="E558" s="2">
        <v>0</v>
      </c>
      <c r="F558" s="2">
        <v>1</v>
      </c>
      <c r="G558" s="2" t="s">
        <v>10</v>
      </c>
      <c r="H558" s="2" t="s">
        <v>12</v>
      </c>
      <c r="I558" s="2">
        <v>2</v>
      </c>
      <c r="J558" s="2" t="s">
        <v>14</v>
      </c>
      <c r="K558" s="2" t="s">
        <v>14</v>
      </c>
      <c r="L558" s="2" t="s">
        <v>14</v>
      </c>
      <c r="M558" s="2" t="s">
        <v>14</v>
      </c>
      <c r="N558" s="2" t="s">
        <v>14</v>
      </c>
      <c r="O558" s="2">
        <v>1</v>
      </c>
    </row>
    <row r="559" spans="1:15" ht="15" customHeight="1" x14ac:dyDescent="0.25">
      <c r="A559" s="3">
        <v>20</v>
      </c>
      <c r="B559" s="3" t="s">
        <v>18</v>
      </c>
      <c r="C559" s="3" t="s">
        <v>20</v>
      </c>
      <c r="D559" s="2" t="s">
        <v>106</v>
      </c>
      <c r="E559" s="3">
        <v>0</v>
      </c>
      <c r="F559" s="3">
        <v>0</v>
      </c>
      <c r="G559" s="3" t="s">
        <v>10</v>
      </c>
      <c r="H559" s="3" t="s">
        <v>12</v>
      </c>
      <c r="I559" s="3" t="s">
        <v>15</v>
      </c>
      <c r="J559" s="3" t="s">
        <v>14</v>
      </c>
      <c r="K559" s="3" t="s">
        <v>14</v>
      </c>
      <c r="L559" s="3" t="s">
        <v>14</v>
      </c>
      <c r="M559" s="3" t="s">
        <v>14</v>
      </c>
      <c r="N559" s="3" t="s">
        <v>14</v>
      </c>
      <c r="O559" s="3">
        <v>1</v>
      </c>
    </row>
    <row r="560" spans="1:15" ht="15" customHeight="1" x14ac:dyDescent="0.25">
      <c r="A560" s="2">
        <v>10</v>
      </c>
      <c r="B560" s="2" t="s">
        <v>14</v>
      </c>
      <c r="C560" s="2" t="s">
        <v>20</v>
      </c>
      <c r="D560" s="2" t="s">
        <v>106</v>
      </c>
      <c r="E560" s="2">
        <v>0</v>
      </c>
      <c r="F560" s="2">
        <v>0</v>
      </c>
      <c r="G560" s="2" t="s">
        <v>10</v>
      </c>
      <c r="H560" s="2" t="s">
        <v>12</v>
      </c>
      <c r="I560" s="2">
        <v>2</v>
      </c>
      <c r="J560" s="2" t="s">
        <v>14</v>
      </c>
      <c r="K560" s="2" t="s">
        <v>14</v>
      </c>
      <c r="L560" s="2" t="s">
        <v>14</v>
      </c>
      <c r="M560" s="2" t="s">
        <v>14</v>
      </c>
      <c r="N560" s="2" t="s">
        <v>14</v>
      </c>
      <c r="O560" s="2">
        <v>1</v>
      </c>
    </row>
    <row r="561" spans="1:15" ht="15" customHeight="1" x14ac:dyDescent="0.25">
      <c r="A561" s="3">
        <v>10</v>
      </c>
      <c r="B561" s="3" t="s">
        <v>14</v>
      </c>
      <c r="C561" s="3" t="s">
        <v>20</v>
      </c>
      <c r="D561" s="2" t="s">
        <v>106</v>
      </c>
      <c r="E561" s="3">
        <v>0</v>
      </c>
      <c r="F561" s="3">
        <v>0</v>
      </c>
      <c r="G561" s="3" t="s">
        <v>10</v>
      </c>
      <c r="H561" s="3" t="s">
        <v>12</v>
      </c>
      <c r="I561" s="3">
        <v>2</v>
      </c>
      <c r="J561" s="3" t="s">
        <v>14</v>
      </c>
      <c r="K561" s="3" t="s">
        <v>14</v>
      </c>
      <c r="L561" s="3" t="s">
        <v>14</v>
      </c>
      <c r="M561" s="3" t="s">
        <v>14</v>
      </c>
      <c r="N561" s="3" t="s">
        <v>14</v>
      </c>
      <c r="O561" s="3">
        <v>1</v>
      </c>
    </row>
    <row r="562" spans="1:15" ht="15" customHeight="1" x14ac:dyDescent="0.25">
      <c r="A562" s="2">
        <v>30</v>
      </c>
      <c r="B562" s="2" t="s">
        <v>10</v>
      </c>
      <c r="C562" s="2" t="s">
        <v>19</v>
      </c>
      <c r="D562" s="2" t="s">
        <v>106</v>
      </c>
      <c r="E562" s="2">
        <v>1</v>
      </c>
      <c r="F562" s="2">
        <v>0</v>
      </c>
      <c r="G562" s="2" t="s">
        <v>10</v>
      </c>
      <c r="H562" s="2" t="s">
        <v>12</v>
      </c>
      <c r="I562" s="2">
        <v>2</v>
      </c>
      <c r="J562" s="2" t="s">
        <v>14</v>
      </c>
      <c r="K562" s="2" t="s">
        <v>14</v>
      </c>
      <c r="L562" s="2" t="s">
        <v>14</v>
      </c>
      <c r="M562" s="2" t="s">
        <v>13</v>
      </c>
      <c r="N562" s="2" t="s">
        <v>14</v>
      </c>
      <c r="O562" s="2">
        <v>0</v>
      </c>
    </row>
    <row r="563" spans="1:15" ht="15" customHeight="1" x14ac:dyDescent="0.25">
      <c r="A563" s="3">
        <v>10</v>
      </c>
      <c r="B563" s="3" t="s">
        <v>10</v>
      </c>
      <c r="C563" s="3" t="s">
        <v>19</v>
      </c>
      <c r="D563" s="2" t="s">
        <v>106</v>
      </c>
      <c r="E563" s="3">
        <v>0</v>
      </c>
      <c r="F563" s="3">
        <v>1</v>
      </c>
      <c r="G563" s="3" t="s">
        <v>17</v>
      </c>
      <c r="H563" s="3" t="s">
        <v>106</v>
      </c>
      <c r="I563" s="3">
        <v>1</v>
      </c>
      <c r="J563" s="3" t="s">
        <v>14</v>
      </c>
      <c r="K563" s="3" t="s">
        <v>13</v>
      </c>
      <c r="L563" s="3" t="s">
        <v>13</v>
      </c>
      <c r="M563" s="3" t="s">
        <v>13</v>
      </c>
      <c r="N563" s="3" t="s">
        <v>14</v>
      </c>
      <c r="O563" s="3">
        <v>1</v>
      </c>
    </row>
    <row r="564" spans="1:15" ht="15" customHeight="1" x14ac:dyDescent="0.25">
      <c r="A564" s="2">
        <v>0</v>
      </c>
      <c r="B564" s="2" t="s">
        <v>18</v>
      </c>
      <c r="C564" s="2" t="s">
        <v>19</v>
      </c>
      <c r="D564" s="2" t="s">
        <v>106</v>
      </c>
      <c r="E564" s="2">
        <v>0</v>
      </c>
      <c r="F564" s="2">
        <v>0</v>
      </c>
      <c r="G564" s="2" t="s">
        <v>10</v>
      </c>
      <c r="H564" s="2" t="s">
        <v>16</v>
      </c>
      <c r="I564" s="2" t="s">
        <v>15</v>
      </c>
      <c r="J564" s="2" t="s">
        <v>14</v>
      </c>
      <c r="K564" s="2" t="s">
        <v>13</v>
      </c>
      <c r="L564" s="2" t="s">
        <v>14</v>
      </c>
      <c r="M564" s="2" t="s">
        <v>14</v>
      </c>
      <c r="N564" s="2" t="s">
        <v>14</v>
      </c>
      <c r="O564" s="2">
        <v>1</v>
      </c>
    </row>
    <row r="565" spans="1:15" ht="15" customHeight="1" x14ac:dyDescent="0.25">
      <c r="A565" s="3">
        <v>0</v>
      </c>
      <c r="B565" s="3" t="s">
        <v>10</v>
      </c>
      <c r="C565" s="3" t="s">
        <v>19</v>
      </c>
      <c r="D565" s="2" t="s">
        <v>106</v>
      </c>
      <c r="E565" s="3">
        <v>0</v>
      </c>
      <c r="F565" s="3">
        <v>1</v>
      </c>
      <c r="G565" s="3" t="s">
        <v>10</v>
      </c>
      <c r="H565" s="3" t="s">
        <v>12</v>
      </c>
      <c r="I565" s="3">
        <v>1</v>
      </c>
      <c r="J565" s="3" t="s">
        <v>14</v>
      </c>
      <c r="K565" s="3" t="s">
        <v>14</v>
      </c>
      <c r="L565" s="3" t="s">
        <v>14</v>
      </c>
      <c r="M565" s="3" t="s">
        <v>14</v>
      </c>
      <c r="N565" s="3" t="s">
        <v>14</v>
      </c>
      <c r="O565" s="3">
        <v>1</v>
      </c>
    </row>
    <row r="566" spans="1:15" ht="15" customHeight="1" x14ac:dyDescent="0.25">
      <c r="A566" s="2">
        <v>20</v>
      </c>
      <c r="B566" s="2" t="s">
        <v>18</v>
      </c>
      <c r="C566" s="2" t="s">
        <v>20</v>
      </c>
      <c r="D566" s="2" t="s">
        <v>106</v>
      </c>
      <c r="E566" s="2">
        <v>0</v>
      </c>
      <c r="F566" s="2">
        <v>1</v>
      </c>
      <c r="G566" s="2" t="s">
        <v>10</v>
      </c>
      <c r="H566" s="2" t="s">
        <v>12</v>
      </c>
      <c r="I566" s="2" t="s">
        <v>15</v>
      </c>
      <c r="J566" s="2" t="s">
        <v>14</v>
      </c>
      <c r="K566" s="2" t="s">
        <v>14</v>
      </c>
      <c r="L566" s="2" t="s">
        <v>14</v>
      </c>
      <c r="M566" s="2" t="s">
        <v>14</v>
      </c>
      <c r="N566" s="2" t="s">
        <v>14</v>
      </c>
      <c r="O566" s="2">
        <v>1</v>
      </c>
    </row>
    <row r="567" spans="1:15" ht="15" customHeight="1" x14ac:dyDescent="0.25">
      <c r="A567" s="3">
        <v>10</v>
      </c>
      <c r="B567" s="3" t="s">
        <v>10</v>
      </c>
      <c r="C567" s="3" t="s">
        <v>19</v>
      </c>
      <c r="D567" s="2" t="s">
        <v>106</v>
      </c>
      <c r="E567" s="3">
        <v>1</v>
      </c>
      <c r="F567" s="3">
        <v>0</v>
      </c>
      <c r="G567" s="3" t="s">
        <v>17</v>
      </c>
      <c r="H567" s="3" t="s">
        <v>106</v>
      </c>
      <c r="I567" s="3">
        <v>1</v>
      </c>
      <c r="J567" s="3" t="s">
        <v>14</v>
      </c>
      <c r="K567" s="3" t="s">
        <v>13</v>
      </c>
      <c r="L567" s="3" t="s">
        <v>13</v>
      </c>
      <c r="M567" s="3" t="s">
        <v>13</v>
      </c>
      <c r="N567" s="3" t="s">
        <v>14</v>
      </c>
      <c r="O567" s="3">
        <v>0</v>
      </c>
    </row>
    <row r="568" spans="1:15" ht="15" customHeight="1" x14ac:dyDescent="0.25">
      <c r="A568" s="2">
        <v>20</v>
      </c>
      <c r="B568" s="2" t="s">
        <v>18</v>
      </c>
      <c r="C568" s="2" t="s">
        <v>20</v>
      </c>
      <c r="D568" s="2" t="s">
        <v>106</v>
      </c>
      <c r="E568" s="2">
        <v>0</v>
      </c>
      <c r="F568" s="2">
        <v>0</v>
      </c>
      <c r="G568" s="2" t="s">
        <v>10</v>
      </c>
      <c r="H568" s="2" t="s">
        <v>12</v>
      </c>
      <c r="I568" s="2">
        <v>1</v>
      </c>
      <c r="J568" s="2" t="s">
        <v>14</v>
      </c>
      <c r="K568" s="2" t="s">
        <v>14</v>
      </c>
      <c r="L568" s="2" t="s">
        <v>14</v>
      </c>
      <c r="M568" s="2" t="s">
        <v>14</v>
      </c>
      <c r="N568" s="2" t="s">
        <v>14</v>
      </c>
      <c r="O568" s="2">
        <v>1</v>
      </c>
    </row>
    <row r="569" spans="1:15" ht="15" customHeight="1" x14ac:dyDescent="0.25">
      <c r="A569" s="3">
        <v>10</v>
      </c>
      <c r="B569" s="3" t="s">
        <v>18</v>
      </c>
      <c r="C569" s="3" t="s">
        <v>20</v>
      </c>
      <c r="D569" s="2" t="s">
        <v>106</v>
      </c>
      <c r="E569" s="3">
        <v>0</v>
      </c>
      <c r="F569" s="3">
        <v>0</v>
      </c>
      <c r="G569" s="3" t="s">
        <v>10</v>
      </c>
      <c r="H569" s="3" t="s">
        <v>12</v>
      </c>
      <c r="I569" s="3">
        <v>1</v>
      </c>
      <c r="J569" s="3" t="s">
        <v>14</v>
      </c>
      <c r="K569" s="3" t="s">
        <v>14</v>
      </c>
      <c r="L569" s="3" t="s">
        <v>14</v>
      </c>
      <c r="M569" s="3" t="s">
        <v>14</v>
      </c>
      <c r="N569" s="3" t="s">
        <v>14</v>
      </c>
      <c r="O569" s="3">
        <v>1</v>
      </c>
    </row>
    <row r="570" spans="1:15" ht="15" customHeight="1" x14ac:dyDescent="0.25">
      <c r="A570" s="2">
        <v>30</v>
      </c>
      <c r="B570" s="2" t="s">
        <v>10</v>
      </c>
      <c r="C570" s="2" t="s">
        <v>11</v>
      </c>
      <c r="D570" s="2" t="s">
        <v>106</v>
      </c>
      <c r="E570" s="2">
        <v>1</v>
      </c>
      <c r="F570" s="2">
        <v>0</v>
      </c>
      <c r="G570" s="2" t="s">
        <v>10</v>
      </c>
      <c r="H570" s="2" t="s">
        <v>12</v>
      </c>
      <c r="I570" s="2" t="s">
        <v>15</v>
      </c>
      <c r="J570" s="2" t="s">
        <v>13</v>
      </c>
      <c r="K570" s="2" t="s">
        <v>14</v>
      </c>
      <c r="L570" s="2" t="s">
        <v>14</v>
      </c>
      <c r="M570" s="2" t="s">
        <v>13</v>
      </c>
      <c r="N570" s="2" t="s">
        <v>14</v>
      </c>
      <c r="O570" s="2">
        <v>0</v>
      </c>
    </row>
    <row r="571" spans="1:15" ht="15" customHeight="1" x14ac:dyDescent="0.25">
      <c r="A571" s="3">
        <v>10</v>
      </c>
      <c r="B571" s="3" t="s">
        <v>10</v>
      </c>
      <c r="C571" s="3" t="s">
        <v>20</v>
      </c>
      <c r="D571" s="2" t="s">
        <v>106</v>
      </c>
      <c r="E571" s="3">
        <v>0</v>
      </c>
      <c r="F571" s="3">
        <v>0</v>
      </c>
      <c r="G571" s="3" t="s">
        <v>10</v>
      </c>
      <c r="H571" s="3" t="s">
        <v>16</v>
      </c>
      <c r="I571" s="3">
        <v>1</v>
      </c>
      <c r="J571" s="3" t="s">
        <v>14</v>
      </c>
      <c r="K571" s="3" t="s">
        <v>14</v>
      </c>
      <c r="L571" s="3" t="s">
        <v>14</v>
      </c>
      <c r="M571" s="3" t="s">
        <v>14</v>
      </c>
      <c r="N571" s="3" t="s">
        <v>14</v>
      </c>
      <c r="O571" s="3">
        <v>1</v>
      </c>
    </row>
    <row r="572" spans="1:15" ht="15" customHeight="1" x14ac:dyDescent="0.25">
      <c r="A572" s="2">
        <v>10</v>
      </c>
      <c r="B572" s="2" t="s">
        <v>10</v>
      </c>
      <c r="C572" s="2" t="s">
        <v>20</v>
      </c>
      <c r="D572" s="2" t="s">
        <v>106</v>
      </c>
      <c r="E572" s="2">
        <v>0</v>
      </c>
      <c r="F572" s="2">
        <v>0</v>
      </c>
      <c r="G572" s="2" t="s">
        <v>10</v>
      </c>
      <c r="H572" s="2" t="s">
        <v>12</v>
      </c>
      <c r="I572" s="2" t="s">
        <v>15</v>
      </c>
      <c r="J572" s="2" t="s">
        <v>14</v>
      </c>
      <c r="K572" s="2" t="s">
        <v>14</v>
      </c>
      <c r="L572" s="2" t="s">
        <v>14</v>
      </c>
      <c r="M572" s="2" t="s">
        <v>14</v>
      </c>
      <c r="N572" s="2" t="s">
        <v>14</v>
      </c>
      <c r="O572" s="2">
        <v>1</v>
      </c>
    </row>
    <row r="573" spans="1:15" ht="15" customHeight="1" x14ac:dyDescent="0.25">
      <c r="A573" s="3">
        <v>5</v>
      </c>
      <c r="B573" s="3" t="s">
        <v>18</v>
      </c>
      <c r="C573" s="3" t="s">
        <v>20</v>
      </c>
      <c r="D573" s="2" t="s">
        <v>106</v>
      </c>
      <c r="E573" s="3">
        <v>0</v>
      </c>
      <c r="F573" s="3">
        <v>0</v>
      </c>
      <c r="G573" s="3" t="s">
        <v>10</v>
      </c>
      <c r="H573" s="3" t="s">
        <v>12</v>
      </c>
      <c r="I573" s="3" t="s">
        <v>15</v>
      </c>
      <c r="J573" s="3" t="s">
        <v>14</v>
      </c>
      <c r="K573" s="3" t="s">
        <v>14</v>
      </c>
      <c r="L573" s="3" t="s">
        <v>14</v>
      </c>
      <c r="M573" s="3" t="s">
        <v>14</v>
      </c>
      <c r="N573" s="3" t="s">
        <v>14</v>
      </c>
      <c r="O573" s="3">
        <v>1</v>
      </c>
    </row>
    <row r="574" spans="1:15" ht="15" customHeight="1" x14ac:dyDescent="0.25">
      <c r="A574" s="2">
        <v>30</v>
      </c>
      <c r="B574" s="2" t="s">
        <v>14</v>
      </c>
      <c r="C574" s="2" t="s">
        <v>20</v>
      </c>
      <c r="D574" s="2" t="s">
        <v>106</v>
      </c>
      <c r="E574" s="2">
        <v>0</v>
      </c>
      <c r="F574" s="2">
        <v>0</v>
      </c>
      <c r="G574" s="2" t="s">
        <v>10</v>
      </c>
      <c r="H574" s="2" t="s">
        <v>12</v>
      </c>
      <c r="I574" s="2" t="s">
        <v>15</v>
      </c>
      <c r="J574" s="2" t="s">
        <v>14</v>
      </c>
      <c r="K574" s="2" t="s">
        <v>14</v>
      </c>
      <c r="L574" s="2" t="s">
        <v>14</v>
      </c>
      <c r="M574" s="2" t="s">
        <v>14</v>
      </c>
      <c r="N574" s="2" t="s">
        <v>14</v>
      </c>
      <c r="O574" s="2">
        <v>1</v>
      </c>
    </row>
    <row r="575" spans="1:15" ht="15" customHeight="1" x14ac:dyDescent="0.25">
      <c r="A575" s="3">
        <v>5</v>
      </c>
      <c r="B575" s="3" t="s">
        <v>10</v>
      </c>
      <c r="C575" s="3" t="s">
        <v>20</v>
      </c>
      <c r="D575" s="2" t="s">
        <v>106</v>
      </c>
      <c r="E575" s="3">
        <v>0</v>
      </c>
      <c r="F575" s="3">
        <v>0</v>
      </c>
      <c r="G575" s="3" t="s">
        <v>10</v>
      </c>
      <c r="H575" s="3" t="s">
        <v>12</v>
      </c>
      <c r="I575" s="3">
        <v>2</v>
      </c>
      <c r="J575" s="3" t="s">
        <v>14</v>
      </c>
      <c r="K575" s="3" t="s">
        <v>14</v>
      </c>
      <c r="L575" s="3" t="s">
        <v>14</v>
      </c>
      <c r="M575" s="3" t="s">
        <v>14</v>
      </c>
      <c r="N575" s="3" t="s">
        <v>14</v>
      </c>
      <c r="O575" s="3">
        <v>1</v>
      </c>
    </row>
    <row r="576" spans="1:15" ht="15" customHeight="1" x14ac:dyDescent="0.25">
      <c r="A576" s="2">
        <v>5</v>
      </c>
      <c r="B576" s="2" t="s">
        <v>14</v>
      </c>
      <c r="C576" s="2" t="s">
        <v>20</v>
      </c>
      <c r="D576" s="2" t="s">
        <v>106</v>
      </c>
      <c r="E576" s="2">
        <v>0</v>
      </c>
      <c r="F576" s="2">
        <v>0</v>
      </c>
      <c r="G576" s="2" t="s">
        <v>10</v>
      </c>
      <c r="H576" s="2" t="s">
        <v>12</v>
      </c>
      <c r="I576" s="2">
        <v>2</v>
      </c>
      <c r="J576" s="2" t="s">
        <v>14</v>
      </c>
      <c r="K576" s="2" t="s">
        <v>14</v>
      </c>
      <c r="L576" s="2" t="s">
        <v>14</v>
      </c>
      <c r="M576" s="2" t="s">
        <v>14</v>
      </c>
      <c r="N576" s="2" t="s">
        <v>14</v>
      </c>
      <c r="O576" s="2">
        <v>1</v>
      </c>
    </row>
    <row r="577" spans="1:16" ht="15" customHeight="1" x14ac:dyDescent="0.25">
      <c r="A577" s="3">
        <v>5</v>
      </c>
      <c r="B577" s="3" t="s">
        <v>10</v>
      </c>
      <c r="C577" s="3" t="s">
        <v>20</v>
      </c>
      <c r="D577" s="2" t="s">
        <v>106</v>
      </c>
      <c r="E577" s="3">
        <v>0</v>
      </c>
      <c r="F577" s="3">
        <v>0</v>
      </c>
      <c r="G577" s="3" t="s">
        <v>10</v>
      </c>
      <c r="H577" s="3" t="s">
        <v>12</v>
      </c>
      <c r="I577" s="3">
        <v>2</v>
      </c>
      <c r="J577" s="3" t="s">
        <v>14</v>
      </c>
      <c r="K577" s="3" t="s">
        <v>14</v>
      </c>
      <c r="L577" s="3" t="s">
        <v>14</v>
      </c>
      <c r="M577" s="3" t="s">
        <v>14</v>
      </c>
      <c r="N577" s="3" t="s">
        <v>14</v>
      </c>
      <c r="O577" s="3">
        <v>1</v>
      </c>
    </row>
    <row r="578" spans="1:16" ht="15" customHeight="1" x14ac:dyDescent="0.25">
      <c r="A578" s="2">
        <v>5</v>
      </c>
      <c r="B578" s="2" t="s">
        <v>14</v>
      </c>
      <c r="C578" s="2" t="s">
        <v>20</v>
      </c>
      <c r="D578" s="2" t="s">
        <v>106</v>
      </c>
      <c r="E578" s="2">
        <v>0</v>
      </c>
      <c r="F578" s="2">
        <v>0</v>
      </c>
      <c r="G578" s="2" t="s">
        <v>10</v>
      </c>
      <c r="H578" s="2" t="s">
        <v>12</v>
      </c>
      <c r="I578" s="2">
        <v>2</v>
      </c>
      <c r="J578" s="2" t="s">
        <v>14</v>
      </c>
      <c r="K578" s="2" t="s">
        <v>14</v>
      </c>
      <c r="L578" s="2" t="s">
        <v>14</v>
      </c>
      <c r="M578" s="2" t="s">
        <v>14</v>
      </c>
      <c r="N578" s="2" t="s">
        <v>14</v>
      </c>
      <c r="O578" s="2">
        <v>1</v>
      </c>
    </row>
    <row r="579" spans="1:16" ht="15" customHeight="1" x14ac:dyDescent="0.25">
      <c r="A579" s="3">
        <v>10</v>
      </c>
      <c r="B579" s="3" t="s">
        <v>10</v>
      </c>
      <c r="C579" s="3" t="s">
        <v>19</v>
      </c>
      <c r="D579" s="2" t="s">
        <v>106</v>
      </c>
      <c r="E579" s="3">
        <v>0</v>
      </c>
      <c r="F579" s="3">
        <v>1</v>
      </c>
      <c r="G579" s="3" t="s">
        <v>10</v>
      </c>
      <c r="H579" s="3" t="s">
        <v>16</v>
      </c>
      <c r="I579" s="3">
        <v>2</v>
      </c>
      <c r="J579" s="3" t="s">
        <v>14</v>
      </c>
      <c r="K579" s="3" t="s">
        <v>14</v>
      </c>
      <c r="L579" s="3" t="s">
        <v>14</v>
      </c>
      <c r="M579" s="3" t="s">
        <v>14</v>
      </c>
      <c r="N579" s="3" t="s">
        <v>14</v>
      </c>
      <c r="O579" s="3">
        <v>1</v>
      </c>
    </row>
    <row r="580" spans="1:16" ht="15" customHeight="1" x14ac:dyDescent="0.25">
      <c r="A580" s="2">
        <v>10</v>
      </c>
      <c r="B580" s="2" t="s">
        <v>18</v>
      </c>
      <c r="C580" s="2" t="s">
        <v>19</v>
      </c>
      <c r="D580" s="2" t="s">
        <v>106</v>
      </c>
      <c r="E580" s="2">
        <v>0</v>
      </c>
      <c r="F580" s="2">
        <v>0</v>
      </c>
      <c r="G580" s="2" t="s">
        <v>10</v>
      </c>
      <c r="H580" s="2" t="s">
        <v>12</v>
      </c>
      <c r="I580" s="2">
        <v>1</v>
      </c>
      <c r="J580" s="2" t="s">
        <v>14</v>
      </c>
      <c r="K580" s="2" t="s">
        <v>14</v>
      </c>
      <c r="L580" s="2" t="s">
        <v>14</v>
      </c>
      <c r="M580" s="2" t="s">
        <v>14</v>
      </c>
      <c r="N580" s="2" t="s">
        <v>14</v>
      </c>
      <c r="O580" s="2">
        <v>1</v>
      </c>
    </row>
    <row r="581" spans="1:16" ht="15" customHeight="1" x14ac:dyDescent="0.25">
      <c r="A581" s="3">
        <v>10</v>
      </c>
      <c r="B581" s="3" t="s">
        <v>10</v>
      </c>
      <c r="C581" s="3" t="s">
        <v>19</v>
      </c>
      <c r="D581" s="2" t="s">
        <v>106</v>
      </c>
      <c r="E581" s="3">
        <v>0</v>
      </c>
      <c r="F581" s="3">
        <v>0</v>
      </c>
      <c r="G581" s="3" t="s">
        <v>10</v>
      </c>
      <c r="H581" s="3" t="s">
        <v>16</v>
      </c>
      <c r="I581" s="3" t="s">
        <v>15</v>
      </c>
      <c r="J581" s="3" t="s">
        <v>14</v>
      </c>
      <c r="K581" s="3" t="s">
        <v>14</v>
      </c>
      <c r="L581" s="3" t="s">
        <v>14</v>
      </c>
      <c r="M581" s="3" t="s">
        <v>14</v>
      </c>
      <c r="N581" s="3" t="s">
        <v>14</v>
      </c>
      <c r="O581" s="3">
        <v>1</v>
      </c>
    </row>
    <row r="582" spans="1:16" ht="15" customHeight="1" x14ac:dyDescent="0.25">
      <c r="A582" s="2">
        <v>10</v>
      </c>
      <c r="B582" s="2" t="s">
        <v>10</v>
      </c>
      <c r="C582" s="2" t="s">
        <v>19</v>
      </c>
      <c r="D582" s="2" t="s">
        <v>106</v>
      </c>
      <c r="E582" s="2">
        <v>1</v>
      </c>
      <c r="F582" s="2">
        <v>0</v>
      </c>
      <c r="G582" s="2" t="s">
        <v>10</v>
      </c>
      <c r="H582" s="2" t="s">
        <v>12</v>
      </c>
      <c r="I582" s="2">
        <v>1</v>
      </c>
      <c r="J582" s="2" t="s">
        <v>14</v>
      </c>
      <c r="K582" s="2" t="s">
        <v>14</v>
      </c>
      <c r="L582" s="2" t="s">
        <v>14</v>
      </c>
      <c r="M582" s="2" t="s">
        <v>14</v>
      </c>
      <c r="N582" s="2" t="s">
        <v>14</v>
      </c>
      <c r="O582" s="2">
        <v>1</v>
      </c>
    </row>
    <row r="583" spans="1:16" ht="15" customHeight="1" x14ac:dyDescent="0.25">
      <c r="A583" s="3">
        <v>10</v>
      </c>
      <c r="B583" s="3" t="s">
        <v>10</v>
      </c>
      <c r="C583" s="3" t="s">
        <v>19</v>
      </c>
      <c r="D583" s="2" t="s">
        <v>106</v>
      </c>
      <c r="E583" s="3">
        <v>0</v>
      </c>
      <c r="F583" s="3">
        <v>0</v>
      </c>
      <c r="G583" s="3" t="s">
        <v>10</v>
      </c>
      <c r="H583" s="3" t="s">
        <v>12</v>
      </c>
      <c r="I583" s="3">
        <v>2</v>
      </c>
      <c r="J583" s="3" t="s">
        <v>14</v>
      </c>
      <c r="K583" s="3" t="s">
        <v>14</v>
      </c>
      <c r="L583" s="3" t="s">
        <v>14</v>
      </c>
      <c r="M583" s="3" t="s">
        <v>14</v>
      </c>
      <c r="N583" s="3" t="s">
        <v>14</v>
      </c>
      <c r="O583" s="3">
        <v>1</v>
      </c>
    </row>
    <row r="584" spans="1:16" ht="15" customHeight="1" x14ac:dyDescent="0.25">
      <c r="A584" s="2">
        <v>5</v>
      </c>
      <c r="B584" s="2" t="s">
        <v>10</v>
      </c>
      <c r="C584" s="2" t="s">
        <v>11</v>
      </c>
      <c r="D584" s="2" t="s">
        <v>106</v>
      </c>
      <c r="E584" s="2">
        <v>0</v>
      </c>
      <c r="F584" s="2">
        <v>1</v>
      </c>
      <c r="G584" s="2" t="s">
        <v>10</v>
      </c>
      <c r="H584" s="2" t="s">
        <v>12</v>
      </c>
      <c r="I584" s="2" t="s">
        <v>15</v>
      </c>
      <c r="J584" s="2" t="s">
        <v>13</v>
      </c>
      <c r="K584" s="2" t="s">
        <v>14</v>
      </c>
      <c r="L584" s="2" t="s">
        <v>14</v>
      </c>
      <c r="M584" s="2" t="s">
        <v>14</v>
      </c>
      <c r="N584" s="2" t="s">
        <v>14</v>
      </c>
      <c r="O584" s="2">
        <v>0</v>
      </c>
    </row>
    <row r="585" spans="1:16" ht="15" customHeight="1" x14ac:dyDescent="0.25">
      <c r="A585" s="3">
        <v>10</v>
      </c>
      <c r="B585" s="3" t="s">
        <v>10</v>
      </c>
      <c r="C585" s="3" t="s">
        <v>19</v>
      </c>
      <c r="D585" s="2" t="s">
        <v>106</v>
      </c>
      <c r="E585" s="3">
        <v>0</v>
      </c>
      <c r="F585" s="3">
        <v>0</v>
      </c>
      <c r="G585" s="3" t="s">
        <v>10</v>
      </c>
      <c r="H585" s="3" t="s">
        <v>12</v>
      </c>
      <c r="I585" s="3">
        <v>1</v>
      </c>
      <c r="J585" s="3" t="s">
        <v>14</v>
      </c>
      <c r="K585" s="3" t="s">
        <v>14</v>
      </c>
      <c r="L585" s="3" t="s">
        <v>14</v>
      </c>
      <c r="M585" s="3" t="s">
        <v>14</v>
      </c>
      <c r="N585" s="3" t="s">
        <v>14</v>
      </c>
      <c r="O585" s="3">
        <v>1</v>
      </c>
    </row>
    <row r="586" spans="1:16" ht="15" customHeight="1" x14ac:dyDescent="0.25">
      <c r="A586" s="2">
        <v>5</v>
      </c>
      <c r="B586" s="2" t="s">
        <v>18</v>
      </c>
      <c r="C586" s="2" t="s">
        <v>19</v>
      </c>
      <c r="D586" s="2" t="s">
        <v>106</v>
      </c>
      <c r="E586" s="2">
        <v>0</v>
      </c>
      <c r="F586" s="2">
        <v>1</v>
      </c>
      <c r="G586" s="2" t="s">
        <v>10</v>
      </c>
      <c r="H586" s="2" t="s">
        <v>16</v>
      </c>
      <c r="I586" s="2" t="s">
        <v>15</v>
      </c>
      <c r="J586" s="2" t="s">
        <v>14</v>
      </c>
      <c r="K586" s="2" t="s">
        <v>14</v>
      </c>
      <c r="L586" s="2" t="s">
        <v>14</v>
      </c>
      <c r="M586" s="2" t="s">
        <v>14</v>
      </c>
      <c r="N586" s="2" t="s">
        <v>14</v>
      </c>
      <c r="O586" s="2">
        <v>1</v>
      </c>
    </row>
    <row r="587" spans="1:16" ht="15" customHeight="1" x14ac:dyDescent="0.25">
      <c r="A587" s="3">
        <v>10</v>
      </c>
      <c r="B587" s="3" t="s">
        <v>10</v>
      </c>
      <c r="C587" s="3" t="s">
        <v>19</v>
      </c>
      <c r="D587" s="2" t="s">
        <v>106</v>
      </c>
      <c r="E587" s="3">
        <v>1</v>
      </c>
      <c r="F587" s="3">
        <v>0</v>
      </c>
      <c r="G587" s="3" t="s">
        <v>10</v>
      </c>
      <c r="H587" s="3" t="s">
        <v>16</v>
      </c>
      <c r="I587" s="3">
        <v>1</v>
      </c>
      <c r="J587" s="3" t="s">
        <v>14</v>
      </c>
      <c r="K587" s="3" t="s">
        <v>14</v>
      </c>
      <c r="L587" s="3" t="s">
        <v>14</v>
      </c>
      <c r="M587" s="3" t="s">
        <v>13</v>
      </c>
      <c r="N587" s="3" t="s">
        <v>14</v>
      </c>
      <c r="O587" s="3">
        <v>0</v>
      </c>
    </row>
    <row r="588" spans="1:16" ht="15" customHeight="1" x14ac:dyDescent="0.25">
      <c r="A588" s="2">
        <v>5</v>
      </c>
      <c r="B588" s="2" t="s">
        <v>10</v>
      </c>
      <c r="C588" s="2" t="s">
        <v>19</v>
      </c>
      <c r="D588" s="2" t="s">
        <v>106</v>
      </c>
      <c r="E588" s="2">
        <v>0</v>
      </c>
      <c r="F588" s="2">
        <v>0</v>
      </c>
      <c r="G588" s="2" t="s">
        <v>10</v>
      </c>
      <c r="H588" s="2" t="s">
        <v>16</v>
      </c>
      <c r="I588" s="2">
        <v>1</v>
      </c>
      <c r="J588" s="2" t="s">
        <v>14</v>
      </c>
      <c r="K588" s="2" t="s">
        <v>14</v>
      </c>
      <c r="L588" s="2" t="s">
        <v>14</v>
      </c>
      <c r="M588" s="2" t="s">
        <v>14</v>
      </c>
      <c r="N588" s="2" t="s">
        <v>14</v>
      </c>
      <c r="O588" s="2">
        <v>1</v>
      </c>
    </row>
    <row r="589" spans="1:16" ht="15" customHeight="1" x14ac:dyDescent="0.25">
      <c r="A589" s="3">
        <v>10</v>
      </c>
      <c r="B589" s="3" t="s">
        <v>14</v>
      </c>
      <c r="C589" s="3" t="s">
        <v>19</v>
      </c>
      <c r="D589" s="2" t="s">
        <v>106</v>
      </c>
      <c r="E589" s="3">
        <v>0</v>
      </c>
      <c r="F589" s="3">
        <v>0</v>
      </c>
      <c r="G589" s="3" t="s">
        <v>10</v>
      </c>
      <c r="H589" s="3" t="s">
        <v>12</v>
      </c>
      <c r="I589" s="3">
        <v>2</v>
      </c>
      <c r="J589" s="3" t="s">
        <v>14</v>
      </c>
      <c r="K589" s="3" t="s">
        <v>14</v>
      </c>
      <c r="L589" s="3" t="s">
        <v>14</v>
      </c>
      <c r="M589" s="3" t="s">
        <v>14</v>
      </c>
      <c r="N589" s="3" t="s">
        <v>14</v>
      </c>
      <c r="O589" s="3">
        <v>1</v>
      </c>
      <c r="P589" s="24"/>
    </row>
    <row r="590" spans="1:16" ht="15" customHeight="1" x14ac:dyDescent="0.25">
      <c r="A590" s="2">
        <v>30</v>
      </c>
      <c r="B590" s="2" t="s">
        <v>10</v>
      </c>
      <c r="C590" s="2" t="s">
        <v>11</v>
      </c>
      <c r="D590" s="2" t="s">
        <v>106</v>
      </c>
      <c r="E590" s="2">
        <v>1</v>
      </c>
      <c r="F590" s="2">
        <v>0</v>
      </c>
      <c r="G590" s="2" t="s">
        <v>10</v>
      </c>
      <c r="H590" s="2" t="s">
        <v>12</v>
      </c>
      <c r="I590" s="2">
        <v>2</v>
      </c>
      <c r="J590" s="2" t="s">
        <v>14</v>
      </c>
      <c r="K590" s="2" t="s">
        <v>14</v>
      </c>
      <c r="L590" s="2" t="s">
        <v>14</v>
      </c>
      <c r="M590" s="2" t="s">
        <v>13</v>
      </c>
      <c r="N590" s="2" t="s">
        <v>14</v>
      </c>
      <c r="O590" s="2">
        <v>0</v>
      </c>
    </row>
    <row r="591" spans="1:16" ht="15" customHeight="1" x14ac:dyDescent="0.25">
      <c r="A591" s="3">
        <v>10</v>
      </c>
      <c r="B591" s="3" t="s">
        <v>10</v>
      </c>
      <c r="C591" s="3" t="s">
        <v>19</v>
      </c>
      <c r="D591" s="2" t="s">
        <v>106</v>
      </c>
      <c r="E591" s="3">
        <v>0</v>
      </c>
      <c r="F591" s="3">
        <v>0</v>
      </c>
      <c r="G591" s="3" t="s">
        <v>17</v>
      </c>
      <c r="H591" s="3" t="s">
        <v>106</v>
      </c>
      <c r="I591" s="3">
        <v>1</v>
      </c>
      <c r="J591" s="3" t="s">
        <v>14</v>
      </c>
      <c r="K591" s="3" t="s">
        <v>13</v>
      </c>
      <c r="L591" s="3" t="s">
        <v>13</v>
      </c>
      <c r="M591" s="3" t="s">
        <v>13</v>
      </c>
      <c r="N591" s="3" t="s">
        <v>14</v>
      </c>
      <c r="O591" s="3">
        <v>1</v>
      </c>
    </row>
    <row r="592" spans="1:16" ht="15" customHeight="1" x14ac:dyDescent="0.25">
      <c r="A592" s="2">
        <v>20</v>
      </c>
      <c r="B592" s="2" t="s">
        <v>10</v>
      </c>
      <c r="C592" s="2" t="s">
        <v>19</v>
      </c>
      <c r="D592" s="2" t="s">
        <v>106</v>
      </c>
      <c r="E592" s="2">
        <v>0</v>
      </c>
      <c r="F592" s="2">
        <v>1</v>
      </c>
      <c r="G592" s="2" t="s">
        <v>10</v>
      </c>
      <c r="H592" s="2" t="s">
        <v>16</v>
      </c>
      <c r="I592" s="2">
        <v>1</v>
      </c>
      <c r="J592" s="2" t="s">
        <v>14</v>
      </c>
      <c r="K592" s="2" t="s">
        <v>14</v>
      </c>
      <c r="L592" s="2" t="s">
        <v>14</v>
      </c>
      <c r="M592" s="2" t="s">
        <v>13</v>
      </c>
      <c r="N592" s="2" t="s">
        <v>14</v>
      </c>
      <c r="O592" s="2">
        <v>0</v>
      </c>
    </row>
    <row r="593" spans="1:15" ht="15" customHeight="1" x14ac:dyDescent="0.25">
      <c r="A593" s="3">
        <v>0</v>
      </c>
      <c r="B593" s="3" t="s">
        <v>10</v>
      </c>
      <c r="C593" s="3" t="s">
        <v>19</v>
      </c>
      <c r="D593" s="2" t="s">
        <v>106</v>
      </c>
      <c r="E593" s="3">
        <v>0</v>
      </c>
      <c r="F593" s="3">
        <v>1</v>
      </c>
      <c r="G593" s="3" t="s">
        <v>17</v>
      </c>
      <c r="H593" s="3" t="s">
        <v>106</v>
      </c>
      <c r="I593" s="3">
        <v>1</v>
      </c>
      <c r="J593" s="3" t="s">
        <v>14</v>
      </c>
      <c r="K593" s="3" t="s">
        <v>13</v>
      </c>
      <c r="L593" s="3" t="s">
        <v>13</v>
      </c>
      <c r="M593" s="3" t="s">
        <v>13</v>
      </c>
      <c r="N593" s="3" t="s">
        <v>14</v>
      </c>
      <c r="O593" s="3">
        <v>1</v>
      </c>
    </row>
    <row r="594" spans="1:15" ht="15" customHeight="1" x14ac:dyDescent="0.25">
      <c r="A594" s="2">
        <v>10</v>
      </c>
      <c r="B594" s="2" t="s">
        <v>10</v>
      </c>
      <c r="C594" s="2" t="s">
        <v>11</v>
      </c>
      <c r="D594" s="2" t="s">
        <v>106</v>
      </c>
      <c r="E594" s="2">
        <v>1</v>
      </c>
      <c r="F594" s="2">
        <v>0</v>
      </c>
      <c r="G594" s="2" t="s">
        <v>10</v>
      </c>
      <c r="H594" s="2" t="s">
        <v>12</v>
      </c>
      <c r="I594" s="2">
        <v>2</v>
      </c>
      <c r="J594" s="2" t="s">
        <v>14</v>
      </c>
      <c r="K594" s="2" t="s">
        <v>13</v>
      </c>
      <c r="L594" s="2" t="s">
        <v>13</v>
      </c>
      <c r="M594" s="2" t="s">
        <v>13</v>
      </c>
      <c r="N594" s="2" t="s">
        <v>14</v>
      </c>
      <c r="O594" s="2">
        <v>0</v>
      </c>
    </row>
    <row r="595" spans="1:15" ht="15" customHeight="1" x14ac:dyDescent="0.25">
      <c r="A595" s="3">
        <v>5</v>
      </c>
      <c r="B595" s="3" t="s">
        <v>10</v>
      </c>
      <c r="C595" s="3" t="s">
        <v>19</v>
      </c>
      <c r="D595" s="2" t="s">
        <v>106</v>
      </c>
      <c r="E595" s="3">
        <v>0</v>
      </c>
      <c r="F595" s="3">
        <v>0</v>
      </c>
      <c r="G595" s="3" t="s">
        <v>10</v>
      </c>
      <c r="H595" s="3" t="s">
        <v>12</v>
      </c>
      <c r="I595" s="3">
        <v>1</v>
      </c>
      <c r="J595" s="3" t="s">
        <v>14</v>
      </c>
      <c r="K595" s="3" t="s">
        <v>13</v>
      </c>
      <c r="L595" s="3" t="s">
        <v>13</v>
      </c>
      <c r="M595" s="3" t="s">
        <v>14</v>
      </c>
      <c r="N595" s="3" t="s">
        <v>14</v>
      </c>
      <c r="O595" s="3">
        <v>1</v>
      </c>
    </row>
    <row r="596" spans="1:15" ht="15" customHeight="1" x14ac:dyDescent="0.25">
      <c r="A596" s="2">
        <v>0</v>
      </c>
      <c r="B596" s="2" t="s">
        <v>14</v>
      </c>
      <c r="C596" s="2" t="s">
        <v>19</v>
      </c>
      <c r="D596" s="2" t="s">
        <v>106</v>
      </c>
      <c r="E596" s="2">
        <v>0</v>
      </c>
      <c r="F596" s="2">
        <v>0</v>
      </c>
      <c r="G596" s="2" t="s">
        <v>10</v>
      </c>
      <c r="H596" s="2" t="s">
        <v>12</v>
      </c>
      <c r="I596" s="2">
        <v>1</v>
      </c>
      <c r="J596" s="2" t="s">
        <v>14</v>
      </c>
      <c r="K596" s="2" t="s">
        <v>14</v>
      </c>
      <c r="L596" s="2" t="s">
        <v>14</v>
      </c>
      <c r="M596" s="2" t="s">
        <v>14</v>
      </c>
      <c r="N596" s="2" t="s">
        <v>14</v>
      </c>
      <c r="O596" s="2">
        <v>1</v>
      </c>
    </row>
    <row r="597" spans="1:15" ht="15" customHeight="1" x14ac:dyDescent="0.25">
      <c r="A597" s="3">
        <v>5</v>
      </c>
      <c r="B597" s="3" t="s">
        <v>18</v>
      </c>
      <c r="C597" s="3" t="s">
        <v>19</v>
      </c>
      <c r="D597" s="2" t="s">
        <v>106</v>
      </c>
      <c r="E597" s="3">
        <v>0</v>
      </c>
      <c r="F597" s="3">
        <v>0</v>
      </c>
      <c r="G597" s="3" t="s">
        <v>10</v>
      </c>
      <c r="H597" s="3" t="s">
        <v>12</v>
      </c>
      <c r="I597" s="3">
        <v>2</v>
      </c>
      <c r="J597" s="3" t="s">
        <v>14</v>
      </c>
      <c r="K597" s="3" t="s">
        <v>14</v>
      </c>
      <c r="L597" s="3" t="s">
        <v>14</v>
      </c>
      <c r="M597" s="3" t="s">
        <v>14</v>
      </c>
      <c r="N597" s="3" t="s">
        <v>14</v>
      </c>
      <c r="O597" s="3">
        <v>1</v>
      </c>
    </row>
    <row r="598" spans="1:15" ht="15" customHeight="1" x14ac:dyDescent="0.25">
      <c r="A598" s="2">
        <v>10</v>
      </c>
      <c r="B598" s="2" t="s">
        <v>14</v>
      </c>
      <c r="C598" s="2" t="s">
        <v>20</v>
      </c>
      <c r="D598" s="2" t="s">
        <v>106</v>
      </c>
      <c r="E598" s="2">
        <v>0</v>
      </c>
      <c r="F598" s="2">
        <v>0</v>
      </c>
      <c r="G598" s="2" t="s">
        <v>10</v>
      </c>
      <c r="H598" s="2" t="s">
        <v>12</v>
      </c>
      <c r="I598" s="2">
        <v>1</v>
      </c>
      <c r="J598" s="2" t="s">
        <v>14</v>
      </c>
      <c r="K598" s="2" t="s">
        <v>14</v>
      </c>
      <c r="L598" s="2" t="s">
        <v>14</v>
      </c>
      <c r="M598" s="2" t="s">
        <v>14</v>
      </c>
      <c r="N598" s="2" t="s">
        <v>14</v>
      </c>
      <c r="O598" s="2">
        <v>1</v>
      </c>
    </row>
    <row r="599" spans="1:15" ht="15" customHeight="1" x14ac:dyDescent="0.25">
      <c r="A599" s="3">
        <v>10</v>
      </c>
      <c r="B599" s="3" t="s">
        <v>10</v>
      </c>
      <c r="C599" s="3" t="s">
        <v>19</v>
      </c>
      <c r="D599" s="2" t="s">
        <v>106</v>
      </c>
      <c r="E599" s="3">
        <v>0</v>
      </c>
      <c r="F599" s="3">
        <v>0</v>
      </c>
      <c r="G599" s="3" t="s">
        <v>10</v>
      </c>
      <c r="H599" s="3" t="s">
        <v>12</v>
      </c>
      <c r="I599" s="3" t="s">
        <v>15</v>
      </c>
      <c r="J599" s="3" t="s">
        <v>14</v>
      </c>
      <c r="K599" s="3" t="s">
        <v>14</v>
      </c>
      <c r="L599" s="3" t="s">
        <v>14</v>
      </c>
      <c r="M599" s="3" t="s">
        <v>14</v>
      </c>
      <c r="N599" s="3" t="s">
        <v>14</v>
      </c>
      <c r="O599" s="3">
        <v>1</v>
      </c>
    </row>
    <row r="600" spans="1:15" ht="15" customHeight="1" x14ac:dyDescent="0.25">
      <c r="A600" s="2">
        <v>10</v>
      </c>
      <c r="B600" s="2" t="s">
        <v>18</v>
      </c>
      <c r="C600" s="2" t="s">
        <v>19</v>
      </c>
      <c r="D600" s="2" t="s">
        <v>106</v>
      </c>
      <c r="E600" s="2">
        <v>0</v>
      </c>
      <c r="F600" s="2">
        <v>0</v>
      </c>
      <c r="G600" s="2" t="s">
        <v>10</v>
      </c>
      <c r="H600" s="2" t="s">
        <v>12</v>
      </c>
      <c r="I600" s="2" t="s">
        <v>15</v>
      </c>
      <c r="J600" s="2" t="s">
        <v>14</v>
      </c>
      <c r="K600" s="2" t="s">
        <v>14</v>
      </c>
      <c r="L600" s="2" t="s">
        <v>14</v>
      </c>
      <c r="M600" s="2" t="s">
        <v>14</v>
      </c>
      <c r="N600" s="2" t="s">
        <v>14</v>
      </c>
      <c r="O600" s="2">
        <v>1</v>
      </c>
    </row>
    <row r="601" spans="1:15" ht="15" customHeight="1" x14ac:dyDescent="0.25">
      <c r="A601" s="3">
        <v>5</v>
      </c>
      <c r="B601" s="3" t="s">
        <v>10</v>
      </c>
      <c r="C601" s="3" t="s">
        <v>19</v>
      </c>
      <c r="D601" s="2" t="s">
        <v>106</v>
      </c>
      <c r="E601" s="3">
        <v>0</v>
      </c>
      <c r="F601" s="3">
        <v>0</v>
      </c>
      <c r="G601" s="3" t="s">
        <v>10</v>
      </c>
      <c r="H601" s="3" t="s">
        <v>12</v>
      </c>
      <c r="I601" s="3" t="s">
        <v>15</v>
      </c>
      <c r="J601" s="3" t="s">
        <v>14</v>
      </c>
      <c r="K601" s="3" t="s">
        <v>14</v>
      </c>
      <c r="L601" s="3" t="s">
        <v>14</v>
      </c>
      <c r="M601" s="3" t="s">
        <v>14</v>
      </c>
      <c r="N601" s="3" t="s">
        <v>14</v>
      </c>
      <c r="O601" s="3">
        <v>1</v>
      </c>
    </row>
    <row r="602" spans="1:15" ht="15" customHeight="1" x14ac:dyDescent="0.25">
      <c r="A602" s="2">
        <v>5</v>
      </c>
      <c r="B602" s="2" t="s">
        <v>18</v>
      </c>
      <c r="C602" s="2" t="s">
        <v>19</v>
      </c>
      <c r="D602" s="2" t="s">
        <v>106</v>
      </c>
      <c r="E602" s="2">
        <v>0</v>
      </c>
      <c r="F602" s="2">
        <v>0</v>
      </c>
      <c r="G602" s="2" t="s">
        <v>10</v>
      </c>
      <c r="H602" s="2" t="s">
        <v>12</v>
      </c>
      <c r="I602" s="2">
        <v>1</v>
      </c>
      <c r="J602" s="2" t="s">
        <v>14</v>
      </c>
      <c r="K602" s="2" t="s">
        <v>14</v>
      </c>
      <c r="L602" s="2" t="s">
        <v>14</v>
      </c>
      <c r="M602" s="2" t="s">
        <v>14</v>
      </c>
      <c r="N602" s="2" t="s">
        <v>14</v>
      </c>
      <c r="O602" s="2">
        <v>1</v>
      </c>
    </row>
    <row r="603" spans="1:15" ht="15" customHeight="1" x14ac:dyDescent="0.25">
      <c r="A603" s="3">
        <v>10</v>
      </c>
      <c r="B603" s="3" t="s">
        <v>14</v>
      </c>
      <c r="C603" s="3" t="s">
        <v>19</v>
      </c>
      <c r="D603" s="2" t="s">
        <v>106</v>
      </c>
      <c r="E603" s="3">
        <v>0</v>
      </c>
      <c r="F603" s="3">
        <v>0</v>
      </c>
      <c r="G603" s="3" t="s">
        <v>10</v>
      </c>
      <c r="H603" s="3" t="s">
        <v>12</v>
      </c>
      <c r="I603" s="3">
        <v>2</v>
      </c>
      <c r="J603" s="3" t="s">
        <v>14</v>
      </c>
      <c r="K603" s="3" t="s">
        <v>14</v>
      </c>
      <c r="L603" s="3" t="s">
        <v>14</v>
      </c>
      <c r="M603" s="3" t="s">
        <v>14</v>
      </c>
      <c r="N603" s="3" t="s">
        <v>14</v>
      </c>
      <c r="O603" s="3">
        <v>1</v>
      </c>
    </row>
    <row r="604" spans="1:15" ht="15" customHeight="1" x14ac:dyDescent="0.25">
      <c r="A604" s="2">
        <v>10</v>
      </c>
      <c r="B604" s="2" t="s">
        <v>10</v>
      </c>
      <c r="C604" s="2" t="s">
        <v>19</v>
      </c>
      <c r="D604" s="2" t="s">
        <v>106</v>
      </c>
      <c r="E604" s="2">
        <v>0</v>
      </c>
      <c r="F604" s="2">
        <v>0</v>
      </c>
      <c r="G604" s="2" t="s">
        <v>10</v>
      </c>
      <c r="H604" s="2" t="s">
        <v>12</v>
      </c>
      <c r="I604" s="2">
        <v>2</v>
      </c>
      <c r="J604" s="2" t="s">
        <v>14</v>
      </c>
      <c r="K604" s="2" t="s">
        <v>14</v>
      </c>
      <c r="L604" s="2" t="s">
        <v>14</v>
      </c>
      <c r="M604" s="2" t="s">
        <v>14</v>
      </c>
      <c r="N604" s="2" t="s">
        <v>14</v>
      </c>
      <c r="O604" s="2">
        <v>1</v>
      </c>
    </row>
    <row r="605" spans="1:15" ht="15" customHeight="1" x14ac:dyDescent="0.25">
      <c r="A605" s="3">
        <v>5</v>
      </c>
      <c r="B605" s="3" t="s">
        <v>18</v>
      </c>
      <c r="C605" s="3" t="s">
        <v>19</v>
      </c>
      <c r="D605" s="2" t="s">
        <v>106</v>
      </c>
      <c r="E605" s="3">
        <v>0</v>
      </c>
      <c r="F605" s="3">
        <v>0</v>
      </c>
      <c r="G605" s="3" t="s">
        <v>10</v>
      </c>
      <c r="H605" s="3" t="s">
        <v>12</v>
      </c>
      <c r="I605" s="3" t="s">
        <v>15</v>
      </c>
      <c r="J605" s="3" t="s">
        <v>14</v>
      </c>
      <c r="K605" s="3" t="s">
        <v>14</v>
      </c>
      <c r="L605" s="3" t="s">
        <v>14</v>
      </c>
      <c r="M605" s="3" t="s">
        <v>14</v>
      </c>
      <c r="N605" s="3" t="s">
        <v>14</v>
      </c>
      <c r="O605" s="3">
        <v>1</v>
      </c>
    </row>
    <row r="606" spans="1:15" ht="15" customHeight="1" x14ac:dyDescent="0.25">
      <c r="A606" s="2">
        <v>10</v>
      </c>
      <c r="B606" s="2" t="s">
        <v>18</v>
      </c>
      <c r="C606" s="2" t="s">
        <v>19</v>
      </c>
      <c r="D606" s="2" t="s">
        <v>106</v>
      </c>
      <c r="E606" s="2">
        <v>0</v>
      </c>
      <c r="F606" s="2">
        <v>0</v>
      </c>
      <c r="G606" s="2" t="s">
        <v>10</v>
      </c>
      <c r="H606" s="2" t="s">
        <v>16</v>
      </c>
      <c r="I606" s="2">
        <v>2</v>
      </c>
      <c r="J606" s="2" t="s">
        <v>14</v>
      </c>
      <c r="K606" s="2" t="s">
        <v>14</v>
      </c>
      <c r="L606" s="2" t="s">
        <v>14</v>
      </c>
      <c r="M606" s="2" t="s">
        <v>14</v>
      </c>
      <c r="N606" s="2" t="s">
        <v>14</v>
      </c>
      <c r="O606" s="2">
        <v>1</v>
      </c>
    </row>
    <row r="607" spans="1:15" ht="15" customHeight="1" x14ac:dyDescent="0.25">
      <c r="A607" s="3">
        <v>30</v>
      </c>
      <c r="B607" s="3" t="s">
        <v>10</v>
      </c>
      <c r="C607" s="3" t="s">
        <v>11</v>
      </c>
      <c r="D607" s="2" t="s">
        <v>106</v>
      </c>
      <c r="E607" s="3">
        <v>1</v>
      </c>
      <c r="F607" s="3">
        <v>0</v>
      </c>
      <c r="G607" s="3" t="s">
        <v>10</v>
      </c>
      <c r="H607" s="3" t="s">
        <v>12</v>
      </c>
      <c r="I607" s="3">
        <v>2</v>
      </c>
      <c r="J607" s="3" t="s">
        <v>14</v>
      </c>
      <c r="K607" s="3" t="s">
        <v>14</v>
      </c>
      <c r="L607" s="3" t="s">
        <v>14</v>
      </c>
      <c r="M607" s="3" t="s">
        <v>13</v>
      </c>
      <c r="N607" s="3" t="s">
        <v>14</v>
      </c>
      <c r="O607" s="3">
        <v>0</v>
      </c>
    </row>
    <row r="608" spans="1:15" ht="15" customHeight="1" x14ac:dyDescent="0.25">
      <c r="A608" s="2">
        <v>10</v>
      </c>
      <c r="B608" s="2" t="s">
        <v>10</v>
      </c>
      <c r="C608" s="24" t="s">
        <v>19</v>
      </c>
      <c r="D608" s="2" t="s">
        <v>106</v>
      </c>
      <c r="E608" s="2">
        <v>0</v>
      </c>
      <c r="F608" s="2">
        <v>0</v>
      </c>
      <c r="G608" s="2" t="s">
        <v>10</v>
      </c>
      <c r="H608" s="2" t="s">
        <v>12</v>
      </c>
      <c r="I608" s="2" t="s">
        <v>15</v>
      </c>
      <c r="J608" s="2" t="s">
        <v>14</v>
      </c>
      <c r="K608" s="2" t="s">
        <v>14</v>
      </c>
      <c r="L608" s="2" t="s">
        <v>14</v>
      </c>
      <c r="M608" s="2" t="s">
        <v>14</v>
      </c>
      <c r="N608" s="2" t="s">
        <v>14</v>
      </c>
      <c r="O608" s="2">
        <v>1</v>
      </c>
    </row>
    <row r="609" spans="1:15" ht="15" customHeight="1" x14ac:dyDescent="0.25">
      <c r="A609" s="3">
        <v>5</v>
      </c>
      <c r="B609" s="3" t="s">
        <v>10</v>
      </c>
      <c r="C609" s="3" t="s">
        <v>11</v>
      </c>
      <c r="D609" s="2" t="s">
        <v>106</v>
      </c>
      <c r="E609" s="3">
        <v>0</v>
      </c>
      <c r="F609" s="3">
        <v>1</v>
      </c>
      <c r="G609" s="3" t="s">
        <v>10</v>
      </c>
      <c r="H609" s="3" t="s">
        <v>12</v>
      </c>
      <c r="I609" s="3" t="s">
        <v>15</v>
      </c>
      <c r="J609" s="3" t="s">
        <v>14</v>
      </c>
      <c r="K609" s="3" t="s">
        <v>14</v>
      </c>
      <c r="L609" s="3" t="s">
        <v>14</v>
      </c>
      <c r="M609" s="3" t="s">
        <v>14</v>
      </c>
      <c r="N609" s="3" t="s">
        <v>14</v>
      </c>
      <c r="O609" s="3">
        <v>1</v>
      </c>
    </row>
    <row r="610" spans="1:15" ht="15" customHeight="1" x14ac:dyDescent="0.25">
      <c r="A610" s="2">
        <v>10</v>
      </c>
      <c r="B610" s="2" t="s">
        <v>10</v>
      </c>
      <c r="C610" s="2" t="s">
        <v>11</v>
      </c>
      <c r="D610" s="2" t="s">
        <v>106</v>
      </c>
      <c r="E610" s="2">
        <v>1</v>
      </c>
      <c r="F610" s="2">
        <v>1</v>
      </c>
      <c r="G610" s="2" t="s">
        <v>10</v>
      </c>
      <c r="H610" s="2" t="s">
        <v>12</v>
      </c>
      <c r="I610" s="2" t="s">
        <v>15</v>
      </c>
      <c r="J610" s="2" t="s">
        <v>14</v>
      </c>
      <c r="K610" s="2" t="s">
        <v>14</v>
      </c>
      <c r="L610" s="2" t="s">
        <v>14</v>
      </c>
      <c r="M610" s="2" t="s">
        <v>13</v>
      </c>
      <c r="N610" s="2" t="s">
        <v>13</v>
      </c>
      <c r="O610" s="2">
        <v>0</v>
      </c>
    </row>
    <row r="611" spans="1:15" ht="15" customHeight="1" x14ac:dyDescent="0.25">
      <c r="A611" s="3">
        <v>20</v>
      </c>
      <c r="B611" s="3" t="s">
        <v>10</v>
      </c>
      <c r="C611" s="3" t="s">
        <v>19</v>
      </c>
      <c r="D611" s="2" t="s">
        <v>106</v>
      </c>
      <c r="E611" s="3">
        <v>1</v>
      </c>
      <c r="F611" s="3">
        <v>0</v>
      </c>
      <c r="G611" s="3" t="s">
        <v>17</v>
      </c>
      <c r="H611" s="3" t="s">
        <v>106</v>
      </c>
      <c r="I611" s="3">
        <v>1</v>
      </c>
      <c r="J611" s="3" t="s">
        <v>13</v>
      </c>
      <c r="K611" s="3" t="s">
        <v>13</v>
      </c>
      <c r="L611" s="3" t="s">
        <v>13</v>
      </c>
      <c r="M611" s="3" t="s">
        <v>13</v>
      </c>
      <c r="N611" s="3" t="s">
        <v>14</v>
      </c>
      <c r="O611" s="3">
        <v>1</v>
      </c>
    </row>
    <row r="612" spans="1:15" ht="15" customHeight="1" x14ac:dyDescent="0.25">
      <c r="A612" s="2">
        <v>10</v>
      </c>
      <c r="B612" s="2" t="s">
        <v>18</v>
      </c>
      <c r="C612" s="2" t="s">
        <v>19</v>
      </c>
      <c r="D612" s="2" t="s">
        <v>106</v>
      </c>
      <c r="E612" s="2">
        <v>0</v>
      </c>
      <c r="F612" s="2">
        <v>0</v>
      </c>
      <c r="G612" s="2" t="s">
        <v>10</v>
      </c>
      <c r="H612" s="2" t="s">
        <v>12</v>
      </c>
      <c r="I612" s="2" t="s">
        <v>15</v>
      </c>
      <c r="J612" s="2" t="s">
        <v>14</v>
      </c>
      <c r="K612" s="2" t="s">
        <v>14</v>
      </c>
      <c r="L612" s="2" t="s">
        <v>14</v>
      </c>
      <c r="M612" s="2" t="s">
        <v>14</v>
      </c>
      <c r="N612" s="2" t="s">
        <v>14</v>
      </c>
      <c r="O612" s="2">
        <v>1</v>
      </c>
    </row>
    <row r="613" spans="1:15" ht="15" customHeight="1" x14ac:dyDescent="0.25">
      <c r="A613" s="3">
        <v>10</v>
      </c>
      <c r="B613" s="3" t="s">
        <v>14</v>
      </c>
      <c r="C613" s="3" t="s">
        <v>11</v>
      </c>
      <c r="D613" s="2" t="s">
        <v>106</v>
      </c>
      <c r="E613" s="3">
        <v>0</v>
      </c>
      <c r="F613" s="3">
        <v>0</v>
      </c>
      <c r="G613" s="3" t="s">
        <v>10</v>
      </c>
      <c r="H613" s="3" t="s">
        <v>12</v>
      </c>
      <c r="I613" s="3" t="s">
        <v>15</v>
      </c>
      <c r="J613" s="3" t="s">
        <v>14</v>
      </c>
      <c r="K613" s="3" t="s">
        <v>14</v>
      </c>
      <c r="L613" s="3" t="s">
        <v>14</v>
      </c>
      <c r="M613" s="3" t="s">
        <v>13</v>
      </c>
      <c r="N613" s="3" t="s">
        <v>14</v>
      </c>
      <c r="O613" s="3">
        <v>1</v>
      </c>
    </row>
    <row r="614" spans="1:15" ht="15" customHeight="1" x14ac:dyDescent="0.25">
      <c r="A614" s="2">
        <v>5</v>
      </c>
      <c r="B614" s="2" t="s">
        <v>18</v>
      </c>
      <c r="C614" s="2" t="s">
        <v>11</v>
      </c>
      <c r="D614" s="2" t="s">
        <v>106</v>
      </c>
      <c r="E614" s="2">
        <v>0</v>
      </c>
      <c r="F614" s="2">
        <v>0</v>
      </c>
      <c r="G614" s="2" t="s">
        <v>17</v>
      </c>
      <c r="H614" s="2" t="s">
        <v>106</v>
      </c>
      <c r="I614" s="2">
        <v>1</v>
      </c>
      <c r="J614" s="2" t="s">
        <v>14</v>
      </c>
      <c r="K614" s="2" t="s">
        <v>13</v>
      </c>
      <c r="L614" s="2" t="s">
        <v>13</v>
      </c>
      <c r="M614" s="2" t="s">
        <v>13</v>
      </c>
      <c r="N614" s="2" t="s">
        <v>14</v>
      </c>
      <c r="O614" s="2">
        <v>1</v>
      </c>
    </row>
    <row r="615" spans="1:15" ht="15" customHeight="1" x14ac:dyDescent="0.25">
      <c r="A615" s="3">
        <v>10</v>
      </c>
      <c r="B615" s="3" t="s">
        <v>10</v>
      </c>
      <c r="C615" s="3" t="s">
        <v>11</v>
      </c>
      <c r="D615" s="2" t="s">
        <v>106</v>
      </c>
      <c r="E615" s="3">
        <v>0</v>
      </c>
      <c r="F615" s="3">
        <v>0</v>
      </c>
      <c r="G615" s="3" t="s">
        <v>10</v>
      </c>
      <c r="H615" s="3" t="s">
        <v>12</v>
      </c>
      <c r="I615" s="3">
        <v>2</v>
      </c>
      <c r="J615" s="3" t="s">
        <v>14</v>
      </c>
      <c r="K615" s="3" t="s">
        <v>13</v>
      </c>
      <c r="L615" s="3" t="s">
        <v>14</v>
      </c>
      <c r="M615" s="3" t="s">
        <v>14</v>
      </c>
      <c r="N615" s="3" t="s">
        <v>14</v>
      </c>
      <c r="O615" s="3">
        <v>1</v>
      </c>
    </row>
    <row r="616" spans="1:15" ht="15" customHeight="1" x14ac:dyDescent="0.25">
      <c r="A616" s="2">
        <v>10</v>
      </c>
      <c r="B616" s="2" t="s">
        <v>18</v>
      </c>
      <c r="C616" s="2" t="s">
        <v>11</v>
      </c>
      <c r="D616" s="2" t="s">
        <v>106</v>
      </c>
      <c r="E616" s="2">
        <v>0</v>
      </c>
      <c r="F616" s="2">
        <v>0</v>
      </c>
      <c r="G616" s="2" t="s">
        <v>10</v>
      </c>
      <c r="H616" s="2" t="s">
        <v>12</v>
      </c>
      <c r="I616" s="2">
        <v>1</v>
      </c>
      <c r="J616" s="2" t="s">
        <v>14</v>
      </c>
      <c r="K616" s="2" t="s">
        <v>14</v>
      </c>
      <c r="L616" s="2" t="s">
        <v>14</v>
      </c>
      <c r="M616" s="2" t="s">
        <v>14</v>
      </c>
      <c r="N616" s="2" t="s">
        <v>14</v>
      </c>
      <c r="O616" s="2">
        <v>1</v>
      </c>
    </row>
    <row r="617" spans="1:15" ht="15" customHeight="1" x14ac:dyDescent="0.25">
      <c r="A617" s="3">
        <v>10</v>
      </c>
      <c r="B617" s="3" t="s">
        <v>10</v>
      </c>
      <c r="C617" s="3" t="s">
        <v>11</v>
      </c>
      <c r="D617" s="2" t="s">
        <v>106</v>
      </c>
      <c r="E617" s="3">
        <v>2</v>
      </c>
      <c r="F617" s="3">
        <v>0</v>
      </c>
      <c r="G617" s="3" t="s">
        <v>10</v>
      </c>
      <c r="H617" s="3" t="s">
        <v>12</v>
      </c>
      <c r="I617" s="3">
        <v>1</v>
      </c>
      <c r="J617" s="3" t="s">
        <v>14</v>
      </c>
      <c r="K617" s="3" t="s">
        <v>14</v>
      </c>
      <c r="L617" s="3" t="s">
        <v>14</v>
      </c>
      <c r="M617" s="3" t="s">
        <v>13</v>
      </c>
      <c r="N617" s="3" t="s">
        <v>13</v>
      </c>
      <c r="O617" s="3">
        <v>1</v>
      </c>
    </row>
    <row r="618" spans="1:15" ht="15" customHeight="1" x14ac:dyDescent="0.25">
      <c r="A618" s="2">
        <v>5</v>
      </c>
      <c r="B618" s="2" t="s">
        <v>10</v>
      </c>
      <c r="C618" s="2" t="s">
        <v>20</v>
      </c>
      <c r="D618" s="2" t="s">
        <v>106</v>
      </c>
      <c r="E618" s="2">
        <v>0</v>
      </c>
      <c r="F618" s="2">
        <v>1</v>
      </c>
      <c r="G618" s="2" t="s">
        <v>17</v>
      </c>
      <c r="H618" s="2" t="s">
        <v>106</v>
      </c>
      <c r="I618" s="2">
        <v>1</v>
      </c>
      <c r="J618" s="2" t="s">
        <v>14</v>
      </c>
      <c r="K618" s="2" t="s">
        <v>13</v>
      </c>
      <c r="L618" s="2" t="s">
        <v>13</v>
      </c>
      <c r="M618" s="2" t="s">
        <v>13</v>
      </c>
      <c r="N618" s="2" t="s">
        <v>14</v>
      </c>
      <c r="O618" s="2">
        <v>0</v>
      </c>
    </row>
    <row r="619" spans="1:15" ht="15" customHeight="1" x14ac:dyDescent="0.25">
      <c r="A619" s="3">
        <v>10</v>
      </c>
      <c r="B619" s="3" t="s">
        <v>10</v>
      </c>
      <c r="C619" s="3" t="s">
        <v>11</v>
      </c>
      <c r="D619" s="2" t="s">
        <v>106</v>
      </c>
      <c r="E619" s="3">
        <v>0</v>
      </c>
      <c r="F619" s="3">
        <v>0</v>
      </c>
      <c r="G619" s="3" t="s">
        <v>10</v>
      </c>
      <c r="H619" s="3" t="s">
        <v>12</v>
      </c>
      <c r="I619" s="3">
        <v>1</v>
      </c>
      <c r="J619" s="3" t="s">
        <v>14</v>
      </c>
      <c r="K619" s="3" t="s">
        <v>14</v>
      </c>
      <c r="L619" s="3" t="s">
        <v>14</v>
      </c>
      <c r="M619" s="3" t="s">
        <v>13</v>
      </c>
      <c r="N619" s="3" t="s">
        <v>14</v>
      </c>
      <c r="O619" s="3">
        <v>1</v>
      </c>
    </row>
    <row r="620" spans="1:15" ht="15" customHeight="1" x14ac:dyDescent="0.25">
      <c r="A620" s="2">
        <v>5</v>
      </c>
      <c r="B620" s="2" t="s">
        <v>10</v>
      </c>
      <c r="C620" s="2" t="s">
        <v>20</v>
      </c>
      <c r="D620" s="2" t="s">
        <v>106</v>
      </c>
      <c r="E620" s="2">
        <v>0</v>
      </c>
      <c r="F620" s="2">
        <v>1</v>
      </c>
      <c r="G620" s="2" t="s">
        <v>17</v>
      </c>
      <c r="H620" s="2" t="s">
        <v>106</v>
      </c>
      <c r="I620" s="2">
        <v>1</v>
      </c>
      <c r="J620" s="2" t="s">
        <v>14</v>
      </c>
      <c r="K620" s="2" t="s">
        <v>13</v>
      </c>
      <c r="L620" s="2" t="s">
        <v>13</v>
      </c>
      <c r="M620" s="2" t="s">
        <v>13</v>
      </c>
      <c r="N620" s="2" t="s">
        <v>14</v>
      </c>
      <c r="O620" s="2">
        <v>0</v>
      </c>
    </row>
    <row r="621" spans="1:15" ht="15" customHeight="1" x14ac:dyDescent="0.25">
      <c r="A621" s="3">
        <v>5</v>
      </c>
      <c r="B621" s="3" t="s">
        <v>10</v>
      </c>
      <c r="C621" s="3" t="s">
        <v>11</v>
      </c>
      <c r="D621" s="2" t="s">
        <v>106</v>
      </c>
      <c r="E621" s="3">
        <v>0</v>
      </c>
      <c r="F621" s="3">
        <v>1</v>
      </c>
      <c r="G621" s="3" t="s">
        <v>17</v>
      </c>
      <c r="H621" s="3" t="s">
        <v>106</v>
      </c>
      <c r="I621" s="3">
        <v>1</v>
      </c>
      <c r="J621" s="3" t="s">
        <v>14</v>
      </c>
      <c r="K621" s="3" t="s">
        <v>13</v>
      </c>
      <c r="L621" s="3" t="s">
        <v>13</v>
      </c>
      <c r="M621" s="3" t="s">
        <v>13</v>
      </c>
      <c r="N621" s="3" t="s">
        <v>14</v>
      </c>
      <c r="O621" s="3">
        <v>1</v>
      </c>
    </row>
    <row r="622" spans="1:15" ht="15" customHeight="1" x14ac:dyDescent="0.25">
      <c r="A622" s="2">
        <v>10</v>
      </c>
      <c r="B622" s="2" t="s">
        <v>10</v>
      </c>
      <c r="C622" s="2" t="s">
        <v>20</v>
      </c>
      <c r="D622" s="2" t="s">
        <v>106</v>
      </c>
      <c r="E622" s="2">
        <v>0</v>
      </c>
      <c r="F622" s="2">
        <v>1</v>
      </c>
      <c r="G622" s="2" t="s">
        <v>10</v>
      </c>
      <c r="H622" s="2" t="s">
        <v>12</v>
      </c>
      <c r="I622" s="2">
        <v>2</v>
      </c>
      <c r="J622" s="2" t="s">
        <v>14</v>
      </c>
      <c r="K622" s="2" t="s">
        <v>14</v>
      </c>
      <c r="L622" s="2" t="s">
        <v>14</v>
      </c>
      <c r="M622" s="2" t="s">
        <v>13</v>
      </c>
      <c r="N622" s="2" t="s">
        <v>14</v>
      </c>
      <c r="O622" s="2">
        <v>1</v>
      </c>
    </row>
    <row r="623" spans="1:15" ht="15" customHeight="1" x14ac:dyDescent="0.25">
      <c r="A623" s="3">
        <v>5</v>
      </c>
      <c r="B623" s="3" t="s">
        <v>10</v>
      </c>
      <c r="C623" s="3" t="s">
        <v>20</v>
      </c>
      <c r="D623" s="2" t="s">
        <v>106</v>
      </c>
      <c r="E623" s="3">
        <v>1</v>
      </c>
      <c r="F623" s="3">
        <v>0</v>
      </c>
      <c r="G623" s="3" t="s">
        <v>10</v>
      </c>
      <c r="H623" s="3" t="s">
        <v>12</v>
      </c>
      <c r="I623" s="3">
        <v>1</v>
      </c>
      <c r="J623" s="3" t="s">
        <v>14</v>
      </c>
      <c r="K623" s="3" t="s">
        <v>14</v>
      </c>
      <c r="L623" s="3" t="s">
        <v>14</v>
      </c>
      <c r="M623" s="3" t="s">
        <v>14</v>
      </c>
      <c r="N623" s="3" t="s">
        <v>14</v>
      </c>
      <c r="O623" s="3">
        <v>0</v>
      </c>
    </row>
    <row r="624" spans="1:15" ht="15" customHeight="1" x14ac:dyDescent="0.25">
      <c r="A624" s="2">
        <v>0</v>
      </c>
      <c r="B624" s="2" t="s">
        <v>14</v>
      </c>
      <c r="C624" s="2" t="s">
        <v>20</v>
      </c>
      <c r="D624" s="2" t="s">
        <v>106</v>
      </c>
      <c r="E624" s="2">
        <v>0</v>
      </c>
      <c r="F624" s="2">
        <v>0</v>
      </c>
      <c r="G624" s="2" t="s">
        <v>17</v>
      </c>
      <c r="H624" s="2" t="s">
        <v>106</v>
      </c>
      <c r="I624" s="2">
        <v>1</v>
      </c>
      <c r="J624" s="2" t="s">
        <v>14</v>
      </c>
      <c r="K624" s="2" t="s">
        <v>13</v>
      </c>
      <c r="L624" s="2" t="s">
        <v>13</v>
      </c>
      <c r="M624" s="2" t="s">
        <v>13</v>
      </c>
      <c r="N624" s="2" t="s">
        <v>14</v>
      </c>
      <c r="O624" s="2">
        <v>1</v>
      </c>
    </row>
    <row r="625" spans="1:15" ht="15" customHeight="1" x14ac:dyDescent="0.25">
      <c r="A625" s="3">
        <v>20</v>
      </c>
      <c r="B625" s="3" t="s">
        <v>10</v>
      </c>
      <c r="C625" s="3" t="s">
        <v>19</v>
      </c>
      <c r="D625" s="2" t="s">
        <v>106</v>
      </c>
      <c r="E625" s="3">
        <v>0</v>
      </c>
      <c r="F625" s="3">
        <v>1</v>
      </c>
      <c r="G625" s="3" t="s">
        <v>10</v>
      </c>
      <c r="H625" s="3" t="s">
        <v>12</v>
      </c>
      <c r="I625" s="3">
        <v>2</v>
      </c>
      <c r="J625" s="3" t="s">
        <v>14</v>
      </c>
      <c r="K625" s="3" t="s">
        <v>13</v>
      </c>
      <c r="L625" s="3" t="s">
        <v>13</v>
      </c>
      <c r="M625" s="3" t="s">
        <v>13</v>
      </c>
      <c r="N625" s="3" t="s">
        <v>14</v>
      </c>
      <c r="O625" s="3">
        <v>0</v>
      </c>
    </row>
    <row r="626" spans="1:15" ht="15" customHeight="1" x14ac:dyDescent="0.25">
      <c r="A626" s="2">
        <v>5</v>
      </c>
      <c r="B626" s="2" t="s">
        <v>10</v>
      </c>
      <c r="C626" s="2" t="s">
        <v>19</v>
      </c>
      <c r="D626" s="2" t="s">
        <v>106</v>
      </c>
      <c r="E626" s="2">
        <v>0</v>
      </c>
      <c r="F626" s="2">
        <v>0</v>
      </c>
      <c r="G626" s="2" t="s">
        <v>17</v>
      </c>
      <c r="H626" s="2" t="s">
        <v>106</v>
      </c>
      <c r="I626" s="2">
        <v>1</v>
      </c>
      <c r="J626" s="2" t="s">
        <v>14</v>
      </c>
      <c r="K626" s="2" t="s">
        <v>13</v>
      </c>
      <c r="L626" s="2" t="s">
        <v>13</v>
      </c>
      <c r="M626" s="2" t="s">
        <v>13</v>
      </c>
      <c r="N626" s="2" t="s">
        <v>14</v>
      </c>
      <c r="O626" s="2">
        <v>1</v>
      </c>
    </row>
    <row r="627" spans="1:15" ht="15" customHeight="1" x14ac:dyDescent="0.25">
      <c r="A627" s="3">
        <v>5</v>
      </c>
      <c r="B627" s="3" t="s">
        <v>10</v>
      </c>
      <c r="C627" s="3" t="s">
        <v>11</v>
      </c>
      <c r="D627" s="2" t="s">
        <v>106</v>
      </c>
      <c r="E627" s="3">
        <v>1</v>
      </c>
      <c r="F627" s="3">
        <v>1</v>
      </c>
      <c r="G627" s="3" t="s">
        <v>10</v>
      </c>
      <c r="H627" s="3" t="s">
        <v>12</v>
      </c>
      <c r="I627" s="3">
        <v>2</v>
      </c>
      <c r="J627" s="3" t="s">
        <v>14</v>
      </c>
      <c r="K627" s="3" t="s">
        <v>13</v>
      </c>
      <c r="L627" s="3" t="s">
        <v>13</v>
      </c>
      <c r="M627" s="3" t="s">
        <v>14</v>
      </c>
      <c r="N627" s="3" t="s">
        <v>14</v>
      </c>
      <c r="O627" s="3">
        <v>1</v>
      </c>
    </row>
    <row r="628" spans="1:15" ht="15" customHeight="1" x14ac:dyDescent="0.25">
      <c r="A628" s="2">
        <v>5</v>
      </c>
      <c r="B628" s="2" t="s">
        <v>18</v>
      </c>
      <c r="C628" s="2" t="s">
        <v>20</v>
      </c>
      <c r="D628" s="2" t="s">
        <v>106</v>
      </c>
      <c r="E628" s="2">
        <v>0</v>
      </c>
      <c r="F628" s="2">
        <v>0</v>
      </c>
      <c r="G628" s="2" t="s">
        <v>10</v>
      </c>
      <c r="H628" s="2" t="s">
        <v>16</v>
      </c>
      <c r="I628" s="2" t="s">
        <v>15</v>
      </c>
      <c r="J628" s="2" t="s">
        <v>14</v>
      </c>
      <c r="K628" s="2" t="s">
        <v>14</v>
      </c>
      <c r="L628" s="2" t="s">
        <v>14</v>
      </c>
      <c r="M628" s="2" t="s">
        <v>14</v>
      </c>
      <c r="N628" s="2" t="s">
        <v>14</v>
      </c>
      <c r="O628" s="2">
        <v>1</v>
      </c>
    </row>
    <row r="629" spans="1:15" ht="15" customHeight="1" x14ac:dyDescent="0.25">
      <c r="A629" s="3">
        <v>5</v>
      </c>
      <c r="B629" s="3" t="s">
        <v>18</v>
      </c>
      <c r="C629" s="3" t="s">
        <v>20</v>
      </c>
      <c r="D629" s="2" t="s">
        <v>106</v>
      </c>
      <c r="E629" s="3">
        <v>0</v>
      </c>
      <c r="F629" s="3">
        <v>0</v>
      </c>
      <c r="G629" s="3" t="s">
        <v>10</v>
      </c>
      <c r="H629" s="3" t="s">
        <v>12</v>
      </c>
      <c r="I629" s="3">
        <v>2</v>
      </c>
      <c r="J629" s="3" t="s">
        <v>14</v>
      </c>
      <c r="K629" s="3" t="s">
        <v>14</v>
      </c>
      <c r="L629" s="3" t="s">
        <v>14</v>
      </c>
      <c r="M629" s="3" t="s">
        <v>14</v>
      </c>
      <c r="N629" s="3" t="s">
        <v>14</v>
      </c>
      <c r="O629" s="3">
        <v>1</v>
      </c>
    </row>
    <row r="630" spans="1:15" ht="15" customHeight="1" x14ac:dyDescent="0.25">
      <c r="A630" s="2">
        <v>10</v>
      </c>
      <c r="B630" s="2" t="s">
        <v>10</v>
      </c>
      <c r="C630" s="2" t="s">
        <v>19</v>
      </c>
      <c r="D630" s="2" t="s">
        <v>106</v>
      </c>
      <c r="E630" s="2">
        <v>0</v>
      </c>
      <c r="F630" s="2">
        <v>1</v>
      </c>
      <c r="G630" s="2" t="s">
        <v>10</v>
      </c>
      <c r="H630" s="2" t="s">
        <v>12</v>
      </c>
      <c r="I630" s="2">
        <v>2</v>
      </c>
      <c r="J630" s="2" t="s">
        <v>14</v>
      </c>
      <c r="K630" s="2" t="s">
        <v>14</v>
      </c>
      <c r="L630" s="2" t="s">
        <v>14</v>
      </c>
      <c r="M630" s="2" t="s">
        <v>14</v>
      </c>
      <c r="N630" s="2" t="s">
        <v>14</v>
      </c>
      <c r="O630" s="2">
        <v>1</v>
      </c>
    </row>
    <row r="631" spans="1:15" ht="15" customHeight="1" x14ac:dyDescent="0.25">
      <c r="A631" s="3">
        <v>10</v>
      </c>
      <c r="B631" s="3" t="s">
        <v>18</v>
      </c>
      <c r="C631" s="3" t="s">
        <v>20</v>
      </c>
      <c r="D631" s="2" t="s">
        <v>106</v>
      </c>
      <c r="E631" s="3">
        <v>0</v>
      </c>
      <c r="F631" s="3">
        <v>0</v>
      </c>
      <c r="G631" s="3" t="s">
        <v>10</v>
      </c>
      <c r="H631" s="3" t="s">
        <v>16</v>
      </c>
      <c r="I631" s="3">
        <v>1</v>
      </c>
      <c r="J631" s="3" t="s">
        <v>14</v>
      </c>
      <c r="K631" s="3" t="s">
        <v>14</v>
      </c>
      <c r="L631" s="3" t="s">
        <v>14</v>
      </c>
      <c r="M631" s="3" t="s">
        <v>14</v>
      </c>
      <c r="N631" s="3" t="s">
        <v>14</v>
      </c>
      <c r="O631" s="3">
        <v>1</v>
      </c>
    </row>
    <row r="632" spans="1:15" ht="15" customHeight="1" x14ac:dyDescent="0.25">
      <c r="A632" s="2">
        <v>30</v>
      </c>
      <c r="B632" s="2" t="s">
        <v>10</v>
      </c>
      <c r="C632" s="2" t="s">
        <v>11</v>
      </c>
      <c r="D632" s="2" t="s">
        <v>106</v>
      </c>
      <c r="E632" s="2">
        <v>0</v>
      </c>
      <c r="F632" s="2">
        <v>0</v>
      </c>
      <c r="G632" s="2" t="s">
        <v>10</v>
      </c>
      <c r="H632" s="2" t="s">
        <v>12</v>
      </c>
      <c r="I632" s="2" t="s">
        <v>15</v>
      </c>
      <c r="J632" s="2" t="s">
        <v>13</v>
      </c>
      <c r="K632" s="2" t="s">
        <v>14</v>
      </c>
      <c r="L632" s="2" t="s">
        <v>14</v>
      </c>
      <c r="M632" s="2" t="s">
        <v>13</v>
      </c>
      <c r="N632" s="2" t="s">
        <v>14</v>
      </c>
      <c r="O632" s="2">
        <v>0</v>
      </c>
    </row>
    <row r="633" spans="1:15" ht="15" customHeight="1" x14ac:dyDescent="0.25">
      <c r="A633" s="3">
        <v>0</v>
      </c>
      <c r="B633" s="3" t="s">
        <v>14</v>
      </c>
      <c r="C633" s="3" t="s">
        <v>11</v>
      </c>
      <c r="D633" s="2" t="s">
        <v>106</v>
      </c>
      <c r="E633" s="3">
        <v>0</v>
      </c>
      <c r="F633" s="3">
        <v>0</v>
      </c>
      <c r="G633" s="3" t="s">
        <v>10</v>
      </c>
      <c r="H633" s="3" t="s">
        <v>12</v>
      </c>
      <c r="I633" s="3">
        <v>2</v>
      </c>
      <c r="J633" s="3" t="s">
        <v>14</v>
      </c>
      <c r="K633" s="3" t="s">
        <v>13</v>
      </c>
      <c r="L633" s="3" t="s">
        <v>14</v>
      </c>
      <c r="M633" s="3" t="s">
        <v>14</v>
      </c>
      <c r="N633" s="3" t="s">
        <v>14</v>
      </c>
      <c r="O633" s="3">
        <v>1</v>
      </c>
    </row>
    <row r="634" spans="1:15" ht="15" customHeight="1" x14ac:dyDescent="0.25">
      <c r="A634" s="2">
        <v>5</v>
      </c>
      <c r="B634" s="2" t="s">
        <v>10</v>
      </c>
      <c r="C634" s="2" t="s">
        <v>20</v>
      </c>
      <c r="D634" s="2" t="s">
        <v>106</v>
      </c>
      <c r="E634" s="2">
        <v>0</v>
      </c>
      <c r="F634" s="2">
        <v>1</v>
      </c>
      <c r="G634" s="2" t="s">
        <v>10</v>
      </c>
      <c r="H634" s="2" t="s">
        <v>12</v>
      </c>
      <c r="I634" s="2">
        <v>1</v>
      </c>
      <c r="J634" s="2" t="s">
        <v>14</v>
      </c>
      <c r="K634" s="2" t="s">
        <v>14</v>
      </c>
      <c r="L634" s="2" t="s">
        <v>14</v>
      </c>
      <c r="M634" s="2" t="s">
        <v>14</v>
      </c>
      <c r="N634" s="2" t="s">
        <v>14</v>
      </c>
      <c r="O634" s="2">
        <v>1</v>
      </c>
    </row>
    <row r="635" spans="1:15" ht="15" customHeight="1" x14ac:dyDescent="0.25">
      <c r="A635" s="3">
        <v>10</v>
      </c>
      <c r="B635" s="3" t="s">
        <v>10</v>
      </c>
      <c r="C635" s="3" t="s">
        <v>19</v>
      </c>
      <c r="D635" s="2" t="s">
        <v>106</v>
      </c>
      <c r="E635" s="3">
        <v>1</v>
      </c>
      <c r="F635" s="3">
        <v>0</v>
      </c>
      <c r="G635" s="3" t="s">
        <v>10</v>
      </c>
      <c r="H635" s="3" t="s">
        <v>12</v>
      </c>
      <c r="I635" s="3" t="s">
        <v>15</v>
      </c>
      <c r="J635" s="3" t="s">
        <v>13</v>
      </c>
      <c r="K635" s="3" t="s">
        <v>14</v>
      </c>
      <c r="L635" s="3" t="s">
        <v>14</v>
      </c>
      <c r="M635" s="3" t="s">
        <v>14</v>
      </c>
      <c r="N635" s="3" t="s">
        <v>14</v>
      </c>
      <c r="O635" s="3">
        <v>0</v>
      </c>
    </row>
    <row r="636" spans="1:15" ht="15" customHeight="1" x14ac:dyDescent="0.25">
      <c r="A636" s="2">
        <v>5</v>
      </c>
      <c r="B636" s="2" t="s">
        <v>14</v>
      </c>
      <c r="C636" s="2" t="s">
        <v>19</v>
      </c>
      <c r="D636" s="2" t="s">
        <v>106</v>
      </c>
      <c r="E636" s="2">
        <v>0</v>
      </c>
      <c r="F636" s="2">
        <v>0</v>
      </c>
      <c r="G636" s="2" t="s">
        <v>10</v>
      </c>
      <c r="H636" s="2" t="s">
        <v>12</v>
      </c>
      <c r="I636" s="2" t="s">
        <v>15</v>
      </c>
      <c r="J636" s="2" t="s">
        <v>14</v>
      </c>
      <c r="K636" s="2" t="s">
        <v>14</v>
      </c>
      <c r="L636" s="2" t="s">
        <v>14</v>
      </c>
      <c r="M636" s="2" t="s">
        <v>14</v>
      </c>
      <c r="N636" s="2" t="s">
        <v>14</v>
      </c>
      <c r="O636" s="2">
        <v>1</v>
      </c>
    </row>
    <row r="637" spans="1:15" ht="15" customHeight="1" x14ac:dyDescent="0.25">
      <c r="A637" s="3">
        <v>10</v>
      </c>
      <c r="B637" s="3" t="s">
        <v>10</v>
      </c>
      <c r="C637" s="3" t="s">
        <v>11</v>
      </c>
      <c r="D637" s="2" t="s">
        <v>106</v>
      </c>
      <c r="E637" s="3">
        <v>0</v>
      </c>
      <c r="F637" s="3">
        <v>0</v>
      </c>
      <c r="G637" s="3" t="s">
        <v>10</v>
      </c>
      <c r="H637" s="3" t="s">
        <v>12</v>
      </c>
      <c r="I637" s="3">
        <v>2</v>
      </c>
      <c r="J637" s="3" t="s">
        <v>13</v>
      </c>
      <c r="K637" s="3" t="s">
        <v>14</v>
      </c>
      <c r="L637" s="3" t="s">
        <v>14</v>
      </c>
      <c r="M637" s="3" t="s">
        <v>14</v>
      </c>
      <c r="N637" s="3" t="s">
        <v>14</v>
      </c>
      <c r="O637" s="3">
        <v>1</v>
      </c>
    </row>
    <row r="638" spans="1:15" ht="15" customHeight="1" x14ac:dyDescent="0.25">
      <c r="A638" s="2">
        <v>10</v>
      </c>
      <c r="B638" s="2" t="s">
        <v>18</v>
      </c>
      <c r="C638" s="2" t="s">
        <v>11</v>
      </c>
      <c r="D638" s="2" t="s">
        <v>106</v>
      </c>
      <c r="E638" s="2">
        <v>0</v>
      </c>
      <c r="F638" s="2">
        <v>0</v>
      </c>
      <c r="G638" s="2" t="s">
        <v>10</v>
      </c>
      <c r="H638" s="2" t="s">
        <v>12</v>
      </c>
      <c r="I638" s="2" t="s">
        <v>15</v>
      </c>
      <c r="J638" s="2" t="s">
        <v>14</v>
      </c>
      <c r="K638" s="2" t="s">
        <v>14</v>
      </c>
      <c r="L638" s="2" t="s">
        <v>14</v>
      </c>
      <c r="M638" s="2" t="s">
        <v>14</v>
      </c>
      <c r="N638" s="2" t="s">
        <v>14</v>
      </c>
      <c r="O638" s="2">
        <v>1</v>
      </c>
    </row>
    <row r="639" spans="1:15" ht="15" customHeight="1" x14ac:dyDescent="0.25">
      <c r="A639" s="3">
        <v>5</v>
      </c>
      <c r="B639" s="3" t="s">
        <v>18</v>
      </c>
      <c r="C639" s="3" t="s">
        <v>19</v>
      </c>
      <c r="D639" s="2" t="s">
        <v>106</v>
      </c>
      <c r="E639" s="3">
        <v>0</v>
      </c>
      <c r="F639" s="3">
        <v>0</v>
      </c>
      <c r="G639" s="3" t="s">
        <v>10</v>
      </c>
      <c r="H639" s="3" t="s">
        <v>12</v>
      </c>
      <c r="I639" s="3">
        <v>2</v>
      </c>
      <c r="J639" s="3" t="s">
        <v>14</v>
      </c>
      <c r="K639" s="3" t="s">
        <v>14</v>
      </c>
      <c r="L639" s="3" t="s">
        <v>14</v>
      </c>
      <c r="M639" s="3" t="s">
        <v>14</v>
      </c>
      <c r="N639" s="3" t="s">
        <v>14</v>
      </c>
      <c r="O639" s="3">
        <v>1</v>
      </c>
    </row>
    <row r="640" spans="1:15" ht="15" customHeight="1" x14ac:dyDescent="0.25">
      <c r="A640" s="2">
        <v>5</v>
      </c>
      <c r="B640" s="2" t="s">
        <v>18</v>
      </c>
      <c r="C640" s="2" t="s">
        <v>19</v>
      </c>
      <c r="D640" s="2" t="s">
        <v>106</v>
      </c>
      <c r="E640" s="2">
        <v>0</v>
      </c>
      <c r="F640" s="2">
        <v>0</v>
      </c>
      <c r="G640" s="2" t="s">
        <v>10</v>
      </c>
      <c r="H640" s="2" t="s">
        <v>12</v>
      </c>
      <c r="I640" s="2">
        <v>2</v>
      </c>
      <c r="J640" s="2" t="s">
        <v>14</v>
      </c>
      <c r="K640" s="2" t="s">
        <v>14</v>
      </c>
      <c r="L640" s="2" t="s">
        <v>14</v>
      </c>
      <c r="M640" s="2" t="s">
        <v>14</v>
      </c>
      <c r="N640" s="2" t="s">
        <v>14</v>
      </c>
      <c r="O640" s="2">
        <v>1</v>
      </c>
    </row>
    <row r="641" spans="1:15" ht="15" customHeight="1" x14ac:dyDescent="0.25">
      <c r="A641" s="3">
        <v>10</v>
      </c>
      <c r="B641" s="3" t="s">
        <v>18</v>
      </c>
      <c r="C641" s="3" t="s">
        <v>19</v>
      </c>
      <c r="D641" s="2" t="s">
        <v>106</v>
      </c>
      <c r="E641" s="3">
        <v>0</v>
      </c>
      <c r="F641" s="3">
        <v>0</v>
      </c>
      <c r="G641" s="3" t="s">
        <v>10</v>
      </c>
      <c r="H641" s="3" t="s">
        <v>12</v>
      </c>
      <c r="I641" s="3" t="s">
        <v>15</v>
      </c>
      <c r="J641" s="3" t="s">
        <v>14</v>
      </c>
      <c r="K641" s="3" t="s">
        <v>14</v>
      </c>
      <c r="L641" s="3" t="s">
        <v>14</v>
      </c>
      <c r="M641" s="3" t="s">
        <v>14</v>
      </c>
      <c r="N641" s="3" t="s">
        <v>14</v>
      </c>
      <c r="O641" s="3">
        <v>1</v>
      </c>
    </row>
    <row r="642" spans="1:15" ht="15" customHeight="1" x14ac:dyDescent="0.25">
      <c r="A642" s="2">
        <v>30</v>
      </c>
      <c r="B642" s="2" t="s">
        <v>10</v>
      </c>
      <c r="C642" s="2" t="s">
        <v>11</v>
      </c>
      <c r="D642" s="2" t="s">
        <v>106</v>
      </c>
      <c r="E642" s="2">
        <v>1</v>
      </c>
      <c r="F642" s="2">
        <v>0</v>
      </c>
      <c r="G642" s="2" t="s">
        <v>10</v>
      </c>
      <c r="H642" s="2" t="s">
        <v>12</v>
      </c>
      <c r="I642" s="2">
        <v>2</v>
      </c>
      <c r="J642" s="2" t="s">
        <v>13</v>
      </c>
      <c r="K642" s="2" t="s">
        <v>14</v>
      </c>
      <c r="L642" s="2" t="s">
        <v>14</v>
      </c>
      <c r="M642" s="2" t="s">
        <v>13</v>
      </c>
      <c r="N642" s="2" t="s">
        <v>14</v>
      </c>
      <c r="O642" s="2">
        <v>0</v>
      </c>
    </row>
    <row r="643" spans="1:15" ht="15" customHeight="1" x14ac:dyDescent="0.25">
      <c r="A643" s="3">
        <v>10</v>
      </c>
      <c r="B643" s="3" t="s">
        <v>10</v>
      </c>
      <c r="C643" s="3" t="s">
        <v>19</v>
      </c>
      <c r="D643" s="2" t="s">
        <v>106</v>
      </c>
      <c r="E643" s="3">
        <v>0</v>
      </c>
      <c r="F643" s="3">
        <v>0</v>
      </c>
      <c r="G643" s="3" t="s">
        <v>17</v>
      </c>
      <c r="H643" s="3" t="s">
        <v>106</v>
      </c>
      <c r="I643" s="3">
        <v>1</v>
      </c>
      <c r="J643" s="3" t="s">
        <v>14</v>
      </c>
      <c r="K643" s="3" t="s">
        <v>13</v>
      </c>
      <c r="L643" s="3" t="s">
        <v>13</v>
      </c>
      <c r="M643" s="3" t="s">
        <v>14</v>
      </c>
      <c r="N643" s="3" t="s">
        <v>14</v>
      </c>
      <c r="O643" s="3">
        <v>0</v>
      </c>
    </row>
    <row r="644" spans="1:15" ht="15" customHeight="1" x14ac:dyDescent="0.25">
      <c r="A644" s="2">
        <v>10</v>
      </c>
      <c r="B644" s="2" t="s">
        <v>14</v>
      </c>
      <c r="C644" s="2" t="s">
        <v>11</v>
      </c>
      <c r="D644" s="2" t="s">
        <v>106</v>
      </c>
      <c r="E644" s="2">
        <v>1</v>
      </c>
      <c r="F644" s="2">
        <v>0</v>
      </c>
      <c r="G644" s="2" t="s">
        <v>10</v>
      </c>
      <c r="H644" s="2" t="s">
        <v>12</v>
      </c>
      <c r="I644" s="2" t="s">
        <v>15</v>
      </c>
      <c r="J644" s="2" t="s">
        <v>14</v>
      </c>
      <c r="K644" s="2" t="s">
        <v>14</v>
      </c>
      <c r="L644" s="2" t="s">
        <v>14</v>
      </c>
      <c r="M644" s="2" t="s">
        <v>13</v>
      </c>
      <c r="N644" s="2" t="s">
        <v>13</v>
      </c>
      <c r="O644" s="2">
        <v>1</v>
      </c>
    </row>
    <row r="645" spans="1:15" ht="15" customHeight="1" x14ac:dyDescent="0.25">
      <c r="A645" s="3">
        <v>5</v>
      </c>
      <c r="B645" s="3" t="s">
        <v>14</v>
      </c>
      <c r="C645" s="3" t="s">
        <v>11</v>
      </c>
      <c r="D645" s="2" t="s">
        <v>106</v>
      </c>
      <c r="E645" s="3">
        <v>0</v>
      </c>
      <c r="F645" s="3">
        <v>0</v>
      </c>
      <c r="G645" s="3" t="s">
        <v>10</v>
      </c>
      <c r="H645" s="3" t="s">
        <v>12</v>
      </c>
      <c r="I645" s="3">
        <v>2</v>
      </c>
      <c r="J645" s="3" t="s">
        <v>14</v>
      </c>
      <c r="K645" s="3" t="s">
        <v>14</v>
      </c>
      <c r="L645" s="3" t="s">
        <v>14</v>
      </c>
      <c r="M645" s="3" t="s">
        <v>14</v>
      </c>
      <c r="N645" s="3" t="s">
        <v>14</v>
      </c>
      <c r="O645" s="3">
        <v>1</v>
      </c>
    </row>
    <row r="646" spans="1:15" ht="15" customHeight="1" x14ac:dyDescent="0.25">
      <c r="A646" s="2">
        <v>10</v>
      </c>
      <c r="B646" s="2" t="s">
        <v>10</v>
      </c>
      <c r="C646" s="2" t="s">
        <v>19</v>
      </c>
      <c r="D646" s="2" t="s">
        <v>106</v>
      </c>
      <c r="E646" s="2">
        <v>0</v>
      </c>
      <c r="F646" s="2">
        <v>0</v>
      </c>
      <c r="G646" s="2" t="s">
        <v>10</v>
      </c>
      <c r="H646" s="2" t="s">
        <v>12</v>
      </c>
      <c r="I646" s="2" t="s">
        <v>15</v>
      </c>
      <c r="J646" s="2" t="s">
        <v>14</v>
      </c>
      <c r="K646" s="2" t="s">
        <v>14</v>
      </c>
      <c r="L646" s="2" t="s">
        <v>14</v>
      </c>
      <c r="M646" s="2" t="s">
        <v>14</v>
      </c>
      <c r="N646" s="2" t="s">
        <v>14</v>
      </c>
      <c r="O646" s="2">
        <v>0</v>
      </c>
    </row>
    <row r="647" spans="1:15" ht="15" customHeight="1" x14ac:dyDescent="0.25">
      <c r="A647" s="3">
        <v>10</v>
      </c>
      <c r="B647" s="3" t="s">
        <v>10</v>
      </c>
      <c r="C647" s="3" t="s">
        <v>11</v>
      </c>
      <c r="D647" s="2" t="s">
        <v>106</v>
      </c>
      <c r="E647" s="3">
        <v>0</v>
      </c>
      <c r="F647" s="3">
        <v>0</v>
      </c>
      <c r="G647" s="3" t="s">
        <v>10</v>
      </c>
      <c r="H647" s="3" t="s">
        <v>16</v>
      </c>
      <c r="I647" s="3">
        <v>1</v>
      </c>
      <c r="J647" s="3" t="s">
        <v>14</v>
      </c>
      <c r="K647" s="3" t="s">
        <v>14</v>
      </c>
      <c r="L647" s="3" t="s">
        <v>14</v>
      </c>
      <c r="M647" s="3" t="s">
        <v>14</v>
      </c>
      <c r="N647" s="3" t="s">
        <v>14</v>
      </c>
      <c r="O647" s="3">
        <v>1</v>
      </c>
    </row>
    <row r="648" spans="1:15" ht="15" customHeight="1" x14ac:dyDescent="0.25">
      <c r="A648" s="2">
        <v>5</v>
      </c>
      <c r="B648" s="2" t="s">
        <v>18</v>
      </c>
      <c r="C648" s="2" t="s">
        <v>11</v>
      </c>
      <c r="D648" s="2" t="s">
        <v>106</v>
      </c>
      <c r="E648" s="2">
        <v>0</v>
      </c>
      <c r="F648" s="2">
        <v>1</v>
      </c>
      <c r="G648" s="2" t="s">
        <v>10</v>
      </c>
      <c r="H648" s="2" t="s">
        <v>16</v>
      </c>
      <c r="I648" s="2">
        <v>1</v>
      </c>
      <c r="J648" s="2" t="s">
        <v>14</v>
      </c>
      <c r="K648" s="2" t="s">
        <v>14</v>
      </c>
      <c r="L648" s="2" t="s">
        <v>14</v>
      </c>
      <c r="M648" s="2" t="s">
        <v>14</v>
      </c>
      <c r="N648" s="2" t="s">
        <v>14</v>
      </c>
      <c r="O648" s="2">
        <v>0</v>
      </c>
    </row>
    <row r="649" spans="1:15" ht="15" customHeight="1" x14ac:dyDescent="0.25">
      <c r="A649" s="3">
        <v>10</v>
      </c>
      <c r="B649" s="3" t="s">
        <v>14</v>
      </c>
      <c r="C649" s="3" t="s">
        <v>11</v>
      </c>
      <c r="D649" s="2" t="s">
        <v>106</v>
      </c>
      <c r="E649" s="3">
        <v>1</v>
      </c>
      <c r="F649" s="3">
        <v>0</v>
      </c>
      <c r="G649" s="3" t="s">
        <v>10</v>
      </c>
      <c r="H649" s="3" t="s">
        <v>16</v>
      </c>
      <c r="I649" s="3" t="s">
        <v>15</v>
      </c>
      <c r="J649" s="3" t="s">
        <v>14</v>
      </c>
      <c r="K649" s="3" t="s">
        <v>14</v>
      </c>
      <c r="L649" s="3" t="s">
        <v>14</v>
      </c>
      <c r="M649" s="3" t="s">
        <v>14</v>
      </c>
      <c r="N649" s="3" t="s">
        <v>13</v>
      </c>
      <c r="O649" s="3">
        <v>0</v>
      </c>
    </row>
    <row r="650" spans="1:15" ht="15" customHeight="1" x14ac:dyDescent="0.25">
      <c r="A650" s="2">
        <v>10</v>
      </c>
      <c r="B650" s="2" t="s">
        <v>10</v>
      </c>
      <c r="C650" s="2" t="s">
        <v>20</v>
      </c>
      <c r="D650" s="2" t="s">
        <v>106</v>
      </c>
      <c r="E650" s="2">
        <v>0</v>
      </c>
      <c r="F650" s="2">
        <v>0</v>
      </c>
      <c r="G650" s="2" t="s">
        <v>10</v>
      </c>
      <c r="H650" s="2" t="s">
        <v>12</v>
      </c>
      <c r="I650" s="2">
        <v>2</v>
      </c>
      <c r="J650" s="2" t="s">
        <v>14</v>
      </c>
      <c r="K650" s="2" t="s">
        <v>14</v>
      </c>
      <c r="L650" s="2" t="s">
        <v>14</v>
      </c>
      <c r="M650" s="2" t="s">
        <v>14</v>
      </c>
      <c r="N650" s="2" t="s">
        <v>14</v>
      </c>
      <c r="O650" s="2">
        <v>1</v>
      </c>
    </row>
    <row r="651" spans="1:15" ht="15" customHeight="1" x14ac:dyDescent="0.25">
      <c r="A651" s="3">
        <v>5</v>
      </c>
      <c r="B651" s="3" t="s">
        <v>18</v>
      </c>
      <c r="C651" s="3" t="s">
        <v>20</v>
      </c>
      <c r="D651" s="2" t="s">
        <v>106</v>
      </c>
      <c r="E651" s="3">
        <v>0</v>
      </c>
      <c r="F651" s="3">
        <v>0</v>
      </c>
      <c r="G651" s="3" t="s">
        <v>10</v>
      </c>
      <c r="H651" s="3" t="s">
        <v>12</v>
      </c>
      <c r="I651" s="3">
        <v>1</v>
      </c>
      <c r="J651" s="3" t="s">
        <v>14</v>
      </c>
      <c r="K651" s="3" t="s">
        <v>14</v>
      </c>
      <c r="L651" s="3" t="s">
        <v>14</v>
      </c>
      <c r="M651" s="3" t="s">
        <v>14</v>
      </c>
      <c r="N651" s="3" t="s">
        <v>14</v>
      </c>
      <c r="O651" s="3">
        <v>1</v>
      </c>
    </row>
    <row r="652" spans="1:15" ht="15" customHeight="1" x14ac:dyDescent="0.25">
      <c r="A652" s="3">
        <v>5</v>
      </c>
      <c r="B652" s="3" t="s">
        <v>14</v>
      </c>
      <c r="C652" s="3" t="s">
        <v>11</v>
      </c>
      <c r="D652" s="2" t="s">
        <v>106</v>
      </c>
      <c r="E652" s="3">
        <v>0</v>
      </c>
      <c r="F652" s="3">
        <v>0</v>
      </c>
      <c r="G652" s="3" t="s">
        <v>10</v>
      </c>
      <c r="H652" s="3" t="s">
        <v>12</v>
      </c>
      <c r="I652" s="3" t="s">
        <v>15</v>
      </c>
      <c r="J652" s="3" t="s">
        <v>14</v>
      </c>
      <c r="K652" s="3" t="s">
        <v>14</v>
      </c>
      <c r="L652" s="3" t="s">
        <v>14</v>
      </c>
      <c r="M652" s="3" t="s">
        <v>14</v>
      </c>
      <c r="N652" s="3" t="s">
        <v>14</v>
      </c>
      <c r="O652" s="3">
        <v>1</v>
      </c>
    </row>
    <row r="653" spans="1:15" ht="15" customHeight="1" x14ac:dyDescent="0.25">
      <c r="A653" s="3">
        <v>10</v>
      </c>
      <c r="B653" s="3" t="s">
        <v>14</v>
      </c>
      <c r="C653" s="3" t="s">
        <v>11</v>
      </c>
      <c r="D653" s="2" t="s">
        <v>106</v>
      </c>
      <c r="E653" s="3">
        <v>0</v>
      </c>
      <c r="F653" s="3">
        <v>1</v>
      </c>
      <c r="G653" s="3" t="s">
        <v>10</v>
      </c>
      <c r="H653" s="3" t="s">
        <v>12</v>
      </c>
      <c r="I653" s="3">
        <v>2</v>
      </c>
      <c r="J653" s="3" t="s">
        <v>14</v>
      </c>
      <c r="K653" s="3" t="s">
        <v>14</v>
      </c>
      <c r="L653" s="3" t="s">
        <v>14</v>
      </c>
      <c r="M653" s="3" t="s">
        <v>14</v>
      </c>
      <c r="N653" s="3" t="s">
        <v>14</v>
      </c>
      <c r="O653" s="3">
        <v>1</v>
      </c>
    </row>
    <row r="654" spans="1:15" ht="15" customHeight="1" x14ac:dyDescent="0.25">
      <c r="A654" s="2">
        <v>0</v>
      </c>
      <c r="B654" s="2" t="s">
        <v>10</v>
      </c>
      <c r="C654" s="2" t="s">
        <v>19</v>
      </c>
      <c r="D654" s="2" t="s">
        <v>106</v>
      </c>
      <c r="E654" s="2">
        <v>1</v>
      </c>
      <c r="F654" s="2">
        <v>0</v>
      </c>
      <c r="G654" s="2" t="s">
        <v>17</v>
      </c>
      <c r="H654" s="2" t="s">
        <v>106</v>
      </c>
      <c r="I654" s="2">
        <v>1</v>
      </c>
      <c r="J654" s="2" t="s">
        <v>14</v>
      </c>
      <c r="K654" s="2" t="s">
        <v>13</v>
      </c>
      <c r="L654" s="2" t="s">
        <v>13</v>
      </c>
      <c r="M654" s="2" t="s">
        <v>13</v>
      </c>
      <c r="N654" s="2" t="s">
        <v>14</v>
      </c>
      <c r="O654" s="2">
        <v>0</v>
      </c>
    </row>
    <row r="655" spans="1:15" ht="15" customHeight="1" x14ac:dyDescent="0.25">
      <c r="A655" s="3">
        <v>10</v>
      </c>
      <c r="B655" s="3" t="s">
        <v>10</v>
      </c>
      <c r="C655" s="3" t="s">
        <v>11</v>
      </c>
      <c r="D655" s="2" t="s">
        <v>106</v>
      </c>
      <c r="E655" s="3">
        <v>0</v>
      </c>
      <c r="F655" s="3">
        <v>1</v>
      </c>
      <c r="G655" s="3" t="s">
        <v>10</v>
      </c>
      <c r="H655" s="3" t="s">
        <v>12</v>
      </c>
      <c r="I655" s="3">
        <v>2</v>
      </c>
      <c r="J655" s="3" t="s">
        <v>14</v>
      </c>
      <c r="K655" s="3" t="s">
        <v>13</v>
      </c>
      <c r="L655" s="3" t="s">
        <v>13</v>
      </c>
      <c r="M655" s="3" t="s">
        <v>13</v>
      </c>
      <c r="N655" s="3" t="s">
        <v>14</v>
      </c>
      <c r="O655" s="3">
        <v>0</v>
      </c>
    </row>
    <row r="656" spans="1:15" ht="15" customHeight="1" x14ac:dyDescent="0.25">
      <c r="A656" s="2">
        <v>10</v>
      </c>
      <c r="B656" s="2" t="s">
        <v>10</v>
      </c>
      <c r="C656" s="2" t="s">
        <v>19</v>
      </c>
      <c r="D656" s="2" t="s">
        <v>106</v>
      </c>
      <c r="E656" s="2">
        <v>0</v>
      </c>
      <c r="F656" s="2">
        <v>0</v>
      </c>
      <c r="G656" s="2" t="s">
        <v>10</v>
      </c>
      <c r="H656" s="2" t="s">
        <v>12</v>
      </c>
      <c r="I656" s="2">
        <v>1</v>
      </c>
      <c r="J656" s="2" t="s">
        <v>14</v>
      </c>
      <c r="K656" s="2" t="s">
        <v>13</v>
      </c>
      <c r="L656" s="2" t="s">
        <v>13</v>
      </c>
      <c r="M656" s="2" t="s">
        <v>13</v>
      </c>
      <c r="N656" s="2" t="s">
        <v>14</v>
      </c>
      <c r="O656" s="2">
        <v>1</v>
      </c>
    </row>
    <row r="657" spans="1:15" ht="15" customHeight="1" x14ac:dyDescent="0.25">
      <c r="A657" s="3">
        <v>5</v>
      </c>
      <c r="B657" s="3" t="s">
        <v>14</v>
      </c>
      <c r="C657" s="3" t="s">
        <v>19</v>
      </c>
      <c r="D657" s="2" t="s">
        <v>106</v>
      </c>
      <c r="E657" s="3">
        <v>0</v>
      </c>
      <c r="F657" s="3">
        <v>1</v>
      </c>
      <c r="G657" s="3" t="s">
        <v>17</v>
      </c>
      <c r="H657" s="3" t="s">
        <v>106</v>
      </c>
      <c r="I657" s="3">
        <v>1</v>
      </c>
      <c r="J657" s="3" t="s">
        <v>14</v>
      </c>
      <c r="K657" s="3" t="s">
        <v>13</v>
      </c>
      <c r="L657" s="3" t="s">
        <v>13</v>
      </c>
      <c r="M657" s="3" t="s">
        <v>13</v>
      </c>
      <c r="N657" s="3" t="s">
        <v>14</v>
      </c>
      <c r="O657" s="3">
        <v>1</v>
      </c>
    </row>
    <row r="658" spans="1:15" ht="15" customHeight="1" x14ac:dyDescent="0.25">
      <c r="A658" s="2">
        <v>5</v>
      </c>
      <c r="B658" s="2" t="s">
        <v>18</v>
      </c>
      <c r="C658" s="2" t="s">
        <v>19</v>
      </c>
      <c r="D658" s="2" t="s">
        <v>106</v>
      </c>
      <c r="E658" s="2">
        <v>0</v>
      </c>
      <c r="F658" s="2">
        <v>0</v>
      </c>
      <c r="G658" s="2" t="s">
        <v>10</v>
      </c>
      <c r="H658" s="2" t="s">
        <v>12</v>
      </c>
      <c r="I658" s="2">
        <v>2</v>
      </c>
      <c r="J658" s="2" t="s">
        <v>14</v>
      </c>
      <c r="K658" s="2" t="s">
        <v>14</v>
      </c>
      <c r="L658" s="2" t="s">
        <v>14</v>
      </c>
      <c r="M658" s="2" t="s">
        <v>14</v>
      </c>
      <c r="N658" s="2" t="s">
        <v>14</v>
      </c>
      <c r="O658" s="2">
        <v>1</v>
      </c>
    </row>
    <row r="659" spans="1:15" ht="15" customHeight="1" x14ac:dyDescent="0.25">
      <c r="A659" s="3">
        <v>0</v>
      </c>
      <c r="B659" s="3" t="s">
        <v>18</v>
      </c>
      <c r="C659" s="3" t="s">
        <v>20</v>
      </c>
      <c r="D659" s="2" t="s">
        <v>106</v>
      </c>
      <c r="E659" s="3">
        <v>0</v>
      </c>
      <c r="F659" s="3">
        <v>0</v>
      </c>
      <c r="G659" s="3" t="s">
        <v>10</v>
      </c>
      <c r="H659" s="3" t="s">
        <v>16</v>
      </c>
      <c r="I659" s="3">
        <v>1</v>
      </c>
      <c r="J659" s="3" t="s">
        <v>14</v>
      </c>
      <c r="K659" s="3" t="s">
        <v>14</v>
      </c>
      <c r="L659" s="3" t="s">
        <v>14</v>
      </c>
      <c r="M659" s="3" t="s">
        <v>14</v>
      </c>
      <c r="N659" s="3" t="s">
        <v>14</v>
      </c>
      <c r="O659" s="3">
        <v>1</v>
      </c>
    </row>
    <row r="660" spans="1:15" ht="15" customHeight="1" x14ac:dyDescent="0.25">
      <c r="A660" s="2">
        <v>5</v>
      </c>
      <c r="B660" s="2" t="s">
        <v>10</v>
      </c>
      <c r="C660" s="2" t="s">
        <v>20</v>
      </c>
      <c r="D660" s="2" t="s">
        <v>106</v>
      </c>
      <c r="E660" s="2">
        <v>0</v>
      </c>
      <c r="F660" s="2">
        <v>0</v>
      </c>
      <c r="G660" s="2" t="s">
        <v>10</v>
      </c>
      <c r="H660" s="2" t="s">
        <v>12</v>
      </c>
      <c r="I660" s="2">
        <v>2</v>
      </c>
      <c r="J660" s="2" t="s">
        <v>14</v>
      </c>
      <c r="K660" s="2" t="s">
        <v>14</v>
      </c>
      <c r="L660" s="2" t="s">
        <v>14</v>
      </c>
      <c r="M660" s="2" t="s">
        <v>14</v>
      </c>
      <c r="N660" s="2" t="s">
        <v>14</v>
      </c>
      <c r="O660" s="2">
        <v>1</v>
      </c>
    </row>
    <row r="661" spans="1:15" ht="15" customHeight="1" x14ac:dyDescent="0.25">
      <c r="A661" s="3">
        <v>10</v>
      </c>
      <c r="B661" s="3" t="s">
        <v>14</v>
      </c>
      <c r="C661" s="3" t="s">
        <v>19</v>
      </c>
      <c r="D661" s="2" t="s">
        <v>106</v>
      </c>
      <c r="E661" s="3">
        <v>0</v>
      </c>
      <c r="F661" s="3">
        <v>0</v>
      </c>
      <c r="G661" s="3" t="s">
        <v>10</v>
      </c>
      <c r="H661" s="3" t="s">
        <v>12</v>
      </c>
      <c r="I661" s="3" t="s">
        <v>15</v>
      </c>
      <c r="J661" s="3" t="s">
        <v>14</v>
      </c>
      <c r="K661" s="3" t="s">
        <v>14</v>
      </c>
      <c r="L661" s="3" t="s">
        <v>14</v>
      </c>
      <c r="M661" s="3" t="s">
        <v>14</v>
      </c>
      <c r="N661" s="3" t="s">
        <v>14</v>
      </c>
      <c r="O661" s="3">
        <v>1</v>
      </c>
    </row>
    <row r="662" spans="1:15" ht="15" customHeight="1" x14ac:dyDescent="0.25">
      <c r="A662" s="3">
        <v>10</v>
      </c>
      <c r="B662" s="3" t="s">
        <v>14</v>
      </c>
      <c r="C662" s="3" t="s">
        <v>19</v>
      </c>
      <c r="D662" s="2" t="s">
        <v>106</v>
      </c>
      <c r="E662" s="3">
        <v>0</v>
      </c>
      <c r="F662" s="3">
        <v>0</v>
      </c>
      <c r="G662" s="3" t="s">
        <v>10</v>
      </c>
      <c r="H662" s="3" t="s">
        <v>12</v>
      </c>
      <c r="I662" s="3">
        <v>1</v>
      </c>
      <c r="J662" s="3" t="s">
        <v>14</v>
      </c>
      <c r="K662" s="3" t="s">
        <v>14</v>
      </c>
      <c r="L662" s="3" t="s">
        <v>14</v>
      </c>
      <c r="M662" s="3" t="s">
        <v>14</v>
      </c>
      <c r="N662" s="3" t="s">
        <v>14</v>
      </c>
      <c r="O662" s="3">
        <v>1</v>
      </c>
    </row>
    <row r="663" spans="1:15" ht="15" customHeight="1" x14ac:dyDescent="0.25">
      <c r="A663" s="3">
        <v>10</v>
      </c>
      <c r="B663" s="3" t="s">
        <v>14</v>
      </c>
      <c r="C663" s="3" t="s">
        <v>19</v>
      </c>
      <c r="D663" s="2" t="s">
        <v>106</v>
      </c>
      <c r="E663" s="3">
        <v>0</v>
      </c>
      <c r="F663" s="3">
        <v>0</v>
      </c>
      <c r="G663" s="3" t="s">
        <v>10</v>
      </c>
      <c r="H663" s="3" t="s">
        <v>12</v>
      </c>
      <c r="I663" s="3" t="s">
        <v>15</v>
      </c>
      <c r="J663" s="3" t="s">
        <v>14</v>
      </c>
      <c r="K663" s="3" t="s">
        <v>14</v>
      </c>
      <c r="L663" s="3" t="s">
        <v>14</v>
      </c>
      <c r="M663" s="3" t="s">
        <v>14</v>
      </c>
      <c r="N663" s="3" t="s">
        <v>14</v>
      </c>
      <c r="O663" s="3">
        <v>1</v>
      </c>
    </row>
    <row r="664" spans="1:15" ht="15" customHeight="1" x14ac:dyDescent="0.25">
      <c r="A664" s="2">
        <v>5</v>
      </c>
      <c r="B664" s="2" t="s">
        <v>10</v>
      </c>
      <c r="C664" s="2" t="s">
        <v>19</v>
      </c>
      <c r="D664" s="2" t="s">
        <v>106</v>
      </c>
      <c r="E664" s="2">
        <v>0</v>
      </c>
      <c r="F664" s="2">
        <v>0</v>
      </c>
      <c r="G664" s="2" t="s">
        <v>10</v>
      </c>
      <c r="H664" s="2" t="s">
        <v>12</v>
      </c>
      <c r="I664" s="2">
        <v>2</v>
      </c>
      <c r="J664" s="2" t="s">
        <v>14</v>
      </c>
      <c r="K664" s="2" t="s">
        <v>14</v>
      </c>
      <c r="L664" s="2" t="s">
        <v>14</v>
      </c>
      <c r="M664" s="2" t="s">
        <v>14</v>
      </c>
      <c r="N664" s="2" t="s">
        <v>14</v>
      </c>
      <c r="O664" s="2">
        <v>1</v>
      </c>
    </row>
    <row r="665" spans="1:15" ht="15" customHeight="1" x14ac:dyDescent="0.25">
      <c r="A665" s="3">
        <v>0</v>
      </c>
      <c r="B665" s="3" t="s">
        <v>14</v>
      </c>
      <c r="C665" s="3" t="s">
        <v>11</v>
      </c>
      <c r="D665" s="2" t="s">
        <v>106</v>
      </c>
      <c r="E665" s="3">
        <v>0</v>
      </c>
      <c r="F665" s="3">
        <v>0</v>
      </c>
      <c r="G665" s="3" t="s">
        <v>10</v>
      </c>
      <c r="H665" s="3" t="s">
        <v>12</v>
      </c>
      <c r="I665" s="3">
        <v>2</v>
      </c>
      <c r="J665" s="3" t="s">
        <v>14</v>
      </c>
      <c r="K665" s="3" t="s">
        <v>14</v>
      </c>
      <c r="L665" s="3" t="s">
        <v>14</v>
      </c>
      <c r="M665" s="3" t="s">
        <v>14</v>
      </c>
      <c r="N665" s="3" t="s">
        <v>14</v>
      </c>
      <c r="O665" s="3">
        <v>1</v>
      </c>
    </row>
    <row r="666" spans="1:15" ht="15" customHeight="1" x14ac:dyDescent="0.25">
      <c r="A666" s="2">
        <v>10</v>
      </c>
      <c r="B666" s="2" t="s">
        <v>18</v>
      </c>
      <c r="C666" s="2" t="s">
        <v>19</v>
      </c>
      <c r="D666" s="2" t="s">
        <v>106</v>
      </c>
      <c r="E666" s="2">
        <v>0</v>
      </c>
      <c r="F666" s="2">
        <v>0</v>
      </c>
      <c r="G666" s="2" t="s">
        <v>10</v>
      </c>
      <c r="H666" s="2" t="s">
        <v>12</v>
      </c>
      <c r="I666" s="2">
        <v>1</v>
      </c>
      <c r="J666" s="2" t="s">
        <v>14</v>
      </c>
      <c r="K666" s="2" t="s">
        <v>14</v>
      </c>
      <c r="L666" s="2" t="s">
        <v>14</v>
      </c>
      <c r="M666" s="2" t="s">
        <v>14</v>
      </c>
      <c r="N666" s="2" t="s">
        <v>14</v>
      </c>
      <c r="O666" s="2">
        <v>1</v>
      </c>
    </row>
    <row r="667" spans="1:15" ht="15" customHeight="1" x14ac:dyDescent="0.25">
      <c r="A667" s="3">
        <v>5</v>
      </c>
      <c r="B667" s="3" t="s">
        <v>10</v>
      </c>
      <c r="C667" s="3" t="s">
        <v>19</v>
      </c>
      <c r="D667" s="2" t="s">
        <v>106</v>
      </c>
      <c r="E667" s="3">
        <v>0</v>
      </c>
      <c r="F667" s="3">
        <v>0</v>
      </c>
      <c r="G667" s="3" t="s">
        <v>10</v>
      </c>
      <c r="H667" s="3" t="s">
        <v>12</v>
      </c>
      <c r="I667" s="3">
        <v>2</v>
      </c>
      <c r="J667" s="3" t="s">
        <v>14</v>
      </c>
      <c r="K667" s="3" t="s">
        <v>14</v>
      </c>
      <c r="L667" s="3" t="s">
        <v>14</v>
      </c>
      <c r="M667" s="3" t="s">
        <v>14</v>
      </c>
      <c r="N667" s="3" t="s">
        <v>14</v>
      </c>
      <c r="O667" s="3">
        <v>1</v>
      </c>
    </row>
    <row r="668" spans="1:15" ht="15" customHeight="1" x14ac:dyDescent="0.25">
      <c r="A668" s="2">
        <v>10</v>
      </c>
      <c r="B668" s="2" t="s">
        <v>10</v>
      </c>
      <c r="C668" s="2" t="s">
        <v>11</v>
      </c>
      <c r="D668" s="2" t="s">
        <v>106</v>
      </c>
      <c r="E668" s="2">
        <v>2</v>
      </c>
      <c r="F668" s="2">
        <v>0</v>
      </c>
      <c r="G668" s="2" t="s">
        <v>10</v>
      </c>
      <c r="H668" s="2" t="s">
        <v>12</v>
      </c>
      <c r="I668" s="2" t="s">
        <v>15</v>
      </c>
      <c r="J668" s="2" t="s">
        <v>13</v>
      </c>
      <c r="K668" s="2" t="s">
        <v>14</v>
      </c>
      <c r="L668" s="2" t="s">
        <v>14</v>
      </c>
      <c r="M668" s="2" t="s">
        <v>13</v>
      </c>
      <c r="N668" s="2" t="s">
        <v>14</v>
      </c>
      <c r="O668" s="2">
        <v>0</v>
      </c>
    </row>
    <row r="669" spans="1:15" ht="15" customHeight="1" x14ac:dyDescent="0.25">
      <c r="A669" s="3">
        <v>0</v>
      </c>
      <c r="B669" s="3" t="s">
        <v>10</v>
      </c>
      <c r="C669" s="3" t="s">
        <v>19</v>
      </c>
      <c r="D669" s="2" t="s">
        <v>106</v>
      </c>
      <c r="E669" s="3">
        <v>0</v>
      </c>
      <c r="F669" s="3">
        <v>0</v>
      </c>
      <c r="G669" s="3" t="s">
        <v>10</v>
      </c>
      <c r="H669" s="3" t="s">
        <v>12</v>
      </c>
      <c r="I669" s="3">
        <v>1</v>
      </c>
      <c r="J669" s="3" t="s">
        <v>14</v>
      </c>
      <c r="K669" s="3" t="s">
        <v>14</v>
      </c>
      <c r="L669" s="3" t="s">
        <v>14</v>
      </c>
      <c r="M669" s="3" t="s">
        <v>14</v>
      </c>
      <c r="N669" s="3" t="s">
        <v>14</v>
      </c>
      <c r="O669" s="3">
        <v>1</v>
      </c>
    </row>
    <row r="670" spans="1:15" ht="15" customHeight="1" x14ac:dyDescent="0.25">
      <c r="A670" s="2">
        <v>20</v>
      </c>
      <c r="B670" s="2" t="s">
        <v>14</v>
      </c>
      <c r="C670" s="2" t="s">
        <v>11</v>
      </c>
      <c r="D670" s="2" t="s">
        <v>106</v>
      </c>
      <c r="E670" s="2">
        <v>1</v>
      </c>
      <c r="F670" s="2">
        <v>0</v>
      </c>
      <c r="G670" s="2" t="s">
        <v>10</v>
      </c>
      <c r="H670" s="2" t="s">
        <v>12</v>
      </c>
      <c r="I670" s="2">
        <v>2</v>
      </c>
      <c r="J670" s="2" t="s">
        <v>14</v>
      </c>
      <c r="K670" s="2" t="s">
        <v>14</v>
      </c>
      <c r="L670" s="2" t="s">
        <v>14</v>
      </c>
      <c r="M670" s="2" t="s">
        <v>13</v>
      </c>
      <c r="N670" s="2" t="s">
        <v>13</v>
      </c>
      <c r="O670" s="2">
        <v>1</v>
      </c>
    </row>
    <row r="671" spans="1:15" ht="15" customHeight="1" x14ac:dyDescent="0.25">
      <c r="A671" s="3">
        <v>5</v>
      </c>
      <c r="B671" s="3" t="s">
        <v>18</v>
      </c>
      <c r="C671" s="3" t="s">
        <v>19</v>
      </c>
      <c r="D671" s="2" t="s">
        <v>106</v>
      </c>
      <c r="E671" s="3">
        <v>0</v>
      </c>
      <c r="F671" s="3">
        <v>0</v>
      </c>
      <c r="G671" s="3" t="s">
        <v>10</v>
      </c>
      <c r="H671" s="3" t="s">
        <v>16</v>
      </c>
      <c r="I671" s="3">
        <v>2</v>
      </c>
      <c r="J671" s="3" t="s">
        <v>14</v>
      </c>
      <c r="K671" s="3" t="s">
        <v>14</v>
      </c>
      <c r="L671" s="3" t="s">
        <v>14</v>
      </c>
      <c r="M671" s="3" t="s">
        <v>14</v>
      </c>
      <c r="N671" s="3" t="s">
        <v>14</v>
      </c>
      <c r="O671" s="3">
        <v>1</v>
      </c>
    </row>
    <row r="672" spans="1:15" ht="15" customHeight="1" x14ac:dyDescent="0.25">
      <c r="A672" s="2">
        <v>0</v>
      </c>
      <c r="B672" s="2" t="s">
        <v>14</v>
      </c>
      <c r="C672" s="2" t="s">
        <v>19</v>
      </c>
      <c r="D672" s="2" t="s">
        <v>106</v>
      </c>
      <c r="E672" s="2">
        <v>0</v>
      </c>
      <c r="F672" s="2">
        <v>0</v>
      </c>
      <c r="G672" s="2" t="s">
        <v>10</v>
      </c>
      <c r="H672" s="2" t="s">
        <v>12</v>
      </c>
      <c r="I672" s="2" t="s">
        <v>15</v>
      </c>
      <c r="J672" s="2" t="s">
        <v>14</v>
      </c>
      <c r="K672" s="2" t="s">
        <v>14</v>
      </c>
      <c r="L672" s="2" t="s">
        <v>14</v>
      </c>
      <c r="M672" s="2" t="s">
        <v>14</v>
      </c>
      <c r="N672" s="2" t="s">
        <v>14</v>
      </c>
      <c r="O672" s="2">
        <v>1</v>
      </c>
    </row>
    <row r="673" spans="1:15" ht="15" customHeight="1" x14ac:dyDescent="0.25">
      <c r="A673" s="3">
        <v>0</v>
      </c>
      <c r="B673" s="3" t="s">
        <v>14</v>
      </c>
      <c r="C673" s="3" t="s">
        <v>19</v>
      </c>
      <c r="D673" s="2" t="s">
        <v>106</v>
      </c>
      <c r="E673" s="3">
        <v>0</v>
      </c>
      <c r="F673" s="3">
        <v>0</v>
      </c>
      <c r="G673" s="3" t="s">
        <v>10</v>
      </c>
      <c r="H673" s="3" t="s">
        <v>12</v>
      </c>
      <c r="I673" s="3">
        <v>1</v>
      </c>
      <c r="J673" s="3" t="s">
        <v>14</v>
      </c>
      <c r="K673" s="3" t="s">
        <v>14</v>
      </c>
      <c r="L673" s="3" t="s">
        <v>14</v>
      </c>
      <c r="M673" s="3" t="s">
        <v>14</v>
      </c>
      <c r="N673" s="3" t="s">
        <v>14</v>
      </c>
      <c r="O673" s="3">
        <v>1</v>
      </c>
    </row>
    <row r="674" spans="1:15" ht="15" customHeight="1" x14ac:dyDescent="0.25">
      <c r="A674" s="2">
        <v>10</v>
      </c>
      <c r="B674" s="2" t="s">
        <v>10</v>
      </c>
      <c r="C674" s="2" t="s">
        <v>19</v>
      </c>
      <c r="D674" s="2" t="s">
        <v>106</v>
      </c>
      <c r="E674" s="2">
        <v>0</v>
      </c>
      <c r="F674" s="2">
        <v>1</v>
      </c>
      <c r="G674" s="2" t="s">
        <v>10</v>
      </c>
      <c r="H674" s="2" t="s">
        <v>12</v>
      </c>
      <c r="I674" s="2">
        <v>1</v>
      </c>
      <c r="J674" s="2" t="s">
        <v>14</v>
      </c>
      <c r="K674" s="2" t="s">
        <v>14</v>
      </c>
      <c r="L674" s="2" t="s">
        <v>14</v>
      </c>
      <c r="M674" s="2" t="s">
        <v>14</v>
      </c>
      <c r="N674" s="2" t="s">
        <v>14</v>
      </c>
      <c r="O674" s="2">
        <v>1</v>
      </c>
    </row>
    <row r="675" spans="1:15" ht="15" customHeight="1" x14ac:dyDescent="0.25">
      <c r="A675" s="3">
        <v>0</v>
      </c>
      <c r="B675" s="3" t="s">
        <v>14</v>
      </c>
      <c r="C675" s="3" t="s">
        <v>19</v>
      </c>
      <c r="D675" s="2" t="s">
        <v>106</v>
      </c>
      <c r="E675" s="3">
        <v>0</v>
      </c>
      <c r="F675" s="3">
        <v>0</v>
      </c>
      <c r="G675" s="3" t="s">
        <v>10</v>
      </c>
      <c r="H675" s="3" t="s">
        <v>16</v>
      </c>
      <c r="I675" s="3">
        <v>1</v>
      </c>
      <c r="J675" s="3" t="s">
        <v>14</v>
      </c>
      <c r="K675" s="3" t="s">
        <v>14</v>
      </c>
      <c r="L675" s="3" t="s">
        <v>14</v>
      </c>
      <c r="M675" s="3" t="s">
        <v>14</v>
      </c>
      <c r="N675" s="3" t="s">
        <v>14</v>
      </c>
      <c r="O675" s="3">
        <v>1</v>
      </c>
    </row>
    <row r="676" spans="1:15" ht="15" customHeight="1" x14ac:dyDescent="0.25">
      <c r="A676" s="2">
        <v>10</v>
      </c>
      <c r="B676" s="2" t="s">
        <v>14</v>
      </c>
      <c r="C676" s="2" t="s">
        <v>11</v>
      </c>
      <c r="D676" s="2" t="s">
        <v>106</v>
      </c>
      <c r="E676" s="2">
        <v>0</v>
      </c>
      <c r="F676" s="2">
        <v>0</v>
      </c>
      <c r="G676" s="2" t="s">
        <v>10</v>
      </c>
      <c r="H676" s="2" t="s">
        <v>12</v>
      </c>
      <c r="I676" s="2" t="s">
        <v>15</v>
      </c>
      <c r="J676" s="2" t="s">
        <v>14</v>
      </c>
      <c r="K676" s="2" t="s">
        <v>14</v>
      </c>
      <c r="L676" s="2" t="s">
        <v>14</v>
      </c>
      <c r="M676" s="2" t="s">
        <v>14</v>
      </c>
      <c r="N676" s="2" t="s">
        <v>14</v>
      </c>
      <c r="O676" s="2">
        <v>1</v>
      </c>
    </row>
    <row r="677" spans="1:15" ht="15" customHeight="1" x14ac:dyDescent="0.25">
      <c r="A677" s="3">
        <v>10</v>
      </c>
      <c r="B677" s="3" t="s">
        <v>10</v>
      </c>
      <c r="C677" s="3" t="s">
        <v>11</v>
      </c>
      <c r="D677" s="2" t="s">
        <v>106</v>
      </c>
      <c r="E677" s="3">
        <v>0</v>
      </c>
      <c r="F677" s="3">
        <v>0</v>
      </c>
      <c r="G677" s="3" t="s">
        <v>10</v>
      </c>
      <c r="H677" s="3" t="s">
        <v>12</v>
      </c>
      <c r="I677" s="3">
        <v>1</v>
      </c>
      <c r="J677" s="3" t="s">
        <v>14</v>
      </c>
      <c r="K677" s="3" t="s">
        <v>14</v>
      </c>
      <c r="L677" s="3" t="s">
        <v>14</v>
      </c>
      <c r="M677" s="3" t="s">
        <v>14</v>
      </c>
      <c r="N677" s="3" t="s">
        <v>14</v>
      </c>
      <c r="O677" s="3">
        <v>1</v>
      </c>
    </row>
    <row r="678" spans="1:15" ht="15" customHeight="1" x14ac:dyDescent="0.25">
      <c r="A678" s="2">
        <v>5</v>
      </c>
      <c r="B678" s="2" t="s">
        <v>10</v>
      </c>
      <c r="C678" s="2" t="s">
        <v>11</v>
      </c>
      <c r="D678" s="2" t="s">
        <v>106</v>
      </c>
      <c r="E678" s="2">
        <v>0</v>
      </c>
      <c r="F678" s="2">
        <v>0</v>
      </c>
      <c r="G678" s="2" t="s">
        <v>10</v>
      </c>
      <c r="H678" s="2" t="s">
        <v>12</v>
      </c>
      <c r="I678" s="2">
        <v>2</v>
      </c>
      <c r="J678" s="2" t="s">
        <v>13</v>
      </c>
      <c r="K678" s="2" t="s">
        <v>14</v>
      </c>
      <c r="L678" s="2" t="s">
        <v>14</v>
      </c>
      <c r="M678" s="2" t="s">
        <v>14</v>
      </c>
      <c r="N678" s="2" t="s">
        <v>14</v>
      </c>
      <c r="O678" s="2">
        <v>1</v>
      </c>
    </row>
    <row r="679" spans="1:15" ht="15" customHeight="1" x14ac:dyDescent="0.25">
      <c r="A679" s="3">
        <v>10</v>
      </c>
      <c r="B679" s="3" t="s">
        <v>14</v>
      </c>
      <c r="C679" s="3" t="s">
        <v>11</v>
      </c>
      <c r="D679" s="2" t="s">
        <v>106</v>
      </c>
      <c r="E679" s="3">
        <v>1</v>
      </c>
      <c r="F679" s="3">
        <v>0</v>
      </c>
      <c r="G679" s="3" t="s">
        <v>10</v>
      </c>
      <c r="H679" s="3" t="s">
        <v>12</v>
      </c>
      <c r="I679" s="3">
        <v>1</v>
      </c>
      <c r="J679" s="3" t="s">
        <v>14</v>
      </c>
      <c r="K679" s="3" t="s">
        <v>14</v>
      </c>
      <c r="L679" s="3" t="s">
        <v>14</v>
      </c>
      <c r="M679" s="3" t="s">
        <v>14</v>
      </c>
      <c r="N679" s="3" t="s">
        <v>13</v>
      </c>
      <c r="O679" s="3">
        <v>0</v>
      </c>
    </row>
    <row r="680" spans="1:15" ht="15" customHeight="1" x14ac:dyDescent="0.25">
      <c r="A680" s="2">
        <v>0</v>
      </c>
      <c r="B680" s="2" t="s">
        <v>10</v>
      </c>
      <c r="C680" s="2" t="s">
        <v>20</v>
      </c>
      <c r="D680" s="2" t="s">
        <v>106</v>
      </c>
      <c r="E680" s="2">
        <v>0</v>
      </c>
      <c r="F680" s="2">
        <v>0</v>
      </c>
      <c r="G680" s="2" t="s">
        <v>17</v>
      </c>
      <c r="H680" s="2" t="s">
        <v>106</v>
      </c>
      <c r="I680" s="2">
        <v>1</v>
      </c>
      <c r="J680" s="2" t="s">
        <v>14</v>
      </c>
      <c r="K680" s="2" t="s">
        <v>13</v>
      </c>
      <c r="L680" s="2" t="s">
        <v>13</v>
      </c>
      <c r="M680" s="2" t="s">
        <v>13</v>
      </c>
      <c r="N680" s="2" t="s">
        <v>14</v>
      </c>
      <c r="O680" s="2">
        <v>1</v>
      </c>
    </row>
    <row r="681" spans="1:15" ht="15" customHeight="1" x14ac:dyDescent="0.25">
      <c r="A681" s="3">
        <v>5</v>
      </c>
      <c r="B681" s="3" t="s">
        <v>18</v>
      </c>
      <c r="C681" s="3" t="s">
        <v>19</v>
      </c>
      <c r="D681" s="2" t="s">
        <v>106</v>
      </c>
      <c r="E681" s="3">
        <v>0</v>
      </c>
      <c r="F681" s="3">
        <v>0</v>
      </c>
      <c r="G681" s="3" t="s">
        <v>10</v>
      </c>
      <c r="H681" s="3" t="s">
        <v>12</v>
      </c>
      <c r="I681" s="3">
        <v>1</v>
      </c>
      <c r="J681" s="3" t="s">
        <v>14</v>
      </c>
      <c r="K681" s="3" t="s">
        <v>14</v>
      </c>
      <c r="L681" s="3" t="s">
        <v>14</v>
      </c>
      <c r="M681" s="3" t="s">
        <v>14</v>
      </c>
      <c r="N681" s="3" t="s">
        <v>14</v>
      </c>
      <c r="O681" s="3">
        <v>1</v>
      </c>
    </row>
    <row r="682" spans="1:15" ht="15" customHeight="1" x14ac:dyDescent="0.25">
      <c r="A682" s="2">
        <v>5</v>
      </c>
      <c r="B682" s="2" t="s">
        <v>18</v>
      </c>
      <c r="C682" s="2" t="s">
        <v>20</v>
      </c>
      <c r="D682" s="2" t="s">
        <v>106</v>
      </c>
      <c r="E682" s="2">
        <v>0</v>
      </c>
      <c r="F682" s="2">
        <v>0</v>
      </c>
      <c r="G682" s="2" t="s">
        <v>10</v>
      </c>
      <c r="H682" s="2" t="s">
        <v>12</v>
      </c>
      <c r="I682" s="2">
        <v>2</v>
      </c>
      <c r="J682" s="2" t="s">
        <v>14</v>
      </c>
      <c r="K682" s="2" t="s">
        <v>14</v>
      </c>
      <c r="L682" s="2" t="s">
        <v>14</v>
      </c>
      <c r="M682" s="2" t="s">
        <v>14</v>
      </c>
      <c r="N682" s="2" t="s">
        <v>14</v>
      </c>
      <c r="O682" s="2">
        <v>1</v>
      </c>
    </row>
    <row r="683" spans="1:15" ht="15" customHeight="1" x14ac:dyDescent="0.25">
      <c r="A683" s="3">
        <v>10</v>
      </c>
      <c r="B683" s="3" t="s">
        <v>10</v>
      </c>
      <c r="C683" s="3" t="s">
        <v>19</v>
      </c>
      <c r="D683" s="2" t="s">
        <v>106</v>
      </c>
      <c r="E683" s="3">
        <v>0</v>
      </c>
      <c r="F683" s="3">
        <v>0</v>
      </c>
      <c r="G683" s="3" t="s">
        <v>10</v>
      </c>
      <c r="H683" s="3" t="s">
        <v>12</v>
      </c>
      <c r="I683" s="3">
        <v>2</v>
      </c>
      <c r="J683" s="3" t="s">
        <v>14</v>
      </c>
      <c r="K683" s="3" t="s">
        <v>14</v>
      </c>
      <c r="L683" s="3" t="s">
        <v>14</v>
      </c>
      <c r="M683" s="3" t="s">
        <v>14</v>
      </c>
      <c r="N683" s="3" t="s">
        <v>14</v>
      </c>
      <c r="O683" s="3">
        <v>1</v>
      </c>
    </row>
    <row r="684" spans="1:15" ht="15" customHeight="1" x14ac:dyDescent="0.25">
      <c r="A684" s="2">
        <v>10</v>
      </c>
      <c r="B684" s="2" t="s">
        <v>18</v>
      </c>
      <c r="C684" s="2" t="s">
        <v>20</v>
      </c>
      <c r="D684" s="2" t="s">
        <v>106</v>
      </c>
      <c r="E684" s="2">
        <v>1</v>
      </c>
      <c r="F684" s="2">
        <v>1</v>
      </c>
      <c r="G684" s="2" t="s">
        <v>10</v>
      </c>
      <c r="H684" s="2" t="s">
        <v>12</v>
      </c>
      <c r="I684" s="2" t="s">
        <v>15</v>
      </c>
      <c r="J684" s="2" t="s">
        <v>14</v>
      </c>
      <c r="K684" s="2" t="s">
        <v>14</v>
      </c>
      <c r="L684" s="2" t="s">
        <v>14</v>
      </c>
      <c r="M684" s="2" t="s">
        <v>14</v>
      </c>
      <c r="N684" s="2" t="s">
        <v>14</v>
      </c>
      <c r="O684" s="2">
        <v>0</v>
      </c>
    </row>
    <row r="685" spans="1:15" ht="15" customHeight="1" x14ac:dyDescent="0.25">
      <c r="A685" s="3">
        <v>10</v>
      </c>
      <c r="B685" s="3" t="s">
        <v>18</v>
      </c>
      <c r="C685" s="3" t="s">
        <v>11</v>
      </c>
      <c r="D685" s="2" t="s">
        <v>106</v>
      </c>
      <c r="E685" s="3">
        <v>0</v>
      </c>
      <c r="F685" s="3">
        <v>0</v>
      </c>
      <c r="G685" s="3" t="s">
        <v>17</v>
      </c>
      <c r="H685" s="3" t="s">
        <v>106</v>
      </c>
      <c r="I685" s="3">
        <v>1</v>
      </c>
      <c r="J685" s="3" t="s">
        <v>14</v>
      </c>
      <c r="K685" s="3" t="s">
        <v>13</v>
      </c>
      <c r="L685" s="3" t="s">
        <v>13</v>
      </c>
      <c r="M685" s="3" t="s">
        <v>13</v>
      </c>
      <c r="N685" s="3" t="s">
        <v>14</v>
      </c>
      <c r="O685" s="3">
        <v>1</v>
      </c>
    </row>
    <row r="686" spans="1:15" ht="15" customHeight="1" x14ac:dyDescent="0.25">
      <c r="A686" s="2">
        <v>10</v>
      </c>
      <c r="B686" s="2" t="s">
        <v>18</v>
      </c>
      <c r="C686" s="2" t="s">
        <v>11</v>
      </c>
      <c r="D686" s="2" t="s">
        <v>106</v>
      </c>
      <c r="E686" s="2">
        <v>0</v>
      </c>
      <c r="F686" s="2">
        <v>0</v>
      </c>
      <c r="G686" s="2" t="s">
        <v>10</v>
      </c>
      <c r="H686" s="2" t="s">
        <v>12</v>
      </c>
      <c r="I686" s="2">
        <v>1</v>
      </c>
      <c r="J686" s="2" t="s">
        <v>14</v>
      </c>
      <c r="K686" s="2" t="s">
        <v>14</v>
      </c>
      <c r="L686" s="2" t="s">
        <v>14</v>
      </c>
      <c r="M686" s="2" t="s">
        <v>14</v>
      </c>
      <c r="N686" s="2" t="s">
        <v>14</v>
      </c>
      <c r="O686" s="2">
        <v>1</v>
      </c>
    </row>
    <row r="687" spans="1:15" ht="15" customHeight="1" x14ac:dyDescent="0.25">
      <c r="A687" s="3">
        <v>20</v>
      </c>
      <c r="B687" s="3" t="s">
        <v>10</v>
      </c>
      <c r="C687" s="3" t="s">
        <v>11</v>
      </c>
      <c r="D687" s="2" t="s">
        <v>106</v>
      </c>
      <c r="E687" s="3">
        <v>1</v>
      </c>
      <c r="F687" s="3">
        <v>0</v>
      </c>
      <c r="G687" s="3" t="s">
        <v>10</v>
      </c>
      <c r="H687" s="3" t="s">
        <v>12</v>
      </c>
      <c r="I687" s="3">
        <v>1</v>
      </c>
      <c r="J687" s="3" t="s">
        <v>14</v>
      </c>
      <c r="K687" s="3" t="s">
        <v>14</v>
      </c>
      <c r="L687" s="3" t="s">
        <v>14</v>
      </c>
      <c r="M687" s="3" t="s">
        <v>13</v>
      </c>
      <c r="N687" s="3" t="s">
        <v>13</v>
      </c>
      <c r="O687" s="3">
        <v>0</v>
      </c>
    </row>
    <row r="688" spans="1:15" ht="15" customHeight="1" x14ac:dyDescent="0.25">
      <c r="A688" s="2">
        <v>10</v>
      </c>
      <c r="B688" s="2" t="s">
        <v>18</v>
      </c>
      <c r="C688" s="2" t="s">
        <v>19</v>
      </c>
      <c r="D688" s="2" t="s">
        <v>106</v>
      </c>
      <c r="E688" s="2">
        <v>0</v>
      </c>
      <c r="F688" s="2">
        <v>0</v>
      </c>
      <c r="G688" s="2" t="s">
        <v>10</v>
      </c>
      <c r="H688" s="2" t="s">
        <v>12</v>
      </c>
      <c r="I688" s="2">
        <v>1</v>
      </c>
      <c r="J688" s="2" t="s">
        <v>14</v>
      </c>
      <c r="K688" s="2" t="s">
        <v>14</v>
      </c>
      <c r="L688" s="2" t="s">
        <v>14</v>
      </c>
      <c r="M688" s="2" t="s">
        <v>14</v>
      </c>
      <c r="N688" s="2" t="s">
        <v>14</v>
      </c>
      <c r="O688" s="2">
        <v>1</v>
      </c>
    </row>
    <row r="689" spans="1:15" ht="15" customHeight="1" x14ac:dyDescent="0.25">
      <c r="A689" s="3">
        <v>30</v>
      </c>
      <c r="B689" s="3" t="s">
        <v>10</v>
      </c>
      <c r="C689" s="3" t="s">
        <v>11</v>
      </c>
      <c r="D689" s="2" t="s">
        <v>106</v>
      </c>
      <c r="E689" s="3">
        <v>0</v>
      </c>
      <c r="F689" s="3">
        <v>0</v>
      </c>
      <c r="G689" s="3" t="s">
        <v>10</v>
      </c>
      <c r="H689" s="3" t="s">
        <v>12</v>
      </c>
      <c r="I689" s="3">
        <v>2</v>
      </c>
      <c r="J689" s="3" t="s">
        <v>14</v>
      </c>
      <c r="K689" s="3" t="s">
        <v>14</v>
      </c>
      <c r="L689" s="3" t="s">
        <v>14</v>
      </c>
      <c r="M689" s="3" t="s">
        <v>13</v>
      </c>
      <c r="N689" s="3" t="s">
        <v>13</v>
      </c>
      <c r="O689" s="3">
        <v>1</v>
      </c>
    </row>
    <row r="690" spans="1:15" ht="15" customHeight="1" x14ac:dyDescent="0.25">
      <c r="A690" s="2">
        <v>10</v>
      </c>
      <c r="B690" s="2" t="s">
        <v>10</v>
      </c>
      <c r="C690" s="2" t="s">
        <v>11</v>
      </c>
      <c r="D690" s="2" t="s">
        <v>106</v>
      </c>
      <c r="E690" s="2">
        <v>1</v>
      </c>
      <c r="F690" s="2">
        <v>1</v>
      </c>
      <c r="G690" s="2" t="s">
        <v>10</v>
      </c>
      <c r="H690" s="2" t="s">
        <v>12</v>
      </c>
      <c r="I690" s="2">
        <v>2</v>
      </c>
      <c r="J690" s="2" t="s">
        <v>13</v>
      </c>
      <c r="K690" s="2" t="s">
        <v>14</v>
      </c>
      <c r="L690" s="2" t="s">
        <v>14</v>
      </c>
      <c r="M690" s="2" t="s">
        <v>13</v>
      </c>
      <c r="N690" s="2" t="s">
        <v>14</v>
      </c>
      <c r="O690" s="2">
        <v>1</v>
      </c>
    </row>
    <row r="691" spans="1:15" ht="15" customHeight="1" x14ac:dyDescent="0.25">
      <c r="A691" s="3">
        <v>10</v>
      </c>
      <c r="B691" s="3" t="s">
        <v>18</v>
      </c>
      <c r="C691" s="3" t="s">
        <v>11</v>
      </c>
      <c r="D691" s="2" t="s">
        <v>106</v>
      </c>
      <c r="E691" s="3">
        <v>0</v>
      </c>
      <c r="F691" s="3">
        <v>1</v>
      </c>
      <c r="G691" s="3" t="s">
        <v>10</v>
      </c>
      <c r="H691" s="3" t="s">
        <v>12</v>
      </c>
      <c r="I691" s="3">
        <v>1</v>
      </c>
      <c r="J691" s="3" t="s">
        <v>14</v>
      </c>
      <c r="K691" s="3" t="s">
        <v>13</v>
      </c>
      <c r="L691" s="3" t="s">
        <v>13</v>
      </c>
      <c r="M691" s="3" t="s">
        <v>13</v>
      </c>
      <c r="N691" s="3" t="s">
        <v>14</v>
      </c>
      <c r="O691" s="3">
        <v>1</v>
      </c>
    </row>
    <row r="692" spans="1:15" ht="15" customHeight="1" x14ac:dyDescent="0.25">
      <c r="A692" s="2">
        <v>20</v>
      </c>
      <c r="B692" s="2" t="s">
        <v>10</v>
      </c>
      <c r="C692" s="2" t="s">
        <v>19</v>
      </c>
      <c r="D692" s="2" t="s">
        <v>106</v>
      </c>
      <c r="E692" s="2">
        <v>1</v>
      </c>
      <c r="F692" s="2">
        <v>0</v>
      </c>
      <c r="G692" s="2" t="s">
        <v>10</v>
      </c>
      <c r="H692" s="2" t="s">
        <v>12</v>
      </c>
      <c r="I692" s="2">
        <v>1</v>
      </c>
      <c r="J692" s="2" t="s">
        <v>14</v>
      </c>
      <c r="K692" s="2" t="s">
        <v>13</v>
      </c>
      <c r="L692" s="2" t="s">
        <v>13</v>
      </c>
      <c r="M692" s="2" t="s">
        <v>13</v>
      </c>
      <c r="N692" s="2" t="s">
        <v>14</v>
      </c>
      <c r="O692" s="2">
        <v>0</v>
      </c>
    </row>
    <row r="693" spans="1:15" ht="15" customHeight="1" x14ac:dyDescent="0.25">
      <c r="A693" s="3">
        <v>5</v>
      </c>
      <c r="B693" s="3" t="s">
        <v>10</v>
      </c>
      <c r="C693" s="3" t="s">
        <v>19</v>
      </c>
      <c r="D693" s="2" t="s">
        <v>106</v>
      </c>
      <c r="E693" s="3">
        <v>0</v>
      </c>
      <c r="F693" s="3">
        <v>1</v>
      </c>
      <c r="G693" s="3" t="s">
        <v>17</v>
      </c>
      <c r="H693" s="3" t="s">
        <v>106</v>
      </c>
      <c r="I693" s="3">
        <v>1</v>
      </c>
      <c r="J693" s="3" t="s">
        <v>14</v>
      </c>
      <c r="K693" s="3" t="s">
        <v>13</v>
      </c>
      <c r="L693" s="3" t="s">
        <v>13</v>
      </c>
      <c r="M693" s="3" t="s">
        <v>13</v>
      </c>
      <c r="N693" s="3" t="s">
        <v>14</v>
      </c>
      <c r="O693" s="3">
        <v>0</v>
      </c>
    </row>
    <row r="694" spans="1:15" ht="15" customHeight="1" x14ac:dyDescent="0.25">
      <c r="A694" s="2">
        <v>10</v>
      </c>
      <c r="B694" s="2" t="s">
        <v>10</v>
      </c>
      <c r="C694" s="2" t="s">
        <v>19</v>
      </c>
      <c r="D694" s="2" t="s">
        <v>106</v>
      </c>
      <c r="E694" s="2">
        <v>0</v>
      </c>
      <c r="F694" s="2">
        <v>0</v>
      </c>
      <c r="G694" s="2" t="s">
        <v>17</v>
      </c>
      <c r="H694" s="2" t="s">
        <v>106</v>
      </c>
      <c r="I694" s="2">
        <v>1</v>
      </c>
      <c r="J694" s="2" t="s">
        <v>14</v>
      </c>
      <c r="K694" s="2" t="s">
        <v>13</v>
      </c>
      <c r="L694" s="2" t="s">
        <v>13</v>
      </c>
      <c r="M694" s="2" t="s">
        <v>13</v>
      </c>
      <c r="N694" s="2" t="s">
        <v>14</v>
      </c>
      <c r="O694" s="2">
        <v>0</v>
      </c>
    </row>
    <row r="695" spans="1:15" ht="15" customHeight="1" x14ac:dyDescent="0.25">
      <c r="A695" s="3">
        <v>5</v>
      </c>
      <c r="B695" s="3" t="s">
        <v>10</v>
      </c>
      <c r="C695" s="3" t="s">
        <v>19</v>
      </c>
      <c r="D695" s="2" t="s">
        <v>106</v>
      </c>
      <c r="E695" s="3">
        <v>1</v>
      </c>
      <c r="F695" s="3">
        <v>0</v>
      </c>
      <c r="G695" s="3" t="s">
        <v>17</v>
      </c>
      <c r="H695" s="3" t="s">
        <v>106</v>
      </c>
      <c r="I695" s="3">
        <v>1</v>
      </c>
      <c r="J695" s="3" t="s">
        <v>14</v>
      </c>
      <c r="K695" s="3" t="s">
        <v>13</v>
      </c>
      <c r="L695" s="3" t="s">
        <v>13</v>
      </c>
      <c r="M695" s="3" t="s">
        <v>13</v>
      </c>
      <c r="N695" s="3" t="s">
        <v>14</v>
      </c>
      <c r="O695" s="3">
        <v>0</v>
      </c>
    </row>
    <row r="696" spans="1:15" ht="15" customHeight="1" x14ac:dyDescent="0.25">
      <c r="A696" s="2">
        <v>10</v>
      </c>
      <c r="B696" s="2" t="s">
        <v>10</v>
      </c>
      <c r="C696" s="2" t="s">
        <v>11</v>
      </c>
      <c r="D696" s="2" t="s">
        <v>106</v>
      </c>
      <c r="E696" s="2">
        <v>2</v>
      </c>
      <c r="F696" s="2">
        <v>0</v>
      </c>
      <c r="G696" s="2" t="s">
        <v>10</v>
      </c>
      <c r="H696" s="2" t="s">
        <v>12</v>
      </c>
      <c r="I696" s="2">
        <v>2</v>
      </c>
      <c r="J696" s="2" t="s">
        <v>13</v>
      </c>
      <c r="K696" s="2" t="s">
        <v>13</v>
      </c>
      <c r="L696" s="2" t="s">
        <v>13</v>
      </c>
      <c r="M696" s="2" t="s">
        <v>13</v>
      </c>
      <c r="N696" s="2" t="s">
        <v>14</v>
      </c>
      <c r="O696" s="2">
        <v>0</v>
      </c>
    </row>
    <row r="697" spans="1:15" ht="15" customHeight="1" x14ac:dyDescent="0.25">
      <c r="A697" s="3">
        <v>10</v>
      </c>
      <c r="B697" s="3" t="s">
        <v>10</v>
      </c>
      <c r="C697" s="3" t="s">
        <v>19</v>
      </c>
      <c r="D697" s="2" t="s">
        <v>106</v>
      </c>
      <c r="E697" s="3">
        <v>0</v>
      </c>
      <c r="F697" s="3">
        <v>0</v>
      </c>
      <c r="G697" s="3" t="s">
        <v>10</v>
      </c>
      <c r="H697" s="3" t="s">
        <v>12</v>
      </c>
      <c r="I697" s="3">
        <v>1</v>
      </c>
      <c r="J697" s="3" t="s">
        <v>14</v>
      </c>
      <c r="K697" s="3" t="s">
        <v>13</v>
      </c>
      <c r="L697" s="3" t="s">
        <v>13</v>
      </c>
      <c r="M697" s="3" t="s">
        <v>13</v>
      </c>
      <c r="N697" s="3" t="s">
        <v>14</v>
      </c>
      <c r="O697" s="3">
        <v>1</v>
      </c>
    </row>
    <row r="698" spans="1:15" ht="15" customHeight="1" x14ac:dyDescent="0.25">
      <c r="A698" s="2">
        <v>10</v>
      </c>
      <c r="B698" s="2" t="s">
        <v>14</v>
      </c>
      <c r="C698" s="2" t="s">
        <v>19</v>
      </c>
      <c r="D698" s="2" t="s">
        <v>106</v>
      </c>
      <c r="E698" s="2">
        <v>0</v>
      </c>
      <c r="F698" s="2">
        <v>0</v>
      </c>
      <c r="G698" s="2" t="s">
        <v>17</v>
      </c>
      <c r="H698" s="2" t="s">
        <v>106</v>
      </c>
      <c r="I698" s="2">
        <v>1</v>
      </c>
      <c r="J698" s="2" t="s">
        <v>14</v>
      </c>
      <c r="K698" s="2" t="s">
        <v>13</v>
      </c>
      <c r="L698" s="2" t="s">
        <v>13</v>
      </c>
      <c r="M698" s="2" t="s">
        <v>13</v>
      </c>
      <c r="N698" s="2" t="s">
        <v>14</v>
      </c>
      <c r="O698" s="2">
        <v>1</v>
      </c>
    </row>
    <row r="699" spans="1:15" ht="15" customHeight="1" x14ac:dyDescent="0.25">
      <c r="A699" s="3">
        <v>10</v>
      </c>
      <c r="B699" s="3" t="s">
        <v>10</v>
      </c>
      <c r="C699" s="3" t="s">
        <v>19</v>
      </c>
      <c r="D699" s="2" t="s">
        <v>106</v>
      </c>
      <c r="E699" s="3">
        <v>0</v>
      </c>
      <c r="F699" s="3">
        <v>0</v>
      </c>
      <c r="G699" s="3" t="s">
        <v>10</v>
      </c>
      <c r="H699" s="3" t="s">
        <v>12</v>
      </c>
      <c r="I699" s="3" t="s">
        <v>15</v>
      </c>
      <c r="J699" s="3" t="s">
        <v>13</v>
      </c>
      <c r="K699" s="3" t="s">
        <v>14</v>
      </c>
      <c r="L699" s="3" t="s">
        <v>14</v>
      </c>
      <c r="M699" s="3" t="s">
        <v>14</v>
      </c>
      <c r="N699" s="3" t="s">
        <v>14</v>
      </c>
      <c r="O699" s="3">
        <v>1</v>
      </c>
    </row>
    <row r="700" spans="1:15" ht="15" customHeight="1" x14ac:dyDescent="0.25">
      <c r="A700" s="2">
        <v>10</v>
      </c>
      <c r="B700" s="2" t="s">
        <v>18</v>
      </c>
      <c r="C700" s="2" t="s">
        <v>11</v>
      </c>
      <c r="D700" s="2" t="s">
        <v>106</v>
      </c>
      <c r="E700" s="2">
        <v>0</v>
      </c>
      <c r="F700" s="2">
        <v>0</v>
      </c>
      <c r="G700" s="2" t="s">
        <v>10</v>
      </c>
      <c r="H700" s="2" t="s">
        <v>16</v>
      </c>
      <c r="I700" s="2" t="s">
        <v>15</v>
      </c>
      <c r="J700" s="2" t="s">
        <v>14</v>
      </c>
      <c r="K700" s="2" t="s">
        <v>14</v>
      </c>
      <c r="L700" s="2" t="s">
        <v>14</v>
      </c>
      <c r="M700" s="2" t="s">
        <v>14</v>
      </c>
      <c r="N700" s="2" t="s">
        <v>14</v>
      </c>
      <c r="O700" s="2">
        <v>1</v>
      </c>
    </row>
    <row r="701" spans="1:15" ht="15" customHeight="1" x14ac:dyDescent="0.25">
      <c r="A701" s="3">
        <v>0</v>
      </c>
      <c r="B701" s="3" t="s">
        <v>14</v>
      </c>
      <c r="C701" s="3" t="s">
        <v>19</v>
      </c>
      <c r="D701" s="2" t="s">
        <v>106</v>
      </c>
      <c r="E701" s="3">
        <v>0</v>
      </c>
      <c r="F701" s="3">
        <v>0</v>
      </c>
      <c r="G701" s="3" t="s">
        <v>10</v>
      </c>
      <c r="H701" s="3" t="s">
        <v>16</v>
      </c>
      <c r="I701" s="3" t="s">
        <v>15</v>
      </c>
      <c r="J701" s="3" t="s">
        <v>14</v>
      </c>
      <c r="K701" s="3" t="s">
        <v>14</v>
      </c>
      <c r="L701" s="3" t="s">
        <v>14</v>
      </c>
      <c r="M701" s="3" t="s">
        <v>14</v>
      </c>
      <c r="N701" s="3" t="s">
        <v>14</v>
      </c>
      <c r="O701" s="3">
        <v>1</v>
      </c>
    </row>
    <row r="702" spans="1:15" ht="15" customHeight="1" x14ac:dyDescent="0.25">
      <c r="A702" s="2">
        <v>0</v>
      </c>
      <c r="B702" s="2" t="s">
        <v>14</v>
      </c>
      <c r="C702" s="2" t="s">
        <v>19</v>
      </c>
      <c r="D702" s="2" t="s">
        <v>106</v>
      </c>
      <c r="E702" s="2">
        <v>0</v>
      </c>
      <c r="F702" s="2">
        <v>0</v>
      </c>
      <c r="G702" s="2" t="s">
        <v>10</v>
      </c>
      <c r="H702" s="2" t="s">
        <v>12</v>
      </c>
      <c r="I702" s="2" t="s">
        <v>15</v>
      </c>
      <c r="J702" s="2" t="s">
        <v>14</v>
      </c>
      <c r="K702" s="2" t="s">
        <v>14</v>
      </c>
      <c r="L702" s="2" t="s">
        <v>14</v>
      </c>
      <c r="M702" s="2" t="s">
        <v>14</v>
      </c>
      <c r="N702" s="2" t="s">
        <v>14</v>
      </c>
      <c r="O702" s="2">
        <v>1</v>
      </c>
    </row>
    <row r="703" spans="1:15" ht="15" customHeight="1" x14ac:dyDescent="0.25">
      <c r="A703" s="3">
        <v>5</v>
      </c>
      <c r="B703" s="3" t="s">
        <v>10</v>
      </c>
      <c r="C703" s="3" t="s">
        <v>11</v>
      </c>
      <c r="D703" s="2" t="s">
        <v>106</v>
      </c>
      <c r="E703" s="3">
        <v>0</v>
      </c>
      <c r="F703" s="3">
        <v>1</v>
      </c>
      <c r="G703" s="3" t="s">
        <v>10</v>
      </c>
      <c r="H703" s="3" t="s">
        <v>12</v>
      </c>
      <c r="I703" s="3" t="s">
        <v>15</v>
      </c>
      <c r="J703" s="3" t="s">
        <v>14</v>
      </c>
      <c r="K703" s="3" t="s">
        <v>14</v>
      </c>
      <c r="L703" s="3" t="s">
        <v>14</v>
      </c>
      <c r="M703" s="3" t="s">
        <v>14</v>
      </c>
      <c r="N703" s="3" t="s">
        <v>14</v>
      </c>
      <c r="O703" s="3">
        <v>1</v>
      </c>
    </row>
    <row r="704" spans="1:15" ht="15" customHeight="1" x14ac:dyDescent="0.25">
      <c r="A704" s="2">
        <v>5</v>
      </c>
      <c r="B704" s="2" t="s">
        <v>10</v>
      </c>
      <c r="C704" s="2" t="s">
        <v>19</v>
      </c>
      <c r="D704" s="2" t="s">
        <v>106</v>
      </c>
      <c r="E704" s="2">
        <v>1</v>
      </c>
      <c r="F704" s="2">
        <v>0</v>
      </c>
      <c r="G704" s="2" t="s">
        <v>10</v>
      </c>
      <c r="H704" s="2" t="s">
        <v>12</v>
      </c>
      <c r="I704" s="2">
        <v>2</v>
      </c>
      <c r="J704" s="2" t="s">
        <v>14</v>
      </c>
      <c r="K704" s="2" t="s">
        <v>13</v>
      </c>
      <c r="L704" s="2" t="s">
        <v>13</v>
      </c>
      <c r="M704" s="2" t="s">
        <v>13</v>
      </c>
      <c r="N704" s="2" t="s">
        <v>14</v>
      </c>
      <c r="O704" s="2">
        <v>0</v>
      </c>
    </row>
    <row r="705" spans="1:15" ht="15" customHeight="1" x14ac:dyDescent="0.25">
      <c r="A705" s="3">
        <v>0</v>
      </c>
      <c r="B705" s="3" t="s">
        <v>18</v>
      </c>
      <c r="C705" s="3" t="s">
        <v>19</v>
      </c>
      <c r="D705" s="2" t="s">
        <v>106</v>
      </c>
      <c r="E705" s="3">
        <v>0</v>
      </c>
      <c r="F705" s="3">
        <v>0</v>
      </c>
      <c r="G705" s="3" t="s">
        <v>10</v>
      </c>
      <c r="H705" s="3" t="s">
        <v>12</v>
      </c>
      <c r="I705" s="3">
        <v>2</v>
      </c>
      <c r="J705" s="3" t="s">
        <v>14</v>
      </c>
      <c r="K705" s="3" t="s">
        <v>13</v>
      </c>
      <c r="L705" s="3" t="s">
        <v>14</v>
      </c>
      <c r="M705" s="3" t="s">
        <v>14</v>
      </c>
      <c r="N705" s="3" t="s">
        <v>14</v>
      </c>
      <c r="O705" s="3">
        <v>1</v>
      </c>
    </row>
    <row r="706" spans="1:15" ht="15" customHeight="1" x14ac:dyDescent="0.25">
      <c r="A706" s="2">
        <v>10</v>
      </c>
      <c r="B706" s="2" t="s">
        <v>10</v>
      </c>
      <c r="C706" s="2" t="s">
        <v>11</v>
      </c>
      <c r="D706" s="2" t="s">
        <v>106</v>
      </c>
      <c r="E706" s="2">
        <v>0</v>
      </c>
      <c r="F706" s="2">
        <v>1</v>
      </c>
      <c r="G706" s="2" t="s">
        <v>10</v>
      </c>
      <c r="H706" s="2" t="s">
        <v>12</v>
      </c>
      <c r="I706" s="2" t="s">
        <v>15</v>
      </c>
      <c r="J706" s="2" t="s">
        <v>14</v>
      </c>
      <c r="K706" s="2" t="s">
        <v>14</v>
      </c>
      <c r="L706" s="2" t="s">
        <v>14</v>
      </c>
      <c r="M706" s="2" t="s">
        <v>14</v>
      </c>
      <c r="N706" s="2" t="s">
        <v>14</v>
      </c>
      <c r="O706" s="2">
        <v>0</v>
      </c>
    </row>
    <row r="707" spans="1:15" ht="15" customHeight="1" x14ac:dyDescent="0.25">
      <c r="A707" s="3">
        <v>10</v>
      </c>
      <c r="B707" s="3" t="s">
        <v>10</v>
      </c>
      <c r="C707" s="3" t="s">
        <v>19</v>
      </c>
      <c r="D707" s="2" t="s">
        <v>106</v>
      </c>
      <c r="E707" s="3">
        <v>0</v>
      </c>
      <c r="F707" s="3">
        <v>0</v>
      </c>
      <c r="G707" s="3" t="s">
        <v>10</v>
      </c>
      <c r="H707" s="3" t="s">
        <v>12</v>
      </c>
      <c r="I707" s="3" t="s">
        <v>15</v>
      </c>
      <c r="J707" s="3" t="s">
        <v>14</v>
      </c>
      <c r="K707" s="3" t="s">
        <v>14</v>
      </c>
      <c r="L707" s="3" t="s">
        <v>14</v>
      </c>
      <c r="M707" s="3" t="s">
        <v>14</v>
      </c>
      <c r="N707" s="3" t="s">
        <v>14</v>
      </c>
      <c r="O707" s="3">
        <v>1</v>
      </c>
    </row>
    <row r="708" spans="1:15" ht="15" customHeight="1" x14ac:dyDescent="0.25">
      <c r="A708" s="2">
        <v>10</v>
      </c>
      <c r="B708" s="2" t="s">
        <v>18</v>
      </c>
      <c r="C708" s="2" t="s">
        <v>19</v>
      </c>
      <c r="D708" s="2" t="s">
        <v>106</v>
      </c>
      <c r="E708" s="2">
        <v>0</v>
      </c>
      <c r="F708" s="2">
        <v>0</v>
      </c>
      <c r="G708" s="2" t="s">
        <v>10</v>
      </c>
      <c r="H708" s="2" t="s">
        <v>12</v>
      </c>
      <c r="I708" s="2">
        <v>1</v>
      </c>
      <c r="J708" s="2" t="s">
        <v>14</v>
      </c>
      <c r="K708" s="2" t="s">
        <v>14</v>
      </c>
      <c r="L708" s="2" t="s">
        <v>14</v>
      </c>
      <c r="M708" s="2" t="s">
        <v>14</v>
      </c>
      <c r="N708" s="2" t="s">
        <v>14</v>
      </c>
      <c r="O708" s="2">
        <v>1</v>
      </c>
    </row>
    <row r="709" spans="1:15" ht="15" customHeight="1" x14ac:dyDescent="0.25">
      <c r="A709" s="3">
        <v>5</v>
      </c>
      <c r="B709" s="3" t="s">
        <v>10</v>
      </c>
      <c r="C709" s="3" t="s">
        <v>19</v>
      </c>
      <c r="D709" s="2" t="s">
        <v>106</v>
      </c>
      <c r="E709" s="3">
        <v>0</v>
      </c>
      <c r="F709" s="3">
        <v>0</v>
      </c>
      <c r="G709" s="3" t="s">
        <v>10</v>
      </c>
      <c r="H709" s="3" t="s">
        <v>12</v>
      </c>
      <c r="I709" s="3" t="s">
        <v>15</v>
      </c>
      <c r="J709" s="3" t="s">
        <v>14</v>
      </c>
      <c r="K709" s="3" t="s">
        <v>14</v>
      </c>
      <c r="L709" s="3" t="s">
        <v>14</v>
      </c>
      <c r="M709" s="3" t="s">
        <v>14</v>
      </c>
      <c r="N709" s="3" t="s">
        <v>14</v>
      </c>
      <c r="O709" s="3">
        <v>1</v>
      </c>
    </row>
    <row r="710" spans="1:15" ht="15" customHeight="1" x14ac:dyDescent="0.25">
      <c r="A710" s="2">
        <v>10</v>
      </c>
      <c r="B710" s="2" t="s">
        <v>14</v>
      </c>
      <c r="C710" s="2" t="s">
        <v>19</v>
      </c>
      <c r="D710" s="2" t="s">
        <v>106</v>
      </c>
      <c r="E710" s="2">
        <v>0</v>
      </c>
      <c r="F710" s="2">
        <v>0</v>
      </c>
      <c r="G710" s="2" t="s">
        <v>10</v>
      </c>
      <c r="H710" s="2" t="s">
        <v>12</v>
      </c>
      <c r="I710" s="2">
        <v>2</v>
      </c>
      <c r="J710" s="2" t="s">
        <v>14</v>
      </c>
      <c r="K710" s="2" t="s">
        <v>14</v>
      </c>
      <c r="L710" s="2" t="s">
        <v>14</v>
      </c>
      <c r="M710" s="2" t="s">
        <v>14</v>
      </c>
      <c r="N710" s="2" t="s">
        <v>14</v>
      </c>
      <c r="O710" s="2">
        <v>1</v>
      </c>
    </row>
    <row r="711" spans="1:15" ht="15" customHeight="1" x14ac:dyDescent="0.25">
      <c r="A711" s="3">
        <v>10</v>
      </c>
      <c r="B711" s="3" t="s">
        <v>10</v>
      </c>
      <c r="C711" s="3" t="s">
        <v>19</v>
      </c>
      <c r="D711" s="2" t="s">
        <v>106</v>
      </c>
      <c r="E711" s="3">
        <v>0</v>
      </c>
      <c r="F711" s="3">
        <v>0</v>
      </c>
      <c r="G711" s="3" t="s">
        <v>10</v>
      </c>
      <c r="H711" s="3" t="s">
        <v>12</v>
      </c>
      <c r="I711" s="3">
        <v>2</v>
      </c>
      <c r="J711" s="3" t="s">
        <v>14</v>
      </c>
      <c r="K711" s="3" t="s">
        <v>14</v>
      </c>
      <c r="L711" s="3" t="s">
        <v>14</v>
      </c>
      <c r="M711" s="3" t="s">
        <v>14</v>
      </c>
      <c r="N711" s="3" t="s">
        <v>14</v>
      </c>
      <c r="O711" s="3">
        <v>1</v>
      </c>
    </row>
    <row r="712" spans="1:15" ht="15" customHeight="1" x14ac:dyDescent="0.25">
      <c r="A712" s="2">
        <v>10</v>
      </c>
      <c r="B712" s="2" t="s">
        <v>10</v>
      </c>
      <c r="C712" s="2" t="s">
        <v>11</v>
      </c>
      <c r="D712" s="2" t="s">
        <v>106</v>
      </c>
      <c r="E712" s="2">
        <v>0</v>
      </c>
      <c r="F712" s="2">
        <v>0</v>
      </c>
      <c r="G712" s="2" t="s">
        <v>10</v>
      </c>
      <c r="H712" s="2" t="s">
        <v>12</v>
      </c>
      <c r="I712" s="2" t="s">
        <v>15</v>
      </c>
      <c r="J712" s="2" t="s">
        <v>14</v>
      </c>
      <c r="K712" s="2" t="s">
        <v>14</v>
      </c>
      <c r="L712" s="2" t="s">
        <v>14</v>
      </c>
      <c r="M712" s="2" t="s">
        <v>13</v>
      </c>
      <c r="N712" s="2" t="s">
        <v>13</v>
      </c>
      <c r="O712" s="2">
        <v>1</v>
      </c>
    </row>
    <row r="713" spans="1:15" ht="15" customHeight="1" x14ac:dyDescent="0.25">
      <c r="A713" s="3">
        <v>5</v>
      </c>
      <c r="B713" s="3" t="s">
        <v>14</v>
      </c>
      <c r="C713" s="3" t="s">
        <v>11</v>
      </c>
      <c r="D713" s="2" t="s">
        <v>106</v>
      </c>
      <c r="E713" s="3">
        <v>1</v>
      </c>
      <c r="F713" s="3">
        <v>0</v>
      </c>
      <c r="G713" s="3" t="s">
        <v>17</v>
      </c>
      <c r="H713" s="3" t="s">
        <v>106</v>
      </c>
      <c r="I713" s="3">
        <v>1</v>
      </c>
      <c r="J713" s="3" t="s">
        <v>14</v>
      </c>
      <c r="K713" s="3" t="s">
        <v>13</v>
      </c>
      <c r="L713" s="3" t="s">
        <v>13</v>
      </c>
      <c r="M713" s="3" t="s">
        <v>13</v>
      </c>
      <c r="N713" s="3" t="s">
        <v>14</v>
      </c>
      <c r="O713" s="3">
        <v>0</v>
      </c>
    </row>
    <row r="714" spans="1:15" ht="15" customHeight="1" x14ac:dyDescent="0.25">
      <c r="A714" s="2">
        <v>10</v>
      </c>
      <c r="B714" s="2" t="s">
        <v>18</v>
      </c>
      <c r="C714" s="2" t="s">
        <v>19</v>
      </c>
      <c r="D714" s="2" t="s">
        <v>106</v>
      </c>
      <c r="E714" s="2">
        <v>0</v>
      </c>
      <c r="F714" s="2">
        <v>0</v>
      </c>
      <c r="G714" s="2" t="s">
        <v>10</v>
      </c>
      <c r="H714" s="2" t="s">
        <v>16</v>
      </c>
      <c r="I714" s="2">
        <v>1</v>
      </c>
      <c r="J714" s="2" t="s">
        <v>14</v>
      </c>
      <c r="K714" s="2" t="s">
        <v>13</v>
      </c>
      <c r="L714" s="2" t="s">
        <v>13</v>
      </c>
      <c r="M714" s="2" t="s">
        <v>14</v>
      </c>
      <c r="N714" s="2" t="s">
        <v>14</v>
      </c>
      <c r="O714" s="2">
        <v>1</v>
      </c>
    </row>
    <row r="715" spans="1:15" ht="15" customHeight="1" x14ac:dyDescent="0.25">
      <c r="A715" s="3">
        <v>5</v>
      </c>
      <c r="B715" s="3" t="s">
        <v>10</v>
      </c>
      <c r="C715" s="3" t="s">
        <v>19</v>
      </c>
      <c r="D715" s="2" t="s">
        <v>106</v>
      </c>
      <c r="E715" s="3">
        <v>0</v>
      </c>
      <c r="F715" s="3">
        <v>0</v>
      </c>
      <c r="G715" s="3" t="s">
        <v>10</v>
      </c>
      <c r="H715" s="3" t="s">
        <v>12</v>
      </c>
      <c r="I715" s="3">
        <v>2</v>
      </c>
      <c r="J715" s="3" t="s">
        <v>14</v>
      </c>
      <c r="K715" s="3" t="s">
        <v>14</v>
      </c>
      <c r="L715" s="3" t="s">
        <v>14</v>
      </c>
      <c r="M715" s="3" t="s">
        <v>14</v>
      </c>
      <c r="N715" s="3" t="s">
        <v>14</v>
      </c>
      <c r="O715" s="3">
        <v>1</v>
      </c>
    </row>
    <row r="716" spans="1:15" ht="15" customHeight="1" x14ac:dyDescent="0.25">
      <c r="A716" s="2">
        <v>10</v>
      </c>
      <c r="B716" s="2" t="s">
        <v>14</v>
      </c>
      <c r="C716" s="2" t="s">
        <v>19</v>
      </c>
      <c r="D716" s="2" t="s">
        <v>106</v>
      </c>
      <c r="E716" s="2">
        <v>0</v>
      </c>
      <c r="F716" s="2">
        <v>0</v>
      </c>
      <c r="G716" s="2" t="s">
        <v>10</v>
      </c>
      <c r="H716" s="2" t="s">
        <v>12</v>
      </c>
      <c r="I716" s="2">
        <v>2</v>
      </c>
      <c r="J716" s="2" t="s">
        <v>14</v>
      </c>
      <c r="K716" s="2" t="s">
        <v>14</v>
      </c>
      <c r="L716" s="2" t="s">
        <v>14</v>
      </c>
      <c r="M716" s="2" t="s">
        <v>14</v>
      </c>
      <c r="N716" s="2" t="s">
        <v>14</v>
      </c>
      <c r="O716" s="2">
        <v>1</v>
      </c>
    </row>
    <row r="717" spans="1:15" ht="15" customHeight="1" x14ac:dyDescent="0.25">
      <c r="A717" s="3">
        <v>10</v>
      </c>
      <c r="B717" s="3" t="s">
        <v>14</v>
      </c>
      <c r="C717" s="3" t="s">
        <v>19</v>
      </c>
      <c r="D717" s="2" t="s">
        <v>106</v>
      </c>
      <c r="E717" s="3">
        <v>0</v>
      </c>
      <c r="F717" s="3">
        <v>0</v>
      </c>
      <c r="G717" s="3" t="s">
        <v>10</v>
      </c>
      <c r="H717" s="3" t="s">
        <v>12</v>
      </c>
      <c r="I717" s="3">
        <v>2</v>
      </c>
      <c r="J717" s="3" t="s">
        <v>14</v>
      </c>
      <c r="K717" s="3" t="s">
        <v>14</v>
      </c>
      <c r="L717" s="3" t="s">
        <v>14</v>
      </c>
      <c r="M717" s="3" t="s">
        <v>14</v>
      </c>
      <c r="N717" s="3" t="s">
        <v>14</v>
      </c>
      <c r="O717" s="3">
        <v>1</v>
      </c>
    </row>
    <row r="718" spans="1:15" ht="15" customHeight="1" x14ac:dyDescent="0.25">
      <c r="A718" s="2">
        <v>5</v>
      </c>
      <c r="B718" s="2" t="s">
        <v>10</v>
      </c>
      <c r="C718" s="2" t="s">
        <v>19</v>
      </c>
      <c r="D718" s="2" t="s">
        <v>106</v>
      </c>
      <c r="E718" s="2">
        <v>0</v>
      </c>
      <c r="F718" s="2">
        <v>0</v>
      </c>
      <c r="G718" s="2" t="s">
        <v>10</v>
      </c>
      <c r="H718" s="2" t="s">
        <v>12</v>
      </c>
      <c r="I718" s="2" t="s">
        <v>15</v>
      </c>
      <c r="J718" s="2" t="s">
        <v>14</v>
      </c>
      <c r="K718" s="2" t="s">
        <v>14</v>
      </c>
      <c r="L718" s="2" t="s">
        <v>14</v>
      </c>
      <c r="M718" s="2" t="s">
        <v>14</v>
      </c>
      <c r="N718" s="2" t="s">
        <v>14</v>
      </c>
      <c r="O718" s="2">
        <v>1</v>
      </c>
    </row>
    <row r="719" spans="1:15" ht="15" customHeight="1" x14ac:dyDescent="0.25">
      <c r="A719" s="3">
        <v>10</v>
      </c>
      <c r="B719" s="3" t="s">
        <v>18</v>
      </c>
      <c r="C719" s="3" t="s">
        <v>19</v>
      </c>
      <c r="D719" s="2" t="s">
        <v>106</v>
      </c>
      <c r="E719" s="3">
        <v>0</v>
      </c>
      <c r="F719" s="3">
        <v>0</v>
      </c>
      <c r="G719" s="3" t="s">
        <v>10</v>
      </c>
      <c r="H719" s="3" t="s">
        <v>12</v>
      </c>
      <c r="I719" s="3">
        <v>2</v>
      </c>
      <c r="J719" s="3" t="s">
        <v>14</v>
      </c>
      <c r="K719" s="3" t="s">
        <v>14</v>
      </c>
      <c r="L719" s="3" t="s">
        <v>14</v>
      </c>
      <c r="M719" s="3" t="s">
        <v>14</v>
      </c>
      <c r="N719" s="3" t="s">
        <v>14</v>
      </c>
      <c r="O719" s="3">
        <v>1</v>
      </c>
    </row>
    <row r="720" spans="1:15" ht="15" customHeight="1" x14ac:dyDescent="0.25">
      <c r="A720" s="2">
        <v>10</v>
      </c>
      <c r="B720" s="2" t="s">
        <v>10</v>
      </c>
      <c r="C720" s="2" t="s">
        <v>11</v>
      </c>
      <c r="D720" s="2" t="s">
        <v>106</v>
      </c>
      <c r="E720" s="2">
        <v>0</v>
      </c>
      <c r="F720" s="2">
        <v>1</v>
      </c>
      <c r="G720" s="2" t="s">
        <v>10</v>
      </c>
      <c r="H720" s="2" t="s">
        <v>12</v>
      </c>
      <c r="I720" s="2" t="s">
        <v>15</v>
      </c>
      <c r="J720" s="2" t="s">
        <v>14</v>
      </c>
      <c r="K720" s="2" t="s">
        <v>14</v>
      </c>
      <c r="L720" s="2" t="s">
        <v>14</v>
      </c>
      <c r="M720" s="2" t="s">
        <v>14</v>
      </c>
      <c r="N720" s="2" t="s">
        <v>14</v>
      </c>
      <c r="O720" s="2">
        <v>1</v>
      </c>
    </row>
    <row r="721" spans="1:15" ht="15" customHeight="1" x14ac:dyDescent="0.25">
      <c r="A721" s="3">
        <v>5</v>
      </c>
      <c r="B721" s="3" t="s">
        <v>14</v>
      </c>
      <c r="C721" s="3" t="s">
        <v>11</v>
      </c>
      <c r="D721" s="2" t="s">
        <v>106</v>
      </c>
      <c r="E721" s="3">
        <v>0</v>
      </c>
      <c r="F721" s="3">
        <v>0</v>
      </c>
      <c r="G721" s="3" t="s">
        <v>10</v>
      </c>
      <c r="H721" s="3" t="s">
        <v>16</v>
      </c>
      <c r="I721" s="3">
        <v>1</v>
      </c>
      <c r="J721" s="3" t="s">
        <v>14</v>
      </c>
      <c r="K721" s="3" t="s">
        <v>14</v>
      </c>
      <c r="L721" s="3" t="s">
        <v>14</v>
      </c>
      <c r="M721" s="3" t="s">
        <v>14</v>
      </c>
      <c r="N721" s="3" t="s">
        <v>14</v>
      </c>
      <c r="O721" s="3">
        <v>1</v>
      </c>
    </row>
    <row r="722" spans="1:15" ht="15" customHeight="1" x14ac:dyDescent="0.25">
      <c r="A722" s="2">
        <v>20</v>
      </c>
      <c r="B722" s="2" t="s">
        <v>14</v>
      </c>
      <c r="C722" s="2" t="s">
        <v>11</v>
      </c>
      <c r="D722" s="2" t="s">
        <v>106</v>
      </c>
      <c r="E722" s="2">
        <v>0</v>
      </c>
      <c r="F722" s="2">
        <v>1</v>
      </c>
      <c r="G722" s="2" t="s">
        <v>10</v>
      </c>
      <c r="H722" s="2" t="s">
        <v>12</v>
      </c>
      <c r="I722" s="2">
        <v>2</v>
      </c>
      <c r="J722" s="2" t="s">
        <v>14</v>
      </c>
      <c r="K722" s="2" t="s">
        <v>14</v>
      </c>
      <c r="L722" s="2" t="s">
        <v>14</v>
      </c>
      <c r="M722" s="2" t="s">
        <v>13</v>
      </c>
      <c r="N722" s="2" t="s">
        <v>13</v>
      </c>
      <c r="O722" s="2">
        <v>0</v>
      </c>
    </row>
    <row r="723" spans="1:15" ht="15" customHeight="1" x14ac:dyDescent="0.25">
      <c r="A723" s="3">
        <v>10</v>
      </c>
      <c r="B723" s="3" t="s">
        <v>10</v>
      </c>
      <c r="C723" s="3" t="s">
        <v>11</v>
      </c>
      <c r="D723" s="2" t="s">
        <v>106</v>
      </c>
      <c r="E723" s="3">
        <v>0</v>
      </c>
      <c r="F723" s="3">
        <v>0</v>
      </c>
      <c r="G723" s="3" t="s">
        <v>10</v>
      </c>
      <c r="H723" s="3" t="s">
        <v>12</v>
      </c>
      <c r="I723" s="3" t="s">
        <v>15</v>
      </c>
      <c r="J723" s="3" t="s">
        <v>14</v>
      </c>
      <c r="K723" s="3" t="s">
        <v>14</v>
      </c>
      <c r="L723" s="3" t="s">
        <v>14</v>
      </c>
      <c r="M723" s="3" t="s">
        <v>14</v>
      </c>
      <c r="N723" s="3" t="s">
        <v>14</v>
      </c>
      <c r="O723" s="3">
        <v>1</v>
      </c>
    </row>
    <row r="724" spans="1:15" ht="15" customHeight="1" x14ac:dyDescent="0.25">
      <c r="A724" s="2">
        <v>5</v>
      </c>
      <c r="B724" s="2" t="s">
        <v>14</v>
      </c>
      <c r="C724" s="2" t="s">
        <v>11</v>
      </c>
      <c r="D724" s="2" t="s">
        <v>106</v>
      </c>
      <c r="E724" s="2">
        <v>0</v>
      </c>
      <c r="F724" s="2">
        <v>0</v>
      </c>
      <c r="G724" s="2" t="s">
        <v>10</v>
      </c>
      <c r="H724" s="2" t="s">
        <v>12</v>
      </c>
      <c r="I724" s="2">
        <v>2</v>
      </c>
      <c r="J724" s="2" t="s">
        <v>14</v>
      </c>
      <c r="K724" s="2" t="s">
        <v>14</v>
      </c>
      <c r="L724" s="2" t="s">
        <v>14</v>
      </c>
      <c r="M724" s="2" t="s">
        <v>14</v>
      </c>
      <c r="N724" s="2" t="s">
        <v>14</v>
      </c>
      <c r="O724" s="2">
        <v>1</v>
      </c>
    </row>
    <row r="725" spans="1:15" ht="15" customHeight="1" x14ac:dyDescent="0.25">
      <c r="A725" s="3">
        <v>5</v>
      </c>
      <c r="B725" s="3" t="s">
        <v>10</v>
      </c>
      <c r="C725" s="3" t="s">
        <v>11</v>
      </c>
      <c r="D725" s="2" t="s">
        <v>106</v>
      </c>
      <c r="E725" s="3">
        <v>1</v>
      </c>
      <c r="F725" s="3">
        <v>0</v>
      </c>
      <c r="G725" s="3" t="s">
        <v>10</v>
      </c>
      <c r="H725" s="3" t="s">
        <v>12</v>
      </c>
      <c r="I725" s="3">
        <v>2</v>
      </c>
      <c r="J725" s="3" t="s">
        <v>13</v>
      </c>
      <c r="K725" s="3" t="s">
        <v>14</v>
      </c>
      <c r="L725" s="3" t="s">
        <v>14</v>
      </c>
      <c r="M725" s="3" t="s">
        <v>14</v>
      </c>
      <c r="N725" s="3" t="s">
        <v>14</v>
      </c>
      <c r="O725" s="3">
        <v>0</v>
      </c>
    </row>
    <row r="726" spans="1:15" ht="15" customHeight="1" x14ac:dyDescent="0.25">
      <c r="A726" s="2">
        <v>0</v>
      </c>
      <c r="B726" s="2" t="s">
        <v>14</v>
      </c>
      <c r="C726" s="2" t="s">
        <v>20</v>
      </c>
      <c r="D726" s="2" t="s">
        <v>106</v>
      </c>
      <c r="E726" s="2">
        <v>0</v>
      </c>
      <c r="F726" s="2">
        <v>0</v>
      </c>
      <c r="G726" s="2" t="s">
        <v>10</v>
      </c>
      <c r="H726" s="2" t="s">
        <v>12</v>
      </c>
      <c r="I726" s="2">
        <v>2</v>
      </c>
      <c r="J726" s="2" t="s">
        <v>14</v>
      </c>
      <c r="K726" s="2" t="s">
        <v>14</v>
      </c>
      <c r="L726" s="2" t="s">
        <v>14</v>
      </c>
      <c r="M726" s="2" t="s">
        <v>14</v>
      </c>
      <c r="N726" s="2" t="s">
        <v>14</v>
      </c>
      <c r="O726" s="2">
        <v>1</v>
      </c>
    </row>
    <row r="727" spans="1:15" ht="15" customHeight="1" x14ac:dyDescent="0.25">
      <c r="A727" s="3">
        <v>0</v>
      </c>
      <c r="B727" s="3" t="s">
        <v>10</v>
      </c>
      <c r="C727" s="3" t="s">
        <v>20</v>
      </c>
      <c r="D727" s="2" t="s">
        <v>106</v>
      </c>
      <c r="E727" s="3">
        <v>1</v>
      </c>
      <c r="F727" s="3">
        <v>1</v>
      </c>
      <c r="G727" s="3" t="s">
        <v>10</v>
      </c>
      <c r="H727" s="3" t="s">
        <v>12</v>
      </c>
      <c r="I727" s="3">
        <v>2</v>
      </c>
      <c r="J727" s="3" t="s">
        <v>14</v>
      </c>
      <c r="K727" s="3" t="s">
        <v>14</v>
      </c>
      <c r="L727" s="3" t="s">
        <v>14</v>
      </c>
      <c r="M727" s="3" t="s">
        <v>14</v>
      </c>
      <c r="N727" s="3" t="s">
        <v>14</v>
      </c>
      <c r="O727" s="3">
        <v>0</v>
      </c>
    </row>
    <row r="728" spans="1:15" ht="15" customHeight="1" x14ac:dyDescent="0.25">
      <c r="A728" s="2">
        <v>0</v>
      </c>
      <c r="B728" s="2" t="s">
        <v>14</v>
      </c>
      <c r="C728" s="2" t="s">
        <v>11</v>
      </c>
      <c r="D728" s="2" t="s">
        <v>106</v>
      </c>
      <c r="E728" s="2">
        <v>0</v>
      </c>
      <c r="F728" s="2">
        <v>0</v>
      </c>
      <c r="G728" s="2" t="s">
        <v>10</v>
      </c>
      <c r="H728" s="2" t="s">
        <v>12</v>
      </c>
      <c r="I728" s="2" t="s">
        <v>15</v>
      </c>
      <c r="J728" s="2" t="s">
        <v>14</v>
      </c>
      <c r="K728" s="2" t="s">
        <v>14</v>
      </c>
      <c r="L728" s="2" t="s">
        <v>14</v>
      </c>
      <c r="M728" s="2" t="s">
        <v>14</v>
      </c>
      <c r="N728" s="2" t="s">
        <v>14</v>
      </c>
      <c r="O728" s="2">
        <v>1</v>
      </c>
    </row>
    <row r="729" spans="1:15" ht="15" customHeight="1" x14ac:dyDescent="0.25">
      <c r="A729" s="3">
        <v>0</v>
      </c>
      <c r="B729" s="3" t="s">
        <v>10</v>
      </c>
      <c r="C729" s="3" t="s">
        <v>11</v>
      </c>
      <c r="D729" s="2" t="s">
        <v>106</v>
      </c>
      <c r="E729" s="3">
        <v>0</v>
      </c>
      <c r="F729" s="3">
        <v>0</v>
      </c>
      <c r="G729" s="3" t="s">
        <v>10</v>
      </c>
      <c r="H729" s="3" t="s">
        <v>12</v>
      </c>
      <c r="I729" s="3" t="s">
        <v>15</v>
      </c>
      <c r="J729" s="3" t="s">
        <v>14</v>
      </c>
      <c r="K729" s="3" t="s">
        <v>14</v>
      </c>
      <c r="L729" s="3" t="s">
        <v>14</v>
      </c>
      <c r="M729" s="3" t="s">
        <v>14</v>
      </c>
      <c r="N729" s="3" t="s">
        <v>14</v>
      </c>
      <c r="O729" s="3">
        <v>1</v>
      </c>
    </row>
    <row r="730" spans="1:15" ht="15" customHeight="1" x14ac:dyDescent="0.25">
      <c r="A730" s="2">
        <v>10</v>
      </c>
      <c r="B730" s="2" t="s">
        <v>14</v>
      </c>
      <c r="C730" s="2" t="s">
        <v>11</v>
      </c>
      <c r="D730" s="2" t="s">
        <v>106</v>
      </c>
      <c r="E730" s="2">
        <v>0</v>
      </c>
      <c r="F730" s="2">
        <v>0</v>
      </c>
      <c r="G730" s="2" t="s">
        <v>10</v>
      </c>
      <c r="H730" s="2" t="s">
        <v>12</v>
      </c>
      <c r="I730" s="2">
        <v>2</v>
      </c>
      <c r="J730" s="2" t="s">
        <v>14</v>
      </c>
      <c r="K730" s="2" t="s">
        <v>14</v>
      </c>
      <c r="L730" s="2" t="s">
        <v>14</v>
      </c>
      <c r="M730" s="2" t="s">
        <v>13</v>
      </c>
      <c r="N730" s="2" t="s">
        <v>13</v>
      </c>
      <c r="O730" s="2">
        <v>0</v>
      </c>
    </row>
    <row r="731" spans="1:15" ht="15" customHeight="1" x14ac:dyDescent="0.25">
      <c r="A731" s="3">
        <v>0</v>
      </c>
      <c r="B731" s="3" t="s">
        <v>10</v>
      </c>
      <c r="C731" s="3" t="s">
        <v>19</v>
      </c>
      <c r="D731" s="2" t="s">
        <v>106</v>
      </c>
      <c r="E731" s="3">
        <v>0</v>
      </c>
      <c r="F731" s="3">
        <v>0</v>
      </c>
      <c r="G731" s="3" t="s">
        <v>10</v>
      </c>
      <c r="H731" s="3" t="s">
        <v>12</v>
      </c>
      <c r="I731" s="3">
        <v>2</v>
      </c>
      <c r="J731" s="3" t="s">
        <v>14</v>
      </c>
      <c r="K731" s="3" t="s">
        <v>14</v>
      </c>
      <c r="L731" s="3" t="s">
        <v>14</v>
      </c>
      <c r="M731" s="3" t="s">
        <v>14</v>
      </c>
      <c r="N731" s="3" t="s">
        <v>14</v>
      </c>
      <c r="O731" s="3">
        <v>1</v>
      </c>
    </row>
    <row r="732" spans="1:15" ht="15" customHeight="1" x14ac:dyDescent="0.25">
      <c r="A732" s="2">
        <v>10</v>
      </c>
      <c r="B732" s="2" t="s">
        <v>18</v>
      </c>
      <c r="C732" s="2" t="s">
        <v>19</v>
      </c>
      <c r="D732" s="2" t="s">
        <v>106</v>
      </c>
      <c r="E732" s="2">
        <v>0</v>
      </c>
      <c r="F732" s="2">
        <v>0</v>
      </c>
      <c r="G732" s="2" t="s">
        <v>10</v>
      </c>
      <c r="H732" s="2" t="s">
        <v>12</v>
      </c>
      <c r="I732" s="2" t="s">
        <v>15</v>
      </c>
      <c r="J732" s="2" t="s">
        <v>14</v>
      </c>
      <c r="K732" s="2" t="s">
        <v>14</v>
      </c>
      <c r="L732" s="2" t="s">
        <v>14</v>
      </c>
      <c r="M732" s="2" t="s">
        <v>14</v>
      </c>
      <c r="N732" s="2" t="s">
        <v>14</v>
      </c>
      <c r="O732" s="2">
        <v>1</v>
      </c>
    </row>
    <row r="733" spans="1:15" ht="15" customHeight="1" x14ac:dyDescent="0.25">
      <c r="A733" s="3">
        <v>0</v>
      </c>
      <c r="B733" s="3" t="s">
        <v>10</v>
      </c>
      <c r="C733" s="3" t="s">
        <v>19</v>
      </c>
      <c r="D733" s="2" t="s">
        <v>106</v>
      </c>
      <c r="E733" s="3">
        <v>1</v>
      </c>
      <c r="F733" s="3">
        <v>0</v>
      </c>
      <c r="G733" s="3" t="s">
        <v>10</v>
      </c>
      <c r="H733" s="3" t="s">
        <v>16</v>
      </c>
      <c r="I733" s="3">
        <v>2</v>
      </c>
      <c r="J733" s="3" t="s">
        <v>14</v>
      </c>
      <c r="K733" s="3" t="s">
        <v>14</v>
      </c>
      <c r="L733" s="3" t="s">
        <v>14</v>
      </c>
      <c r="M733" s="3" t="s">
        <v>14</v>
      </c>
      <c r="N733" s="3" t="s">
        <v>14</v>
      </c>
      <c r="O733" s="3">
        <v>1</v>
      </c>
    </row>
    <row r="734" spans="1:15" ht="15" customHeight="1" x14ac:dyDescent="0.25">
      <c r="A734" s="2">
        <v>5</v>
      </c>
      <c r="B734" s="2" t="s">
        <v>14</v>
      </c>
      <c r="C734" s="2" t="s">
        <v>19</v>
      </c>
      <c r="D734" s="2" t="s">
        <v>106</v>
      </c>
      <c r="E734" s="2">
        <v>0</v>
      </c>
      <c r="F734" s="2">
        <v>0</v>
      </c>
      <c r="G734" s="2" t="s">
        <v>10</v>
      </c>
      <c r="H734" s="2" t="s">
        <v>12</v>
      </c>
      <c r="I734" s="2">
        <v>2</v>
      </c>
      <c r="J734" s="2" t="s">
        <v>14</v>
      </c>
      <c r="K734" s="2" t="s">
        <v>14</v>
      </c>
      <c r="L734" s="2" t="s">
        <v>14</v>
      </c>
      <c r="M734" s="2" t="s">
        <v>14</v>
      </c>
      <c r="N734" s="2" t="s">
        <v>14</v>
      </c>
      <c r="O734" s="2">
        <v>1</v>
      </c>
    </row>
    <row r="735" spans="1:15" ht="15" customHeight="1" x14ac:dyDescent="0.25">
      <c r="A735" s="3">
        <v>30</v>
      </c>
      <c r="B735" s="3" t="s">
        <v>10</v>
      </c>
      <c r="C735" s="3" t="s">
        <v>19</v>
      </c>
      <c r="D735" s="2" t="s">
        <v>106</v>
      </c>
      <c r="E735" s="3">
        <v>0</v>
      </c>
      <c r="F735" s="3">
        <v>0</v>
      </c>
      <c r="G735" s="3" t="s">
        <v>10</v>
      </c>
      <c r="H735" s="3" t="s">
        <v>12</v>
      </c>
      <c r="I735" s="3">
        <v>2</v>
      </c>
      <c r="J735" s="3" t="s">
        <v>14</v>
      </c>
      <c r="K735" s="3" t="s">
        <v>14</v>
      </c>
      <c r="L735" s="3" t="s">
        <v>14</v>
      </c>
      <c r="M735" s="3" t="s">
        <v>13</v>
      </c>
      <c r="N735" s="3" t="s">
        <v>13</v>
      </c>
      <c r="O735" s="3">
        <v>0</v>
      </c>
    </row>
    <row r="736" spans="1:15" ht="15" customHeight="1" x14ac:dyDescent="0.25">
      <c r="A736" s="2">
        <v>10</v>
      </c>
      <c r="B736" s="2" t="s">
        <v>14</v>
      </c>
      <c r="C736" s="2" t="s">
        <v>19</v>
      </c>
      <c r="D736" s="2" t="s">
        <v>106</v>
      </c>
      <c r="E736" s="2">
        <v>0</v>
      </c>
      <c r="F736" s="2">
        <v>0</v>
      </c>
      <c r="G736" s="2" t="s">
        <v>10</v>
      </c>
      <c r="H736" s="2" t="s">
        <v>12</v>
      </c>
      <c r="I736" s="2">
        <v>2</v>
      </c>
      <c r="J736" s="2" t="s">
        <v>14</v>
      </c>
      <c r="K736" s="2" t="s">
        <v>14</v>
      </c>
      <c r="L736" s="2" t="s">
        <v>14</v>
      </c>
      <c r="M736" s="2" t="s">
        <v>14</v>
      </c>
      <c r="N736" s="2" t="s">
        <v>14</v>
      </c>
      <c r="O736" s="2">
        <v>1</v>
      </c>
    </row>
    <row r="737" spans="1:15" ht="15" customHeight="1" x14ac:dyDescent="0.25">
      <c r="A737" s="3">
        <v>10</v>
      </c>
      <c r="B737" s="3" t="s">
        <v>10</v>
      </c>
      <c r="C737" s="3" t="s">
        <v>19</v>
      </c>
      <c r="D737" s="2" t="s">
        <v>106</v>
      </c>
      <c r="E737" s="3">
        <v>0</v>
      </c>
      <c r="F737" s="3">
        <v>0</v>
      </c>
      <c r="G737" s="3" t="s">
        <v>10</v>
      </c>
      <c r="H737" s="3" t="s">
        <v>12</v>
      </c>
      <c r="I737" s="3">
        <v>2</v>
      </c>
      <c r="J737" s="3" t="s">
        <v>14</v>
      </c>
      <c r="K737" s="3" t="s">
        <v>14</v>
      </c>
      <c r="L737" s="3" t="s">
        <v>14</v>
      </c>
      <c r="M737" s="3" t="s">
        <v>14</v>
      </c>
      <c r="N737" s="3" t="s">
        <v>14</v>
      </c>
      <c r="O737" s="3">
        <v>1</v>
      </c>
    </row>
    <row r="738" spans="1:15" ht="15" customHeight="1" x14ac:dyDescent="0.25">
      <c r="A738" s="2">
        <v>10</v>
      </c>
      <c r="B738" s="2" t="s">
        <v>10</v>
      </c>
      <c r="C738" s="2" t="s">
        <v>11</v>
      </c>
      <c r="D738" s="2" t="s">
        <v>106</v>
      </c>
      <c r="E738" s="2">
        <v>0</v>
      </c>
      <c r="F738" s="2">
        <v>1</v>
      </c>
      <c r="G738" s="2" t="s">
        <v>10</v>
      </c>
      <c r="H738" s="2" t="s">
        <v>12</v>
      </c>
      <c r="I738" s="2">
        <v>2</v>
      </c>
      <c r="J738" s="2" t="s">
        <v>14</v>
      </c>
      <c r="K738" s="2" t="s">
        <v>14</v>
      </c>
      <c r="L738" s="2" t="s">
        <v>14</v>
      </c>
      <c r="M738" s="2" t="s">
        <v>14</v>
      </c>
      <c r="N738" s="2" t="s">
        <v>14</v>
      </c>
      <c r="O738" s="2">
        <v>1</v>
      </c>
    </row>
    <row r="739" spans="1:15" ht="15" customHeight="1" x14ac:dyDescent="0.25">
      <c r="A739" s="3">
        <v>5</v>
      </c>
      <c r="B739" s="3" t="s">
        <v>18</v>
      </c>
      <c r="C739" s="3" t="s">
        <v>11</v>
      </c>
      <c r="D739" s="2" t="s">
        <v>106</v>
      </c>
      <c r="E739" s="3">
        <v>0</v>
      </c>
      <c r="F739" s="3">
        <v>0</v>
      </c>
      <c r="G739" s="3" t="s">
        <v>10</v>
      </c>
      <c r="H739" s="3" t="s">
        <v>16</v>
      </c>
      <c r="I739" s="3" t="s">
        <v>15</v>
      </c>
      <c r="J739" s="3" t="s">
        <v>14</v>
      </c>
      <c r="K739" s="3" t="s">
        <v>14</v>
      </c>
      <c r="L739" s="3" t="s">
        <v>14</v>
      </c>
      <c r="M739" s="3" t="s">
        <v>14</v>
      </c>
      <c r="N739" s="3" t="s">
        <v>14</v>
      </c>
      <c r="O739" s="3">
        <v>1</v>
      </c>
    </row>
    <row r="740" spans="1:15" ht="15" customHeight="1" x14ac:dyDescent="0.25">
      <c r="A740" s="2">
        <v>10</v>
      </c>
      <c r="B740" s="2" t="s">
        <v>14</v>
      </c>
      <c r="C740" s="2" t="s">
        <v>11</v>
      </c>
      <c r="D740" s="2" t="s">
        <v>106</v>
      </c>
      <c r="E740" s="2">
        <v>0</v>
      </c>
      <c r="F740" s="2">
        <v>0</v>
      </c>
      <c r="G740" s="2" t="s">
        <v>10</v>
      </c>
      <c r="H740" s="2" t="s">
        <v>16</v>
      </c>
      <c r="I740" s="2" t="s">
        <v>15</v>
      </c>
      <c r="J740" s="2" t="s">
        <v>14</v>
      </c>
      <c r="K740" s="2" t="s">
        <v>14</v>
      </c>
      <c r="L740" s="2" t="s">
        <v>14</v>
      </c>
      <c r="M740" s="2" t="s">
        <v>14</v>
      </c>
      <c r="N740" s="2" t="s">
        <v>14</v>
      </c>
      <c r="O740" s="2">
        <v>0</v>
      </c>
    </row>
    <row r="741" spans="1:15" ht="15" customHeight="1" x14ac:dyDescent="0.25">
      <c r="A741" s="3">
        <v>5</v>
      </c>
      <c r="B741" s="3" t="s">
        <v>14</v>
      </c>
      <c r="C741" s="3" t="s">
        <v>19</v>
      </c>
      <c r="D741" s="2" t="s">
        <v>106</v>
      </c>
      <c r="E741" s="3">
        <v>0</v>
      </c>
      <c r="F741" s="3">
        <v>0</v>
      </c>
      <c r="G741" s="3" t="s">
        <v>10</v>
      </c>
      <c r="H741" s="3" t="s">
        <v>12</v>
      </c>
      <c r="I741" s="3">
        <v>2</v>
      </c>
      <c r="J741" s="3" t="s">
        <v>14</v>
      </c>
      <c r="K741" s="3" t="s">
        <v>13</v>
      </c>
      <c r="L741" s="3" t="s">
        <v>14</v>
      </c>
      <c r="M741" s="3" t="s">
        <v>14</v>
      </c>
      <c r="N741" s="3" t="s">
        <v>14</v>
      </c>
      <c r="O741" s="3">
        <v>1</v>
      </c>
    </row>
    <row r="742" spans="1:15" ht="15" customHeight="1" x14ac:dyDescent="0.25">
      <c r="A742" s="2">
        <v>10</v>
      </c>
      <c r="B742" s="2" t="s">
        <v>10</v>
      </c>
      <c r="C742" s="2" t="s">
        <v>19</v>
      </c>
      <c r="D742" s="2" t="s">
        <v>106</v>
      </c>
      <c r="E742" s="2">
        <v>0</v>
      </c>
      <c r="F742" s="2">
        <v>0</v>
      </c>
      <c r="G742" s="2" t="s">
        <v>10</v>
      </c>
      <c r="H742" s="2" t="s">
        <v>12</v>
      </c>
      <c r="I742" s="2">
        <v>2</v>
      </c>
      <c r="J742" s="2" t="s">
        <v>14</v>
      </c>
      <c r="K742" s="2" t="s">
        <v>14</v>
      </c>
      <c r="L742" s="2" t="s">
        <v>14</v>
      </c>
      <c r="M742" s="2" t="s">
        <v>14</v>
      </c>
      <c r="N742" s="2" t="s">
        <v>14</v>
      </c>
      <c r="O742" s="2">
        <v>1</v>
      </c>
    </row>
    <row r="743" spans="1:15" ht="15" customHeight="1" x14ac:dyDescent="0.25">
      <c r="A743" s="3">
        <v>5</v>
      </c>
      <c r="B743" s="3" t="s">
        <v>10</v>
      </c>
      <c r="C743" s="3" t="s">
        <v>19</v>
      </c>
      <c r="D743" s="2" t="s">
        <v>106</v>
      </c>
      <c r="E743" s="3">
        <v>0</v>
      </c>
      <c r="F743" s="3">
        <v>1</v>
      </c>
      <c r="G743" s="3" t="s">
        <v>17</v>
      </c>
      <c r="H743" s="3" t="s">
        <v>106</v>
      </c>
      <c r="I743" s="3">
        <v>1</v>
      </c>
      <c r="J743" s="3" t="s">
        <v>14</v>
      </c>
      <c r="K743" s="3" t="s">
        <v>13</v>
      </c>
      <c r="L743" s="3" t="s">
        <v>13</v>
      </c>
      <c r="M743" s="3" t="s">
        <v>13</v>
      </c>
      <c r="N743" s="3" t="s">
        <v>14</v>
      </c>
      <c r="O743" s="3">
        <v>1</v>
      </c>
    </row>
    <row r="744" spans="1:15" ht="15" customHeight="1" x14ac:dyDescent="0.25">
      <c r="A744" s="2">
        <v>5</v>
      </c>
      <c r="B744" s="2" t="s">
        <v>14</v>
      </c>
      <c r="C744" s="2" t="s">
        <v>19</v>
      </c>
      <c r="D744" s="2" t="s">
        <v>106</v>
      </c>
      <c r="E744" s="2">
        <v>0</v>
      </c>
      <c r="F744" s="2">
        <v>0</v>
      </c>
      <c r="G744" s="2" t="s">
        <v>10</v>
      </c>
      <c r="H744" s="2" t="s">
        <v>16</v>
      </c>
      <c r="I744" s="2">
        <v>2</v>
      </c>
      <c r="J744" s="2" t="s">
        <v>14</v>
      </c>
      <c r="K744" s="2" t="s">
        <v>14</v>
      </c>
      <c r="L744" s="2" t="s">
        <v>14</v>
      </c>
      <c r="M744" s="2" t="s">
        <v>14</v>
      </c>
      <c r="N744" s="2" t="s">
        <v>14</v>
      </c>
      <c r="O744" s="2">
        <v>1</v>
      </c>
    </row>
    <row r="745" spans="1:15" ht="15" customHeight="1" x14ac:dyDescent="0.25">
      <c r="A745" s="3">
        <v>10</v>
      </c>
      <c r="B745" s="3" t="s">
        <v>10</v>
      </c>
      <c r="C745" s="3" t="s">
        <v>11</v>
      </c>
      <c r="D745" s="2" t="s">
        <v>106</v>
      </c>
      <c r="E745" s="3">
        <v>0</v>
      </c>
      <c r="F745" s="3">
        <v>1</v>
      </c>
      <c r="G745" s="3" t="s">
        <v>10</v>
      </c>
      <c r="H745" s="3" t="s">
        <v>12</v>
      </c>
      <c r="I745" s="3" t="s">
        <v>15</v>
      </c>
      <c r="J745" s="3" t="s">
        <v>13</v>
      </c>
      <c r="K745" s="3" t="s">
        <v>14</v>
      </c>
      <c r="L745" s="3" t="s">
        <v>14</v>
      </c>
      <c r="M745" s="3" t="s">
        <v>14</v>
      </c>
      <c r="N745" s="3" t="s">
        <v>14</v>
      </c>
      <c r="O745" s="3">
        <v>1</v>
      </c>
    </row>
    <row r="746" spans="1:15" ht="15" customHeight="1" x14ac:dyDescent="0.25">
      <c r="A746" s="2">
        <v>5</v>
      </c>
      <c r="B746" s="2" t="s">
        <v>14</v>
      </c>
      <c r="C746" s="2" t="s">
        <v>11</v>
      </c>
      <c r="D746" s="2" t="s">
        <v>106</v>
      </c>
      <c r="E746" s="2">
        <v>0</v>
      </c>
      <c r="F746" s="2">
        <v>0</v>
      </c>
      <c r="G746" s="2" t="s">
        <v>10</v>
      </c>
      <c r="H746" s="2" t="s">
        <v>12</v>
      </c>
      <c r="I746" s="2">
        <v>1</v>
      </c>
      <c r="J746" s="2" t="s">
        <v>14</v>
      </c>
      <c r="K746" s="2" t="s">
        <v>14</v>
      </c>
      <c r="L746" s="2" t="s">
        <v>14</v>
      </c>
      <c r="M746" s="2" t="s">
        <v>14</v>
      </c>
      <c r="N746" s="2" t="s">
        <v>14</v>
      </c>
      <c r="O746" s="2">
        <v>1</v>
      </c>
    </row>
    <row r="747" spans="1:15" ht="15" customHeight="1" x14ac:dyDescent="0.25">
      <c r="A747" s="3">
        <v>10</v>
      </c>
      <c r="B747" s="3" t="s">
        <v>18</v>
      </c>
      <c r="C747" s="3" t="s">
        <v>19</v>
      </c>
      <c r="D747" s="2" t="s">
        <v>106</v>
      </c>
      <c r="E747" s="3">
        <v>0</v>
      </c>
      <c r="F747" s="3">
        <v>0</v>
      </c>
      <c r="G747" s="3" t="s">
        <v>10</v>
      </c>
      <c r="H747" s="3" t="s">
        <v>12</v>
      </c>
      <c r="I747" s="3" t="s">
        <v>15</v>
      </c>
      <c r="J747" s="3" t="s">
        <v>14</v>
      </c>
      <c r="K747" s="3" t="s">
        <v>14</v>
      </c>
      <c r="L747" s="3" t="s">
        <v>14</v>
      </c>
      <c r="M747" s="3" t="s">
        <v>14</v>
      </c>
      <c r="N747" s="3" t="s">
        <v>14</v>
      </c>
      <c r="O747" s="3">
        <v>1</v>
      </c>
    </row>
    <row r="748" spans="1:15" ht="15" customHeight="1" x14ac:dyDescent="0.25">
      <c r="A748" s="2">
        <v>10</v>
      </c>
      <c r="B748" s="2" t="s">
        <v>10</v>
      </c>
      <c r="C748" s="2" t="s">
        <v>11</v>
      </c>
      <c r="D748" s="2" t="s">
        <v>106</v>
      </c>
      <c r="E748" s="2">
        <v>0</v>
      </c>
      <c r="F748" s="2">
        <v>0</v>
      </c>
      <c r="G748" s="2" t="s">
        <v>10</v>
      </c>
      <c r="H748" s="2" t="s">
        <v>12</v>
      </c>
      <c r="I748" s="2">
        <v>2</v>
      </c>
      <c r="J748" s="2" t="s">
        <v>13</v>
      </c>
      <c r="K748" s="2" t="s">
        <v>14</v>
      </c>
      <c r="L748" s="2" t="s">
        <v>14</v>
      </c>
      <c r="M748" s="2" t="s">
        <v>14</v>
      </c>
      <c r="N748" s="2" t="s">
        <v>14</v>
      </c>
      <c r="O748" s="2">
        <v>1</v>
      </c>
    </row>
    <row r="749" spans="1:15" ht="15" customHeight="1" x14ac:dyDescent="0.25">
      <c r="A749" s="3">
        <v>0</v>
      </c>
      <c r="B749" s="3" t="s">
        <v>10</v>
      </c>
      <c r="C749" s="3" t="s">
        <v>11</v>
      </c>
      <c r="D749" s="2" t="s">
        <v>106</v>
      </c>
      <c r="E749" s="3">
        <v>0</v>
      </c>
      <c r="F749" s="3">
        <v>0</v>
      </c>
      <c r="G749" s="3" t="s">
        <v>10</v>
      </c>
      <c r="H749" s="3" t="s">
        <v>16</v>
      </c>
      <c r="I749" s="3">
        <v>2</v>
      </c>
      <c r="J749" s="3" t="s">
        <v>13</v>
      </c>
      <c r="K749" s="3" t="s">
        <v>14</v>
      </c>
      <c r="L749" s="3" t="s">
        <v>14</v>
      </c>
      <c r="M749" s="3" t="s">
        <v>14</v>
      </c>
      <c r="N749" s="3" t="s">
        <v>14</v>
      </c>
      <c r="O749" s="3">
        <v>1</v>
      </c>
    </row>
    <row r="750" spans="1:15" ht="15" customHeight="1" x14ac:dyDescent="0.25">
      <c r="A750" s="2">
        <v>10</v>
      </c>
      <c r="B750" s="2" t="s">
        <v>14</v>
      </c>
      <c r="C750" s="2" t="s">
        <v>11</v>
      </c>
      <c r="D750" s="2" t="s">
        <v>106</v>
      </c>
      <c r="E750" s="2">
        <v>2</v>
      </c>
      <c r="F750" s="2">
        <v>1</v>
      </c>
      <c r="G750" s="2" t="s">
        <v>10</v>
      </c>
      <c r="H750" s="2" t="s">
        <v>16</v>
      </c>
      <c r="I750" s="2">
        <v>1</v>
      </c>
      <c r="J750" s="2" t="s">
        <v>14</v>
      </c>
      <c r="K750" s="2" t="s">
        <v>14</v>
      </c>
      <c r="L750" s="2" t="s">
        <v>14</v>
      </c>
      <c r="M750" s="2" t="s">
        <v>13</v>
      </c>
      <c r="N750" s="2" t="s">
        <v>13</v>
      </c>
      <c r="O750" s="2">
        <v>0</v>
      </c>
    </row>
    <row r="751" spans="1:15" ht="15" customHeight="1" x14ac:dyDescent="0.25">
      <c r="A751" s="3">
        <v>5</v>
      </c>
      <c r="B751" s="3" t="s">
        <v>10</v>
      </c>
      <c r="C751" s="3" t="s">
        <v>19</v>
      </c>
      <c r="D751" s="2" t="s">
        <v>106</v>
      </c>
      <c r="E751" s="3">
        <v>1</v>
      </c>
      <c r="F751" s="3">
        <v>0</v>
      </c>
      <c r="G751" s="3" t="s">
        <v>17</v>
      </c>
      <c r="H751" s="3" t="s">
        <v>106</v>
      </c>
      <c r="I751" s="3">
        <v>2</v>
      </c>
      <c r="J751" s="3" t="s">
        <v>14</v>
      </c>
      <c r="K751" s="3" t="s">
        <v>13</v>
      </c>
      <c r="L751" s="3" t="s">
        <v>13</v>
      </c>
      <c r="M751" s="3" t="s">
        <v>13</v>
      </c>
      <c r="N751" s="3" t="s">
        <v>14</v>
      </c>
      <c r="O751" s="3">
        <v>0</v>
      </c>
    </row>
    <row r="752" spans="1:15" ht="15" customHeight="1" x14ac:dyDescent="0.25">
      <c r="A752" s="2">
        <v>5</v>
      </c>
      <c r="B752" s="2" t="s">
        <v>10</v>
      </c>
      <c r="C752" s="2" t="s">
        <v>19</v>
      </c>
      <c r="D752" s="2" t="s">
        <v>106</v>
      </c>
      <c r="E752" s="2">
        <v>2</v>
      </c>
      <c r="F752" s="2">
        <v>0</v>
      </c>
      <c r="G752" s="2" t="s">
        <v>10</v>
      </c>
      <c r="H752" s="2" t="s">
        <v>12</v>
      </c>
      <c r="I752" s="2" t="s">
        <v>15</v>
      </c>
      <c r="J752" s="2" t="s">
        <v>14</v>
      </c>
      <c r="K752" s="2" t="s">
        <v>14</v>
      </c>
      <c r="L752" s="2" t="s">
        <v>14</v>
      </c>
      <c r="M752" s="2" t="s">
        <v>14</v>
      </c>
      <c r="N752" s="2" t="s">
        <v>14</v>
      </c>
      <c r="O752" s="2">
        <v>0</v>
      </c>
    </row>
    <row r="753" spans="1:15" ht="15" customHeight="1" x14ac:dyDescent="0.25">
      <c r="A753" s="3">
        <v>10</v>
      </c>
      <c r="B753" s="3" t="s">
        <v>10</v>
      </c>
      <c r="C753" s="3" t="s">
        <v>19</v>
      </c>
      <c r="D753" s="2" t="s">
        <v>106</v>
      </c>
      <c r="E753" s="3">
        <v>0</v>
      </c>
      <c r="F753" s="3">
        <v>0</v>
      </c>
      <c r="G753" s="3" t="s">
        <v>10</v>
      </c>
      <c r="H753" s="3" t="s">
        <v>16</v>
      </c>
      <c r="I753" s="3">
        <v>2</v>
      </c>
      <c r="J753" s="3" t="s">
        <v>14</v>
      </c>
      <c r="K753" s="3" t="s">
        <v>14</v>
      </c>
      <c r="L753" s="3" t="s">
        <v>14</v>
      </c>
      <c r="M753" s="3" t="s">
        <v>14</v>
      </c>
      <c r="N753" s="3" t="s">
        <v>14</v>
      </c>
      <c r="O753" s="3">
        <v>1</v>
      </c>
    </row>
    <row r="754" spans="1:15" ht="15" customHeight="1" x14ac:dyDescent="0.25">
      <c r="A754" s="2">
        <v>10</v>
      </c>
      <c r="B754" s="2" t="s">
        <v>10</v>
      </c>
      <c r="C754" s="2" t="s">
        <v>11</v>
      </c>
      <c r="D754" s="2" t="s">
        <v>106</v>
      </c>
      <c r="E754" s="2">
        <v>0</v>
      </c>
      <c r="F754" s="2">
        <v>0</v>
      </c>
      <c r="G754" s="2" t="s">
        <v>10</v>
      </c>
      <c r="H754" s="2" t="s">
        <v>12</v>
      </c>
      <c r="I754" s="2" t="s">
        <v>15</v>
      </c>
      <c r="J754" s="2" t="s">
        <v>14</v>
      </c>
      <c r="K754" s="2" t="s">
        <v>14</v>
      </c>
      <c r="L754" s="2" t="s">
        <v>14</v>
      </c>
      <c r="M754" s="2" t="s">
        <v>13</v>
      </c>
      <c r="N754" s="2" t="s">
        <v>14</v>
      </c>
      <c r="O754" s="2">
        <v>1</v>
      </c>
    </row>
    <row r="755" spans="1:15" ht="15" customHeight="1" x14ac:dyDescent="0.25">
      <c r="A755" s="3">
        <v>20</v>
      </c>
      <c r="B755" s="3" t="s">
        <v>18</v>
      </c>
      <c r="C755" s="3" t="s">
        <v>19</v>
      </c>
      <c r="D755" s="2" t="s">
        <v>106</v>
      </c>
      <c r="E755" s="3">
        <v>0</v>
      </c>
      <c r="F755" s="3">
        <v>0</v>
      </c>
      <c r="G755" s="3" t="s">
        <v>10</v>
      </c>
      <c r="H755" s="3" t="s">
        <v>12</v>
      </c>
      <c r="I755" s="3">
        <v>2</v>
      </c>
      <c r="J755" s="3" t="s">
        <v>14</v>
      </c>
      <c r="K755" s="3" t="s">
        <v>14</v>
      </c>
      <c r="L755" s="3" t="s">
        <v>14</v>
      </c>
      <c r="M755" s="3" t="s">
        <v>14</v>
      </c>
      <c r="N755" s="3" t="s">
        <v>14</v>
      </c>
      <c r="O755" s="3">
        <v>1</v>
      </c>
    </row>
    <row r="756" spans="1:15" ht="15" customHeight="1" x14ac:dyDescent="0.25">
      <c r="A756" s="2">
        <v>10</v>
      </c>
      <c r="B756" s="2" t="s">
        <v>14</v>
      </c>
      <c r="C756" s="2" t="s">
        <v>19</v>
      </c>
      <c r="D756" s="2" t="s">
        <v>106</v>
      </c>
      <c r="E756" s="2">
        <v>0</v>
      </c>
      <c r="F756" s="2">
        <v>0</v>
      </c>
      <c r="G756" s="2" t="s">
        <v>10</v>
      </c>
      <c r="H756" s="2" t="s">
        <v>12</v>
      </c>
      <c r="I756" s="2" t="s">
        <v>15</v>
      </c>
      <c r="J756" s="2" t="s">
        <v>14</v>
      </c>
      <c r="K756" s="2" t="s">
        <v>14</v>
      </c>
      <c r="L756" s="2" t="s">
        <v>14</v>
      </c>
      <c r="M756" s="2" t="s">
        <v>14</v>
      </c>
      <c r="N756" s="2" t="s">
        <v>14</v>
      </c>
      <c r="O756" s="2">
        <v>1</v>
      </c>
    </row>
    <row r="757" spans="1:15" ht="15" customHeight="1" x14ac:dyDescent="0.25">
      <c r="A757" s="3">
        <v>10</v>
      </c>
      <c r="B757" s="3" t="s">
        <v>14</v>
      </c>
      <c r="C757" s="3" t="s">
        <v>19</v>
      </c>
      <c r="D757" s="2" t="s">
        <v>106</v>
      </c>
      <c r="E757" s="3">
        <v>0</v>
      </c>
      <c r="F757" s="3">
        <v>0</v>
      </c>
      <c r="G757" s="3" t="s">
        <v>10</v>
      </c>
      <c r="H757" s="3" t="s">
        <v>12</v>
      </c>
      <c r="I757" s="3">
        <v>2</v>
      </c>
      <c r="J757" s="3" t="s">
        <v>14</v>
      </c>
      <c r="K757" s="3" t="s">
        <v>14</v>
      </c>
      <c r="L757" s="3" t="s">
        <v>14</v>
      </c>
      <c r="M757" s="3" t="s">
        <v>14</v>
      </c>
      <c r="N757" s="3" t="s">
        <v>14</v>
      </c>
      <c r="O757" s="3">
        <v>1</v>
      </c>
    </row>
    <row r="758" spans="1:15" ht="15" customHeight="1" x14ac:dyDescent="0.25">
      <c r="A758" s="2">
        <v>10</v>
      </c>
      <c r="B758" s="2" t="s">
        <v>10</v>
      </c>
      <c r="C758" s="2" t="s">
        <v>11</v>
      </c>
      <c r="D758" s="2" t="s">
        <v>106</v>
      </c>
      <c r="E758" s="2">
        <v>0</v>
      </c>
      <c r="F758" s="2">
        <v>0</v>
      </c>
      <c r="G758" s="2" t="s">
        <v>10</v>
      </c>
      <c r="H758" s="2" t="s">
        <v>12</v>
      </c>
      <c r="I758" s="2" t="s">
        <v>15</v>
      </c>
      <c r="J758" s="2" t="s">
        <v>14</v>
      </c>
      <c r="K758" s="2" t="s">
        <v>14</v>
      </c>
      <c r="L758" s="2" t="s">
        <v>14</v>
      </c>
      <c r="M758" s="2" t="s">
        <v>14</v>
      </c>
      <c r="N758" s="2" t="s">
        <v>14</v>
      </c>
      <c r="O758" s="2">
        <v>1</v>
      </c>
    </row>
    <row r="759" spans="1:15" ht="15" customHeight="1" x14ac:dyDescent="0.25">
      <c r="A759" s="3">
        <v>5</v>
      </c>
      <c r="B759" s="3" t="s">
        <v>18</v>
      </c>
      <c r="C759" s="3" t="s">
        <v>19</v>
      </c>
      <c r="D759" s="2" t="s">
        <v>106</v>
      </c>
      <c r="E759" s="3">
        <v>0</v>
      </c>
      <c r="F759" s="3">
        <v>1</v>
      </c>
      <c r="G759" s="3" t="s">
        <v>10</v>
      </c>
      <c r="H759" s="3" t="s">
        <v>12</v>
      </c>
      <c r="I759" s="3" t="s">
        <v>15</v>
      </c>
      <c r="J759" s="3" t="s">
        <v>14</v>
      </c>
      <c r="K759" s="3" t="s">
        <v>14</v>
      </c>
      <c r="L759" s="3" t="s">
        <v>14</v>
      </c>
      <c r="M759" s="3" t="s">
        <v>14</v>
      </c>
      <c r="N759" s="3" t="s">
        <v>14</v>
      </c>
      <c r="O759" s="3">
        <v>1</v>
      </c>
    </row>
    <row r="760" spans="1:15" ht="15" customHeight="1" x14ac:dyDescent="0.25">
      <c r="A760" s="2">
        <v>10</v>
      </c>
      <c r="B760" s="2" t="s">
        <v>10</v>
      </c>
      <c r="C760" s="2" t="s">
        <v>11</v>
      </c>
      <c r="D760" s="2" t="s">
        <v>106</v>
      </c>
      <c r="E760" s="2">
        <v>0</v>
      </c>
      <c r="F760" s="2">
        <v>0</v>
      </c>
      <c r="G760" s="2" t="s">
        <v>10</v>
      </c>
      <c r="H760" s="2" t="s">
        <v>16</v>
      </c>
      <c r="I760" s="2">
        <v>2</v>
      </c>
      <c r="J760" s="2" t="s">
        <v>13</v>
      </c>
      <c r="K760" s="2" t="s">
        <v>14</v>
      </c>
      <c r="L760" s="2" t="s">
        <v>14</v>
      </c>
      <c r="M760" s="2" t="s">
        <v>14</v>
      </c>
      <c r="N760" s="2" t="s">
        <v>14</v>
      </c>
      <c r="O760" s="2">
        <v>1</v>
      </c>
    </row>
    <row r="761" spans="1:15" ht="15" customHeight="1" x14ac:dyDescent="0.25">
      <c r="A761" s="3">
        <v>10</v>
      </c>
      <c r="B761" s="3" t="s">
        <v>14</v>
      </c>
      <c r="C761" s="3" t="s">
        <v>11</v>
      </c>
      <c r="D761" s="2" t="s">
        <v>106</v>
      </c>
      <c r="E761" s="3">
        <v>1</v>
      </c>
      <c r="F761" s="3">
        <v>0</v>
      </c>
      <c r="G761" s="3" t="s">
        <v>10</v>
      </c>
      <c r="H761" s="3" t="s">
        <v>12</v>
      </c>
      <c r="I761" s="3">
        <v>1</v>
      </c>
      <c r="J761" s="3" t="s">
        <v>14</v>
      </c>
      <c r="K761" s="3" t="s">
        <v>14</v>
      </c>
      <c r="L761" s="3" t="s">
        <v>14</v>
      </c>
      <c r="M761" s="3" t="s">
        <v>13</v>
      </c>
      <c r="N761" s="3" t="s">
        <v>13</v>
      </c>
      <c r="O761" s="3">
        <v>0</v>
      </c>
    </row>
    <row r="762" spans="1:15" ht="15" customHeight="1" x14ac:dyDescent="0.25">
      <c r="A762" s="2">
        <v>10</v>
      </c>
      <c r="B762" s="2" t="s">
        <v>18</v>
      </c>
      <c r="C762" s="2" t="s">
        <v>11</v>
      </c>
      <c r="D762" s="2" t="s">
        <v>106</v>
      </c>
      <c r="E762" s="2">
        <v>0</v>
      </c>
      <c r="F762" s="2">
        <v>0</v>
      </c>
      <c r="G762" s="2" t="s">
        <v>10</v>
      </c>
      <c r="H762" s="2" t="s">
        <v>16</v>
      </c>
      <c r="I762" s="2">
        <v>1</v>
      </c>
      <c r="J762" s="2" t="s">
        <v>14</v>
      </c>
      <c r="K762" s="2" t="s">
        <v>14</v>
      </c>
      <c r="L762" s="2" t="s">
        <v>14</v>
      </c>
      <c r="M762" s="2" t="s">
        <v>14</v>
      </c>
      <c r="N762" s="2" t="s">
        <v>14</v>
      </c>
      <c r="O762" s="2">
        <v>1</v>
      </c>
    </row>
    <row r="763" spans="1:15" ht="15" customHeight="1" x14ac:dyDescent="0.25">
      <c r="A763" s="3">
        <v>10</v>
      </c>
      <c r="B763" s="3" t="s">
        <v>10</v>
      </c>
      <c r="C763" s="3" t="s">
        <v>11</v>
      </c>
      <c r="D763" s="2" t="s">
        <v>106</v>
      </c>
      <c r="E763" s="3">
        <v>1</v>
      </c>
      <c r="F763" s="3">
        <v>1</v>
      </c>
      <c r="G763" s="3" t="s">
        <v>10</v>
      </c>
      <c r="H763" s="3" t="s">
        <v>12</v>
      </c>
      <c r="I763" s="3">
        <v>2</v>
      </c>
      <c r="J763" s="3" t="s">
        <v>13</v>
      </c>
      <c r="K763" s="3" t="s">
        <v>14</v>
      </c>
      <c r="L763" s="3" t="s">
        <v>14</v>
      </c>
      <c r="M763" s="3" t="s">
        <v>14</v>
      </c>
      <c r="N763" s="3" t="s">
        <v>14</v>
      </c>
      <c r="O763" s="3">
        <v>1</v>
      </c>
    </row>
    <row r="764" spans="1:15" ht="15" customHeight="1" x14ac:dyDescent="0.25">
      <c r="A764" s="2">
        <v>20</v>
      </c>
      <c r="B764" s="2" t="s">
        <v>10</v>
      </c>
      <c r="C764" s="2" t="s">
        <v>19</v>
      </c>
      <c r="D764" s="2" t="s">
        <v>106</v>
      </c>
      <c r="E764" s="2">
        <v>0</v>
      </c>
      <c r="F764" s="2">
        <v>0</v>
      </c>
      <c r="G764" s="2" t="s">
        <v>10</v>
      </c>
      <c r="H764" s="2" t="s">
        <v>12</v>
      </c>
      <c r="I764" s="2">
        <v>2</v>
      </c>
      <c r="J764" s="2" t="s">
        <v>14</v>
      </c>
      <c r="K764" s="2" t="s">
        <v>14</v>
      </c>
      <c r="L764" s="2" t="s">
        <v>14</v>
      </c>
      <c r="M764" s="2" t="s">
        <v>14</v>
      </c>
      <c r="N764" s="2" t="s">
        <v>14</v>
      </c>
      <c r="O764" s="2">
        <v>1</v>
      </c>
    </row>
    <row r="765" spans="1:15" ht="15" customHeight="1" x14ac:dyDescent="0.25">
      <c r="A765" s="3">
        <v>30</v>
      </c>
      <c r="B765" s="3" t="s">
        <v>10</v>
      </c>
      <c r="C765" s="3" t="s">
        <v>11</v>
      </c>
      <c r="D765" s="2" t="s">
        <v>106</v>
      </c>
      <c r="E765" s="3">
        <v>0</v>
      </c>
      <c r="F765" s="3">
        <v>0</v>
      </c>
      <c r="G765" s="3" t="s">
        <v>10</v>
      </c>
      <c r="H765" s="3" t="s">
        <v>12</v>
      </c>
      <c r="I765" s="3">
        <v>2</v>
      </c>
      <c r="J765" s="3" t="s">
        <v>13</v>
      </c>
      <c r="K765" s="3" t="s">
        <v>14</v>
      </c>
      <c r="L765" s="3" t="s">
        <v>14</v>
      </c>
      <c r="M765" s="3" t="s">
        <v>13</v>
      </c>
      <c r="N765" s="3" t="s">
        <v>14</v>
      </c>
      <c r="O765" s="3">
        <v>1</v>
      </c>
    </row>
    <row r="766" spans="1:15" ht="15" customHeight="1" x14ac:dyDescent="0.25">
      <c r="A766" s="2">
        <v>0</v>
      </c>
      <c r="B766" s="2" t="s">
        <v>10</v>
      </c>
      <c r="C766" s="2" t="s">
        <v>11</v>
      </c>
      <c r="D766" s="2" t="s">
        <v>106</v>
      </c>
      <c r="E766" s="2">
        <v>0</v>
      </c>
      <c r="F766" s="2">
        <v>1</v>
      </c>
      <c r="G766" s="2" t="s">
        <v>18</v>
      </c>
      <c r="H766" s="2" t="s">
        <v>106</v>
      </c>
      <c r="I766" s="2">
        <v>1</v>
      </c>
      <c r="J766" s="2" t="s">
        <v>13</v>
      </c>
      <c r="K766" s="2" t="s">
        <v>13</v>
      </c>
      <c r="L766" s="2" t="s">
        <v>13</v>
      </c>
      <c r="M766" s="2" t="s">
        <v>14</v>
      </c>
      <c r="N766" s="2" t="s">
        <v>14</v>
      </c>
      <c r="O766" s="2">
        <v>1</v>
      </c>
    </row>
    <row r="767" spans="1:15" ht="15" customHeight="1" x14ac:dyDescent="0.25">
      <c r="A767" s="3">
        <v>5</v>
      </c>
      <c r="B767" s="3" t="s">
        <v>14</v>
      </c>
      <c r="C767" s="3" t="s">
        <v>19</v>
      </c>
      <c r="D767" s="2" t="s">
        <v>106</v>
      </c>
      <c r="E767" s="3">
        <v>0</v>
      </c>
      <c r="F767" s="3">
        <v>0</v>
      </c>
      <c r="G767" s="3" t="s">
        <v>10</v>
      </c>
      <c r="H767" s="3" t="s">
        <v>16</v>
      </c>
      <c r="I767" s="3" t="s">
        <v>15</v>
      </c>
      <c r="J767" s="3" t="s">
        <v>14</v>
      </c>
      <c r="K767" s="3" t="s">
        <v>14</v>
      </c>
      <c r="L767" s="3" t="s">
        <v>14</v>
      </c>
      <c r="M767" s="3" t="s">
        <v>14</v>
      </c>
      <c r="N767" s="3" t="s">
        <v>14</v>
      </c>
      <c r="O767" s="3">
        <v>1</v>
      </c>
    </row>
    <row r="768" spans="1:15" ht="15" customHeight="1" x14ac:dyDescent="0.25">
      <c r="A768" s="2">
        <v>10</v>
      </c>
      <c r="B768" s="2" t="s">
        <v>18</v>
      </c>
      <c r="C768" s="2" t="s">
        <v>19</v>
      </c>
      <c r="D768" s="2" t="s">
        <v>106</v>
      </c>
      <c r="E768" s="2">
        <v>0</v>
      </c>
      <c r="F768" s="2">
        <v>0</v>
      </c>
      <c r="G768" s="2" t="s">
        <v>10</v>
      </c>
      <c r="H768" s="2" t="s">
        <v>12</v>
      </c>
      <c r="I768" s="2">
        <v>2</v>
      </c>
      <c r="J768" s="2" t="s">
        <v>14</v>
      </c>
      <c r="K768" s="2" t="s">
        <v>14</v>
      </c>
      <c r="L768" s="2" t="s">
        <v>14</v>
      </c>
      <c r="M768" s="2" t="s">
        <v>14</v>
      </c>
      <c r="N768" s="2" t="s">
        <v>14</v>
      </c>
      <c r="O768" s="2">
        <v>1</v>
      </c>
    </row>
    <row r="769" spans="1:15" ht="15" customHeight="1" x14ac:dyDescent="0.25">
      <c r="A769" s="3">
        <v>30</v>
      </c>
      <c r="B769" s="3" t="s">
        <v>10</v>
      </c>
      <c r="C769" s="3" t="s">
        <v>11</v>
      </c>
      <c r="D769" s="2" t="s">
        <v>106</v>
      </c>
      <c r="E769" s="3">
        <v>0</v>
      </c>
      <c r="F769" s="3">
        <v>0</v>
      </c>
      <c r="G769" s="3" t="s">
        <v>10</v>
      </c>
      <c r="H769" s="3" t="s">
        <v>12</v>
      </c>
      <c r="I769" s="3" t="s">
        <v>15</v>
      </c>
      <c r="J769" s="3" t="s">
        <v>13</v>
      </c>
      <c r="K769" s="3" t="s">
        <v>14</v>
      </c>
      <c r="L769" s="3" t="s">
        <v>14</v>
      </c>
      <c r="M769" s="3" t="s">
        <v>13</v>
      </c>
      <c r="N769" s="3" t="s">
        <v>14</v>
      </c>
      <c r="O769" s="3">
        <v>1</v>
      </c>
    </row>
    <row r="770" spans="1:15" ht="15" customHeight="1" x14ac:dyDescent="0.25">
      <c r="A770" s="2">
        <v>20</v>
      </c>
      <c r="B770" s="2" t="s">
        <v>10</v>
      </c>
      <c r="C770" s="2" t="s">
        <v>11</v>
      </c>
      <c r="D770" s="2" t="s">
        <v>106</v>
      </c>
      <c r="E770" s="2">
        <v>1</v>
      </c>
      <c r="F770" s="2">
        <v>1</v>
      </c>
      <c r="G770" s="2" t="s">
        <v>10</v>
      </c>
      <c r="H770" s="2" t="s">
        <v>12</v>
      </c>
      <c r="I770" s="2" t="s">
        <v>15</v>
      </c>
      <c r="J770" s="2" t="s">
        <v>14</v>
      </c>
      <c r="K770" s="2" t="s">
        <v>14</v>
      </c>
      <c r="L770" s="2" t="s">
        <v>14</v>
      </c>
      <c r="M770" s="2" t="s">
        <v>13</v>
      </c>
      <c r="N770" s="2" t="s">
        <v>13</v>
      </c>
      <c r="O770" s="2">
        <v>0</v>
      </c>
    </row>
    <row r="771" spans="1:15" ht="15" customHeight="1" x14ac:dyDescent="0.25">
      <c r="A771" s="3">
        <v>0</v>
      </c>
      <c r="B771" s="3" t="s">
        <v>10</v>
      </c>
      <c r="C771" s="3" t="s">
        <v>20</v>
      </c>
      <c r="D771" s="2" t="s">
        <v>106</v>
      </c>
      <c r="E771" s="3">
        <v>0</v>
      </c>
      <c r="F771" s="3">
        <v>0</v>
      </c>
      <c r="G771" s="3" t="s">
        <v>17</v>
      </c>
      <c r="H771" s="3" t="s">
        <v>106</v>
      </c>
      <c r="I771" s="3">
        <v>1</v>
      </c>
      <c r="J771" s="3" t="s">
        <v>14</v>
      </c>
      <c r="K771" s="3" t="s">
        <v>13</v>
      </c>
      <c r="L771" s="3" t="s">
        <v>13</v>
      </c>
      <c r="M771" s="3" t="s">
        <v>13</v>
      </c>
      <c r="N771" s="3" t="s">
        <v>14</v>
      </c>
      <c r="O771" s="3">
        <v>1</v>
      </c>
    </row>
    <row r="772" spans="1:15" ht="15" customHeight="1" x14ac:dyDescent="0.25">
      <c r="A772" s="2">
        <v>0</v>
      </c>
      <c r="B772" s="2" t="s">
        <v>18</v>
      </c>
      <c r="C772" s="2" t="s">
        <v>20</v>
      </c>
      <c r="D772" s="2" t="s">
        <v>106</v>
      </c>
      <c r="E772" s="2">
        <v>0</v>
      </c>
      <c r="F772" s="2">
        <v>0</v>
      </c>
      <c r="G772" s="2" t="s">
        <v>10</v>
      </c>
      <c r="H772" s="2" t="s">
        <v>12</v>
      </c>
      <c r="I772" s="2">
        <v>1</v>
      </c>
      <c r="J772" s="2" t="s">
        <v>14</v>
      </c>
      <c r="K772" s="2" t="s">
        <v>13</v>
      </c>
      <c r="L772" s="2" t="s">
        <v>13</v>
      </c>
      <c r="M772" s="2" t="s">
        <v>14</v>
      </c>
      <c r="N772" s="2" t="s">
        <v>14</v>
      </c>
      <c r="O772" s="2">
        <v>1</v>
      </c>
    </row>
    <row r="773" spans="1:15" ht="15" customHeight="1" x14ac:dyDescent="0.25">
      <c r="A773" s="3">
        <v>0</v>
      </c>
      <c r="B773" s="3" t="s">
        <v>10</v>
      </c>
      <c r="C773" s="3" t="s">
        <v>20</v>
      </c>
      <c r="D773" s="2" t="s">
        <v>106</v>
      </c>
      <c r="E773" s="3">
        <v>1</v>
      </c>
      <c r="F773" s="3">
        <v>0</v>
      </c>
      <c r="G773" s="3" t="s">
        <v>10</v>
      </c>
      <c r="H773" s="3" t="s">
        <v>12</v>
      </c>
      <c r="I773" s="3">
        <v>2</v>
      </c>
      <c r="J773" s="3" t="s">
        <v>14</v>
      </c>
      <c r="K773" s="3" t="s">
        <v>14</v>
      </c>
      <c r="L773" s="3" t="s">
        <v>14</v>
      </c>
      <c r="M773" s="3" t="s">
        <v>14</v>
      </c>
      <c r="N773" s="3" t="s">
        <v>14</v>
      </c>
      <c r="O773" s="3">
        <v>1</v>
      </c>
    </row>
    <row r="774" spans="1:15" ht="15" customHeight="1" x14ac:dyDescent="0.25">
      <c r="A774" s="2">
        <v>5</v>
      </c>
      <c r="B774" s="2" t="s">
        <v>18</v>
      </c>
      <c r="C774" s="2" t="s">
        <v>20</v>
      </c>
      <c r="D774" s="2" t="s">
        <v>106</v>
      </c>
      <c r="E774" s="2">
        <v>0</v>
      </c>
      <c r="F774" s="2">
        <v>0</v>
      </c>
      <c r="G774" s="2" t="s">
        <v>10</v>
      </c>
      <c r="H774" s="2" t="s">
        <v>12</v>
      </c>
      <c r="I774" s="2">
        <v>2</v>
      </c>
      <c r="J774" s="2" t="s">
        <v>14</v>
      </c>
      <c r="K774" s="2" t="s">
        <v>14</v>
      </c>
      <c r="L774" s="2" t="s">
        <v>14</v>
      </c>
      <c r="M774" s="2" t="s">
        <v>14</v>
      </c>
      <c r="N774" s="2" t="s">
        <v>14</v>
      </c>
      <c r="O774" s="2">
        <v>1</v>
      </c>
    </row>
    <row r="775" spans="1:15" ht="15" customHeight="1" x14ac:dyDescent="0.25">
      <c r="A775" s="3">
        <v>30</v>
      </c>
      <c r="B775" s="3" t="s">
        <v>10</v>
      </c>
      <c r="C775" s="3" t="s">
        <v>19</v>
      </c>
      <c r="D775" s="2" t="s">
        <v>106</v>
      </c>
      <c r="E775" s="3">
        <v>1</v>
      </c>
      <c r="F775" s="3">
        <v>0</v>
      </c>
      <c r="G775" s="3" t="s">
        <v>10</v>
      </c>
      <c r="H775" s="3" t="s">
        <v>12</v>
      </c>
      <c r="I775" s="3" t="s">
        <v>15</v>
      </c>
      <c r="J775" s="3" t="s">
        <v>14</v>
      </c>
      <c r="K775" s="3" t="s">
        <v>14</v>
      </c>
      <c r="L775" s="3" t="s">
        <v>14</v>
      </c>
      <c r="M775" s="3" t="s">
        <v>13</v>
      </c>
      <c r="N775" s="3" t="s">
        <v>14</v>
      </c>
      <c r="O775" s="3">
        <v>0</v>
      </c>
    </row>
    <row r="776" spans="1:15" ht="15" customHeight="1" x14ac:dyDescent="0.25">
      <c r="A776" s="2">
        <v>5</v>
      </c>
      <c r="B776" s="2" t="s">
        <v>10</v>
      </c>
      <c r="C776" s="2" t="s">
        <v>19</v>
      </c>
      <c r="D776" s="2" t="s">
        <v>106</v>
      </c>
      <c r="E776" s="2">
        <v>0</v>
      </c>
      <c r="F776" s="2">
        <v>0</v>
      </c>
      <c r="G776" s="2" t="s">
        <v>17</v>
      </c>
      <c r="H776" s="2" t="s">
        <v>106</v>
      </c>
      <c r="I776" s="2">
        <v>1</v>
      </c>
      <c r="J776" s="2" t="s">
        <v>14</v>
      </c>
      <c r="K776" s="2" t="s">
        <v>13</v>
      </c>
      <c r="L776" s="2" t="s">
        <v>13</v>
      </c>
      <c r="M776" s="2" t="s">
        <v>13</v>
      </c>
      <c r="N776" s="2" t="s">
        <v>14</v>
      </c>
      <c r="O776" s="2">
        <v>0</v>
      </c>
    </row>
    <row r="777" spans="1:15" ht="15" customHeight="1" x14ac:dyDescent="0.25">
      <c r="A777" s="3">
        <v>0</v>
      </c>
      <c r="B777" s="3" t="s">
        <v>18</v>
      </c>
      <c r="C777" s="3" t="s">
        <v>19</v>
      </c>
      <c r="D777" s="2" t="s">
        <v>106</v>
      </c>
      <c r="E777" s="3">
        <v>0</v>
      </c>
      <c r="F777" s="3">
        <v>0</v>
      </c>
      <c r="G777" s="3" t="s">
        <v>10</v>
      </c>
      <c r="H777" s="3" t="s">
        <v>12</v>
      </c>
      <c r="I777" s="3" t="s">
        <v>15</v>
      </c>
      <c r="J777" s="3" t="s">
        <v>14</v>
      </c>
      <c r="K777" s="3" t="s">
        <v>14</v>
      </c>
      <c r="L777" s="3" t="s">
        <v>14</v>
      </c>
      <c r="M777" s="3" t="s">
        <v>14</v>
      </c>
      <c r="N777" s="3" t="s">
        <v>14</v>
      </c>
      <c r="O777" s="3">
        <v>1</v>
      </c>
    </row>
    <row r="778" spans="1:15" ht="15" customHeight="1" x14ac:dyDescent="0.25">
      <c r="A778" s="2">
        <v>30</v>
      </c>
      <c r="B778" s="2" t="s">
        <v>10</v>
      </c>
      <c r="C778" s="2" t="s">
        <v>19</v>
      </c>
      <c r="D778" s="2" t="s">
        <v>106</v>
      </c>
      <c r="E778" s="2">
        <v>0</v>
      </c>
      <c r="F778" s="2">
        <v>1</v>
      </c>
      <c r="G778" s="2" t="s">
        <v>10</v>
      </c>
      <c r="H778" s="2" t="s">
        <v>12</v>
      </c>
      <c r="I778" s="2">
        <v>2</v>
      </c>
      <c r="J778" s="2" t="s">
        <v>14</v>
      </c>
      <c r="K778" s="2" t="s">
        <v>14</v>
      </c>
      <c r="L778" s="2" t="s">
        <v>14</v>
      </c>
      <c r="M778" s="2" t="s">
        <v>13</v>
      </c>
      <c r="N778" s="2" t="s">
        <v>13</v>
      </c>
      <c r="O778" s="2">
        <v>1</v>
      </c>
    </row>
    <row r="779" spans="1:15" ht="15" customHeight="1" x14ac:dyDescent="0.25">
      <c r="A779" s="3">
        <v>0</v>
      </c>
      <c r="B779" s="3" t="s">
        <v>14</v>
      </c>
      <c r="C779" s="3" t="s">
        <v>11</v>
      </c>
      <c r="D779" s="2" t="s">
        <v>106</v>
      </c>
      <c r="E779" s="3">
        <v>0</v>
      </c>
      <c r="F779" s="3">
        <v>0</v>
      </c>
      <c r="G779" s="3" t="s">
        <v>10</v>
      </c>
      <c r="H779" s="3" t="s">
        <v>16</v>
      </c>
      <c r="I779" s="3" t="s">
        <v>15</v>
      </c>
      <c r="J779" s="3" t="s">
        <v>14</v>
      </c>
      <c r="K779" s="3" t="s">
        <v>14</v>
      </c>
      <c r="L779" s="3" t="s">
        <v>14</v>
      </c>
      <c r="M779" s="3" t="s">
        <v>14</v>
      </c>
      <c r="N779" s="3" t="s">
        <v>14</v>
      </c>
      <c r="O779" s="3">
        <v>1</v>
      </c>
    </row>
    <row r="780" spans="1:15" ht="15" customHeight="1" x14ac:dyDescent="0.25">
      <c r="A780" s="2">
        <v>5</v>
      </c>
      <c r="B780" s="2" t="s">
        <v>10</v>
      </c>
      <c r="C780" s="2" t="s">
        <v>11</v>
      </c>
      <c r="D780" s="2" t="s">
        <v>106</v>
      </c>
      <c r="E780" s="2">
        <v>0</v>
      </c>
      <c r="F780" s="2">
        <v>0</v>
      </c>
      <c r="G780" s="2" t="s">
        <v>10</v>
      </c>
      <c r="H780" s="2" t="s">
        <v>12</v>
      </c>
      <c r="I780" s="2" t="s">
        <v>15</v>
      </c>
      <c r="J780" s="2" t="s">
        <v>14</v>
      </c>
      <c r="K780" s="2" t="s">
        <v>14</v>
      </c>
      <c r="L780" s="2" t="s">
        <v>14</v>
      </c>
      <c r="M780" s="2" t="s">
        <v>14</v>
      </c>
      <c r="N780" s="2" t="s">
        <v>14</v>
      </c>
      <c r="O780" s="2">
        <v>1</v>
      </c>
    </row>
    <row r="781" spans="1:15" ht="15" customHeight="1" x14ac:dyDescent="0.25">
      <c r="A781" s="3">
        <v>10</v>
      </c>
      <c r="B781" s="3" t="s">
        <v>10</v>
      </c>
      <c r="C781" s="3" t="s">
        <v>11</v>
      </c>
      <c r="D781" s="2" t="s">
        <v>106</v>
      </c>
      <c r="E781" s="3">
        <v>0</v>
      </c>
      <c r="F781" s="3">
        <v>2</v>
      </c>
      <c r="G781" s="3" t="s">
        <v>10</v>
      </c>
      <c r="H781" s="3" t="s">
        <v>12</v>
      </c>
      <c r="I781" s="3">
        <v>2</v>
      </c>
      <c r="J781" s="3" t="s">
        <v>14</v>
      </c>
      <c r="K781" s="3" t="s">
        <v>14</v>
      </c>
      <c r="L781" s="3" t="s">
        <v>14</v>
      </c>
      <c r="M781" s="3" t="s">
        <v>13</v>
      </c>
      <c r="N781" s="3" t="s">
        <v>13</v>
      </c>
      <c r="O781" s="3">
        <v>0</v>
      </c>
    </row>
    <row r="782" spans="1:15" ht="15" customHeight="1" x14ac:dyDescent="0.25">
      <c r="A782" s="2">
        <v>5</v>
      </c>
      <c r="B782" s="2" t="s">
        <v>10</v>
      </c>
      <c r="C782" s="2" t="s">
        <v>19</v>
      </c>
      <c r="D782" s="2" t="s">
        <v>106</v>
      </c>
      <c r="E782" s="2">
        <v>1</v>
      </c>
      <c r="F782" s="2">
        <v>0</v>
      </c>
      <c r="G782" s="2" t="s">
        <v>17</v>
      </c>
      <c r="H782" s="2" t="s">
        <v>106</v>
      </c>
      <c r="I782" s="2">
        <v>1</v>
      </c>
      <c r="J782" s="2" t="s">
        <v>14</v>
      </c>
      <c r="K782" s="2" t="s">
        <v>13</v>
      </c>
      <c r="L782" s="2" t="s">
        <v>13</v>
      </c>
      <c r="M782" s="2" t="s">
        <v>13</v>
      </c>
      <c r="N782" s="2" t="s">
        <v>14</v>
      </c>
      <c r="O782" s="2">
        <v>0</v>
      </c>
    </row>
    <row r="783" spans="1:15" ht="15" customHeight="1" x14ac:dyDescent="0.25">
      <c r="A783" s="3">
        <v>20</v>
      </c>
      <c r="B783" s="3" t="s">
        <v>10</v>
      </c>
      <c r="C783" s="3" t="s">
        <v>11</v>
      </c>
      <c r="D783" s="2" t="s">
        <v>106</v>
      </c>
      <c r="E783" s="3">
        <v>1</v>
      </c>
      <c r="F783" s="3">
        <v>0</v>
      </c>
      <c r="G783" s="3" t="s">
        <v>10</v>
      </c>
      <c r="H783" s="3" t="s">
        <v>12</v>
      </c>
      <c r="I783" s="3">
        <v>2</v>
      </c>
      <c r="J783" s="3" t="s">
        <v>13</v>
      </c>
      <c r="K783" s="3" t="s">
        <v>14</v>
      </c>
      <c r="L783" s="3" t="s">
        <v>14</v>
      </c>
      <c r="M783" s="3" t="s">
        <v>13</v>
      </c>
      <c r="N783" s="3" t="s">
        <v>14</v>
      </c>
      <c r="O783" s="3">
        <v>0</v>
      </c>
    </row>
    <row r="784" spans="1:15" ht="15" customHeight="1" x14ac:dyDescent="0.25">
      <c r="A784" s="2">
        <v>20</v>
      </c>
      <c r="B784" s="2" t="s">
        <v>10</v>
      </c>
      <c r="C784" s="2" t="s">
        <v>19</v>
      </c>
      <c r="D784" s="2" t="s">
        <v>106</v>
      </c>
      <c r="E784" s="2">
        <v>1</v>
      </c>
      <c r="F784" s="2">
        <v>0</v>
      </c>
      <c r="G784" s="2" t="s">
        <v>10</v>
      </c>
      <c r="H784" s="2" t="s">
        <v>12</v>
      </c>
      <c r="I784" s="2">
        <v>1</v>
      </c>
      <c r="J784" s="2" t="s">
        <v>14</v>
      </c>
      <c r="K784" s="2" t="s">
        <v>13</v>
      </c>
      <c r="L784" s="2" t="s">
        <v>13</v>
      </c>
      <c r="M784" s="2" t="s">
        <v>13</v>
      </c>
      <c r="N784" s="2" t="s">
        <v>14</v>
      </c>
      <c r="O784" s="2">
        <v>0</v>
      </c>
    </row>
    <row r="785" spans="1:15" ht="15" customHeight="1" x14ac:dyDescent="0.25">
      <c r="A785" s="3">
        <v>5</v>
      </c>
      <c r="B785" s="3" t="s">
        <v>10</v>
      </c>
      <c r="C785" s="3" t="s">
        <v>19</v>
      </c>
      <c r="D785" s="2" t="s">
        <v>106</v>
      </c>
      <c r="E785" s="3">
        <v>0</v>
      </c>
      <c r="F785" s="3">
        <v>1</v>
      </c>
      <c r="G785" s="3" t="s">
        <v>17</v>
      </c>
      <c r="H785" s="3" t="s">
        <v>106</v>
      </c>
      <c r="I785" s="3">
        <v>1</v>
      </c>
      <c r="J785" s="3" t="s">
        <v>14</v>
      </c>
      <c r="K785" s="3" t="s">
        <v>13</v>
      </c>
      <c r="L785" s="3" t="s">
        <v>13</v>
      </c>
      <c r="M785" s="3" t="s">
        <v>13</v>
      </c>
      <c r="N785" s="3" t="s">
        <v>14</v>
      </c>
      <c r="O785" s="3">
        <v>1</v>
      </c>
    </row>
    <row r="786" spans="1:15" ht="15" customHeight="1" x14ac:dyDescent="0.25">
      <c r="A786" s="2">
        <v>5</v>
      </c>
      <c r="B786" s="2" t="s">
        <v>10</v>
      </c>
      <c r="C786" s="2" t="s">
        <v>11</v>
      </c>
      <c r="D786" s="2" t="s">
        <v>106</v>
      </c>
      <c r="E786" s="2">
        <v>0</v>
      </c>
      <c r="F786" s="2">
        <v>0</v>
      </c>
      <c r="G786" s="2" t="s">
        <v>10</v>
      </c>
      <c r="H786" s="2" t="s">
        <v>12</v>
      </c>
      <c r="I786" s="2" t="s">
        <v>15</v>
      </c>
      <c r="J786" s="2" t="s">
        <v>14</v>
      </c>
      <c r="K786" s="2" t="s">
        <v>14</v>
      </c>
      <c r="L786" s="2" t="s">
        <v>14</v>
      </c>
      <c r="M786" s="2" t="s">
        <v>14</v>
      </c>
      <c r="N786" s="2" t="s">
        <v>14</v>
      </c>
      <c r="O786" s="2">
        <v>1</v>
      </c>
    </row>
    <row r="787" spans="1:15" ht="15" customHeight="1" x14ac:dyDescent="0.25">
      <c r="A787" s="3">
        <v>10</v>
      </c>
      <c r="B787" s="3" t="s">
        <v>18</v>
      </c>
      <c r="C787" s="3" t="s">
        <v>19</v>
      </c>
      <c r="D787" s="2" t="s">
        <v>106</v>
      </c>
      <c r="E787" s="3">
        <v>0</v>
      </c>
      <c r="F787" s="3">
        <v>0</v>
      </c>
      <c r="G787" s="3" t="s">
        <v>10</v>
      </c>
      <c r="H787" s="3" t="s">
        <v>12</v>
      </c>
      <c r="I787" s="3" t="s">
        <v>15</v>
      </c>
      <c r="J787" s="3" t="s">
        <v>14</v>
      </c>
      <c r="K787" s="3" t="s">
        <v>14</v>
      </c>
      <c r="L787" s="3" t="s">
        <v>14</v>
      </c>
      <c r="M787" s="3" t="s">
        <v>14</v>
      </c>
      <c r="N787" s="3" t="s">
        <v>14</v>
      </c>
      <c r="O787" s="3">
        <v>1</v>
      </c>
    </row>
    <row r="788" spans="1:15" ht="15" customHeight="1" x14ac:dyDescent="0.25">
      <c r="A788" s="2">
        <v>10</v>
      </c>
      <c r="B788" s="2" t="s">
        <v>10</v>
      </c>
      <c r="C788" s="2" t="s">
        <v>11</v>
      </c>
      <c r="D788" s="2" t="s">
        <v>106</v>
      </c>
      <c r="E788" s="2">
        <v>1</v>
      </c>
      <c r="F788" s="2">
        <v>0</v>
      </c>
      <c r="G788" s="2" t="s">
        <v>10</v>
      </c>
      <c r="H788" s="2" t="s">
        <v>12</v>
      </c>
      <c r="I788" s="2">
        <v>2</v>
      </c>
      <c r="J788" s="2" t="s">
        <v>14</v>
      </c>
      <c r="K788" s="2" t="s">
        <v>14</v>
      </c>
      <c r="L788" s="2" t="s">
        <v>14</v>
      </c>
      <c r="M788" s="2" t="s">
        <v>14</v>
      </c>
      <c r="N788" s="2" t="s">
        <v>14</v>
      </c>
      <c r="O788" s="2">
        <v>0</v>
      </c>
    </row>
    <row r="789" spans="1:15" ht="15" customHeight="1" x14ac:dyDescent="0.25">
      <c r="A789" s="3">
        <v>10</v>
      </c>
      <c r="B789" s="3" t="s">
        <v>10</v>
      </c>
      <c r="C789" s="3" t="s">
        <v>20</v>
      </c>
      <c r="D789" s="2" t="s">
        <v>106</v>
      </c>
      <c r="E789" s="3">
        <v>0</v>
      </c>
      <c r="F789" s="3">
        <v>0</v>
      </c>
      <c r="G789" s="3" t="s">
        <v>10</v>
      </c>
      <c r="H789" s="3" t="s">
        <v>12</v>
      </c>
      <c r="I789" s="3">
        <v>2</v>
      </c>
      <c r="J789" s="3" t="s">
        <v>14</v>
      </c>
      <c r="K789" s="3" t="s">
        <v>14</v>
      </c>
      <c r="L789" s="3" t="s">
        <v>14</v>
      </c>
      <c r="M789" s="3" t="s">
        <v>14</v>
      </c>
      <c r="N789" s="3" t="s">
        <v>14</v>
      </c>
      <c r="O789" s="3">
        <v>1</v>
      </c>
    </row>
    <row r="790" spans="1:15" ht="15" customHeight="1" x14ac:dyDescent="0.25">
      <c r="A790" s="2">
        <v>20</v>
      </c>
      <c r="B790" s="2" t="s">
        <v>14</v>
      </c>
      <c r="C790" s="2" t="s">
        <v>20</v>
      </c>
      <c r="D790" s="2" t="s">
        <v>106</v>
      </c>
      <c r="E790" s="2">
        <v>0</v>
      </c>
      <c r="F790" s="2">
        <v>0</v>
      </c>
      <c r="G790" s="2" t="s">
        <v>10</v>
      </c>
      <c r="H790" s="2" t="s">
        <v>12</v>
      </c>
      <c r="I790" s="2" t="s">
        <v>15</v>
      </c>
      <c r="J790" s="2" t="s">
        <v>14</v>
      </c>
      <c r="K790" s="2" t="s">
        <v>14</v>
      </c>
      <c r="L790" s="2" t="s">
        <v>14</v>
      </c>
      <c r="M790" s="2" t="s">
        <v>14</v>
      </c>
      <c r="N790" s="2" t="s">
        <v>14</v>
      </c>
      <c r="O790" s="2">
        <v>0</v>
      </c>
    </row>
    <row r="791" spans="1:15" ht="15" customHeight="1" x14ac:dyDescent="0.25">
      <c r="A791" s="3">
        <v>10</v>
      </c>
      <c r="B791" s="3" t="s">
        <v>10</v>
      </c>
      <c r="C791" s="3" t="s">
        <v>19</v>
      </c>
      <c r="D791" s="2" t="s">
        <v>106</v>
      </c>
      <c r="E791" s="3">
        <v>0</v>
      </c>
      <c r="F791" s="3">
        <v>0</v>
      </c>
      <c r="G791" s="3" t="s">
        <v>10</v>
      </c>
      <c r="H791" s="3" t="s">
        <v>12</v>
      </c>
      <c r="I791" s="3" t="s">
        <v>15</v>
      </c>
      <c r="J791" s="3" t="s">
        <v>14</v>
      </c>
      <c r="K791" s="3" t="s">
        <v>14</v>
      </c>
      <c r="L791" s="3" t="s">
        <v>14</v>
      </c>
      <c r="M791" s="3" t="s">
        <v>14</v>
      </c>
      <c r="N791" s="3" t="s">
        <v>14</v>
      </c>
      <c r="O791" s="3">
        <v>1</v>
      </c>
    </row>
    <row r="792" spans="1:15" ht="15" customHeight="1" x14ac:dyDescent="0.25">
      <c r="A792" s="2">
        <v>0</v>
      </c>
      <c r="B792" s="2" t="s">
        <v>18</v>
      </c>
      <c r="C792" s="2" t="s">
        <v>19</v>
      </c>
      <c r="D792" s="2" t="s">
        <v>106</v>
      </c>
      <c r="E792" s="2">
        <v>0</v>
      </c>
      <c r="F792" s="2">
        <v>0</v>
      </c>
      <c r="G792" s="2" t="s">
        <v>10</v>
      </c>
      <c r="H792" s="2" t="s">
        <v>16</v>
      </c>
      <c r="I792" s="2">
        <v>1</v>
      </c>
      <c r="J792" s="2" t="s">
        <v>14</v>
      </c>
      <c r="K792" s="2" t="s">
        <v>14</v>
      </c>
      <c r="L792" s="2" t="s">
        <v>14</v>
      </c>
      <c r="M792" s="2" t="s">
        <v>14</v>
      </c>
      <c r="N792" s="2" t="s">
        <v>14</v>
      </c>
      <c r="O792" s="2">
        <v>1</v>
      </c>
    </row>
    <row r="793" spans="1:15" ht="15" customHeight="1" x14ac:dyDescent="0.25">
      <c r="A793" s="3">
        <v>5</v>
      </c>
      <c r="B793" s="3" t="s">
        <v>10</v>
      </c>
      <c r="C793" s="3" t="s">
        <v>11</v>
      </c>
      <c r="D793" s="2" t="s">
        <v>106</v>
      </c>
      <c r="E793" s="3">
        <v>1</v>
      </c>
      <c r="F793" s="3">
        <v>0</v>
      </c>
      <c r="G793" s="3" t="s">
        <v>10</v>
      </c>
      <c r="H793" s="3" t="s">
        <v>12</v>
      </c>
      <c r="I793" s="3">
        <v>1</v>
      </c>
      <c r="J793" s="3" t="s">
        <v>14</v>
      </c>
      <c r="K793" s="3" t="s">
        <v>14</v>
      </c>
      <c r="L793" s="3" t="s">
        <v>14</v>
      </c>
      <c r="M793" s="3" t="s">
        <v>14</v>
      </c>
      <c r="N793" s="3" t="s">
        <v>14</v>
      </c>
      <c r="O793" s="3">
        <v>1</v>
      </c>
    </row>
    <row r="794" spans="1:15" ht="15" customHeight="1" x14ac:dyDescent="0.25">
      <c r="A794" s="2">
        <v>20</v>
      </c>
      <c r="B794" s="2" t="s">
        <v>10</v>
      </c>
      <c r="C794" s="2" t="s">
        <v>11</v>
      </c>
      <c r="D794" s="2" t="s">
        <v>106</v>
      </c>
      <c r="E794" s="2">
        <v>0</v>
      </c>
      <c r="F794" s="2">
        <v>0</v>
      </c>
      <c r="G794" s="2" t="s">
        <v>10</v>
      </c>
      <c r="H794" s="2" t="s">
        <v>12</v>
      </c>
      <c r="I794" s="2" t="s">
        <v>15</v>
      </c>
      <c r="J794" s="2" t="s">
        <v>14</v>
      </c>
      <c r="K794" s="2" t="s">
        <v>14</v>
      </c>
      <c r="L794" s="2" t="s">
        <v>14</v>
      </c>
      <c r="M794" s="2" t="s">
        <v>14</v>
      </c>
      <c r="N794" s="2" t="s">
        <v>13</v>
      </c>
      <c r="O794" s="2">
        <v>1</v>
      </c>
    </row>
    <row r="795" spans="1:15" ht="15" customHeight="1" x14ac:dyDescent="0.25">
      <c r="A795" s="3">
        <v>5</v>
      </c>
      <c r="B795" s="3" t="s">
        <v>10</v>
      </c>
      <c r="C795" s="3" t="s">
        <v>11</v>
      </c>
      <c r="D795" s="2" t="s">
        <v>106</v>
      </c>
      <c r="E795" s="3">
        <v>0</v>
      </c>
      <c r="F795" s="3">
        <v>0</v>
      </c>
      <c r="G795" s="3" t="s">
        <v>10</v>
      </c>
      <c r="H795" s="3" t="s">
        <v>12</v>
      </c>
      <c r="I795" s="3">
        <v>1</v>
      </c>
      <c r="J795" s="3" t="s">
        <v>14</v>
      </c>
      <c r="K795" s="3" t="s">
        <v>14</v>
      </c>
      <c r="L795" s="3" t="s">
        <v>14</v>
      </c>
      <c r="M795" s="3" t="s">
        <v>14</v>
      </c>
      <c r="N795" s="3" t="s">
        <v>14</v>
      </c>
      <c r="O795" s="3">
        <v>1</v>
      </c>
    </row>
    <row r="796" spans="1:15" ht="15" customHeight="1" x14ac:dyDescent="0.25">
      <c r="A796" s="2">
        <v>5</v>
      </c>
      <c r="B796" s="2" t="s">
        <v>18</v>
      </c>
      <c r="C796" s="2" t="s">
        <v>19</v>
      </c>
      <c r="D796" s="2" t="s">
        <v>106</v>
      </c>
      <c r="E796" s="2">
        <v>0</v>
      </c>
      <c r="F796" s="2">
        <v>0</v>
      </c>
      <c r="G796" s="2" t="s">
        <v>10</v>
      </c>
      <c r="H796" s="2" t="s">
        <v>12</v>
      </c>
      <c r="I796" s="2">
        <v>1</v>
      </c>
      <c r="J796" s="2" t="s">
        <v>14</v>
      </c>
      <c r="K796" s="2" t="s">
        <v>14</v>
      </c>
      <c r="L796" s="2" t="s">
        <v>14</v>
      </c>
      <c r="M796" s="2" t="s">
        <v>14</v>
      </c>
      <c r="N796" s="2" t="s">
        <v>14</v>
      </c>
      <c r="O796" s="2">
        <v>1</v>
      </c>
    </row>
    <row r="797" spans="1:15" ht="15" customHeight="1" x14ac:dyDescent="0.25">
      <c r="A797" s="3">
        <v>10</v>
      </c>
      <c r="B797" s="3" t="s">
        <v>10</v>
      </c>
      <c r="C797" s="3" t="s">
        <v>11</v>
      </c>
      <c r="D797" s="2" t="s">
        <v>106</v>
      </c>
      <c r="E797" s="3">
        <v>0</v>
      </c>
      <c r="F797" s="3">
        <v>0</v>
      </c>
      <c r="G797" s="3" t="s">
        <v>10</v>
      </c>
      <c r="H797" s="3" t="s">
        <v>12</v>
      </c>
      <c r="I797" s="3">
        <v>2</v>
      </c>
      <c r="J797" s="3" t="s">
        <v>14</v>
      </c>
      <c r="K797" s="3" t="s">
        <v>14</v>
      </c>
      <c r="L797" s="3" t="s">
        <v>14</v>
      </c>
      <c r="M797" s="3" t="s">
        <v>14</v>
      </c>
      <c r="N797" s="3" t="s">
        <v>14</v>
      </c>
      <c r="O797" s="3">
        <v>1</v>
      </c>
    </row>
    <row r="798" spans="1:15" ht="15" customHeight="1" x14ac:dyDescent="0.25">
      <c r="A798" s="2">
        <v>5</v>
      </c>
      <c r="B798" s="2" t="s">
        <v>10</v>
      </c>
      <c r="C798" s="2" t="s">
        <v>11</v>
      </c>
      <c r="D798" s="2" t="s">
        <v>106</v>
      </c>
      <c r="E798" s="2">
        <v>1</v>
      </c>
      <c r="F798" s="2">
        <v>0</v>
      </c>
      <c r="G798" s="2" t="s">
        <v>10</v>
      </c>
      <c r="H798" s="2" t="s">
        <v>12</v>
      </c>
      <c r="I798" s="2" t="s">
        <v>15</v>
      </c>
      <c r="J798" s="2" t="s">
        <v>13</v>
      </c>
      <c r="K798" s="2" t="s">
        <v>14</v>
      </c>
      <c r="L798" s="2" t="s">
        <v>14</v>
      </c>
      <c r="M798" s="2" t="s">
        <v>14</v>
      </c>
      <c r="N798" s="2" t="s">
        <v>14</v>
      </c>
      <c r="O798" s="2">
        <v>1</v>
      </c>
    </row>
    <row r="799" spans="1:15" ht="15" customHeight="1" x14ac:dyDescent="0.25">
      <c r="A799" s="3">
        <v>5</v>
      </c>
      <c r="B799" s="3" t="s">
        <v>14</v>
      </c>
      <c r="C799" s="3" t="s">
        <v>20</v>
      </c>
      <c r="D799" s="2" t="s">
        <v>106</v>
      </c>
      <c r="E799" s="3">
        <v>0</v>
      </c>
      <c r="F799" s="3">
        <v>0</v>
      </c>
      <c r="G799" s="3" t="s">
        <v>10</v>
      </c>
      <c r="H799" s="3" t="s">
        <v>12</v>
      </c>
      <c r="I799" s="3">
        <v>2</v>
      </c>
      <c r="J799" s="3" t="s">
        <v>14</v>
      </c>
      <c r="K799" s="3" t="s">
        <v>14</v>
      </c>
      <c r="L799" s="3" t="s">
        <v>14</v>
      </c>
      <c r="M799" s="3" t="s">
        <v>14</v>
      </c>
      <c r="N799" s="3" t="s">
        <v>14</v>
      </c>
      <c r="O799" s="3">
        <v>1</v>
      </c>
    </row>
    <row r="800" spans="1:15" ht="15" customHeight="1" x14ac:dyDescent="0.25">
      <c r="A800" s="2">
        <v>10</v>
      </c>
      <c r="B800" s="2" t="s">
        <v>18</v>
      </c>
      <c r="C800" s="2" t="s">
        <v>20</v>
      </c>
      <c r="D800" s="2" t="s">
        <v>106</v>
      </c>
      <c r="E800" s="2">
        <v>0</v>
      </c>
      <c r="F800" s="2">
        <v>0</v>
      </c>
      <c r="G800" s="2" t="s">
        <v>10</v>
      </c>
      <c r="H800" s="2" t="s">
        <v>12</v>
      </c>
      <c r="I800" s="2" t="s">
        <v>15</v>
      </c>
      <c r="J800" s="2" t="s">
        <v>14</v>
      </c>
      <c r="K800" s="2" t="s">
        <v>14</v>
      </c>
      <c r="L800" s="2" t="s">
        <v>14</v>
      </c>
      <c r="M800" s="2" t="s">
        <v>14</v>
      </c>
      <c r="N800" s="2" t="s">
        <v>14</v>
      </c>
      <c r="O800" s="2">
        <v>1</v>
      </c>
    </row>
    <row r="801" spans="1:15" ht="15" customHeight="1" x14ac:dyDescent="0.25">
      <c r="A801" s="3">
        <v>0</v>
      </c>
      <c r="B801" s="3" t="s">
        <v>18</v>
      </c>
      <c r="C801" s="3" t="s">
        <v>20</v>
      </c>
      <c r="D801" s="2" t="s">
        <v>106</v>
      </c>
      <c r="E801" s="3">
        <v>0</v>
      </c>
      <c r="F801" s="3">
        <v>0</v>
      </c>
      <c r="G801" s="3" t="s">
        <v>10</v>
      </c>
      <c r="H801" s="3" t="s">
        <v>12</v>
      </c>
      <c r="I801" s="3">
        <v>2</v>
      </c>
      <c r="J801" s="3" t="s">
        <v>14</v>
      </c>
      <c r="K801" s="3" t="s">
        <v>14</v>
      </c>
      <c r="L801" s="3" t="s">
        <v>14</v>
      </c>
      <c r="M801" s="3" t="s">
        <v>14</v>
      </c>
      <c r="N801" s="3" t="s">
        <v>14</v>
      </c>
      <c r="O801" s="3">
        <v>1</v>
      </c>
    </row>
    <row r="802" spans="1:15" ht="15" customHeight="1" x14ac:dyDescent="0.25">
      <c r="A802" s="2">
        <v>10</v>
      </c>
      <c r="B802" s="2" t="s">
        <v>10</v>
      </c>
      <c r="C802" s="2" t="s">
        <v>20</v>
      </c>
      <c r="D802" s="2" t="s">
        <v>106</v>
      </c>
      <c r="E802" s="2">
        <v>0</v>
      </c>
      <c r="F802" s="2">
        <v>0</v>
      </c>
      <c r="G802" s="2" t="s">
        <v>10</v>
      </c>
      <c r="H802" s="2" t="s">
        <v>12</v>
      </c>
      <c r="I802" s="2">
        <v>2</v>
      </c>
      <c r="J802" s="2" t="s">
        <v>14</v>
      </c>
      <c r="K802" s="2" t="s">
        <v>14</v>
      </c>
      <c r="L802" s="2" t="s">
        <v>14</v>
      </c>
      <c r="M802" s="2" t="s">
        <v>14</v>
      </c>
      <c r="N802" s="2" t="s">
        <v>14</v>
      </c>
      <c r="O802" s="2">
        <v>1</v>
      </c>
    </row>
    <row r="803" spans="1:15" ht="15" customHeight="1" x14ac:dyDescent="0.25">
      <c r="A803" s="3">
        <v>10</v>
      </c>
      <c r="B803" s="3" t="s">
        <v>18</v>
      </c>
      <c r="C803" s="3" t="s">
        <v>20</v>
      </c>
      <c r="D803" s="2" t="s">
        <v>106</v>
      </c>
      <c r="E803" s="3">
        <v>0</v>
      </c>
      <c r="F803" s="3">
        <v>0</v>
      </c>
      <c r="G803" s="3" t="s">
        <v>10</v>
      </c>
      <c r="H803" s="3" t="s">
        <v>12</v>
      </c>
      <c r="I803" s="3" t="s">
        <v>15</v>
      </c>
      <c r="J803" s="3" t="s">
        <v>14</v>
      </c>
      <c r="K803" s="3" t="s">
        <v>14</v>
      </c>
      <c r="L803" s="3" t="s">
        <v>14</v>
      </c>
      <c r="M803" s="3" t="s">
        <v>14</v>
      </c>
      <c r="N803" s="3" t="s">
        <v>14</v>
      </c>
      <c r="O803" s="3">
        <v>1</v>
      </c>
    </row>
    <row r="804" spans="1:15" ht="15" customHeight="1" x14ac:dyDescent="0.25">
      <c r="A804" s="2">
        <v>10</v>
      </c>
      <c r="B804" s="2" t="s">
        <v>10</v>
      </c>
      <c r="C804" s="2" t="s">
        <v>20</v>
      </c>
      <c r="D804" s="2" t="s">
        <v>106</v>
      </c>
      <c r="E804" s="2">
        <v>0</v>
      </c>
      <c r="F804" s="2">
        <v>0</v>
      </c>
      <c r="G804" s="2" t="s">
        <v>10</v>
      </c>
      <c r="H804" s="2" t="s">
        <v>12</v>
      </c>
      <c r="I804" s="2" t="s">
        <v>15</v>
      </c>
      <c r="J804" s="2" t="s">
        <v>14</v>
      </c>
      <c r="K804" s="2" t="s">
        <v>14</v>
      </c>
      <c r="L804" s="2" t="s">
        <v>14</v>
      </c>
      <c r="M804" s="2" t="s">
        <v>14</v>
      </c>
      <c r="N804" s="2" t="s">
        <v>14</v>
      </c>
      <c r="O804" s="2">
        <v>1</v>
      </c>
    </row>
    <row r="805" spans="1:15" ht="15" customHeight="1" x14ac:dyDescent="0.25">
      <c r="A805" s="3">
        <v>20</v>
      </c>
      <c r="B805" s="3" t="s">
        <v>10</v>
      </c>
      <c r="C805" s="3" t="s">
        <v>19</v>
      </c>
      <c r="D805" s="2" t="s">
        <v>106</v>
      </c>
      <c r="E805" s="3">
        <v>0</v>
      </c>
      <c r="F805" s="3">
        <v>1</v>
      </c>
      <c r="G805" s="3" t="s">
        <v>10</v>
      </c>
      <c r="H805" s="3" t="s">
        <v>12</v>
      </c>
      <c r="I805" s="3">
        <v>2</v>
      </c>
      <c r="J805" s="3" t="s">
        <v>14</v>
      </c>
      <c r="K805" s="3" t="s">
        <v>14</v>
      </c>
      <c r="L805" s="3" t="s">
        <v>14</v>
      </c>
      <c r="M805" s="3" t="s">
        <v>14</v>
      </c>
      <c r="N805" s="3" t="s">
        <v>14</v>
      </c>
      <c r="O805" s="3">
        <v>1</v>
      </c>
    </row>
    <row r="806" spans="1:15" ht="15" customHeight="1" x14ac:dyDescent="0.25">
      <c r="A806" s="2">
        <v>5</v>
      </c>
      <c r="B806" s="2" t="s">
        <v>18</v>
      </c>
      <c r="C806" s="2" t="s">
        <v>19</v>
      </c>
      <c r="D806" s="2" t="s">
        <v>106</v>
      </c>
      <c r="E806" s="2">
        <v>0</v>
      </c>
      <c r="F806" s="2">
        <v>0</v>
      </c>
      <c r="G806" s="2" t="s">
        <v>10</v>
      </c>
      <c r="H806" s="2" t="s">
        <v>12</v>
      </c>
      <c r="I806" s="2">
        <v>2</v>
      </c>
      <c r="J806" s="2" t="s">
        <v>14</v>
      </c>
      <c r="K806" s="2" t="s">
        <v>14</v>
      </c>
      <c r="L806" s="2" t="s">
        <v>14</v>
      </c>
      <c r="M806" s="2" t="s">
        <v>14</v>
      </c>
      <c r="N806" s="2" t="s">
        <v>14</v>
      </c>
      <c r="O806" s="2">
        <v>1</v>
      </c>
    </row>
    <row r="807" spans="1:15" ht="15" customHeight="1" x14ac:dyDescent="0.25">
      <c r="A807" s="3">
        <v>0</v>
      </c>
      <c r="B807" s="3" t="s">
        <v>14</v>
      </c>
      <c r="C807" s="3" t="s">
        <v>19</v>
      </c>
      <c r="D807" s="2" t="s">
        <v>106</v>
      </c>
      <c r="E807" s="3">
        <v>0</v>
      </c>
      <c r="F807" s="3">
        <v>0</v>
      </c>
      <c r="G807" s="3" t="s">
        <v>10</v>
      </c>
      <c r="H807" s="3" t="s">
        <v>12</v>
      </c>
      <c r="I807" s="3">
        <v>1</v>
      </c>
      <c r="J807" s="3" t="s">
        <v>14</v>
      </c>
      <c r="K807" s="3" t="s">
        <v>14</v>
      </c>
      <c r="L807" s="3" t="s">
        <v>14</v>
      </c>
      <c r="M807" s="3" t="s">
        <v>14</v>
      </c>
      <c r="N807" s="3" t="s">
        <v>14</v>
      </c>
      <c r="O807" s="3">
        <v>1</v>
      </c>
    </row>
    <row r="808" spans="1:15" ht="15" customHeight="1" x14ac:dyDescent="0.25">
      <c r="A808" s="2">
        <v>10</v>
      </c>
      <c r="B808" s="2" t="s">
        <v>10</v>
      </c>
      <c r="C808" s="2" t="s">
        <v>19</v>
      </c>
      <c r="D808" s="2" t="s">
        <v>106</v>
      </c>
      <c r="E808" s="2">
        <v>0</v>
      </c>
      <c r="F808" s="2">
        <v>0</v>
      </c>
      <c r="G808" s="2" t="s">
        <v>10</v>
      </c>
      <c r="H808" s="2" t="s">
        <v>12</v>
      </c>
      <c r="I808" s="2">
        <v>2</v>
      </c>
      <c r="J808" s="2" t="s">
        <v>14</v>
      </c>
      <c r="K808" s="2" t="s">
        <v>14</v>
      </c>
      <c r="L808" s="2" t="s">
        <v>14</v>
      </c>
      <c r="M808" s="2" t="s">
        <v>14</v>
      </c>
      <c r="N808" s="2" t="s">
        <v>14</v>
      </c>
      <c r="O808" s="2">
        <v>1</v>
      </c>
    </row>
    <row r="809" spans="1:15" ht="15" customHeight="1" x14ac:dyDescent="0.25">
      <c r="A809" s="3">
        <v>10</v>
      </c>
      <c r="B809" s="3" t="s">
        <v>10</v>
      </c>
      <c r="C809" s="3" t="s">
        <v>11</v>
      </c>
      <c r="D809" s="2" t="s">
        <v>106</v>
      </c>
      <c r="E809" s="3">
        <v>0</v>
      </c>
      <c r="F809" s="3">
        <v>0</v>
      </c>
      <c r="G809" s="3" t="s">
        <v>10</v>
      </c>
      <c r="H809" s="3" t="s">
        <v>12</v>
      </c>
      <c r="I809" s="3">
        <v>2</v>
      </c>
      <c r="J809" s="3" t="s">
        <v>14</v>
      </c>
      <c r="K809" s="3" t="s">
        <v>14</v>
      </c>
      <c r="L809" s="3" t="s">
        <v>14</v>
      </c>
      <c r="M809" s="3" t="s">
        <v>14</v>
      </c>
      <c r="N809" s="3" t="s">
        <v>14</v>
      </c>
      <c r="O809" s="3">
        <v>1</v>
      </c>
    </row>
    <row r="810" spans="1:15" ht="15" customHeight="1" x14ac:dyDescent="0.25">
      <c r="A810" s="2">
        <v>10</v>
      </c>
      <c r="B810" s="2" t="s">
        <v>18</v>
      </c>
      <c r="C810" s="2" t="s">
        <v>19</v>
      </c>
      <c r="D810" s="2" t="s">
        <v>106</v>
      </c>
      <c r="E810" s="2">
        <v>0</v>
      </c>
      <c r="F810" s="2">
        <v>0</v>
      </c>
      <c r="G810" s="2" t="s">
        <v>10</v>
      </c>
      <c r="H810" s="2" t="s">
        <v>12</v>
      </c>
      <c r="I810" s="2">
        <v>1</v>
      </c>
      <c r="J810" s="2" t="s">
        <v>14</v>
      </c>
      <c r="K810" s="2" t="s">
        <v>14</v>
      </c>
      <c r="L810" s="2" t="s">
        <v>14</v>
      </c>
      <c r="M810" s="2" t="s">
        <v>14</v>
      </c>
      <c r="N810" s="2" t="s">
        <v>14</v>
      </c>
      <c r="O810" s="2">
        <v>1</v>
      </c>
    </row>
    <row r="811" spans="1:15" ht="15" customHeight="1" x14ac:dyDescent="0.25">
      <c r="A811" s="3">
        <v>10</v>
      </c>
      <c r="B811" s="3" t="s">
        <v>18</v>
      </c>
      <c r="C811" s="3" t="s">
        <v>19</v>
      </c>
      <c r="D811" s="2" t="s">
        <v>106</v>
      </c>
      <c r="E811" s="3">
        <v>0</v>
      </c>
      <c r="F811" s="3">
        <v>0</v>
      </c>
      <c r="G811" s="3" t="s">
        <v>10</v>
      </c>
      <c r="H811" s="3" t="s">
        <v>12</v>
      </c>
      <c r="I811" s="3" t="s">
        <v>15</v>
      </c>
      <c r="J811" s="3" t="s">
        <v>14</v>
      </c>
      <c r="K811" s="3" t="s">
        <v>14</v>
      </c>
      <c r="L811" s="3" t="s">
        <v>14</v>
      </c>
      <c r="M811" s="3" t="s">
        <v>14</v>
      </c>
      <c r="N811" s="3" t="s">
        <v>14</v>
      </c>
      <c r="O811" s="3">
        <v>1</v>
      </c>
    </row>
    <row r="812" spans="1:15" ht="15" customHeight="1" x14ac:dyDescent="0.25">
      <c r="A812" s="2">
        <v>20</v>
      </c>
      <c r="B812" s="2" t="s">
        <v>14</v>
      </c>
      <c r="C812" s="2" t="s">
        <v>19</v>
      </c>
      <c r="D812" s="2" t="s">
        <v>106</v>
      </c>
      <c r="E812" s="2">
        <v>0</v>
      </c>
      <c r="F812" s="2">
        <v>0</v>
      </c>
      <c r="G812" s="2" t="s">
        <v>10</v>
      </c>
      <c r="H812" s="2" t="s">
        <v>12</v>
      </c>
      <c r="I812" s="2" t="s">
        <v>15</v>
      </c>
      <c r="J812" s="2" t="s">
        <v>14</v>
      </c>
      <c r="K812" s="2" t="s">
        <v>14</v>
      </c>
      <c r="L812" s="2" t="s">
        <v>14</v>
      </c>
      <c r="M812" s="2" t="s">
        <v>14</v>
      </c>
      <c r="N812" s="2" t="s">
        <v>14</v>
      </c>
      <c r="O812" s="2">
        <v>1</v>
      </c>
    </row>
    <row r="813" spans="1:15" ht="15" customHeight="1" x14ac:dyDescent="0.25">
      <c r="A813" s="3">
        <v>10</v>
      </c>
      <c r="B813" s="3" t="s">
        <v>10</v>
      </c>
      <c r="C813" s="3" t="s">
        <v>19</v>
      </c>
      <c r="D813" s="2" t="s">
        <v>106</v>
      </c>
      <c r="E813" s="3">
        <v>0</v>
      </c>
      <c r="F813" s="3">
        <v>0</v>
      </c>
      <c r="G813" s="3" t="s">
        <v>10</v>
      </c>
      <c r="H813" s="3" t="s">
        <v>12</v>
      </c>
      <c r="I813" s="3">
        <v>2</v>
      </c>
      <c r="J813" s="3" t="s">
        <v>14</v>
      </c>
      <c r="K813" s="3" t="s">
        <v>14</v>
      </c>
      <c r="L813" s="3" t="s">
        <v>14</v>
      </c>
      <c r="M813" s="3" t="s">
        <v>14</v>
      </c>
      <c r="N813" s="3" t="s">
        <v>14</v>
      </c>
      <c r="O813" s="3">
        <v>1</v>
      </c>
    </row>
    <row r="814" spans="1:15" ht="15" customHeight="1" x14ac:dyDescent="0.25">
      <c r="A814" s="2">
        <v>10</v>
      </c>
      <c r="B814" s="2" t="s">
        <v>14</v>
      </c>
      <c r="C814" s="2" t="s">
        <v>19</v>
      </c>
      <c r="D814" s="2" t="s">
        <v>106</v>
      </c>
      <c r="E814" s="2">
        <v>0</v>
      </c>
      <c r="F814" s="2">
        <v>1</v>
      </c>
      <c r="G814" s="2" t="s">
        <v>10</v>
      </c>
      <c r="H814" s="2" t="s">
        <v>12</v>
      </c>
      <c r="I814" s="2" t="s">
        <v>15</v>
      </c>
      <c r="J814" s="2" t="s">
        <v>14</v>
      </c>
      <c r="K814" s="2" t="s">
        <v>14</v>
      </c>
      <c r="L814" s="2" t="s">
        <v>14</v>
      </c>
      <c r="M814" s="2" t="s">
        <v>14</v>
      </c>
      <c r="N814" s="2" t="s">
        <v>14</v>
      </c>
      <c r="O814" s="2">
        <v>0</v>
      </c>
    </row>
    <row r="815" spans="1:15" ht="15" customHeight="1" x14ac:dyDescent="0.25">
      <c r="A815" s="3">
        <v>10</v>
      </c>
      <c r="B815" s="3" t="s">
        <v>18</v>
      </c>
      <c r="C815" s="3" t="s">
        <v>20</v>
      </c>
      <c r="D815" s="2" t="s">
        <v>106</v>
      </c>
      <c r="E815" s="3">
        <v>0</v>
      </c>
      <c r="F815" s="3">
        <v>0</v>
      </c>
      <c r="G815" s="3" t="s">
        <v>10</v>
      </c>
      <c r="H815" s="3" t="s">
        <v>12</v>
      </c>
      <c r="I815" s="3" t="s">
        <v>15</v>
      </c>
      <c r="J815" s="3" t="s">
        <v>14</v>
      </c>
      <c r="K815" s="3" t="s">
        <v>14</v>
      </c>
      <c r="L815" s="3" t="s">
        <v>14</v>
      </c>
      <c r="M815" s="3" t="s">
        <v>14</v>
      </c>
      <c r="N815" s="3" t="s">
        <v>14</v>
      </c>
      <c r="O815" s="3">
        <v>1</v>
      </c>
    </row>
    <row r="816" spans="1:15" ht="15" customHeight="1" x14ac:dyDescent="0.25">
      <c r="A816" s="2">
        <v>10</v>
      </c>
      <c r="B816" s="2" t="s">
        <v>14</v>
      </c>
      <c r="C816" s="2" t="s">
        <v>20</v>
      </c>
      <c r="D816" s="2" t="s">
        <v>106</v>
      </c>
      <c r="E816" s="2">
        <v>0</v>
      </c>
      <c r="F816" s="2">
        <v>0</v>
      </c>
      <c r="G816" s="2" t="s">
        <v>10</v>
      </c>
      <c r="H816" s="2" t="s">
        <v>12</v>
      </c>
      <c r="I816" s="2">
        <v>2</v>
      </c>
      <c r="J816" s="2" t="s">
        <v>14</v>
      </c>
      <c r="K816" s="2" t="s">
        <v>14</v>
      </c>
      <c r="L816" s="2" t="s">
        <v>14</v>
      </c>
      <c r="M816" s="2" t="s">
        <v>14</v>
      </c>
      <c r="N816" s="2" t="s">
        <v>14</v>
      </c>
      <c r="O816" s="2">
        <v>1</v>
      </c>
    </row>
    <row r="817" spans="1:15" ht="15" customHeight="1" x14ac:dyDescent="0.25">
      <c r="A817" s="3">
        <v>20</v>
      </c>
      <c r="B817" s="3" t="s">
        <v>10</v>
      </c>
      <c r="C817" s="3" t="s">
        <v>19</v>
      </c>
      <c r="D817" s="2" t="s">
        <v>106</v>
      </c>
      <c r="E817" s="3">
        <v>0</v>
      </c>
      <c r="F817" s="3">
        <v>0</v>
      </c>
      <c r="G817" s="3" t="s">
        <v>10</v>
      </c>
      <c r="H817" s="3" t="s">
        <v>12</v>
      </c>
      <c r="I817" s="3">
        <v>2</v>
      </c>
      <c r="J817" s="3" t="s">
        <v>14</v>
      </c>
      <c r="K817" s="3" t="s">
        <v>14</v>
      </c>
      <c r="L817" s="3" t="s">
        <v>14</v>
      </c>
      <c r="M817" s="3" t="s">
        <v>14</v>
      </c>
      <c r="N817" s="3" t="s">
        <v>14</v>
      </c>
      <c r="O817" s="3">
        <v>1</v>
      </c>
    </row>
    <row r="818" spans="1:15" ht="15" customHeight="1" x14ac:dyDescent="0.25">
      <c r="A818" s="2">
        <v>0</v>
      </c>
      <c r="B818" s="2" t="s">
        <v>10</v>
      </c>
      <c r="C818" s="2" t="s">
        <v>19</v>
      </c>
      <c r="D818" s="2" t="s">
        <v>106</v>
      </c>
      <c r="E818" s="2">
        <v>0</v>
      </c>
      <c r="F818" s="2">
        <v>0</v>
      </c>
      <c r="G818" s="2" t="s">
        <v>10</v>
      </c>
      <c r="H818" s="2" t="s">
        <v>12</v>
      </c>
      <c r="I818" s="2" t="s">
        <v>15</v>
      </c>
      <c r="J818" s="2" t="s">
        <v>14</v>
      </c>
      <c r="K818" s="2" t="s">
        <v>14</v>
      </c>
      <c r="L818" s="2" t="s">
        <v>14</v>
      </c>
      <c r="M818" s="2" t="s">
        <v>14</v>
      </c>
      <c r="N818" s="2" t="s">
        <v>14</v>
      </c>
      <c r="O818" s="2">
        <v>1</v>
      </c>
    </row>
    <row r="819" spans="1:15" ht="15" customHeight="1" x14ac:dyDescent="0.25">
      <c r="A819" s="3">
        <v>5</v>
      </c>
      <c r="B819" s="3" t="s">
        <v>10</v>
      </c>
      <c r="C819" s="3" t="s">
        <v>11</v>
      </c>
      <c r="D819" s="2" t="s">
        <v>106</v>
      </c>
      <c r="E819" s="3">
        <v>1</v>
      </c>
      <c r="F819" s="3">
        <v>0</v>
      </c>
      <c r="G819" s="3" t="s">
        <v>10</v>
      </c>
      <c r="H819" s="3" t="s">
        <v>12</v>
      </c>
      <c r="I819" s="3">
        <v>2</v>
      </c>
      <c r="J819" s="3" t="s">
        <v>13</v>
      </c>
      <c r="K819" s="3" t="s">
        <v>14</v>
      </c>
      <c r="L819" s="3" t="s">
        <v>14</v>
      </c>
      <c r="M819" s="3" t="s">
        <v>14</v>
      </c>
      <c r="N819" s="3" t="s">
        <v>14</v>
      </c>
      <c r="O819" s="3">
        <v>0</v>
      </c>
    </row>
    <row r="820" spans="1:15" ht="15" customHeight="1" x14ac:dyDescent="0.25">
      <c r="A820" s="2">
        <v>5</v>
      </c>
      <c r="B820" s="2" t="s">
        <v>10</v>
      </c>
      <c r="C820" s="2" t="s">
        <v>20</v>
      </c>
      <c r="D820" s="2" t="s">
        <v>106</v>
      </c>
      <c r="E820" s="2">
        <v>1</v>
      </c>
      <c r="F820" s="2">
        <v>0</v>
      </c>
      <c r="G820" s="2" t="s">
        <v>10</v>
      </c>
      <c r="H820" s="2" t="s">
        <v>12</v>
      </c>
      <c r="I820" s="2">
        <v>2</v>
      </c>
      <c r="J820" s="2" t="s">
        <v>14</v>
      </c>
      <c r="K820" s="2" t="s">
        <v>14</v>
      </c>
      <c r="L820" s="2" t="s">
        <v>14</v>
      </c>
      <c r="M820" s="2" t="s">
        <v>14</v>
      </c>
      <c r="N820" s="2" t="s">
        <v>14</v>
      </c>
      <c r="O820" s="2">
        <v>0</v>
      </c>
    </row>
    <row r="821" spans="1:15" ht="15" customHeight="1" x14ac:dyDescent="0.25">
      <c r="A821" s="3">
        <v>0</v>
      </c>
      <c r="B821" s="3" t="s">
        <v>18</v>
      </c>
      <c r="C821" s="3" t="s">
        <v>20</v>
      </c>
      <c r="D821" s="2" t="s">
        <v>106</v>
      </c>
      <c r="E821" s="3">
        <v>0</v>
      </c>
      <c r="F821" s="3">
        <v>0</v>
      </c>
      <c r="G821" s="3" t="s">
        <v>10</v>
      </c>
      <c r="H821" s="3" t="s">
        <v>12</v>
      </c>
      <c r="I821" s="3">
        <v>1</v>
      </c>
      <c r="J821" s="3" t="s">
        <v>14</v>
      </c>
      <c r="K821" s="3" t="s">
        <v>14</v>
      </c>
      <c r="L821" s="3" t="s">
        <v>14</v>
      </c>
      <c r="M821" s="3" t="s">
        <v>14</v>
      </c>
      <c r="N821" s="3" t="s">
        <v>14</v>
      </c>
      <c r="O821" s="3">
        <v>1</v>
      </c>
    </row>
    <row r="822" spans="1:15" ht="15" customHeight="1" x14ac:dyDescent="0.25">
      <c r="A822" s="2">
        <v>5</v>
      </c>
      <c r="B822" s="2" t="s">
        <v>10</v>
      </c>
      <c r="C822" s="2" t="s">
        <v>11</v>
      </c>
      <c r="D822" s="2" t="s">
        <v>106</v>
      </c>
      <c r="E822" s="2">
        <v>2</v>
      </c>
      <c r="F822" s="2">
        <v>0</v>
      </c>
      <c r="G822" s="2" t="s">
        <v>10</v>
      </c>
      <c r="H822" s="2" t="s">
        <v>16</v>
      </c>
      <c r="I822" s="2">
        <v>2</v>
      </c>
      <c r="J822" s="2" t="s">
        <v>14</v>
      </c>
      <c r="K822" s="2" t="s">
        <v>14</v>
      </c>
      <c r="L822" s="2" t="s">
        <v>14</v>
      </c>
      <c r="M822" s="2" t="s">
        <v>14</v>
      </c>
      <c r="N822" s="2" t="s">
        <v>14</v>
      </c>
      <c r="O822" s="2">
        <v>1</v>
      </c>
    </row>
    <row r="823" spans="1:15" ht="15" customHeight="1" x14ac:dyDescent="0.25">
      <c r="A823" s="3">
        <v>5</v>
      </c>
      <c r="B823" s="3" t="s">
        <v>14</v>
      </c>
      <c r="C823" s="3" t="s">
        <v>11</v>
      </c>
      <c r="D823" s="2" t="s">
        <v>106</v>
      </c>
      <c r="E823" s="3">
        <v>0</v>
      </c>
      <c r="F823" s="3">
        <v>0</v>
      </c>
      <c r="G823" s="3" t="s">
        <v>10</v>
      </c>
      <c r="H823" s="3" t="s">
        <v>12</v>
      </c>
      <c r="I823" s="3" t="s">
        <v>15</v>
      </c>
      <c r="J823" s="3" t="s">
        <v>14</v>
      </c>
      <c r="K823" s="3" t="s">
        <v>14</v>
      </c>
      <c r="L823" s="3" t="s">
        <v>14</v>
      </c>
      <c r="M823" s="3" t="s">
        <v>14</v>
      </c>
      <c r="N823" s="3" t="s">
        <v>14</v>
      </c>
      <c r="O823" s="3">
        <v>1</v>
      </c>
    </row>
    <row r="824" spans="1:15" ht="15" customHeight="1" x14ac:dyDescent="0.25">
      <c r="A824" s="2">
        <v>10</v>
      </c>
      <c r="B824" s="2" t="s">
        <v>10</v>
      </c>
      <c r="C824" s="2" t="s">
        <v>20</v>
      </c>
      <c r="D824" s="2" t="s">
        <v>106</v>
      </c>
      <c r="E824" s="2">
        <v>0</v>
      </c>
      <c r="F824" s="2">
        <v>0</v>
      </c>
      <c r="G824" s="2" t="s">
        <v>10</v>
      </c>
      <c r="H824" s="2" t="s">
        <v>12</v>
      </c>
      <c r="I824" s="2" t="s">
        <v>15</v>
      </c>
      <c r="J824" s="2" t="s">
        <v>14</v>
      </c>
      <c r="K824" s="2" t="s">
        <v>14</v>
      </c>
      <c r="L824" s="2" t="s">
        <v>14</v>
      </c>
      <c r="M824" s="2" t="s">
        <v>14</v>
      </c>
      <c r="N824" s="2" t="s">
        <v>14</v>
      </c>
      <c r="O824" s="2">
        <v>1</v>
      </c>
    </row>
    <row r="825" spans="1:15" ht="15" customHeight="1" x14ac:dyDescent="0.25">
      <c r="A825" s="3">
        <v>10</v>
      </c>
      <c r="B825" s="3" t="s">
        <v>10</v>
      </c>
      <c r="C825" s="3" t="s">
        <v>19</v>
      </c>
      <c r="D825" s="2" t="s">
        <v>106</v>
      </c>
      <c r="E825" s="3">
        <v>0</v>
      </c>
      <c r="F825" s="3">
        <v>0</v>
      </c>
      <c r="G825" s="3" t="s">
        <v>10</v>
      </c>
      <c r="H825" s="3" t="s">
        <v>16</v>
      </c>
      <c r="I825" s="3" t="s">
        <v>15</v>
      </c>
      <c r="J825" s="3" t="s">
        <v>14</v>
      </c>
      <c r="K825" s="3" t="s">
        <v>14</v>
      </c>
      <c r="L825" s="3" t="s">
        <v>14</v>
      </c>
      <c r="M825" s="3" t="s">
        <v>14</v>
      </c>
      <c r="N825" s="3" t="s">
        <v>14</v>
      </c>
      <c r="O825" s="3">
        <v>0</v>
      </c>
    </row>
    <row r="826" spans="1:15" ht="15" customHeight="1" x14ac:dyDescent="0.25">
      <c r="A826" s="2">
        <v>5</v>
      </c>
      <c r="B826" s="2" t="s">
        <v>10</v>
      </c>
      <c r="C826" s="2" t="s">
        <v>19</v>
      </c>
      <c r="D826" s="2" t="s">
        <v>106</v>
      </c>
      <c r="E826" s="2">
        <v>0</v>
      </c>
      <c r="F826" s="2">
        <v>0</v>
      </c>
      <c r="G826" s="2" t="s">
        <v>10</v>
      </c>
      <c r="H826" s="2" t="s">
        <v>12</v>
      </c>
      <c r="I826" s="2" t="s">
        <v>15</v>
      </c>
      <c r="J826" s="2" t="s">
        <v>14</v>
      </c>
      <c r="K826" s="2" t="s">
        <v>14</v>
      </c>
      <c r="L826" s="2" t="s">
        <v>14</v>
      </c>
      <c r="M826" s="2" t="s">
        <v>14</v>
      </c>
      <c r="N826" s="2" t="s">
        <v>14</v>
      </c>
      <c r="O826" s="2">
        <v>1</v>
      </c>
    </row>
    <row r="827" spans="1:15" ht="15" customHeight="1" x14ac:dyDescent="0.25">
      <c r="A827" s="3">
        <v>5</v>
      </c>
      <c r="B827" s="3" t="s">
        <v>18</v>
      </c>
      <c r="C827" s="3" t="s">
        <v>19</v>
      </c>
      <c r="D827" s="2" t="s">
        <v>106</v>
      </c>
      <c r="E827" s="3">
        <v>0</v>
      </c>
      <c r="F827" s="3">
        <v>0</v>
      </c>
      <c r="G827" s="3" t="s">
        <v>10</v>
      </c>
      <c r="H827" s="3" t="s">
        <v>12</v>
      </c>
      <c r="I827" s="3">
        <v>1</v>
      </c>
      <c r="J827" s="3" t="s">
        <v>14</v>
      </c>
      <c r="K827" s="3" t="s">
        <v>14</v>
      </c>
      <c r="L827" s="3" t="s">
        <v>14</v>
      </c>
      <c r="M827" s="3" t="s">
        <v>14</v>
      </c>
      <c r="N827" s="3" t="s">
        <v>14</v>
      </c>
      <c r="O827" s="3">
        <v>1</v>
      </c>
    </row>
    <row r="828" spans="1:15" ht="15" customHeight="1" x14ac:dyDescent="0.25">
      <c r="A828" s="2">
        <v>10</v>
      </c>
      <c r="B828" s="2" t="s">
        <v>18</v>
      </c>
      <c r="C828" s="2" t="s">
        <v>20</v>
      </c>
      <c r="D828" s="2" t="s">
        <v>106</v>
      </c>
      <c r="E828" s="2">
        <v>0</v>
      </c>
      <c r="F828" s="2">
        <v>0</v>
      </c>
      <c r="G828" s="2" t="s">
        <v>10</v>
      </c>
      <c r="H828" s="2" t="s">
        <v>12</v>
      </c>
      <c r="I828" s="2">
        <v>2</v>
      </c>
      <c r="J828" s="2" t="s">
        <v>14</v>
      </c>
      <c r="K828" s="2" t="s">
        <v>14</v>
      </c>
      <c r="L828" s="2" t="s">
        <v>14</v>
      </c>
      <c r="M828" s="2" t="s">
        <v>14</v>
      </c>
      <c r="N828" s="2" t="s">
        <v>14</v>
      </c>
      <c r="O828" s="2">
        <v>1</v>
      </c>
    </row>
    <row r="829" spans="1:15" ht="15" customHeight="1" x14ac:dyDescent="0.25">
      <c r="A829" s="3">
        <v>30</v>
      </c>
      <c r="B829" s="3" t="s">
        <v>10</v>
      </c>
      <c r="C829" s="3" t="s">
        <v>19</v>
      </c>
      <c r="D829" s="2" t="s">
        <v>106</v>
      </c>
      <c r="E829" s="3">
        <v>1</v>
      </c>
      <c r="F829" s="3">
        <v>0</v>
      </c>
      <c r="G829" s="3" t="s">
        <v>10</v>
      </c>
      <c r="H829" s="3" t="s">
        <v>12</v>
      </c>
      <c r="I829" s="3">
        <v>1</v>
      </c>
      <c r="J829" s="3" t="s">
        <v>14</v>
      </c>
      <c r="K829" s="3" t="s">
        <v>14</v>
      </c>
      <c r="L829" s="3" t="s">
        <v>14</v>
      </c>
      <c r="M829" s="3" t="s">
        <v>13</v>
      </c>
      <c r="N829" s="3" t="s">
        <v>14</v>
      </c>
      <c r="O829" s="3">
        <v>0</v>
      </c>
    </row>
    <row r="830" spans="1:15" ht="15" customHeight="1" x14ac:dyDescent="0.25">
      <c r="A830" s="2">
        <v>5</v>
      </c>
      <c r="B830" s="2" t="s">
        <v>10</v>
      </c>
      <c r="C830" s="2" t="s">
        <v>19</v>
      </c>
      <c r="D830" s="2" t="s">
        <v>106</v>
      </c>
      <c r="E830" s="2">
        <v>0</v>
      </c>
      <c r="F830" s="2">
        <v>0</v>
      </c>
      <c r="G830" s="2" t="s">
        <v>17</v>
      </c>
      <c r="H830" s="2" t="s">
        <v>106</v>
      </c>
      <c r="I830" s="2">
        <v>1</v>
      </c>
      <c r="J830" s="2" t="s">
        <v>14</v>
      </c>
      <c r="K830" s="2" t="s">
        <v>13</v>
      </c>
      <c r="L830" s="2" t="s">
        <v>13</v>
      </c>
      <c r="M830" s="2" t="s">
        <v>13</v>
      </c>
      <c r="N830" s="2" t="s">
        <v>14</v>
      </c>
      <c r="O830" s="2">
        <v>1</v>
      </c>
    </row>
    <row r="831" spans="1:15" ht="15" customHeight="1" x14ac:dyDescent="0.25">
      <c r="A831" s="3">
        <v>5</v>
      </c>
      <c r="B831" s="3" t="s">
        <v>10</v>
      </c>
      <c r="C831" s="3" t="s">
        <v>19</v>
      </c>
      <c r="D831" s="2" t="s">
        <v>106</v>
      </c>
      <c r="E831" s="3">
        <v>2</v>
      </c>
      <c r="F831" s="3">
        <v>1</v>
      </c>
      <c r="G831" s="3" t="s">
        <v>10</v>
      </c>
      <c r="H831" s="3" t="s">
        <v>12</v>
      </c>
      <c r="I831" s="3">
        <v>1</v>
      </c>
      <c r="J831" s="3" t="s">
        <v>14</v>
      </c>
      <c r="K831" s="3" t="s">
        <v>13</v>
      </c>
      <c r="L831" s="3" t="s">
        <v>13</v>
      </c>
      <c r="M831" s="3" t="s">
        <v>13</v>
      </c>
      <c r="N831" s="3" t="s">
        <v>14</v>
      </c>
      <c r="O831" s="3">
        <v>0</v>
      </c>
    </row>
    <row r="832" spans="1:15" ht="15" customHeight="1" x14ac:dyDescent="0.25">
      <c r="A832" s="2">
        <v>10</v>
      </c>
      <c r="B832" s="2" t="s">
        <v>10</v>
      </c>
      <c r="C832" s="2" t="s">
        <v>19</v>
      </c>
      <c r="D832" s="2" t="s">
        <v>106</v>
      </c>
      <c r="E832" s="2">
        <v>0</v>
      </c>
      <c r="F832" s="2">
        <v>0</v>
      </c>
      <c r="G832" s="2" t="s">
        <v>17</v>
      </c>
      <c r="H832" s="2" t="s">
        <v>106</v>
      </c>
      <c r="I832" s="2">
        <v>1</v>
      </c>
      <c r="J832" s="2" t="s">
        <v>14</v>
      </c>
      <c r="K832" s="2" t="s">
        <v>13</v>
      </c>
      <c r="L832" s="2" t="s">
        <v>13</v>
      </c>
      <c r="M832" s="2" t="s">
        <v>13</v>
      </c>
      <c r="N832" s="2" t="s">
        <v>14</v>
      </c>
      <c r="O832" s="2">
        <v>1</v>
      </c>
    </row>
    <row r="833" spans="1:15" ht="15" customHeight="1" x14ac:dyDescent="0.25">
      <c r="A833" s="3">
        <v>5</v>
      </c>
      <c r="B833" s="3" t="s">
        <v>10</v>
      </c>
      <c r="C833" s="3" t="s">
        <v>19</v>
      </c>
      <c r="D833" s="2" t="s">
        <v>106</v>
      </c>
      <c r="E833" s="3">
        <v>0</v>
      </c>
      <c r="F833" s="3">
        <v>1</v>
      </c>
      <c r="G833" s="3" t="s">
        <v>10</v>
      </c>
      <c r="H833" s="3" t="s">
        <v>12</v>
      </c>
      <c r="I833" s="3" t="s">
        <v>15</v>
      </c>
      <c r="J833" s="3" t="s">
        <v>14</v>
      </c>
      <c r="K833" s="3" t="s">
        <v>14</v>
      </c>
      <c r="L833" s="3" t="s">
        <v>14</v>
      </c>
      <c r="M833" s="3" t="s">
        <v>14</v>
      </c>
      <c r="N833" s="3" t="s">
        <v>14</v>
      </c>
      <c r="O833" s="3">
        <v>1</v>
      </c>
    </row>
    <row r="834" spans="1:15" ht="15" customHeight="1" x14ac:dyDescent="0.25">
      <c r="A834" s="2">
        <v>5</v>
      </c>
      <c r="B834" s="2" t="s">
        <v>18</v>
      </c>
      <c r="C834" s="2" t="s">
        <v>19</v>
      </c>
      <c r="D834" s="2" t="s">
        <v>106</v>
      </c>
      <c r="E834" s="2">
        <v>0</v>
      </c>
      <c r="F834" s="2">
        <v>0</v>
      </c>
      <c r="G834" s="2" t="s">
        <v>10</v>
      </c>
      <c r="H834" s="2" t="s">
        <v>12</v>
      </c>
      <c r="I834" s="2" t="s">
        <v>15</v>
      </c>
      <c r="J834" s="2" t="s">
        <v>14</v>
      </c>
      <c r="K834" s="2" t="s">
        <v>14</v>
      </c>
      <c r="L834" s="2" t="s">
        <v>14</v>
      </c>
      <c r="M834" s="2" t="s">
        <v>14</v>
      </c>
      <c r="N834" s="2" t="s">
        <v>14</v>
      </c>
      <c r="O834" s="2">
        <v>1</v>
      </c>
    </row>
    <row r="835" spans="1:15" ht="15" customHeight="1" x14ac:dyDescent="0.25">
      <c r="A835" s="3">
        <v>10</v>
      </c>
      <c r="B835" s="3" t="s">
        <v>10</v>
      </c>
      <c r="C835" s="3" t="s">
        <v>19</v>
      </c>
      <c r="D835" s="2" t="s">
        <v>106</v>
      </c>
      <c r="E835" s="3">
        <v>0</v>
      </c>
      <c r="F835" s="3">
        <v>0</v>
      </c>
      <c r="G835" s="3" t="s">
        <v>10</v>
      </c>
      <c r="H835" s="3" t="s">
        <v>12</v>
      </c>
      <c r="I835" s="3">
        <v>2</v>
      </c>
      <c r="J835" s="3" t="s">
        <v>14</v>
      </c>
      <c r="K835" s="3" t="s">
        <v>14</v>
      </c>
      <c r="L835" s="3" t="s">
        <v>14</v>
      </c>
      <c r="M835" s="3" t="s">
        <v>14</v>
      </c>
      <c r="N835" s="3" t="s">
        <v>14</v>
      </c>
      <c r="O835" s="3">
        <v>1</v>
      </c>
    </row>
    <row r="836" spans="1:15" ht="15" customHeight="1" x14ac:dyDescent="0.25">
      <c r="A836" s="2">
        <v>5</v>
      </c>
      <c r="B836" s="2" t="s">
        <v>10</v>
      </c>
      <c r="C836" s="2" t="s">
        <v>11</v>
      </c>
      <c r="D836" s="2" t="s">
        <v>106</v>
      </c>
      <c r="E836" s="2">
        <v>1</v>
      </c>
      <c r="F836" s="2">
        <v>0</v>
      </c>
      <c r="G836" s="2" t="s">
        <v>10</v>
      </c>
      <c r="H836" s="2" t="s">
        <v>12</v>
      </c>
      <c r="I836" s="2" t="s">
        <v>15</v>
      </c>
      <c r="J836" s="2" t="s">
        <v>13</v>
      </c>
      <c r="K836" s="2" t="s">
        <v>14</v>
      </c>
      <c r="L836" s="2" t="s">
        <v>14</v>
      </c>
      <c r="M836" s="2" t="s">
        <v>14</v>
      </c>
      <c r="N836" s="2" t="s">
        <v>14</v>
      </c>
      <c r="O836" s="2">
        <v>0</v>
      </c>
    </row>
    <row r="837" spans="1:15" ht="15" customHeight="1" x14ac:dyDescent="0.25">
      <c r="A837" s="3">
        <v>10</v>
      </c>
      <c r="B837" s="3" t="s">
        <v>18</v>
      </c>
      <c r="C837" s="3" t="s">
        <v>20</v>
      </c>
      <c r="D837" s="2" t="s">
        <v>106</v>
      </c>
      <c r="E837" s="3">
        <v>0</v>
      </c>
      <c r="F837" s="3">
        <v>0</v>
      </c>
      <c r="G837" s="3" t="s">
        <v>17</v>
      </c>
      <c r="H837" s="3" t="s">
        <v>106</v>
      </c>
      <c r="I837" s="3">
        <v>1</v>
      </c>
      <c r="J837" s="3" t="s">
        <v>14</v>
      </c>
      <c r="K837" s="3" t="s">
        <v>13</v>
      </c>
      <c r="L837" s="3" t="s">
        <v>13</v>
      </c>
      <c r="M837" s="3" t="s">
        <v>13</v>
      </c>
      <c r="N837" s="3" t="s">
        <v>14</v>
      </c>
      <c r="O837" s="3">
        <v>0</v>
      </c>
    </row>
    <row r="838" spans="1:15" ht="15" customHeight="1" x14ac:dyDescent="0.25">
      <c r="A838" s="2">
        <v>0</v>
      </c>
      <c r="B838" s="2" t="s">
        <v>18</v>
      </c>
      <c r="C838" s="2" t="s">
        <v>11</v>
      </c>
      <c r="D838" s="2" t="s">
        <v>106</v>
      </c>
      <c r="E838" s="2">
        <v>0</v>
      </c>
      <c r="F838" s="2">
        <v>1</v>
      </c>
      <c r="G838" s="2" t="s">
        <v>10</v>
      </c>
      <c r="H838" s="2" t="s">
        <v>12</v>
      </c>
      <c r="I838" s="2">
        <v>1</v>
      </c>
      <c r="J838" s="2" t="s">
        <v>14</v>
      </c>
      <c r="K838" s="2" t="s">
        <v>13</v>
      </c>
      <c r="L838" s="2" t="s">
        <v>14</v>
      </c>
      <c r="M838" s="2" t="s">
        <v>14</v>
      </c>
      <c r="N838" s="2" t="s">
        <v>14</v>
      </c>
      <c r="O838" s="2">
        <v>1</v>
      </c>
    </row>
    <row r="839" spans="1:15" ht="15" customHeight="1" x14ac:dyDescent="0.25">
      <c r="A839" s="3">
        <v>20</v>
      </c>
      <c r="B839" s="3" t="s">
        <v>10</v>
      </c>
      <c r="C839" s="3" t="s">
        <v>20</v>
      </c>
      <c r="D839" s="2" t="s">
        <v>106</v>
      </c>
      <c r="E839" s="3">
        <v>0</v>
      </c>
      <c r="F839" s="3">
        <v>0</v>
      </c>
      <c r="G839" s="3" t="s">
        <v>10</v>
      </c>
      <c r="H839" s="3" t="s">
        <v>12</v>
      </c>
      <c r="I839" s="3" t="s">
        <v>15</v>
      </c>
      <c r="J839" s="3" t="s">
        <v>14</v>
      </c>
      <c r="K839" s="3" t="s">
        <v>14</v>
      </c>
      <c r="L839" s="3" t="s">
        <v>14</v>
      </c>
      <c r="M839" s="3" t="s">
        <v>14</v>
      </c>
      <c r="N839" s="3" t="s">
        <v>14</v>
      </c>
      <c r="O839" s="3">
        <v>1</v>
      </c>
    </row>
    <row r="840" spans="1:15" ht="15" customHeight="1" x14ac:dyDescent="0.25">
      <c r="A840" s="2">
        <v>30</v>
      </c>
      <c r="B840" s="2" t="s">
        <v>10</v>
      </c>
      <c r="C840" s="2" t="s">
        <v>11</v>
      </c>
      <c r="D840" s="2" t="s">
        <v>106</v>
      </c>
      <c r="E840" s="2">
        <v>0</v>
      </c>
      <c r="F840" s="2">
        <v>1</v>
      </c>
      <c r="G840" s="2" t="s">
        <v>10</v>
      </c>
      <c r="H840" s="2" t="s">
        <v>12</v>
      </c>
      <c r="I840" s="2">
        <v>2</v>
      </c>
      <c r="J840" s="2" t="s">
        <v>14</v>
      </c>
      <c r="K840" s="2" t="s">
        <v>14</v>
      </c>
      <c r="L840" s="2" t="s">
        <v>14</v>
      </c>
      <c r="M840" s="2" t="s">
        <v>13</v>
      </c>
      <c r="N840" s="2" t="s">
        <v>14</v>
      </c>
      <c r="O840" s="2">
        <v>1</v>
      </c>
    </row>
    <row r="841" spans="1:15" ht="15" customHeight="1" x14ac:dyDescent="0.25">
      <c r="A841" s="3">
        <v>10</v>
      </c>
      <c r="B841" s="3" t="s">
        <v>10</v>
      </c>
      <c r="C841" s="3" t="s">
        <v>11</v>
      </c>
      <c r="D841" s="2" t="s">
        <v>106</v>
      </c>
      <c r="E841" s="3">
        <v>1</v>
      </c>
      <c r="F841" s="3">
        <v>0</v>
      </c>
      <c r="G841" s="3" t="s">
        <v>17</v>
      </c>
      <c r="H841" s="3" t="s">
        <v>106</v>
      </c>
      <c r="I841" s="3">
        <v>1</v>
      </c>
      <c r="J841" s="3" t="s">
        <v>13</v>
      </c>
      <c r="K841" s="3" t="s">
        <v>13</v>
      </c>
      <c r="L841" s="3" t="s">
        <v>13</v>
      </c>
      <c r="M841" s="3" t="s">
        <v>14</v>
      </c>
      <c r="N841" s="3" t="s">
        <v>14</v>
      </c>
      <c r="O841" s="3">
        <v>0</v>
      </c>
    </row>
    <row r="842" spans="1:15" ht="15" customHeight="1" x14ac:dyDescent="0.25">
      <c r="A842" s="2">
        <v>5</v>
      </c>
      <c r="B842" s="2" t="s">
        <v>10</v>
      </c>
      <c r="C842" s="2" t="s">
        <v>20</v>
      </c>
      <c r="D842" s="2" t="s">
        <v>106</v>
      </c>
      <c r="E842" s="2">
        <v>0</v>
      </c>
      <c r="F842" s="2">
        <v>0</v>
      </c>
      <c r="G842" s="2" t="s">
        <v>17</v>
      </c>
      <c r="H842" s="2" t="s">
        <v>106</v>
      </c>
      <c r="I842" s="2">
        <v>1</v>
      </c>
      <c r="J842" s="2" t="s">
        <v>14</v>
      </c>
      <c r="K842" s="2" t="s">
        <v>13</v>
      </c>
      <c r="L842" s="2" t="s">
        <v>13</v>
      </c>
      <c r="M842" s="2" t="s">
        <v>13</v>
      </c>
      <c r="N842" s="2" t="s">
        <v>14</v>
      </c>
      <c r="O842" s="2">
        <v>1</v>
      </c>
    </row>
    <row r="843" spans="1:15" ht="15" customHeight="1" x14ac:dyDescent="0.25">
      <c r="A843" s="3">
        <v>0</v>
      </c>
      <c r="B843" s="3" t="s">
        <v>18</v>
      </c>
      <c r="C843" s="3" t="s">
        <v>20</v>
      </c>
      <c r="D843" s="2" t="s">
        <v>106</v>
      </c>
      <c r="E843" s="3">
        <v>0</v>
      </c>
      <c r="F843" s="3">
        <v>0</v>
      </c>
      <c r="G843" s="3" t="s">
        <v>18</v>
      </c>
      <c r="H843" s="3" t="s">
        <v>106</v>
      </c>
      <c r="I843" s="3">
        <v>1</v>
      </c>
      <c r="J843" s="3" t="s">
        <v>14</v>
      </c>
      <c r="K843" s="3" t="s">
        <v>13</v>
      </c>
      <c r="L843" s="3" t="s">
        <v>13</v>
      </c>
      <c r="M843" s="3" t="s">
        <v>13</v>
      </c>
      <c r="N843" s="3" t="s">
        <v>14</v>
      </c>
      <c r="O843" s="3">
        <v>1</v>
      </c>
    </row>
    <row r="844" spans="1:15" ht="15" customHeight="1" x14ac:dyDescent="0.25">
      <c r="A844" s="2">
        <v>0</v>
      </c>
      <c r="B844" s="2" t="s">
        <v>10</v>
      </c>
      <c r="C844" s="2" t="s">
        <v>20</v>
      </c>
      <c r="D844" s="2" t="s">
        <v>106</v>
      </c>
      <c r="E844" s="2">
        <v>0</v>
      </c>
      <c r="F844" s="2">
        <v>0</v>
      </c>
      <c r="G844" s="2" t="s">
        <v>10</v>
      </c>
      <c r="H844" s="2" t="s">
        <v>12</v>
      </c>
      <c r="I844" s="2">
        <v>1</v>
      </c>
      <c r="J844" s="2" t="s">
        <v>14</v>
      </c>
      <c r="K844" s="2" t="s">
        <v>13</v>
      </c>
      <c r="L844" s="2" t="s">
        <v>13</v>
      </c>
      <c r="M844" s="2" t="s">
        <v>14</v>
      </c>
      <c r="N844" s="2" t="s">
        <v>14</v>
      </c>
      <c r="O844" s="2">
        <v>1</v>
      </c>
    </row>
    <row r="845" spans="1:15" ht="15" customHeight="1" x14ac:dyDescent="0.25">
      <c r="A845" s="3">
        <v>0</v>
      </c>
      <c r="B845" s="3" t="s">
        <v>10</v>
      </c>
      <c r="C845" s="3" t="s">
        <v>19</v>
      </c>
      <c r="D845" s="2" t="s">
        <v>106</v>
      </c>
      <c r="E845" s="3">
        <v>1</v>
      </c>
      <c r="F845" s="3">
        <v>1</v>
      </c>
      <c r="G845" s="3" t="s">
        <v>10</v>
      </c>
      <c r="H845" s="3" t="s">
        <v>12</v>
      </c>
      <c r="I845" s="3" t="s">
        <v>15</v>
      </c>
      <c r="J845" s="3" t="s">
        <v>14</v>
      </c>
      <c r="K845" s="3" t="s">
        <v>14</v>
      </c>
      <c r="L845" s="3" t="s">
        <v>14</v>
      </c>
      <c r="M845" s="3" t="s">
        <v>14</v>
      </c>
      <c r="N845" s="3" t="s">
        <v>14</v>
      </c>
      <c r="O845" s="3">
        <v>1</v>
      </c>
    </row>
    <row r="846" spans="1:15" ht="15" customHeight="1" x14ac:dyDescent="0.25">
      <c r="A846" s="2">
        <v>5</v>
      </c>
      <c r="B846" s="2" t="s">
        <v>14</v>
      </c>
      <c r="C846" s="2" t="s">
        <v>11</v>
      </c>
      <c r="D846" s="2" t="s">
        <v>106</v>
      </c>
      <c r="E846" s="2">
        <v>0</v>
      </c>
      <c r="F846" s="2">
        <v>1</v>
      </c>
      <c r="G846" s="2" t="s">
        <v>10</v>
      </c>
      <c r="H846" s="2" t="s">
        <v>16</v>
      </c>
      <c r="I846" s="2" t="s">
        <v>15</v>
      </c>
      <c r="J846" s="2" t="s">
        <v>14</v>
      </c>
      <c r="K846" s="2" t="s">
        <v>14</v>
      </c>
      <c r="L846" s="2" t="s">
        <v>14</v>
      </c>
      <c r="M846" s="2" t="s">
        <v>14</v>
      </c>
      <c r="N846" s="2" t="s">
        <v>14</v>
      </c>
      <c r="O846" s="2">
        <v>1</v>
      </c>
    </row>
    <row r="847" spans="1:15" ht="15" customHeight="1" x14ac:dyDescent="0.25">
      <c r="A847" s="3">
        <v>10</v>
      </c>
      <c r="B847" s="3" t="s">
        <v>10</v>
      </c>
      <c r="C847" s="3" t="s">
        <v>11</v>
      </c>
      <c r="D847" s="2" t="s">
        <v>106</v>
      </c>
      <c r="E847" s="3">
        <v>0</v>
      </c>
      <c r="F847" s="3">
        <v>1</v>
      </c>
      <c r="G847" s="3" t="s">
        <v>10</v>
      </c>
      <c r="H847" s="3" t="s">
        <v>12</v>
      </c>
      <c r="I847" s="3">
        <v>2</v>
      </c>
      <c r="J847" s="3" t="s">
        <v>14</v>
      </c>
      <c r="K847" s="3" t="s">
        <v>14</v>
      </c>
      <c r="L847" s="3" t="s">
        <v>14</v>
      </c>
      <c r="M847" s="3" t="s">
        <v>13</v>
      </c>
      <c r="N847" s="3" t="s">
        <v>13</v>
      </c>
      <c r="O847" s="3">
        <v>0</v>
      </c>
    </row>
    <row r="848" spans="1:15" ht="15" customHeight="1" x14ac:dyDescent="0.25">
      <c r="A848" s="2">
        <v>5</v>
      </c>
      <c r="B848" s="2" t="s">
        <v>10</v>
      </c>
      <c r="C848" s="2" t="s">
        <v>19</v>
      </c>
      <c r="D848" s="2" t="s">
        <v>106</v>
      </c>
      <c r="E848" s="2">
        <v>1</v>
      </c>
      <c r="F848" s="2">
        <v>0</v>
      </c>
      <c r="G848" s="2" t="s">
        <v>17</v>
      </c>
      <c r="H848" s="2" t="s">
        <v>106</v>
      </c>
      <c r="I848" s="2">
        <v>1</v>
      </c>
      <c r="J848" s="2" t="s">
        <v>14</v>
      </c>
      <c r="K848" s="2" t="s">
        <v>13</v>
      </c>
      <c r="L848" s="2" t="s">
        <v>13</v>
      </c>
      <c r="M848" s="2" t="s">
        <v>13</v>
      </c>
      <c r="N848" s="2" t="s">
        <v>14</v>
      </c>
      <c r="O848" s="2">
        <v>0</v>
      </c>
    </row>
    <row r="849" spans="1:15" ht="15" customHeight="1" x14ac:dyDescent="0.25">
      <c r="A849" s="3">
        <v>5</v>
      </c>
      <c r="B849" s="3" t="s">
        <v>10</v>
      </c>
      <c r="C849" s="3" t="s">
        <v>19</v>
      </c>
      <c r="D849" s="2" t="s">
        <v>106</v>
      </c>
      <c r="E849" s="3">
        <v>0</v>
      </c>
      <c r="F849" s="3">
        <v>0</v>
      </c>
      <c r="G849" s="3" t="s">
        <v>17</v>
      </c>
      <c r="H849" s="3" t="s">
        <v>106</v>
      </c>
      <c r="I849" s="3">
        <v>1</v>
      </c>
      <c r="J849" s="3" t="s">
        <v>14</v>
      </c>
      <c r="K849" s="3" t="s">
        <v>13</v>
      </c>
      <c r="L849" s="3" t="s">
        <v>13</v>
      </c>
      <c r="M849" s="3" t="s">
        <v>13</v>
      </c>
      <c r="N849" s="3" t="s">
        <v>14</v>
      </c>
      <c r="O849" s="3">
        <v>0</v>
      </c>
    </row>
    <row r="850" spans="1:15" ht="15" customHeight="1" x14ac:dyDescent="0.25">
      <c r="A850" s="2">
        <v>10</v>
      </c>
      <c r="B850" s="2" t="s">
        <v>18</v>
      </c>
      <c r="C850" s="2" t="s">
        <v>19</v>
      </c>
      <c r="D850" s="2" t="s">
        <v>106</v>
      </c>
      <c r="E850" s="2">
        <v>0</v>
      </c>
      <c r="F850" s="2">
        <v>1</v>
      </c>
      <c r="G850" s="2" t="s">
        <v>10</v>
      </c>
      <c r="H850" s="2" t="s">
        <v>16</v>
      </c>
      <c r="I850" s="2" t="s">
        <v>15</v>
      </c>
      <c r="J850" s="2" t="s">
        <v>14</v>
      </c>
      <c r="K850" s="2" t="s">
        <v>14</v>
      </c>
      <c r="L850" s="2" t="s">
        <v>14</v>
      </c>
      <c r="M850" s="2" t="s">
        <v>14</v>
      </c>
      <c r="N850" s="2" t="s">
        <v>14</v>
      </c>
      <c r="O850" s="2">
        <v>1</v>
      </c>
    </row>
    <row r="851" spans="1:15" ht="15" customHeight="1" x14ac:dyDescent="0.25">
      <c r="A851" s="3">
        <v>30</v>
      </c>
      <c r="B851" s="3" t="s">
        <v>18</v>
      </c>
      <c r="C851" s="3" t="s">
        <v>20</v>
      </c>
      <c r="D851" s="2" t="s">
        <v>106</v>
      </c>
      <c r="E851" s="3">
        <v>0</v>
      </c>
      <c r="F851" s="3">
        <v>0</v>
      </c>
      <c r="G851" s="3" t="s">
        <v>10</v>
      </c>
      <c r="H851" s="3" t="s">
        <v>12</v>
      </c>
      <c r="I851" s="3">
        <v>2</v>
      </c>
      <c r="J851" s="3" t="s">
        <v>14</v>
      </c>
      <c r="K851" s="3" t="s">
        <v>14</v>
      </c>
      <c r="L851" s="3" t="s">
        <v>14</v>
      </c>
      <c r="M851" s="3" t="s">
        <v>14</v>
      </c>
      <c r="N851" s="3" t="s">
        <v>14</v>
      </c>
      <c r="O851" s="3">
        <v>1</v>
      </c>
    </row>
    <row r="852" spans="1:15" ht="15" customHeight="1" x14ac:dyDescent="0.25">
      <c r="A852" s="2">
        <v>5</v>
      </c>
      <c r="B852" s="2" t="s">
        <v>10</v>
      </c>
      <c r="C852" s="2" t="s">
        <v>19</v>
      </c>
      <c r="D852" s="2" t="s">
        <v>106</v>
      </c>
      <c r="E852" s="2">
        <v>0</v>
      </c>
      <c r="F852" s="2">
        <v>1</v>
      </c>
      <c r="G852" s="2" t="s">
        <v>17</v>
      </c>
      <c r="H852" s="2" t="s">
        <v>106</v>
      </c>
      <c r="I852" s="2">
        <v>1</v>
      </c>
      <c r="J852" s="2" t="s">
        <v>14</v>
      </c>
      <c r="K852" s="2" t="s">
        <v>13</v>
      </c>
      <c r="L852" s="2" t="s">
        <v>13</v>
      </c>
      <c r="M852" s="2" t="s">
        <v>13</v>
      </c>
      <c r="N852" s="2" t="s">
        <v>14</v>
      </c>
      <c r="O852" s="2">
        <v>1</v>
      </c>
    </row>
    <row r="853" spans="1:15" ht="15" customHeight="1" x14ac:dyDescent="0.25">
      <c r="A853" s="3">
        <v>10</v>
      </c>
      <c r="B853" s="3" t="s">
        <v>10</v>
      </c>
      <c r="C853" s="3" t="s">
        <v>19</v>
      </c>
      <c r="D853" s="2" t="s">
        <v>106</v>
      </c>
      <c r="E853" s="3">
        <v>0</v>
      </c>
      <c r="F853" s="3">
        <v>0</v>
      </c>
      <c r="G853" s="3" t="s">
        <v>10</v>
      </c>
      <c r="H853" s="3" t="s">
        <v>12</v>
      </c>
      <c r="I853" s="3">
        <v>2</v>
      </c>
      <c r="J853" s="3" t="s">
        <v>14</v>
      </c>
      <c r="K853" s="3" t="s">
        <v>13</v>
      </c>
      <c r="L853" s="3" t="s">
        <v>13</v>
      </c>
      <c r="M853" s="3" t="s">
        <v>13</v>
      </c>
      <c r="N853" s="3" t="s">
        <v>14</v>
      </c>
      <c r="O853" s="3">
        <v>0</v>
      </c>
    </row>
    <row r="854" spans="1:15" ht="15" customHeight="1" x14ac:dyDescent="0.25">
      <c r="A854" s="2">
        <v>10</v>
      </c>
      <c r="B854" s="2" t="s">
        <v>18</v>
      </c>
      <c r="C854" s="2" t="s">
        <v>20</v>
      </c>
      <c r="D854" s="2" t="s">
        <v>106</v>
      </c>
      <c r="E854" s="2">
        <v>0</v>
      </c>
      <c r="F854" s="2">
        <v>0</v>
      </c>
      <c r="G854" s="2" t="s">
        <v>17</v>
      </c>
      <c r="H854" s="2" t="s">
        <v>106</v>
      </c>
      <c r="I854" s="2">
        <v>1</v>
      </c>
      <c r="J854" s="2" t="s">
        <v>14</v>
      </c>
      <c r="K854" s="2" t="s">
        <v>13</v>
      </c>
      <c r="L854" s="2" t="s">
        <v>13</v>
      </c>
      <c r="M854" s="2" t="s">
        <v>14</v>
      </c>
      <c r="N854" s="2" t="s">
        <v>14</v>
      </c>
      <c r="O854" s="2">
        <v>1</v>
      </c>
    </row>
    <row r="855" spans="1:15" ht="15" customHeight="1" x14ac:dyDescent="0.25">
      <c r="A855" s="3">
        <v>10</v>
      </c>
      <c r="B855" s="3" t="s">
        <v>14</v>
      </c>
      <c r="C855" s="3" t="s">
        <v>20</v>
      </c>
      <c r="D855" s="2" t="s">
        <v>106</v>
      </c>
      <c r="E855" s="3">
        <v>0</v>
      </c>
      <c r="F855" s="3">
        <v>0</v>
      </c>
      <c r="G855" s="3" t="s">
        <v>10</v>
      </c>
      <c r="H855" s="3" t="s">
        <v>12</v>
      </c>
      <c r="I855" s="3" t="s">
        <v>15</v>
      </c>
      <c r="J855" s="3" t="s">
        <v>14</v>
      </c>
      <c r="K855" s="3" t="s">
        <v>14</v>
      </c>
      <c r="L855" s="3" t="s">
        <v>14</v>
      </c>
      <c r="M855" s="3" t="s">
        <v>14</v>
      </c>
      <c r="N855" s="3" t="s">
        <v>14</v>
      </c>
      <c r="O855" s="3">
        <v>1</v>
      </c>
    </row>
    <row r="856" spans="1:15" ht="15" customHeight="1" x14ac:dyDescent="0.25">
      <c r="A856" s="2">
        <v>5</v>
      </c>
      <c r="B856" s="2" t="s">
        <v>10</v>
      </c>
      <c r="C856" s="2" t="s">
        <v>19</v>
      </c>
      <c r="D856" s="2" t="s">
        <v>106</v>
      </c>
      <c r="E856" s="2">
        <v>0</v>
      </c>
      <c r="F856" s="2">
        <v>0</v>
      </c>
      <c r="G856" s="2" t="s">
        <v>10</v>
      </c>
      <c r="H856" s="2" t="s">
        <v>12</v>
      </c>
      <c r="I856" s="2">
        <v>2</v>
      </c>
      <c r="J856" s="2" t="s">
        <v>14</v>
      </c>
      <c r="K856" s="2" t="s">
        <v>14</v>
      </c>
      <c r="L856" s="2" t="s">
        <v>14</v>
      </c>
      <c r="M856" s="2" t="s">
        <v>14</v>
      </c>
      <c r="N856" s="2" t="s">
        <v>14</v>
      </c>
      <c r="O856" s="2">
        <v>1</v>
      </c>
    </row>
    <row r="857" spans="1:15" ht="15" customHeight="1" x14ac:dyDescent="0.25">
      <c r="A857" s="3">
        <v>5</v>
      </c>
      <c r="B857" s="3" t="s">
        <v>14</v>
      </c>
      <c r="C857" s="3" t="s">
        <v>19</v>
      </c>
      <c r="D857" s="2" t="s">
        <v>106</v>
      </c>
      <c r="E857" s="3">
        <v>0</v>
      </c>
      <c r="F857" s="3">
        <v>0</v>
      </c>
      <c r="G857" s="3" t="s">
        <v>10</v>
      </c>
      <c r="H857" s="3" t="s">
        <v>12</v>
      </c>
      <c r="I857" s="3">
        <v>2</v>
      </c>
      <c r="J857" s="3" t="s">
        <v>14</v>
      </c>
      <c r="K857" s="3" t="s">
        <v>14</v>
      </c>
      <c r="L857" s="3" t="s">
        <v>14</v>
      </c>
      <c r="M857" s="3" t="s">
        <v>14</v>
      </c>
      <c r="N857" s="3" t="s">
        <v>14</v>
      </c>
      <c r="O857" s="3">
        <v>1</v>
      </c>
    </row>
    <row r="858" spans="1:15" ht="15" customHeight="1" x14ac:dyDescent="0.25">
      <c r="A858" s="2">
        <v>0</v>
      </c>
      <c r="B858" s="2" t="s">
        <v>14</v>
      </c>
      <c r="C858" s="2" t="s">
        <v>19</v>
      </c>
      <c r="D858" s="2" t="s">
        <v>106</v>
      </c>
      <c r="E858" s="2">
        <v>0</v>
      </c>
      <c r="F858" s="2">
        <v>0</v>
      </c>
      <c r="G858" s="2" t="s">
        <v>10</v>
      </c>
      <c r="H858" s="2" t="s">
        <v>12</v>
      </c>
      <c r="I858" s="2" t="s">
        <v>15</v>
      </c>
      <c r="J858" s="2" t="s">
        <v>14</v>
      </c>
      <c r="K858" s="2" t="s">
        <v>14</v>
      </c>
      <c r="L858" s="2" t="s">
        <v>14</v>
      </c>
      <c r="M858" s="2" t="s">
        <v>14</v>
      </c>
      <c r="N858" s="2" t="s">
        <v>14</v>
      </c>
      <c r="O858" s="2">
        <v>1</v>
      </c>
    </row>
    <row r="859" spans="1:15" ht="15" customHeight="1" x14ac:dyDescent="0.25">
      <c r="A859" s="3">
        <v>5</v>
      </c>
      <c r="B859" s="3" t="s">
        <v>10</v>
      </c>
      <c r="C859" s="3" t="s">
        <v>19</v>
      </c>
      <c r="D859" s="2" t="s">
        <v>106</v>
      </c>
      <c r="E859" s="3">
        <v>0</v>
      </c>
      <c r="F859" s="3">
        <v>0</v>
      </c>
      <c r="G859" s="3" t="s">
        <v>10</v>
      </c>
      <c r="H859" s="3" t="s">
        <v>12</v>
      </c>
      <c r="I859" s="3">
        <v>2</v>
      </c>
      <c r="J859" s="3" t="s">
        <v>14</v>
      </c>
      <c r="K859" s="3" t="s">
        <v>14</v>
      </c>
      <c r="L859" s="3" t="s">
        <v>14</v>
      </c>
      <c r="M859" s="3" t="s">
        <v>14</v>
      </c>
      <c r="N859" s="3" t="s">
        <v>14</v>
      </c>
      <c r="O859" s="3">
        <v>1</v>
      </c>
    </row>
    <row r="860" spans="1:15" ht="15" customHeight="1" x14ac:dyDescent="0.25">
      <c r="A860" s="2">
        <v>5</v>
      </c>
      <c r="B860" s="2" t="s">
        <v>18</v>
      </c>
      <c r="C860" s="2" t="s">
        <v>19</v>
      </c>
      <c r="D860" s="2" t="s">
        <v>106</v>
      </c>
      <c r="E860" s="2">
        <v>0</v>
      </c>
      <c r="F860" s="2">
        <v>0</v>
      </c>
      <c r="G860" s="2" t="s">
        <v>10</v>
      </c>
      <c r="H860" s="2" t="s">
        <v>12</v>
      </c>
      <c r="I860" s="2">
        <v>1</v>
      </c>
      <c r="J860" s="2" t="s">
        <v>14</v>
      </c>
      <c r="K860" s="2" t="s">
        <v>14</v>
      </c>
      <c r="L860" s="2" t="s">
        <v>14</v>
      </c>
      <c r="M860" s="2" t="s">
        <v>14</v>
      </c>
      <c r="N860" s="2" t="s">
        <v>14</v>
      </c>
      <c r="O860" s="2">
        <v>1</v>
      </c>
    </row>
    <row r="861" spans="1:15" ht="15" customHeight="1" x14ac:dyDescent="0.25">
      <c r="A861" s="3">
        <v>10</v>
      </c>
      <c r="B861" s="3" t="s">
        <v>14</v>
      </c>
      <c r="C861" s="3" t="s">
        <v>19</v>
      </c>
      <c r="D861" s="2" t="s">
        <v>106</v>
      </c>
      <c r="E861" s="3">
        <v>0</v>
      </c>
      <c r="F861" s="3">
        <v>0</v>
      </c>
      <c r="G861" s="3" t="s">
        <v>10</v>
      </c>
      <c r="H861" s="3" t="s">
        <v>12</v>
      </c>
      <c r="I861" s="3">
        <v>2</v>
      </c>
      <c r="J861" s="3" t="s">
        <v>14</v>
      </c>
      <c r="K861" s="3" t="s">
        <v>14</v>
      </c>
      <c r="L861" s="3" t="s">
        <v>14</v>
      </c>
      <c r="M861" s="3" t="s">
        <v>14</v>
      </c>
      <c r="N861" s="3" t="s">
        <v>14</v>
      </c>
      <c r="O861" s="3">
        <v>1</v>
      </c>
    </row>
    <row r="862" spans="1:15" ht="15" customHeight="1" x14ac:dyDescent="0.25">
      <c r="A862" s="2">
        <v>0</v>
      </c>
      <c r="B862" s="2" t="s">
        <v>14</v>
      </c>
      <c r="C862" s="2" t="s">
        <v>19</v>
      </c>
      <c r="D862" s="2" t="s">
        <v>106</v>
      </c>
      <c r="E862" s="2">
        <v>0</v>
      </c>
      <c r="F862" s="2">
        <v>0</v>
      </c>
      <c r="G862" s="2" t="s">
        <v>10</v>
      </c>
      <c r="H862" s="2" t="s">
        <v>12</v>
      </c>
      <c r="I862" s="2">
        <v>2</v>
      </c>
      <c r="J862" s="2" t="s">
        <v>14</v>
      </c>
      <c r="K862" s="2" t="s">
        <v>14</v>
      </c>
      <c r="L862" s="2" t="s">
        <v>14</v>
      </c>
      <c r="M862" s="2" t="s">
        <v>14</v>
      </c>
      <c r="N862" s="2" t="s">
        <v>14</v>
      </c>
      <c r="O862" s="2">
        <v>1</v>
      </c>
    </row>
    <row r="863" spans="1:15" ht="15" customHeight="1" x14ac:dyDescent="0.25">
      <c r="A863" s="3">
        <v>5</v>
      </c>
      <c r="B863" s="3" t="s">
        <v>18</v>
      </c>
      <c r="C863" s="3" t="s">
        <v>19</v>
      </c>
      <c r="D863" s="2" t="s">
        <v>106</v>
      </c>
      <c r="E863" s="3">
        <v>0</v>
      </c>
      <c r="F863" s="3">
        <v>0</v>
      </c>
      <c r="G863" s="3" t="s">
        <v>10</v>
      </c>
      <c r="H863" s="3" t="s">
        <v>12</v>
      </c>
      <c r="I863" s="3" t="s">
        <v>15</v>
      </c>
      <c r="J863" s="3" t="s">
        <v>14</v>
      </c>
      <c r="K863" s="3" t="s">
        <v>14</v>
      </c>
      <c r="L863" s="3" t="s">
        <v>14</v>
      </c>
      <c r="M863" s="3" t="s">
        <v>14</v>
      </c>
      <c r="N863" s="3" t="s">
        <v>14</v>
      </c>
      <c r="O863" s="3">
        <v>1</v>
      </c>
    </row>
    <row r="864" spans="1:15" ht="15" customHeight="1" x14ac:dyDescent="0.25">
      <c r="A864" s="2">
        <v>0</v>
      </c>
      <c r="B864" s="2" t="s">
        <v>10</v>
      </c>
      <c r="C864" s="2" t="s">
        <v>19</v>
      </c>
      <c r="D864" s="2" t="s">
        <v>106</v>
      </c>
      <c r="E864" s="2">
        <v>0</v>
      </c>
      <c r="F864" s="2">
        <v>0</v>
      </c>
      <c r="G864" s="2" t="s">
        <v>10</v>
      </c>
      <c r="H864" s="2" t="s">
        <v>12</v>
      </c>
      <c r="I864" s="2" t="s">
        <v>15</v>
      </c>
      <c r="J864" s="2" t="s">
        <v>14</v>
      </c>
      <c r="K864" s="2" t="s">
        <v>14</v>
      </c>
      <c r="L864" s="2" t="s">
        <v>14</v>
      </c>
      <c r="M864" s="2" t="s">
        <v>14</v>
      </c>
      <c r="N864" s="2" t="s">
        <v>14</v>
      </c>
      <c r="O864" s="2">
        <v>1</v>
      </c>
    </row>
    <row r="865" spans="1:15" ht="15" customHeight="1" x14ac:dyDescent="0.25">
      <c r="A865" s="3">
        <v>0</v>
      </c>
      <c r="B865" s="3" t="s">
        <v>18</v>
      </c>
      <c r="C865" s="3" t="s">
        <v>19</v>
      </c>
      <c r="D865" s="2" t="s">
        <v>106</v>
      </c>
      <c r="E865" s="3">
        <v>0</v>
      </c>
      <c r="F865" s="3">
        <v>0</v>
      </c>
      <c r="G865" s="3" t="s">
        <v>10</v>
      </c>
      <c r="H865" s="3" t="s">
        <v>12</v>
      </c>
      <c r="I865" s="3">
        <v>1</v>
      </c>
      <c r="J865" s="3" t="s">
        <v>14</v>
      </c>
      <c r="K865" s="3" t="s">
        <v>14</v>
      </c>
      <c r="L865" s="3" t="s">
        <v>14</v>
      </c>
      <c r="M865" s="3" t="s">
        <v>14</v>
      </c>
      <c r="N865" s="3" t="s">
        <v>14</v>
      </c>
      <c r="O865" s="3">
        <v>1</v>
      </c>
    </row>
    <row r="866" spans="1:15" ht="15" customHeight="1" x14ac:dyDescent="0.25">
      <c r="A866" s="2">
        <v>5</v>
      </c>
      <c r="B866" s="2" t="s">
        <v>14</v>
      </c>
      <c r="C866" s="2" t="s">
        <v>19</v>
      </c>
      <c r="D866" s="2" t="s">
        <v>106</v>
      </c>
      <c r="E866" s="2">
        <v>0</v>
      </c>
      <c r="F866" s="2">
        <v>0</v>
      </c>
      <c r="G866" s="2" t="s">
        <v>10</v>
      </c>
      <c r="H866" s="2" t="s">
        <v>12</v>
      </c>
      <c r="I866" s="2">
        <v>2</v>
      </c>
      <c r="J866" s="2" t="s">
        <v>14</v>
      </c>
      <c r="K866" s="2" t="s">
        <v>14</v>
      </c>
      <c r="L866" s="2" t="s">
        <v>14</v>
      </c>
      <c r="M866" s="2" t="s">
        <v>14</v>
      </c>
      <c r="N866" s="2" t="s">
        <v>14</v>
      </c>
      <c r="O866" s="2">
        <v>1</v>
      </c>
    </row>
    <row r="867" spans="1:15" ht="15" customHeight="1" x14ac:dyDescent="0.25">
      <c r="A867" s="3">
        <v>10</v>
      </c>
      <c r="B867" s="3" t="s">
        <v>14</v>
      </c>
      <c r="C867" s="3" t="s">
        <v>20</v>
      </c>
      <c r="D867" s="2" t="s">
        <v>106</v>
      </c>
      <c r="E867" s="3">
        <v>0</v>
      </c>
      <c r="F867" s="3">
        <v>0</v>
      </c>
      <c r="G867" s="3" t="s">
        <v>10</v>
      </c>
      <c r="H867" s="3" t="s">
        <v>16</v>
      </c>
      <c r="I867" s="3" t="s">
        <v>15</v>
      </c>
      <c r="J867" s="3" t="s">
        <v>14</v>
      </c>
      <c r="K867" s="3" t="s">
        <v>14</v>
      </c>
      <c r="L867" s="3" t="s">
        <v>14</v>
      </c>
      <c r="M867" s="3" t="s">
        <v>14</v>
      </c>
      <c r="N867" s="3" t="s">
        <v>14</v>
      </c>
      <c r="O867" s="3">
        <v>1</v>
      </c>
    </row>
    <row r="868" spans="1:15" ht="15" customHeight="1" x14ac:dyDescent="0.25">
      <c r="A868" s="2">
        <v>5</v>
      </c>
      <c r="B868" s="2" t="s">
        <v>10</v>
      </c>
      <c r="C868" s="2" t="s">
        <v>19</v>
      </c>
      <c r="D868" s="2" t="s">
        <v>106</v>
      </c>
      <c r="E868" s="2">
        <v>0</v>
      </c>
      <c r="F868" s="2">
        <v>0</v>
      </c>
      <c r="G868" s="2" t="s">
        <v>10</v>
      </c>
      <c r="H868" s="2" t="s">
        <v>12</v>
      </c>
      <c r="I868" s="2">
        <v>2</v>
      </c>
      <c r="J868" s="2" t="s">
        <v>14</v>
      </c>
      <c r="K868" s="2" t="s">
        <v>14</v>
      </c>
      <c r="L868" s="2" t="s">
        <v>14</v>
      </c>
      <c r="M868" s="2" t="s">
        <v>14</v>
      </c>
      <c r="N868" s="2" t="s">
        <v>14</v>
      </c>
      <c r="O868" s="2">
        <v>1</v>
      </c>
    </row>
    <row r="869" spans="1:15" ht="15" customHeight="1" x14ac:dyDescent="0.25">
      <c r="A869" s="3">
        <v>0</v>
      </c>
      <c r="B869" s="3" t="s">
        <v>14</v>
      </c>
      <c r="C869" s="3" t="s">
        <v>19</v>
      </c>
      <c r="D869" s="2" t="s">
        <v>106</v>
      </c>
      <c r="E869" s="3">
        <v>0</v>
      </c>
      <c r="F869" s="3">
        <v>0</v>
      </c>
      <c r="G869" s="3" t="s">
        <v>10</v>
      </c>
      <c r="H869" s="3" t="s">
        <v>12</v>
      </c>
      <c r="I869" s="3">
        <v>2</v>
      </c>
      <c r="J869" s="3" t="s">
        <v>14</v>
      </c>
      <c r="K869" s="3" t="s">
        <v>14</v>
      </c>
      <c r="L869" s="3" t="s">
        <v>14</v>
      </c>
      <c r="M869" s="3" t="s">
        <v>14</v>
      </c>
      <c r="N869" s="3" t="s">
        <v>14</v>
      </c>
      <c r="O869" s="3">
        <v>1</v>
      </c>
    </row>
    <row r="870" spans="1:15" ht="15" customHeight="1" x14ac:dyDescent="0.25">
      <c r="A870" s="2">
        <v>10</v>
      </c>
      <c r="B870" s="2" t="s">
        <v>10</v>
      </c>
      <c r="C870" s="2" t="s">
        <v>19</v>
      </c>
      <c r="D870" s="2" t="s">
        <v>106</v>
      </c>
      <c r="E870" s="2">
        <v>0</v>
      </c>
      <c r="F870" s="2">
        <v>1</v>
      </c>
      <c r="G870" s="2" t="s">
        <v>10</v>
      </c>
      <c r="H870" s="2" t="s">
        <v>12</v>
      </c>
      <c r="I870" s="2">
        <v>1</v>
      </c>
      <c r="J870" s="2" t="s">
        <v>14</v>
      </c>
      <c r="K870" s="2" t="s">
        <v>14</v>
      </c>
      <c r="L870" s="2" t="s">
        <v>14</v>
      </c>
      <c r="M870" s="2" t="s">
        <v>13</v>
      </c>
      <c r="N870" s="2" t="s">
        <v>14</v>
      </c>
      <c r="O870" s="2">
        <v>0</v>
      </c>
    </row>
    <row r="871" spans="1:15" ht="15" customHeight="1" x14ac:dyDescent="0.25">
      <c r="A871" s="3">
        <v>10</v>
      </c>
      <c r="B871" s="3" t="s">
        <v>10</v>
      </c>
      <c r="C871" s="3" t="s">
        <v>20</v>
      </c>
      <c r="D871" s="2" t="s">
        <v>106</v>
      </c>
      <c r="E871" s="3">
        <v>0</v>
      </c>
      <c r="F871" s="3">
        <v>0</v>
      </c>
      <c r="G871" s="3" t="s">
        <v>10</v>
      </c>
      <c r="H871" s="3" t="s">
        <v>12</v>
      </c>
      <c r="I871" s="3">
        <v>2</v>
      </c>
      <c r="J871" s="3" t="s">
        <v>14</v>
      </c>
      <c r="K871" s="3" t="s">
        <v>14</v>
      </c>
      <c r="L871" s="3" t="s">
        <v>14</v>
      </c>
      <c r="M871" s="3" t="s">
        <v>14</v>
      </c>
      <c r="N871" s="3" t="s">
        <v>14</v>
      </c>
      <c r="O871" s="3">
        <v>1</v>
      </c>
    </row>
    <row r="872" spans="1:15" ht="15" customHeight="1" x14ac:dyDescent="0.25">
      <c r="A872" s="2">
        <v>10</v>
      </c>
      <c r="B872" s="2" t="s">
        <v>14</v>
      </c>
      <c r="C872" s="2" t="s">
        <v>19</v>
      </c>
      <c r="D872" s="2" t="s">
        <v>106</v>
      </c>
      <c r="E872" s="2">
        <v>0</v>
      </c>
      <c r="F872" s="2">
        <v>0</v>
      </c>
      <c r="G872" s="2" t="s">
        <v>10</v>
      </c>
      <c r="H872" s="2" t="s">
        <v>12</v>
      </c>
      <c r="I872" s="2" t="s">
        <v>15</v>
      </c>
      <c r="J872" s="2" t="s">
        <v>14</v>
      </c>
      <c r="K872" s="2" t="s">
        <v>14</v>
      </c>
      <c r="L872" s="2" t="s">
        <v>14</v>
      </c>
      <c r="M872" s="2" t="s">
        <v>14</v>
      </c>
      <c r="N872" s="2" t="s">
        <v>14</v>
      </c>
      <c r="O872" s="2">
        <v>1</v>
      </c>
    </row>
    <row r="873" spans="1:15" ht="15" customHeight="1" x14ac:dyDescent="0.25">
      <c r="A873" s="3">
        <v>30</v>
      </c>
      <c r="B873" s="3" t="s">
        <v>10</v>
      </c>
      <c r="C873" s="3" t="s">
        <v>11</v>
      </c>
      <c r="D873" s="2" t="s">
        <v>106</v>
      </c>
      <c r="E873" s="3">
        <v>1</v>
      </c>
      <c r="F873" s="3">
        <v>0</v>
      </c>
      <c r="G873" s="3" t="s">
        <v>10</v>
      </c>
      <c r="H873" s="3" t="s">
        <v>12</v>
      </c>
      <c r="I873" s="3">
        <v>2</v>
      </c>
      <c r="J873" s="3" t="s">
        <v>14</v>
      </c>
      <c r="K873" s="3" t="s">
        <v>14</v>
      </c>
      <c r="L873" s="3" t="s">
        <v>14</v>
      </c>
      <c r="M873" s="3" t="s">
        <v>13</v>
      </c>
      <c r="N873" s="3" t="s">
        <v>14</v>
      </c>
      <c r="O873" s="3">
        <v>0</v>
      </c>
    </row>
    <row r="874" spans="1:15" ht="15" customHeight="1" x14ac:dyDescent="0.25">
      <c r="A874" s="2">
        <v>0</v>
      </c>
      <c r="B874" s="2" t="s">
        <v>10</v>
      </c>
      <c r="C874" s="2" t="s">
        <v>19</v>
      </c>
      <c r="D874" s="2" t="s">
        <v>106</v>
      </c>
      <c r="E874" s="2">
        <v>0</v>
      </c>
      <c r="F874" s="2">
        <v>0</v>
      </c>
      <c r="G874" s="2" t="s">
        <v>17</v>
      </c>
      <c r="H874" s="2" t="s">
        <v>106</v>
      </c>
      <c r="I874" s="2">
        <v>1</v>
      </c>
      <c r="J874" s="2" t="s">
        <v>14</v>
      </c>
      <c r="K874" s="2" t="s">
        <v>13</v>
      </c>
      <c r="L874" s="2" t="s">
        <v>13</v>
      </c>
      <c r="M874" s="2" t="s">
        <v>13</v>
      </c>
      <c r="N874" s="2" t="s">
        <v>14</v>
      </c>
      <c r="O874" s="2">
        <v>1</v>
      </c>
    </row>
    <row r="875" spans="1:15" ht="15" customHeight="1" x14ac:dyDescent="0.25">
      <c r="A875" s="3">
        <v>5</v>
      </c>
      <c r="B875" s="3" t="s">
        <v>10</v>
      </c>
      <c r="C875" s="3" t="s">
        <v>19</v>
      </c>
      <c r="D875" s="2" t="s">
        <v>106</v>
      </c>
      <c r="E875" s="3">
        <v>1</v>
      </c>
      <c r="F875" s="3">
        <v>0</v>
      </c>
      <c r="G875" s="3" t="s">
        <v>17</v>
      </c>
      <c r="H875" s="3" t="s">
        <v>106</v>
      </c>
      <c r="I875" s="3">
        <v>1</v>
      </c>
      <c r="J875" s="3" t="s">
        <v>14</v>
      </c>
      <c r="K875" s="3" t="s">
        <v>13</v>
      </c>
      <c r="L875" s="3" t="s">
        <v>13</v>
      </c>
      <c r="M875" s="3" t="s">
        <v>13</v>
      </c>
      <c r="N875" s="3" t="s">
        <v>14</v>
      </c>
      <c r="O875" s="3">
        <v>0</v>
      </c>
    </row>
    <row r="876" spans="1:15" ht="15" customHeight="1" x14ac:dyDescent="0.25">
      <c r="A876" s="2">
        <v>5</v>
      </c>
      <c r="B876" s="2" t="s">
        <v>10</v>
      </c>
      <c r="C876" s="2" t="s">
        <v>19</v>
      </c>
      <c r="D876" s="2" t="s">
        <v>106</v>
      </c>
      <c r="E876" s="2">
        <v>0</v>
      </c>
      <c r="F876" s="2">
        <v>0</v>
      </c>
      <c r="G876" s="2" t="s">
        <v>10</v>
      </c>
      <c r="H876" s="2" t="s">
        <v>12</v>
      </c>
      <c r="I876" s="2">
        <v>2</v>
      </c>
      <c r="J876" s="2" t="s">
        <v>14</v>
      </c>
      <c r="K876" s="2" t="s">
        <v>14</v>
      </c>
      <c r="L876" s="2" t="s">
        <v>14</v>
      </c>
      <c r="M876" s="2" t="s">
        <v>14</v>
      </c>
      <c r="N876" s="2" t="s">
        <v>14</v>
      </c>
      <c r="O876" s="2">
        <v>1</v>
      </c>
    </row>
    <row r="877" spans="1:15" ht="15" customHeight="1" x14ac:dyDescent="0.25">
      <c r="A877" s="3">
        <v>20</v>
      </c>
      <c r="B877" s="3" t="s">
        <v>10</v>
      </c>
      <c r="C877" s="3" t="s">
        <v>11</v>
      </c>
      <c r="D877" s="2" t="s">
        <v>106</v>
      </c>
      <c r="E877" s="3">
        <v>0</v>
      </c>
      <c r="F877" s="3">
        <v>0</v>
      </c>
      <c r="G877" s="3" t="s">
        <v>10</v>
      </c>
      <c r="H877" s="3" t="s">
        <v>12</v>
      </c>
      <c r="I877" s="3" t="s">
        <v>15</v>
      </c>
      <c r="J877" s="3" t="s">
        <v>14</v>
      </c>
      <c r="K877" s="3" t="s">
        <v>14</v>
      </c>
      <c r="L877" s="3" t="s">
        <v>14</v>
      </c>
      <c r="M877" s="3" t="s">
        <v>13</v>
      </c>
      <c r="N877" s="3" t="s">
        <v>14</v>
      </c>
      <c r="O877" s="3">
        <v>1</v>
      </c>
    </row>
    <row r="878" spans="1:15" ht="15" customHeight="1" x14ac:dyDescent="0.25">
      <c r="A878" s="2">
        <v>5</v>
      </c>
      <c r="B878" s="2" t="s">
        <v>18</v>
      </c>
      <c r="C878" s="2" t="s">
        <v>19</v>
      </c>
      <c r="D878" s="2" t="s">
        <v>106</v>
      </c>
      <c r="E878" s="2">
        <v>0</v>
      </c>
      <c r="F878" s="2">
        <v>0</v>
      </c>
      <c r="G878" s="2" t="s">
        <v>17</v>
      </c>
      <c r="H878" s="2" t="s">
        <v>106</v>
      </c>
      <c r="I878" s="2">
        <v>1</v>
      </c>
      <c r="J878" s="2" t="s">
        <v>14</v>
      </c>
      <c r="K878" s="2" t="s">
        <v>13</v>
      </c>
      <c r="L878" s="2" t="s">
        <v>13</v>
      </c>
      <c r="M878" s="2" t="s">
        <v>14</v>
      </c>
      <c r="N878" s="2" t="s">
        <v>14</v>
      </c>
      <c r="O878" s="2">
        <v>1</v>
      </c>
    </row>
    <row r="879" spans="1:15" ht="15" customHeight="1" x14ac:dyDescent="0.25">
      <c r="A879" s="3">
        <v>20</v>
      </c>
      <c r="B879" s="3" t="s">
        <v>10</v>
      </c>
      <c r="C879" s="3" t="s">
        <v>11</v>
      </c>
      <c r="D879" s="2" t="s">
        <v>106</v>
      </c>
      <c r="E879" s="3">
        <v>0</v>
      </c>
      <c r="F879" s="3">
        <v>0</v>
      </c>
      <c r="G879" s="3" t="s">
        <v>10</v>
      </c>
      <c r="H879" s="3" t="s">
        <v>12</v>
      </c>
      <c r="I879" s="3" t="s">
        <v>15</v>
      </c>
      <c r="J879" s="3" t="s">
        <v>13</v>
      </c>
      <c r="K879" s="3" t="s">
        <v>14</v>
      </c>
      <c r="L879" s="3" t="s">
        <v>14</v>
      </c>
      <c r="M879" s="3" t="s">
        <v>13</v>
      </c>
      <c r="N879" s="3" t="s">
        <v>14</v>
      </c>
      <c r="O879" s="3">
        <v>0</v>
      </c>
    </row>
    <row r="880" spans="1:15" ht="15" customHeight="1" x14ac:dyDescent="0.25">
      <c r="A880" s="2">
        <v>10</v>
      </c>
      <c r="B880" s="2" t="s">
        <v>10</v>
      </c>
      <c r="C880" s="2" t="s">
        <v>19</v>
      </c>
      <c r="D880" s="2" t="s">
        <v>106</v>
      </c>
      <c r="E880" s="2">
        <v>1</v>
      </c>
      <c r="F880" s="2">
        <v>0</v>
      </c>
      <c r="G880" s="2" t="s">
        <v>17</v>
      </c>
      <c r="H880" s="2" t="s">
        <v>106</v>
      </c>
      <c r="I880" s="2">
        <v>1</v>
      </c>
      <c r="J880" s="2" t="s">
        <v>14</v>
      </c>
      <c r="K880" s="2" t="s">
        <v>13</v>
      </c>
      <c r="L880" s="2" t="s">
        <v>13</v>
      </c>
      <c r="M880" s="2" t="s">
        <v>13</v>
      </c>
      <c r="N880" s="2" t="s">
        <v>14</v>
      </c>
      <c r="O880" s="2">
        <v>0</v>
      </c>
    </row>
    <row r="881" spans="1:15" ht="15" customHeight="1" x14ac:dyDescent="0.25">
      <c r="A881" s="3">
        <v>5</v>
      </c>
      <c r="B881" s="3" t="s">
        <v>18</v>
      </c>
      <c r="C881" s="3" t="s">
        <v>20</v>
      </c>
      <c r="D881" s="2" t="s">
        <v>106</v>
      </c>
      <c r="E881" s="3">
        <v>0</v>
      </c>
      <c r="F881" s="3">
        <v>0</v>
      </c>
      <c r="G881" s="3" t="s">
        <v>10</v>
      </c>
      <c r="H881" s="3" t="s">
        <v>12</v>
      </c>
      <c r="I881" s="3">
        <v>1</v>
      </c>
      <c r="J881" s="3" t="s">
        <v>14</v>
      </c>
      <c r="K881" s="3" t="s">
        <v>14</v>
      </c>
      <c r="L881" s="3" t="s">
        <v>14</v>
      </c>
      <c r="M881" s="3" t="s">
        <v>14</v>
      </c>
      <c r="N881" s="3" t="s">
        <v>14</v>
      </c>
      <c r="O881" s="3">
        <v>1</v>
      </c>
    </row>
    <row r="882" spans="1:15" ht="15" customHeight="1" x14ac:dyDescent="0.25">
      <c r="A882" s="2">
        <v>5</v>
      </c>
      <c r="B882" s="2" t="s">
        <v>10</v>
      </c>
      <c r="C882" s="2" t="s">
        <v>20</v>
      </c>
      <c r="D882" s="2" t="s">
        <v>106</v>
      </c>
      <c r="E882" s="2">
        <v>0</v>
      </c>
      <c r="F882" s="2">
        <v>0</v>
      </c>
      <c r="G882" s="2" t="s">
        <v>10</v>
      </c>
      <c r="H882" s="2" t="s">
        <v>12</v>
      </c>
      <c r="I882" s="2">
        <v>2</v>
      </c>
      <c r="J882" s="2" t="s">
        <v>14</v>
      </c>
      <c r="K882" s="2" t="s">
        <v>14</v>
      </c>
      <c r="L882" s="2" t="s">
        <v>14</v>
      </c>
      <c r="M882" s="2" t="s">
        <v>14</v>
      </c>
      <c r="N882" s="2" t="s">
        <v>14</v>
      </c>
      <c r="O882" s="2">
        <v>1</v>
      </c>
    </row>
    <row r="883" spans="1:15" ht="15" customHeight="1" x14ac:dyDescent="0.25">
      <c r="A883" s="3">
        <v>5</v>
      </c>
      <c r="B883" s="3" t="s">
        <v>18</v>
      </c>
      <c r="C883" s="3" t="s">
        <v>20</v>
      </c>
      <c r="D883" s="2" t="s">
        <v>106</v>
      </c>
      <c r="E883" s="3">
        <v>0</v>
      </c>
      <c r="F883" s="3">
        <v>0</v>
      </c>
      <c r="G883" s="3" t="s">
        <v>10</v>
      </c>
      <c r="H883" s="3" t="s">
        <v>12</v>
      </c>
      <c r="I883" s="3">
        <v>1</v>
      </c>
      <c r="J883" s="3" t="s">
        <v>14</v>
      </c>
      <c r="K883" s="3" t="s">
        <v>14</v>
      </c>
      <c r="L883" s="3" t="s">
        <v>14</v>
      </c>
      <c r="M883" s="3" t="s">
        <v>14</v>
      </c>
      <c r="N883" s="3" t="s">
        <v>14</v>
      </c>
      <c r="O883" s="3">
        <v>1</v>
      </c>
    </row>
    <row r="884" spans="1:15" ht="15" customHeight="1" x14ac:dyDescent="0.25">
      <c r="A884" s="2">
        <v>10</v>
      </c>
      <c r="B884" s="2" t="s">
        <v>10</v>
      </c>
      <c r="C884" s="2" t="s">
        <v>19</v>
      </c>
      <c r="D884" s="2" t="s">
        <v>106</v>
      </c>
      <c r="E884" s="2">
        <v>0</v>
      </c>
      <c r="F884" s="2">
        <v>0</v>
      </c>
      <c r="G884" s="2" t="s">
        <v>10</v>
      </c>
      <c r="H884" s="2" t="s">
        <v>12</v>
      </c>
      <c r="I884" s="2">
        <v>1</v>
      </c>
      <c r="J884" s="2" t="s">
        <v>14</v>
      </c>
      <c r="K884" s="2" t="s">
        <v>14</v>
      </c>
      <c r="L884" s="2" t="s">
        <v>14</v>
      </c>
      <c r="M884" s="2" t="s">
        <v>14</v>
      </c>
      <c r="N884" s="2" t="s">
        <v>14</v>
      </c>
      <c r="O884" s="2">
        <v>1</v>
      </c>
    </row>
    <row r="885" spans="1:15" ht="15" customHeight="1" x14ac:dyDescent="0.25">
      <c r="A885" s="3">
        <v>10</v>
      </c>
      <c r="B885" s="3" t="s">
        <v>10</v>
      </c>
      <c r="C885" s="3" t="s">
        <v>19</v>
      </c>
      <c r="D885" s="2" t="s">
        <v>106</v>
      </c>
      <c r="E885" s="3">
        <v>1</v>
      </c>
      <c r="F885" s="3">
        <v>0</v>
      </c>
      <c r="G885" s="3" t="s">
        <v>10</v>
      </c>
      <c r="H885" s="3" t="s">
        <v>12</v>
      </c>
      <c r="I885" s="3">
        <v>2</v>
      </c>
      <c r="J885" s="3" t="s">
        <v>14</v>
      </c>
      <c r="K885" s="3" t="s">
        <v>14</v>
      </c>
      <c r="L885" s="3" t="s">
        <v>14</v>
      </c>
      <c r="M885" s="3" t="s">
        <v>14</v>
      </c>
      <c r="N885" s="3" t="s">
        <v>14</v>
      </c>
      <c r="O885" s="3">
        <v>0</v>
      </c>
    </row>
    <row r="886" spans="1:15" ht="15" customHeight="1" x14ac:dyDescent="0.25">
      <c r="A886" s="2">
        <v>10</v>
      </c>
      <c r="B886" s="2" t="s">
        <v>14</v>
      </c>
      <c r="C886" s="2" t="s">
        <v>19</v>
      </c>
      <c r="D886" s="2" t="s">
        <v>106</v>
      </c>
      <c r="E886" s="2">
        <v>0</v>
      </c>
      <c r="F886" s="2">
        <v>0</v>
      </c>
      <c r="G886" s="2" t="s">
        <v>10</v>
      </c>
      <c r="H886" s="2" t="s">
        <v>12</v>
      </c>
      <c r="I886" s="2" t="s">
        <v>15</v>
      </c>
      <c r="J886" s="2" t="s">
        <v>14</v>
      </c>
      <c r="K886" s="2" t="s">
        <v>14</v>
      </c>
      <c r="L886" s="2" t="s">
        <v>14</v>
      </c>
      <c r="M886" s="2" t="s">
        <v>14</v>
      </c>
      <c r="N886" s="2" t="s">
        <v>14</v>
      </c>
      <c r="O886" s="2">
        <v>1</v>
      </c>
    </row>
    <row r="887" spans="1:15" ht="15" customHeight="1" x14ac:dyDescent="0.25">
      <c r="A887" s="3">
        <v>10</v>
      </c>
      <c r="B887" s="3" t="s">
        <v>10</v>
      </c>
      <c r="C887" s="3" t="s">
        <v>19</v>
      </c>
      <c r="D887" s="2" t="s">
        <v>106</v>
      </c>
      <c r="E887" s="3">
        <v>0</v>
      </c>
      <c r="F887" s="3">
        <v>0</v>
      </c>
      <c r="G887" s="3" t="s">
        <v>10</v>
      </c>
      <c r="H887" s="3" t="s">
        <v>12</v>
      </c>
      <c r="I887" s="3">
        <v>2</v>
      </c>
      <c r="J887" s="3" t="s">
        <v>14</v>
      </c>
      <c r="K887" s="3" t="s">
        <v>14</v>
      </c>
      <c r="L887" s="3" t="s">
        <v>14</v>
      </c>
      <c r="M887" s="3" t="s">
        <v>14</v>
      </c>
      <c r="N887" s="3" t="s">
        <v>14</v>
      </c>
      <c r="O887" s="3">
        <v>1</v>
      </c>
    </row>
    <row r="888" spans="1:15" ht="15" customHeight="1" x14ac:dyDescent="0.25">
      <c r="A888" s="2">
        <v>5</v>
      </c>
      <c r="B888" s="2" t="s">
        <v>18</v>
      </c>
      <c r="C888" s="2" t="s">
        <v>19</v>
      </c>
      <c r="D888" s="2" t="s">
        <v>106</v>
      </c>
      <c r="E888" s="2">
        <v>0</v>
      </c>
      <c r="F888" s="2">
        <v>0</v>
      </c>
      <c r="G888" s="2" t="s">
        <v>10</v>
      </c>
      <c r="H888" s="2" t="s">
        <v>12</v>
      </c>
      <c r="I888" s="2" t="s">
        <v>15</v>
      </c>
      <c r="J888" s="2" t="s">
        <v>14</v>
      </c>
      <c r="K888" s="2" t="s">
        <v>14</v>
      </c>
      <c r="L888" s="2" t="s">
        <v>14</v>
      </c>
      <c r="M888" s="2" t="s">
        <v>14</v>
      </c>
      <c r="N888" s="2" t="s">
        <v>14</v>
      </c>
      <c r="O888" s="2">
        <v>1</v>
      </c>
    </row>
    <row r="889" spans="1:15" ht="15" customHeight="1" x14ac:dyDescent="0.25">
      <c r="A889" s="3">
        <v>10</v>
      </c>
      <c r="B889" s="3" t="s">
        <v>10</v>
      </c>
      <c r="C889" s="3" t="s">
        <v>19</v>
      </c>
      <c r="D889" s="2" t="s">
        <v>106</v>
      </c>
      <c r="E889" s="3">
        <v>0</v>
      </c>
      <c r="F889" s="3">
        <v>1</v>
      </c>
      <c r="G889" s="3" t="s">
        <v>10</v>
      </c>
      <c r="H889" s="3" t="s">
        <v>12</v>
      </c>
      <c r="I889" s="3">
        <v>2</v>
      </c>
      <c r="J889" s="3" t="s">
        <v>14</v>
      </c>
      <c r="K889" s="3" t="s">
        <v>14</v>
      </c>
      <c r="L889" s="3" t="s">
        <v>14</v>
      </c>
      <c r="M889" s="3" t="s">
        <v>13</v>
      </c>
      <c r="N889" s="3" t="s">
        <v>14</v>
      </c>
      <c r="O889" s="3">
        <v>1</v>
      </c>
    </row>
    <row r="890" spans="1:15" ht="15" customHeight="1" x14ac:dyDescent="0.25">
      <c r="A890" s="2">
        <v>0</v>
      </c>
      <c r="B890" s="2" t="s">
        <v>14</v>
      </c>
      <c r="C890" s="2" t="s">
        <v>19</v>
      </c>
      <c r="D890" s="2" t="s">
        <v>106</v>
      </c>
      <c r="E890" s="2">
        <v>0</v>
      </c>
      <c r="F890" s="2">
        <v>0</v>
      </c>
      <c r="G890" s="2" t="s">
        <v>10</v>
      </c>
      <c r="H890" s="2" t="s">
        <v>12</v>
      </c>
      <c r="I890" s="2">
        <v>1</v>
      </c>
      <c r="J890" s="2" t="s">
        <v>14</v>
      </c>
      <c r="K890" s="2" t="s">
        <v>13</v>
      </c>
      <c r="L890" s="2" t="s">
        <v>13</v>
      </c>
      <c r="M890" s="2" t="s">
        <v>13</v>
      </c>
      <c r="N890" s="2" t="s">
        <v>14</v>
      </c>
      <c r="O890" s="2">
        <v>0</v>
      </c>
    </row>
    <row r="891" spans="1:15" ht="15" customHeight="1" x14ac:dyDescent="0.25">
      <c r="A891" s="3">
        <v>10</v>
      </c>
      <c r="B891" s="3" t="s">
        <v>10</v>
      </c>
      <c r="C891" s="3" t="s">
        <v>19</v>
      </c>
      <c r="D891" s="2" t="s">
        <v>106</v>
      </c>
      <c r="E891" s="3">
        <v>1</v>
      </c>
      <c r="F891" s="3">
        <v>0</v>
      </c>
      <c r="G891" s="3" t="s">
        <v>10</v>
      </c>
      <c r="H891" s="3" t="s">
        <v>12</v>
      </c>
      <c r="I891" s="3">
        <v>2</v>
      </c>
      <c r="J891" s="3" t="s">
        <v>14</v>
      </c>
      <c r="K891" s="3" t="s">
        <v>14</v>
      </c>
      <c r="L891" s="3" t="s">
        <v>14</v>
      </c>
      <c r="M891" s="3" t="s">
        <v>14</v>
      </c>
      <c r="N891" s="3" t="s">
        <v>14</v>
      </c>
      <c r="O891" s="3">
        <v>0</v>
      </c>
    </row>
    <row r="892" spans="1:15" ht="15" customHeight="1" x14ac:dyDescent="0.25">
      <c r="A892" s="2">
        <v>0</v>
      </c>
      <c r="B892" s="2" t="s">
        <v>10</v>
      </c>
      <c r="C892" s="2" t="s">
        <v>11</v>
      </c>
      <c r="D892" s="2" t="s">
        <v>106</v>
      </c>
      <c r="E892" s="2">
        <v>0</v>
      </c>
      <c r="F892" s="2">
        <v>1</v>
      </c>
      <c r="G892" s="2" t="s">
        <v>17</v>
      </c>
      <c r="H892" s="2" t="s">
        <v>106</v>
      </c>
      <c r="I892" s="2">
        <v>2</v>
      </c>
      <c r="J892" s="2" t="s">
        <v>14</v>
      </c>
      <c r="K892" s="2" t="s">
        <v>13</v>
      </c>
      <c r="L892" s="2" t="s">
        <v>13</v>
      </c>
      <c r="M892" s="2" t="s">
        <v>13</v>
      </c>
      <c r="N892" s="2" t="s">
        <v>14</v>
      </c>
      <c r="O892" s="2">
        <v>1</v>
      </c>
    </row>
    <row r="893" spans="1:15" ht="15" customHeight="1" x14ac:dyDescent="0.25">
      <c r="A893" s="3">
        <v>0</v>
      </c>
      <c r="B893" s="3" t="s">
        <v>10</v>
      </c>
      <c r="C893" s="3" t="s">
        <v>11</v>
      </c>
      <c r="D893" s="2" t="s">
        <v>106</v>
      </c>
      <c r="E893" s="3">
        <v>0</v>
      </c>
      <c r="F893" s="3">
        <v>0</v>
      </c>
      <c r="G893" s="3" t="s">
        <v>10</v>
      </c>
      <c r="H893" s="3" t="s">
        <v>12</v>
      </c>
      <c r="I893" s="3">
        <v>1</v>
      </c>
      <c r="J893" s="3" t="s">
        <v>13</v>
      </c>
      <c r="K893" s="3" t="s">
        <v>14</v>
      </c>
      <c r="L893" s="3" t="s">
        <v>14</v>
      </c>
      <c r="M893" s="3" t="s">
        <v>14</v>
      </c>
      <c r="N893" s="3" t="s">
        <v>14</v>
      </c>
      <c r="O893" s="3">
        <v>1</v>
      </c>
    </row>
    <row r="894" spans="1:15" ht="15" customHeight="1" x14ac:dyDescent="0.25">
      <c r="A894" s="2">
        <v>10</v>
      </c>
      <c r="B894" s="2" t="s">
        <v>14</v>
      </c>
      <c r="C894" s="2" t="s">
        <v>20</v>
      </c>
      <c r="D894" s="2" t="s">
        <v>106</v>
      </c>
      <c r="E894" s="2">
        <v>0</v>
      </c>
      <c r="F894" s="2">
        <v>0</v>
      </c>
      <c r="G894" s="2" t="s">
        <v>10</v>
      </c>
      <c r="H894" s="2" t="s">
        <v>12</v>
      </c>
      <c r="I894" s="2">
        <v>2</v>
      </c>
      <c r="J894" s="2" t="s">
        <v>14</v>
      </c>
      <c r="K894" s="2" t="s">
        <v>14</v>
      </c>
      <c r="L894" s="2" t="s">
        <v>14</v>
      </c>
      <c r="M894" s="2" t="s">
        <v>14</v>
      </c>
      <c r="N894" s="2" t="s">
        <v>14</v>
      </c>
      <c r="O894" s="2">
        <v>1</v>
      </c>
    </row>
    <row r="895" spans="1:15" ht="15" customHeight="1" x14ac:dyDescent="0.25">
      <c r="A895" s="3">
        <v>10</v>
      </c>
      <c r="B895" s="3" t="s">
        <v>14</v>
      </c>
      <c r="C895" s="3" t="s">
        <v>19</v>
      </c>
      <c r="D895" s="2" t="s">
        <v>106</v>
      </c>
      <c r="E895" s="3">
        <v>0</v>
      </c>
      <c r="F895" s="3">
        <v>0</v>
      </c>
      <c r="G895" s="3" t="s">
        <v>10</v>
      </c>
      <c r="H895" s="3" t="s">
        <v>12</v>
      </c>
      <c r="I895" s="3" t="s">
        <v>15</v>
      </c>
      <c r="J895" s="3" t="s">
        <v>14</v>
      </c>
      <c r="K895" s="3" t="s">
        <v>14</v>
      </c>
      <c r="L895" s="3" t="s">
        <v>14</v>
      </c>
      <c r="M895" s="3" t="s">
        <v>14</v>
      </c>
      <c r="N895" s="3" t="s">
        <v>14</v>
      </c>
      <c r="O895" s="3">
        <v>1</v>
      </c>
    </row>
    <row r="896" spans="1:15" ht="15" customHeight="1" x14ac:dyDescent="0.25">
      <c r="A896" s="2">
        <v>20</v>
      </c>
      <c r="B896" s="2" t="s">
        <v>10</v>
      </c>
      <c r="C896" s="2" t="s">
        <v>11</v>
      </c>
      <c r="D896" s="2" t="s">
        <v>106</v>
      </c>
      <c r="E896" s="2">
        <v>0</v>
      </c>
      <c r="F896" s="2">
        <v>0</v>
      </c>
      <c r="G896" s="2" t="s">
        <v>10</v>
      </c>
      <c r="H896" s="2" t="s">
        <v>12</v>
      </c>
      <c r="I896" s="2">
        <v>2</v>
      </c>
      <c r="J896" s="2" t="s">
        <v>13</v>
      </c>
      <c r="K896" s="2" t="s">
        <v>14</v>
      </c>
      <c r="L896" s="2" t="s">
        <v>14</v>
      </c>
      <c r="M896" s="2" t="s">
        <v>14</v>
      </c>
      <c r="N896" s="2" t="s">
        <v>14</v>
      </c>
      <c r="O896" s="2">
        <v>1</v>
      </c>
    </row>
    <row r="897" spans="1:15" ht="15" customHeight="1" x14ac:dyDescent="0.25">
      <c r="A897" s="3">
        <v>5</v>
      </c>
      <c r="B897" s="3" t="s">
        <v>10</v>
      </c>
      <c r="C897" s="3" t="s">
        <v>11</v>
      </c>
      <c r="D897" s="2" t="s">
        <v>106</v>
      </c>
      <c r="E897" s="3">
        <v>1</v>
      </c>
      <c r="F897" s="3">
        <v>1</v>
      </c>
      <c r="G897" s="3" t="s">
        <v>10</v>
      </c>
      <c r="H897" s="3" t="s">
        <v>12</v>
      </c>
      <c r="I897" s="3" t="s">
        <v>15</v>
      </c>
      <c r="J897" s="3" t="s">
        <v>13</v>
      </c>
      <c r="K897" s="3" t="s">
        <v>14</v>
      </c>
      <c r="L897" s="3" t="s">
        <v>14</v>
      </c>
      <c r="M897" s="3" t="s">
        <v>14</v>
      </c>
      <c r="N897" s="3" t="s">
        <v>14</v>
      </c>
      <c r="O897" s="3">
        <v>0</v>
      </c>
    </row>
    <row r="898" spans="1:15" ht="15" customHeight="1" x14ac:dyDescent="0.25">
      <c r="A898" s="2">
        <v>0</v>
      </c>
      <c r="B898" s="2" t="s">
        <v>14</v>
      </c>
      <c r="C898" s="2" t="s">
        <v>11</v>
      </c>
      <c r="D898" s="2" t="s">
        <v>106</v>
      </c>
      <c r="E898" s="2">
        <v>0</v>
      </c>
      <c r="F898" s="2">
        <v>0</v>
      </c>
      <c r="G898" s="2" t="s">
        <v>10</v>
      </c>
      <c r="H898" s="2" t="s">
        <v>12</v>
      </c>
      <c r="I898" s="2" t="s">
        <v>15</v>
      </c>
      <c r="J898" s="2" t="s">
        <v>14</v>
      </c>
      <c r="K898" s="2" t="s">
        <v>14</v>
      </c>
      <c r="L898" s="2" t="s">
        <v>14</v>
      </c>
      <c r="M898" s="2" t="s">
        <v>14</v>
      </c>
      <c r="N898" s="2" t="s">
        <v>14</v>
      </c>
      <c r="O898" s="2">
        <v>1</v>
      </c>
    </row>
    <row r="899" spans="1:15" ht="15" customHeight="1" x14ac:dyDescent="0.25">
      <c r="A899" s="3">
        <v>10</v>
      </c>
      <c r="B899" s="3" t="s">
        <v>18</v>
      </c>
      <c r="C899" s="3" t="s">
        <v>19</v>
      </c>
      <c r="D899" s="2" t="s">
        <v>106</v>
      </c>
      <c r="E899" s="3">
        <v>0</v>
      </c>
      <c r="F899" s="3">
        <v>1</v>
      </c>
      <c r="G899" s="3" t="s">
        <v>10</v>
      </c>
      <c r="H899" s="3" t="s">
        <v>12</v>
      </c>
      <c r="I899" s="3">
        <v>1</v>
      </c>
      <c r="J899" s="3" t="s">
        <v>14</v>
      </c>
      <c r="K899" s="3" t="s">
        <v>14</v>
      </c>
      <c r="L899" s="3" t="s">
        <v>14</v>
      </c>
      <c r="M899" s="3" t="s">
        <v>14</v>
      </c>
      <c r="N899" s="3" t="s">
        <v>14</v>
      </c>
      <c r="O899" s="3">
        <v>1</v>
      </c>
    </row>
    <row r="900" spans="1:15" ht="15" customHeight="1" x14ac:dyDescent="0.25">
      <c r="A900" s="2">
        <v>10</v>
      </c>
      <c r="B900" s="2" t="s">
        <v>14</v>
      </c>
      <c r="C900" s="2" t="s">
        <v>19</v>
      </c>
      <c r="D900" s="2" t="s">
        <v>106</v>
      </c>
      <c r="E900" s="2">
        <v>0</v>
      </c>
      <c r="F900" s="2">
        <v>0</v>
      </c>
      <c r="G900" s="2" t="s">
        <v>10</v>
      </c>
      <c r="H900" s="2" t="s">
        <v>12</v>
      </c>
      <c r="I900" s="2">
        <v>2</v>
      </c>
      <c r="J900" s="2" t="s">
        <v>14</v>
      </c>
      <c r="K900" s="2" t="s">
        <v>14</v>
      </c>
      <c r="L900" s="2" t="s">
        <v>14</v>
      </c>
      <c r="M900" s="2" t="s">
        <v>14</v>
      </c>
      <c r="N900" s="2" t="s">
        <v>14</v>
      </c>
      <c r="O900" s="2">
        <v>1</v>
      </c>
    </row>
    <row r="901" spans="1:15" ht="15" customHeight="1" x14ac:dyDescent="0.25">
      <c r="A901" s="3">
        <v>10</v>
      </c>
      <c r="B901" s="3" t="s">
        <v>14</v>
      </c>
      <c r="C901" s="3" t="s">
        <v>19</v>
      </c>
      <c r="D901" s="2" t="s">
        <v>106</v>
      </c>
      <c r="E901" s="3">
        <v>0</v>
      </c>
      <c r="F901" s="3">
        <v>0</v>
      </c>
      <c r="G901" s="3" t="s">
        <v>10</v>
      </c>
      <c r="H901" s="3" t="s">
        <v>12</v>
      </c>
      <c r="I901" s="3">
        <v>2</v>
      </c>
      <c r="J901" s="3" t="s">
        <v>14</v>
      </c>
      <c r="K901" s="3" t="s">
        <v>14</v>
      </c>
      <c r="L901" s="3" t="s">
        <v>14</v>
      </c>
      <c r="M901" s="3" t="s">
        <v>14</v>
      </c>
      <c r="N901" s="3" t="s">
        <v>14</v>
      </c>
      <c r="O901" s="3">
        <v>1</v>
      </c>
    </row>
    <row r="902" spans="1:15" ht="15" customHeight="1" x14ac:dyDescent="0.25">
      <c r="A902" s="2">
        <v>5</v>
      </c>
      <c r="B902" s="2" t="s">
        <v>10</v>
      </c>
      <c r="C902" s="2" t="s">
        <v>11</v>
      </c>
      <c r="D902" s="2" t="s">
        <v>106</v>
      </c>
      <c r="E902" s="2">
        <v>0</v>
      </c>
      <c r="F902" s="2">
        <v>0</v>
      </c>
      <c r="G902" s="2" t="s">
        <v>10</v>
      </c>
      <c r="H902" s="2" t="s">
        <v>12</v>
      </c>
      <c r="I902" s="2">
        <v>2</v>
      </c>
      <c r="J902" s="2" t="s">
        <v>14</v>
      </c>
      <c r="K902" s="2" t="s">
        <v>14</v>
      </c>
      <c r="L902" s="2" t="s">
        <v>14</v>
      </c>
      <c r="M902" s="2" t="s">
        <v>14</v>
      </c>
      <c r="N902" s="2" t="s">
        <v>14</v>
      </c>
      <c r="O902" s="2">
        <v>1</v>
      </c>
    </row>
    <row r="903" spans="1:15" ht="15" customHeight="1" x14ac:dyDescent="0.25">
      <c r="A903" s="3">
        <v>5</v>
      </c>
      <c r="B903" s="3" t="s">
        <v>18</v>
      </c>
      <c r="C903" s="3" t="s">
        <v>19</v>
      </c>
      <c r="D903" s="2" t="s">
        <v>106</v>
      </c>
      <c r="E903" s="3">
        <v>0</v>
      </c>
      <c r="F903" s="3">
        <v>0</v>
      </c>
      <c r="G903" s="3" t="s">
        <v>10</v>
      </c>
      <c r="H903" s="3" t="s">
        <v>12</v>
      </c>
      <c r="I903" s="3">
        <v>1</v>
      </c>
      <c r="J903" s="3" t="s">
        <v>14</v>
      </c>
      <c r="K903" s="3" t="s">
        <v>14</v>
      </c>
      <c r="L903" s="3" t="s">
        <v>14</v>
      </c>
      <c r="M903" s="3" t="s">
        <v>14</v>
      </c>
      <c r="N903" s="3" t="s">
        <v>14</v>
      </c>
      <c r="O903" s="3">
        <v>1</v>
      </c>
    </row>
    <row r="904" spans="1:15" ht="15" customHeight="1" x14ac:dyDescent="0.25">
      <c r="A904" s="2">
        <v>5</v>
      </c>
      <c r="B904" s="2" t="s">
        <v>10</v>
      </c>
      <c r="C904" s="2" t="s">
        <v>19</v>
      </c>
      <c r="D904" s="2" t="s">
        <v>106</v>
      </c>
      <c r="E904" s="2">
        <v>0</v>
      </c>
      <c r="F904" s="2">
        <v>0</v>
      </c>
      <c r="G904" s="2" t="s">
        <v>10</v>
      </c>
      <c r="H904" s="2" t="s">
        <v>16</v>
      </c>
      <c r="I904" s="2" t="s">
        <v>15</v>
      </c>
      <c r="J904" s="2" t="s">
        <v>14</v>
      </c>
      <c r="K904" s="2" t="s">
        <v>14</v>
      </c>
      <c r="L904" s="2" t="s">
        <v>14</v>
      </c>
      <c r="M904" s="2" t="s">
        <v>14</v>
      </c>
      <c r="N904" s="2" t="s">
        <v>14</v>
      </c>
      <c r="O904" s="2">
        <v>1</v>
      </c>
    </row>
    <row r="905" spans="1:15" ht="15" customHeight="1" x14ac:dyDescent="0.25">
      <c r="A905" s="3">
        <v>5</v>
      </c>
      <c r="B905" s="3" t="s">
        <v>10</v>
      </c>
      <c r="C905" s="3" t="s">
        <v>19</v>
      </c>
      <c r="D905" s="2" t="s">
        <v>106</v>
      </c>
      <c r="E905" s="3">
        <v>0</v>
      </c>
      <c r="F905" s="3">
        <v>0</v>
      </c>
      <c r="G905" s="3" t="s">
        <v>10</v>
      </c>
      <c r="H905" s="3" t="s">
        <v>12</v>
      </c>
      <c r="I905" s="3">
        <v>1</v>
      </c>
      <c r="J905" s="3" t="s">
        <v>14</v>
      </c>
      <c r="K905" s="3" t="s">
        <v>14</v>
      </c>
      <c r="L905" s="3" t="s">
        <v>14</v>
      </c>
      <c r="M905" s="3" t="s">
        <v>14</v>
      </c>
      <c r="N905" s="3" t="s">
        <v>14</v>
      </c>
      <c r="O905" s="3">
        <v>1</v>
      </c>
    </row>
    <row r="906" spans="1:15" ht="15" customHeight="1" x14ac:dyDescent="0.25">
      <c r="A906" s="2">
        <v>10</v>
      </c>
      <c r="B906" s="2" t="s">
        <v>10</v>
      </c>
      <c r="C906" s="2" t="s">
        <v>11</v>
      </c>
      <c r="D906" s="2" t="s">
        <v>106</v>
      </c>
      <c r="E906" s="2">
        <v>0</v>
      </c>
      <c r="F906" s="2">
        <v>0</v>
      </c>
      <c r="G906" s="2" t="s">
        <v>10</v>
      </c>
      <c r="H906" s="2" t="s">
        <v>12</v>
      </c>
      <c r="I906" s="2" t="s">
        <v>15</v>
      </c>
      <c r="J906" s="2" t="s">
        <v>14</v>
      </c>
      <c r="K906" s="2" t="s">
        <v>14</v>
      </c>
      <c r="L906" s="2" t="s">
        <v>14</v>
      </c>
      <c r="M906" s="2" t="s">
        <v>14</v>
      </c>
      <c r="N906" s="2" t="s">
        <v>14</v>
      </c>
      <c r="O906" s="2">
        <v>1</v>
      </c>
    </row>
    <row r="907" spans="1:15" ht="15" customHeight="1" x14ac:dyDescent="0.25">
      <c r="A907" s="3">
        <v>0</v>
      </c>
      <c r="B907" s="3" t="s">
        <v>18</v>
      </c>
      <c r="C907" s="3" t="s">
        <v>11</v>
      </c>
      <c r="D907" s="2" t="s">
        <v>106</v>
      </c>
      <c r="E907" s="3">
        <v>1</v>
      </c>
      <c r="F907" s="3">
        <v>1</v>
      </c>
      <c r="G907" s="3" t="s">
        <v>10</v>
      </c>
      <c r="H907" s="3" t="s">
        <v>12</v>
      </c>
      <c r="I907" s="3">
        <v>1</v>
      </c>
      <c r="J907" s="3" t="s">
        <v>14</v>
      </c>
      <c r="K907" s="3" t="s">
        <v>14</v>
      </c>
      <c r="L907" s="3" t="s">
        <v>14</v>
      </c>
      <c r="M907" s="3" t="s">
        <v>14</v>
      </c>
      <c r="N907" s="3" t="s">
        <v>14</v>
      </c>
      <c r="O907" s="3">
        <v>0</v>
      </c>
    </row>
    <row r="908" spans="1:15" ht="15" customHeight="1" x14ac:dyDescent="0.25">
      <c r="A908" s="2">
        <v>0</v>
      </c>
      <c r="B908" s="2" t="s">
        <v>10</v>
      </c>
      <c r="C908" s="2" t="s">
        <v>20</v>
      </c>
      <c r="D908" s="2" t="s">
        <v>106</v>
      </c>
      <c r="E908" s="2">
        <v>0</v>
      </c>
      <c r="F908" s="2">
        <v>0</v>
      </c>
      <c r="G908" s="2" t="s">
        <v>10</v>
      </c>
      <c r="H908" s="2" t="s">
        <v>12</v>
      </c>
      <c r="I908" s="2">
        <v>2</v>
      </c>
      <c r="J908" s="2" t="s">
        <v>14</v>
      </c>
      <c r="K908" s="2" t="s">
        <v>14</v>
      </c>
      <c r="L908" s="2" t="s">
        <v>14</v>
      </c>
      <c r="M908" s="2" t="s">
        <v>14</v>
      </c>
      <c r="N908" s="2" t="s">
        <v>14</v>
      </c>
      <c r="O908" s="2">
        <v>1</v>
      </c>
    </row>
    <row r="909" spans="1:15" ht="15" customHeight="1" x14ac:dyDescent="0.25">
      <c r="A909" s="3">
        <v>5</v>
      </c>
      <c r="B909" s="3" t="s">
        <v>10</v>
      </c>
      <c r="C909" s="3" t="s">
        <v>19</v>
      </c>
      <c r="D909" s="2" t="s">
        <v>106</v>
      </c>
      <c r="E909" s="3">
        <v>0</v>
      </c>
      <c r="F909" s="3">
        <v>0</v>
      </c>
      <c r="G909" s="3" t="s">
        <v>10</v>
      </c>
      <c r="H909" s="3" t="s">
        <v>12</v>
      </c>
      <c r="I909" s="3" t="s">
        <v>15</v>
      </c>
      <c r="J909" s="3" t="s">
        <v>14</v>
      </c>
      <c r="K909" s="3" t="s">
        <v>14</v>
      </c>
      <c r="L909" s="3" t="s">
        <v>14</v>
      </c>
      <c r="M909" s="3" t="s">
        <v>14</v>
      </c>
      <c r="N909" s="3" t="s">
        <v>14</v>
      </c>
      <c r="O909" s="3">
        <v>1</v>
      </c>
    </row>
    <row r="910" spans="1:15" ht="15" customHeight="1" x14ac:dyDescent="0.25">
      <c r="A910" s="2">
        <v>0</v>
      </c>
      <c r="B910" s="2" t="s">
        <v>18</v>
      </c>
      <c r="C910" s="2" t="s">
        <v>19</v>
      </c>
      <c r="D910" s="2" t="s">
        <v>106</v>
      </c>
      <c r="E910" s="2">
        <v>0</v>
      </c>
      <c r="F910" s="2">
        <v>0</v>
      </c>
      <c r="G910" s="2" t="s">
        <v>10</v>
      </c>
      <c r="H910" s="2" t="s">
        <v>12</v>
      </c>
      <c r="I910" s="2">
        <v>1</v>
      </c>
      <c r="J910" s="2" t="s">
        <v>14</v>
      </c>
      <c r="K910" s="2" t="s">
        <v>14</v>
      </c>
      <c r="L910" s="2" t="s">
        <v>14</v>
      </c>
      <c r="M910" s="2" t="s">
        <v>14</v>
      </c>
      <c r="N910" s="2" t="s">
        <v>14</v>
      </c>
      <c r="O910" s="2">
        <v>1</v>
      </c>
    </row>
    <row r="911" spans="1:15" ht="15" customHeight="1" x14ac:dyDescent="0.25">
      <c r="A911" s="3">
        <v>5</v>
      </c>
      <c r="B911" s="3" t="s">
        <v>10</v>
      </c>
      <c r="C911" s="3" t="s">
        <v>11</v>
      </c>
      <c r="D911" s="2" t="s">
        <v>106</v>
      </c>
      <c r="E911" s="3">
        <v>0</v>
      </c>
      <c r="F911" s="3">
        <v>1</v>
      </c>
      <c r="G911" s="3" t="s">
        <v>10</v>
      </c>
      <c r="H911" s="3" t="s">
        <v>12</v>
      </c>
      <c r="I911" s="3" t="s">
        <v>15</v>
      </c>
      <c r="J911" s="3" t="s">
        <v>14</v>
      </c>
      <c r="K911" s="3" t="s">
        <v>14</v>
      </c>
      <c r="L911" s="3" t="s">
        <v>14</v>
      </c>
      <c r="M911" s="3" t="s">
        <v>14</v>
      </c>
      <c r="N911" s="3" t="s">
        <v>14</v>
      </c>
      <c r="O911" s="3">
        <v>1</v>
      </c>
    </row>
    <row r="912" spans="1:15" ht="15" customHeight="1" x14ac:dyDescent="0.25">
      <c r="A912" s="2">
        <v>0</v>
      </c>
      <c r="B912" s="2" t="s">
        <v>14</v>
      </c>
      <c r="C912" s="2" t="s">
        <v>11</v>
      </c>
      <c r="D912" s="2" t="s">
        <v>106</v>
      </c>
      <c r="E912" s="2">
        <v>0</v>
      </c>
      <c r="F912" s="2">
        <v>0</v>
      </c>
      <c r="G912" s="2" t="s">
        <v>10</v>
      </c>
      <c r="H912" s="2" t="s">
        <v>12</v>
      </c>
      <c r="I912" s="2">
        <v>1</v>
      </c>
      <c r="J912" s="2" t="s">
        <v>14</v>
      </c>
      <c r="K912" s="2" t="s">
        <v>14</v>
      </c>
      <c r="L912" s="2" t="s">
        <v>14</v>
      </c>
      <c r="M912" s="2" t="s">
        <v>14</v>
      </c>
      <c r="N912" s="2" t="s">
        <v>14</v>
      </c>
      <c r="O912" s="2">
        <v>1</v>
      </c>
    </row>
    <row r="913" spans="1:15" ht="15" customHeight="1" x14ac:dyDescent="0.25">
      <c r="A913" s="3">
        <v>10</v>
      </c>
      <c r="B913" s="3" t="s">
        <v>14</v>
      </c>
      <c r="C913" s="3" t="s">
        <v>11</v>
      </c>
      <c r="D913" s="2" t="s">
        <v>106</v>
      </c>
      <c r="E913" s="3">
        <v>2</v>
      </c>
      <c r="F913" s="3">
        <v>0</v>
      </c>
      <c r="G913" s="3" t="s">
        <v>10</v>
      </c>
      <c r="H913" s="3" t="s">
        <v>12</v>
      </c>
      <c r="I913" s="3">
        <v>2</v>
      </c>
      <c r="J913" s="3" t="s">
        <v>14</v>
      </c>
      <c r="K913" s="3" t="s">
        <v>14</v>
      </c>
      <c r="L913" s="3" t="s">
        <v>14</v>
      </c>
      <c r="M913" s="3" t="s">
        <v>13</v>
      </c>
      <c r="N913" s="3" t="s">
        <v>13</v>
      </c>
      <c r="O913" s="3">
        <v>1</v>
      </c>
    </row>
    <row r="914" spans="1:15" ht="15" customHeight="1" x14ac:dyDescent="0.25">
      <c r="A914" s="2">
        <v>5</v>
      </c>
      <c r="B914" s="2" t="s">
        <v>10</v>
      </c>
      <c r="C914" s="2" t="s">
        <v>19</v>
      </c>
      <c r="D914" s="2" t="s">
        <v>106</v>
      </c>
      <c r="E914" s="2">
        <v>1</v>
      </c>
      <c r="F914" s="2">
        <v>0</v>
      </c>
      <c r="G914" s="2" t="s">
        <v>17</v>
      </c>
      <c r="H914" s="2" t="s">
        <v>106</v>
      </c>
      <c r="I914" s="2">
        <v>1</v>
      </c>
      <c r="J914" s="2" t="s">
        <v>14</v>
      </c>
      <c r="K914" s="2" t="s">
        <v>13</v>
      </c>
      <c r="L914" s="2" t="s">
        <v>13</v>
      </c>
      <c r="M914" s="2" t="s">
        <v>13</v>
      </c>
      <c r="N914" s="2" t="s">
        <v>14</v>
      </c>
      <c r="O914" s="2">
        <v>1</v>
      </c>
    </row>
    <row r="915" spans="1:15" ht="15" customHeight="1" x14ac:dyDescent="0.25">
      <c r="A915" s="3">
        <v>0</v>
      </c>
      <c r="B915" s="3" t="s">
        <v>18</v>
      </c>
      <c r="C915" s="3" t="s">
        <v>19</v>
      </c>
      <c r="D915" s="2" t="s">
        <v>106</v>
      </c>
      <c r="E915" s="3">
        <v>0</v>
      </c>
      <c r="F915" s="3">
        <v>0</v>
      </c>
      <c r="G915" s="3" t="s">
        <v>10</v>
      </c>
      <c r="H915" s="3" t="s">
        <v>12</v>
      </c>
      <c r="I915" s="3">
        <v>1</v>
      </c>
      <c r="J915" s="3" t="s">
        <v>14</v>
      </c>
      <c r="K915" s="3" t="s">
        <v>13</v>
      </c>
      <c r="L915" s="3" t="s">
        <v>13</v>
      </c>
      <c r="M915" s="3" t="s">
        <v>13</v>
      </c>
      <c r="N915" s="3" t="s">
        <v>14</v>
      </c>
      <c r="O915" s="3">
        <v>1</v>
      </c>
    </row>
    <row r="916" spans="1:15" ht="15" customHeight="1" x14ac:dyDescent="0.25">
      <c r="A916" s="2">
        <v>10</v>
      </c>
      <c r="B916" s="2" t="s">
        <v>14</v>
      </c>
      <c r="C916" s="2" t="s">
        <v>19</v>
      </c>
      <c r="D916" s="2" t="s">
        <v>106</v>
      </c>
      <c r="E916" s="2">
        <v>0</v>
      </c>
      <c r="F916" s="2">
        <v>0</v>
      </c>
      <c r="G916" s="2" t="s">
        <v>10</v>
      </c>
      <c r="H916" s="2" t="s">
        <v>12</v>
      </c>
      <c r="I916" s="2">
        <v>1</v>
      </c>
      <c r="J916" s="2" t="s">
        <v>14</v>
      </c>
      <c r="K916" s="2" t="s">
        <v>13</v>
      </c>
      <c r="L916" s="2" t="s">
        <v>13</v>
      </c>
      <c r="M916" s="2" t="s">
        <v>14</v>
      </c>
      <c r="N916" s="2" t="s">
        <v>14</v>
      </c>
      <c r="O916" s="2">
        <v>1</v>
      </c>
    </row>
    <row r="917" spans="1:15" ht="15" customHeight="1" x14ac:dyDescent="0.25">
      <c r="A917" s="3">
        <v>5</v>
      </c>
      <c r="B917" s="3" t="s">
        <v>18</v>
      </c>
      <c r="C917" s="3" t="s">
        <v>19</v>
      </c>
      <c r="D917" s="2" t="s">
        <v>106</v>
      </c>
      <c r="E917" s="3">
        <v>0</v>
      </c>
      <c r="F917" s="3">
        <v>0</v>
      </c>
      <c r="G917" s="3" t="s">
        <v>10</v>
      </c>
      <c r="H917" s="3" t="s">
        <v>12</v>
      </c>
      <c r="I917" s="3" t="s">
        <v>15</v>
      </c>
      <c r="J917" s="3" t="s">
        <v>14</v>
      </c>
      <c r="K917" s="3" t="s">
        <v>14</v>
      </c>
      <c r="L917" s="3" t="s">
        <v>14</v>
      </c>
      <c r="M917" s="3" t="s">
        <v>14</v>
      </c>
      <c r="N917" s="3" t="s">
        <v>14</v>
      </c>
      <c r="O917" s="3">
        <v>1</v>
      </c>
    </row>
    <row r="918" spans="1:15" ht="15" customHeight="1" x14ac:dyDescent="0.25">
      <c r="A918" s="2">
        <v>10</v>
      </c>
      <c r="B918" s="2" t="s">
        <v>18</v>
      </c>
      <c r="C918" s="2" t="s">
        <v>19</v>
      </c>
      <c r="D918" s="2" t="s">
        <v>106</v>
      </c>
      <c r="E918" s="2">
        <v>0</v>
      </c>
      <c r="F918" s="2">
        <v>0</v>
      </c>
      <c r="G918" s="2" t="s">
        <v>10</v>
      </c>
      <c r="H918" s="2" t="s">
        <v>12</v>
      </c>
      <c r="I918" s="2">
        <v>1</v>
      </c>
      <c r="J918" s="2" t="s">
        <v>14</v>
      </c>
      <c r="K918" s="2" t="s">
        <v>14</v>
      </c>
      <c r="L918" s="2" t="s">
        <v>14</v>
      </c>
      <c r="M918" s="2" t="s">
        <v>14</v>
      </c>
      <c r="N918" s="2" t="s">
        <v>14</v>
      </c>
      <c r="O918" s="2">
        <v>1</v>
      </c>
    </row>
    <row r="919" spans="1:15" ht="15" customHeight="1" x14ac:dyDescent="0.25">
      <c r="A919" s="3">
        <v>10</v>
      </c>
      <c r="B919" s="3" t="s">
        <v>14</v>
      </c>
      <c r="C919" s="3" t="s">
        <v>19</v>
      </c>
      <c r="D919" s="2" t="s">
        <v>106</v>
      </c>
      <c r="E919" s="3">
        <v>0</v>
      </c>
      <c r="F919" s="3">
        <v>0</v>
      </c>
      <c r="G919" s="3" t="s">
        <v>10</v>
      </c>
      <c r="H919" s="3" t="s">
        <v>12</v>
      </c>
      <c r="I919" s="3">
        <v>2</v>
      </c>
      <c r="J919" s="3" t="s">
        <v>14</v>
      </c>
      <c r="K919" s="3" t="s">
        <v>14</v>
      </c>
      <c r="L919" s="3" t="s">
        <v>14</v>
      </c>
      <c r="M919" s="3" t="s">
        <v>14</v>
      </c>
      <c r="N919" s="3" t="s">
        <v>14</v>
      </c>
      <c r="O919" s="3">
        <v>1</v>
      </c>
    </row>
    <row r="920" spans="1:15" ht="15" customHeight="1" x14ac:dyDescent="0.25">
      <c r="A920" s="2">
        <v>10</v>
      </c>
      <c r="B920" s="2" t="s">
        <v>10</v>
      </c>
      <c r="C920" s="2" t="s">
        <v>19</v>
      </c>
      <c r="D920" s="2" t="s">
        <v>106</v>
      </c>
      <c r="E920" s="2">
        <v>0</v>
      </c>
      <c r="F920" s="2">
        <v>0</v>
      </c>
      <c r="G920" s="2" t="s">
        <v>10</v>
      </c>
      <c r="H920" s="2" t="s">
        <v>12</v>
      </c>
      <c r="I920" s="2" t="s">
        <v>15</v>
      </c>
      <c r="J920" s="2" t="s">
        <v>14</v>
      </c>
      <c r="K920" s="2" t="s">
        <v>14</v>
      </c>
      <c r="L920" s="2" t="s">
        <v>14</v>
      </c>
      <c r="M920" s="2" t="s">
        <v>14</v>
      </c>
      <c r="N920" s="2" t="s">
        <v>14</v>
      </c>
      <c r="O920" s="2">
        <v>1</v>
      </c>
    </row>
    <row r="921" spans="1:15" ht="15" customHeight="1" x14ac:dyDescent="0.25">
      <c r="A921" s="3">
        <v>10</v>
      </c>
      <c r="B921" s="3" t="s">
        <v>10</v>
      </c>
      <c r="C921" s="3" t="s">
        <v>19</v>
      </c>
      <c r="D921" s="2" t="s">
        <v>106</v>
      </c>
      <c r="E921" s="3">
        <v>0</v>
      </c>
      <c r="F921" s="3">
        <v>0</v>
      </c>
      <c r="G921" s="3" t="s">
        <v>10</v>
      </c>
      <c r="H921" s="3" t="s">
        <v>12</v>
      </c>
      <c r="I921" s="3">
        <v>2</v>
      </c>
      <c r="J921" s="3" t="s">
        <v>14</v>
      </c>
      <c r="K921" s="3" t="s">
        <v>14</v>
      </c>
      <c r="L921" s="3" t="s">
        <v>14</v>
      </c>
      <c r="M921" s="3" t="s">
        <v>14</v>
      </c>
      <c r="N921" s="3" t="s">
        <v>14</v>
      </c>
      <c r="O921" s="3">
        <v>1</v>
      </c>
    </row>
    <row r="922" spans="1:15" ht="15" customHeight="1" x14ac:dyDescent="0.25">
      <c r="A922" s="2">
        <v>5</v>
      </c>
      <c r="B922" s="2" t="s">
        <v>14</v>
      </c>
      <c r="C922" s="2" t="s">
        <v>19</v>
      </c>
      <c r="D922" s="2" t="s">
        <v>106</v>
      </c>
      <c r="E922" s="2">
        <v>0</v>
      </c>
      <c r="F922" s="2">
        <v>0</v>
      </c>
      <c r="G922" s="2" t="s">
        <v>10</v>
      </c>
      <c r="H922" s="2" t="s">
        <v>12</v>
      </c>
      <c r="I922" s="2">
        <v>1</v>
      </c>
      <c r="J922" s="2" t="s">
        <v>14</v>
      </c>
      <c r="K922" s="2" t="s">
        <v>14</v>
      </c>
      <c r="L922" s="2" t="s">
        <v>14</v>
      </c>
      <c r="M922" s="2" t="s">
        <v>14</v>
      </c>
      <c r="N922" s="2" t="s">
        <v>14</v>
      </c>
      <c r="O922" s="2">
        <v>1</v>
      </c>
    </row>
    <row r="923" spans="1:15" ht="15" customHeight="1" x14ac:dyDescent="0.25">
      <c r="A923" s="3">
        <v>10</v>
      </c>
      <c r="B923" s="3" t="s">
        <v>14</v>
      </c>
      <c r="C923" s="3" t="s">
        <v>19</v>
      </c>
      <c r="D923" s="2" t="s">
        <v>106</v>
      </c>
      <c r="E923" s="3">
        <v>0</v>
      </c>
      <c r="F923" s="3">
        <v>0</v>
      </c>
      <c r="G923" s="3" t="s">
        <v>10</v>
      </c>
      <c r="H923" s="3" t="s">
        <v>12</v>
      </c>
      <c r="I923" s="3" t="s">
        <v>15</v>
      </c>
      <c r="J923" s="3" t="s">
        <v>14</v>
      </c>
      <c r="K923" s="3" t="s">
        <v>14</v>
      </c>
      <c r="L923" s="3" t="s">
        <v>14</v>
      </c>
      <c r="M923" s="3" t="s">
        <v>14</v>
      </c>
      <c r="N923" s="3" t="s">
        <v>14</v>
      </c>
      <c r="O923" s="3">
        <v>1</v>
      </c>
    </row>
    <row r="924" spans="1:15" ht="15" customHeight="1" x14ac:dyDescent="0.25">
      <c r="A924" s="2">
        <v>5</v>
      </c>
      <c r="B924" s="2" t="s">
        <v>10</v>
      </c>
      <c r="C924" s="2" t="s">
        <v>19</v>
      </c>
      <c r="D924" s="2" t="s">
        <v>106</v>
      </c>
      <c r="E924" s="2">
        <v>0</v>
      </c>
      <c r="F924" s="2">
        <v>0</v>
      </c>
      <c r="G924" s="2" t="s">
        <v>10</v>
      </c>
      <c r="H924" s="2" t="s">
        <v>12</v>
      </c>
      <c r="I924" s="2">
        <v>2</v>
      </c>
      <c r="J924" s="2" t="s">
        <v>14</v>
      </c>
      <c r="K924" s="2" t="s">
        <v>14</v>
      </c>
      <c r="L924" s="2" t="s">
        <v>14</v>
      </c>
      <c r="M924" s="2" t="s">
        <v>14</v>
      </c>
      <c r="N924" s="2" t="s">
        <v>14</v>
      </c>
      <c r="O924" s="2">
        <v>1</v>
      </c>
    </row>
    <row r="925" spans="1:15" ht="15" customHeight="1" x14ac:dyDescent="0.25">
      <c r="A925" s="3">
        <v>5</v>
      </c>
      <c r="B925" s="3" t="s">
        <v>18</v>
      </c>
      <c r="C925" s="3" t="s">
        <v>19</v>
      </c>
      <c r="D925" s="2" t="s">
        <v>106</v>
      </c>
      <c r="E925" s="3">
        <v>0</v>
      </c>
      <c r="F925" s="3">
        <v>0</v>
      </c>
      <c r="G925" s="3" t="s">
        <v>10</v>
      </c>
      <c r="H925" s="3" t="s">
        <v>12</v>
      </c>
      <c r="I925" s="3" t="s">
        <v>15</v>
      </c>
      <c r="J925" s="3" t="s">
        <v>14</v>
      </c>
      <c r="K925" s="3" t="s">
        <v>14</v>
      </c>
      <c r="L925" s="3" t="s">
        <v>14</v>
      </c>
      <c r="M925" s="3" t="s">
        <v>14</v>
      </c>
      <c r="N925" s="3" t="s">
        <v>14</v>
      </c>
      <c r="O925" s="3">
        <v>1</v>
      </c>
    </row>
    <row r="926" spans="1:15" ht="15" customHeight="1" x14ac:dyDescent="0.25">
      <c r="A926" s="2">
        <v>10</v>
      </c>
      <c r="B926" s="2" t="s">
        <v>18</v>
      </c>
      <c r="C926" s="2" t="s">
        <v>19</v>
      </c>
      <c r="D926" s="2" t="s">
        <v>106</v>
      </c>
      <c r="E926" s="2">
        <v>0</v>
      </c>
      <c r="F926" s="2">
        <v>0</v>
      </c>
      <c r="G926" s="2" t="s">
        <v>10</v>
      </c>
      <c r="H926" s="2" t="s">
        <v>12</v>
      </c>
      <c r="I926" s="2" t="s">
        <v>15</v>
      </c>
      <c r="J926" s="2" t="s">
        <v>14</v>
      </c>
      <c r="K926" s="2" t="s">
        <v>14</v>
      </c>
      <c r="L926" s="2" t="s">
        <v>14</v>
      </c>
      <c r="M926" s="2" t="s">
        <v>14</v>
      </c>
      <c r="N926" s="2" t="s">
        <v>14</v>
      </c>
      <c r="O926" s="2">
        <v>1</v>
      </c>
    </row>
    <row r="927" spans="1:15" ht="15" customHeight="1" x14ac:dyDescent="0.25">
      <c r="A927" s="3">
        <v>10</v>
      </c>
      <c r="B927" s="3" t="s">
        <v>10</v>
      </c>
      <c r="C927" s="3" t="s">
        <v>19</v>
      </c>
      <c r="D927" s="2" t="s">
        <v>106</v>
      </c>
      <c r="E927" s="3">
        <v>0</v>
      </c>
      <c r="F927" s="3">
        <v>0</v>
      </c>
      <c r="G927" s="3" t="s">
        <v>10</v>
      </c>
      <c r="H927" s="3" t="s">
        <v>12</v>
      </c>
      <c r="I927" s="3">
        <v>2</v>
      </c>
      <c r="J927" s="3" t="s">
        <v>14</v>
      </c>
      <c r="K927" s="3" t="s">
        <v>14</v>
      </c>
      <c r="L927" s="3" t="s">
        <v>14</v>
      </c>
      <c r="M927" s="3" t="s">
        <v>14</v>
      </c>
      <c r="N927" s="3" t="s">
        <v>14</v>
      </c>
      <c r="O927" s="3">
        <v>1</v>
      </c>
    </row>
    <row r="928" spans="1:15" ht="15" customHeight="1" x14ac:dyDescent="0.25">
      <c r="A928" s="2">
        <v>10</v>
      </c>
      <c r="B928" s="2" t="s">
        <v>10</v>
      </c>
      <c r="C928" s="2" t="s">
        <v>11</v>
      </c>
      <c r="D928" s="2" t="s">
        <v>106</v>
      </c>
      <c r="E928" s="2">
        <v>0</v>
      </c>
      <c r="F928" s="2">
        <v>0</v>
      </c>
      <c r="G928" s="2" t="s">
        <v>10</v>
      </c>
      <c r="H928" s="2" t="s">
        <v>12</v>
      </c>
      <c r="I928" s="2">
        <v>2</v>
      </c>
      <c r="J928" s="2" t="s">
        <v>14</v>
      </c>
      <c r="K928" s="2" t="s">
        <v>14</v>
      </c>
      <c r="L928" s="2" t="s">
        <v>14</v>
      </c>
      <c r="M928" s="2" t="s">
        <v>14</v>
      </c>
      <c r="N928" s="2" t="s">
        <v>14</v>
      </c>
      <c r="O928" s="2">
        <v>1</v>
      </c>
    </row>
    <row r="929" spans="1:15" ht="15" customHeight="1" x14ac:dyDescent="0.25">
      <c r="A929" s="3">
        <v>5</v>
      </c>
      <c r="B929" s="3" t="s">
        <v>10</v>
      </c>
      <c r="C929" s="3" t="s">
        <v>11</v>
      </c>
      <c r="D929" s="2" t="s">
        <v>106</v>
      </c>
      <c r="E929" s="3">
        <v>0</v>
      </c>
      <c r="F929" s="3">
        <v>0</v>
      </c>
      <c r="G929" s="3" t="s">
        <v>10</v>
      </c>
      <c r="H929" s="3" t="s">
        <v>12</v>
      </c>
      <c r="I929" s="3" t="s">
        <v>15</v>
      </c>
      <c r="J929" s="3" t="s">
        <v>14</v>
      </c>
      <c r="K929" s="3" t="s">
        <v>14</v>
      </c>
      <c r="L929" s="3" t="s">
        <v>14</v>
      </c>
      <c r="M929" s="3" t="s">
        <v>14</v>
      </c>
      <c r="N929" s="3" t="s">
        <v>14</v>
      </c>
      <c r="O929" s="3">
        <v>1</v>
      </c>
    </row>
    <row r="930" spans="1:15" ht="15" customHeight="1" x14ac:dyDescent="0.25">
      <c r="A930" s="2">
        <v>0</v>
      </c>
      <c r="B930" s="2" t="s">
        <v>10</v>
      </c>
      <c r="C930" s="2" t="s">
        <v>11</v>
      </c>
      <c r="D930" s="2" t="s">
        <v>106</v>
      </c>
      <c r="E930" s="2">
        <v>2</v>
      </c>
      <c r="F930" s="2">
        <v>0</v>
      </c>
      <c r="G930" s="2" t="s">
        <v>10</v>
      </c>
      <c r="H930" s="2" t="s">
        <v>12</v>
      </c>
      <c r="I930" s="2">
        <v>2</v>
      </c>
      <c r="J930" s="2" t="s">
        <v>14</v>
      </c>
      <c r="K930" s="2" t="s">
        <v>14</v>
      </c>
      <c r="L930" s="2" t="s">
        <v>14</v>
      </c>
      <c r="M930" s="2" t="s">
        <v>14</v>
      </c>
      <c r="N930" s="2" t="s">
        <v>14</v>
      </c>
      <c r="O930" s="2">
        <v>0</v>
      </c>
    </row>
    <row r="931" spans="1:15" ht="15" customHeight="1" x14ac:dyDescent="0.25">
      <c r="A931" s="3">
        <v>10</v>
      </c>
      <c r="B931" s="3" t="s">
        <v>10</v>
      </c>
      <c r="C931" s="3" t="s">
        <v>19</v>
      </c>
      <c r="D931" s="2" t="s">
        <v>106</v>
      </c>
      <c r="E931" s="3">
        <v>0</v>
      </c>
      <c r="F931" s="3">
        <v>0</v>
      </c>
      <c r="G931" s="3" t="s">
        <v>10</v>
      </c>
      <c r="H931" s="3" t="s">
        <v>12</v>
      </c>
      <c r="I931" s="3">
        <v>1</v>
      </c>
      <c r="J931" s="3" t="s">
        <v>14</v>
      </c>
      <c r="K931" s="3" t="s">
        <v>14</v>
      </c>
      <c r="L931" s="3" t="s">
        <v>14</v>
      </c>
      <c r="M931" s="3" t="s">
        <v>14</v>
      </c>
      <c r="N931" s="3" t="s">
        <v>14</v>
      </c>
      <c r="O931" s="3">
        <v>1</v>
      </c>
    </row>
    <row r="932" spans="1:15" ht="15" customHeight="1" x14ac:dyDescent="0.25">
      <c r="A932" s="2">
        <v>0</v>
      </c>
      <c r="B932" s="2" t="s">
        <v>10</v>
      </c>
      <c r="C932" s="2" t="s">
        <v>11</v>
      </c>
      <c r="D932" s="2" t="s">
        <v>106</v>
      </c>
      <c r="E932" s="2">
        <v>0</v>
      </c>
      <c r="F932" s="2">
        <v>0</v>
      </c>
      <c r="G932" s="2" t="s">
        <v>10</v>
      </c>
      <c r="H932" s="2" t="s">
        <v>12</v>
      </c>
      <c r="I932" s="2" t="s">
        <v>15</v>
      </c>
      <c r="J932" s="2" t="s">
        <v>14</v>
      </c>
      <c r="K932" s="2" t="s">
        <v>14</v>
      </c>
      <c r="L932" s="2" t="s">
        <v>14</v>
      </c>
      <c r="M932" s="2" t="s">
        <v>14</v>
      </c>
      <c r="N932" s="2" t="s">
        <v>14</v>
      </c>
      <c r="O932" s="2">
        <v>1</v>
      </c>
    </row>
    <row r="933" spans="1:15" ht="15" customHeight="1" x14ac:dyDescent="0.25">
      <c r="A933" s="3">
        <v>10</v>
      </c>
      <c r="B933" s="3" t="s">
        <v>14</v>
      </c>
      <c r="C933" s="3" t="s">
        <v>11</v>
      </c>
      <c r="D933" s="2" t="s">
        <v>106</v>
      </c>
      <c r="E933" s="3">
        <v>1</v>
      </c>
      <c r="F933" s="3">
        <v>1</v>
      </c>
      <c r="G933" s="3" t="s">
        <v>10</v>
      </c>
      <c r="H933" s="3" t="s">
        <v>12</v>
      </c>
      <c r="I933" s="3">
        <v>1</v>
      </c>
      <c r="J933" s="3" t="s">
        <v>14</v>
      </c>
      <c r="K933" s="3" t="s">
        <v>14</v>
      </c>
      <c r="L933" s="3" t="s">
        <v>14</v>
      </c>
      <c r="M933" s="3" t="s">
        <v>14</v>
      </c>
      <c r="N933" s="3" t="s">
        <v>13</v>
      </c>
      <c r="O933" s="3">
        <v>1</v>
      </c>
    </row>
    <row r="934" spans="1:15" ht="15" customHeight="1" x14ac:dyDescent="0.25">
      <c r="A934" s="2">
        <v>0</v>
      </c>
      <c r="B934" s="2" t="s">
        <v>18</v>
      </c>
      <c r="C934" s="2" t="s">
        <v>19</v>
      </c>
      <c r="D934" s="2" t="s">
        <v>106</v>
      </c>
      <c r="E934" s="2">
        <v>0</v>
      </c>
      <c r="F934" s="2">
        <v>0</v>
      </c>
      <c r="G934" s="2" t="s">
        <v>10</v>
      </c>
      <c r="H934" s="2" t="s">
        <v>12</v>
      </c>
      <c r="I934" s="2">
        <v>1</v>
      </c>
      <c r="J934" s="2" t="s">
        <v>14</v>
      </c>
      <c r="K934" s="2" t="s">
        <v>13</v>
      </c>
      <c r="L934" s="2" t="s">
        <v>13</v>
      </c>
      <c r="M934" s="2" t="s">
        <v>13</v>
      </c>
      <c r="N934" s="2" t="s">
        <v>14</v>
      </c>
      <c r="O934" s="2">
        <v>1</v>
      </c>
    </row>
    <row r="935" spans="1:15" ht="15" customHeight="1" x14ac:dyDescent="0.25">
      <c r="A935" s="3">
        <v>5</v>
      </c>
      <c r="B935" s="3" t="s">
        <v>18</v>
      </c>
      <c r="C935" s="3" t="s">
        <v>20</v>
      </c>
      <c r="D935" s="2" t="s">
        <v>106</v>
      </c>
      <c r="E935" s="3">
        <v>0</v>
      </c>
      <c r="F935" s="3">
        <v>0</v>
      </c>
      <c r="G935" s="3" t="s">
        <v>10</v>
      </c>
      <c r="H935" s="3" t="s">
        <v>12</v>
      </c>
      <c r="I935" s="3">
        <v>1</v>
      </c>
      <c r="J935" s="3" t="s">
        <v>14</v>
      </c>
      <c r="K935" s="3" t="s">
        <v>14</v>
      </c>
      <c r="L935" s="3" t="s">
        <v>14</v>
      </c>
      <c r="M935" s="3" t="s">
        <v>14</v>
      </c>
      <c r="N935" s="3" t="s">
        <v>14</v>
      </c>
      <c r="O935" s="3">
        <v>1</v>
      </c>
    </row>
    <row r="936" spans="1:15" ht="15" customHeight="1" x14ac:dyDescent="0.25">
      <c r="A936" s="2">
        <v>5</v>
      </c>
      <c r="B936" s="2" t="s">
        <v>14</v>
      </c>
      <c r="C936" s="2" t="s">
        <v>20</v>
      </c>
      <c r="D936" s="2" t="s">
        <v>106</v>
      </c>
      <c r="E936" s="2">
        <v>0</v>
      </c>
      <c r="F936" s="2">
        <v>0</v>
      </c>
      <c r="G936" s="2" t="s">
        <v>10</v>
      </c>
      <c r="H936" s="2" t="s">
        <v>12</v>
      </c>
      <c r="I936" s="2">
        <v>2</v>
      </c>
      <c r="J936" s="2" t="s">
        <v>14</v>
      </c>
      <c r="K936" s="2" t="s">
        <v>14</v>
      </c>
      <c r="L936" s="2" t="s">
        <v>14</v>
      </c>
      <c r="M936" s="2" t="s">
        <v>14</v>
      </c>
      <c r="N936" s="2" t="s">
        <v>14</v>
      </c>
      <c r="O936" s="2">
        <v>1</v>
      </c>
    </row>
    <row r="937" spans="1:15" ht="15" customHeight="1" x14ac:dyDescent="0.25">
      <c r="A937" s="3">
        <v>10</v>
      </c>
      <c r="B937" s="3" t="s">
        <v>14</v>
      </c>
      <c r="C937" s="3" t="s">
        <v>20</v>
      </c>
      <c r="D937" s="2" t="s">
        <v>106</v>
      </c>
      <c r="E937" s="3">
        <v>0</v>
      </c>
      <c r="F937" s="3">
        <v>0</v>
      </c>
      <c r="G937" s="3" t="s">
        <v>10</v>
      </c>
      <c r="H937" s="3" t="s">
        <v>12</v>
      </c>
      <c r="I937" s="3">
        <v>2</v>
      </c>
      <c r="J937" s="3" t="s">
        <v>14</v>
      </c>
      <c r="K937" s="3" t="s">
        <v>14</v>
      </c>
      <c r="L937" s="3" t="s">
        <v>14</v>
      </c>
      <c r="M937" s="3" t="s">
        <v>14</v>
      </c>
      <c r="N937" s="3" t="s">
        <v>14</v>
      </c>
      <c r="O937" s="3">
        <v>1</v>
      </c>
    </row>
    <row r="938" spans="1:15" ht="15" customHeight="1" x14ac:dyDescent="0.25">
      <c r="A938" s="2">
        <v>30</v>
      </c>
      <c r="B938" s="2" t="s">
        <v>10</v>
      </c>
      <c r="C938" s="2" t="s">
        <v>19</v>
      </c>
      <c r="D938" s="2" t="s">
        <v>106</v>
      </c>
      <c r="E938" s="2">
        <v>1</v>
      </c>
      <c r="F938" s="2">
        <v>0</v>
      </c>
      <c r="G938" s="2" t="s">
        <v>10</v>
      </c>
      <c r="H938" s="2" t="s">
        <v>12</v>
      </c>
      <c r="I938" s="2">
        <v>2</v>
      </c>
      <c r="J938" s="2" t="s">
        <v>14</v>
      </c>
      <c r="K938" s="2" t="s">
        <v>14</v>
      </c>
      <c r="L938" s="2" t="s">
        <v>14</v>
      </c>
      <c r="M938" s="2" t="s">
        <v>13</v>
      </c>
      <c r="N938" s="2" t="s">
        <v>14</v>
      </c>
      <c r="O938" s="2">
        <v>1</v>
      </c>
    </row>
    <row r="939" spans="1:15" ht="15" customHeight="1" x14ac:dyDescent="0.25">
      <c r="A939" s="3">
        <v>20</v>
      </c>
      <c r="B939" s="3" t="s">
        <v>10</v>
      </c>
      <c r="C939" s="3" t="s">
        <v>19</v>
      </c>
      <c r="D939" s="2" t="s">
        <v>106</v>
      </c>
      <c r="E939" s="3">
        <v>0</v>
      </c>
      <c r="F939" s="3">
        <v>0</v>
      </c>
      <c r="G939" s="3" t="s">
        <v>17</v>
      </c>
      <c r="H939" s="3" t="s">
        <v>106</v>
      </c>
      <c r="I939" s="3">
        <v>1</v>
      </c>
      <c r="J939" s="3" t="s">
        <v>14</v>
      </c>
      <c r="K939" s="3" t="s">
        <v>13</v>
      </c>
      <c r="L939" s="3" t="s">
        <v>13</v>
      </c>
      <c r="M939" s="3" t="s">
        <v>13</v>
      </c>
      <c r="N939" s="3" t="s">
        <v>14</v>
      </c>
      <c r="O939" s="3">
        <v>1</v>
      </c>
    </row>
    <row r="940" spans="1:15" ht="15" customHeight="1" x14ac:dyDescent="0.25">
      <c r="A940" s="2">
        <v>0</v>
      </c>
      <c r="B940" s="2" t="s">
        <v>10</v>
      </c>
      <c r="C940" s="2" t="s">
        <v>20</v>
      </c>
      <c r="D940" s="2" t="s">
        <v>106</v>
      </c>
      <c r="E940" s="2">
        <v>0</v>
      </c>
      <c r="F940" s="2">
        <v>1</v>
      </c>
      <c r="G940" s="2" t="s">
        <v>17</v>
      </c>
      <c r="H940" s="2" t="s">
        <v>106</v>
      </c>
      <c r="I940" s="2">
        <v>1</v>
      </c>
      <c r="J940" s="2" t="s">
        <v>14</v>
      </c>
      <c r="K940" s="2" t="s">
        <v>13</v>
      </c>
      <c r="L940" s="2" t="s">
        <v>13</v>
      </c>
      <c r="M940" s="2" t="s">
        <v>13</v>
      </c>
      <c r="N940" s="2" t="s">
        <v>14</v>
      </c>
      <c r="O940" s="2">
        <v>1</v>
      </c>
    </row>
    <row r="941" spans="1:15" ht="15" customHeight="1" x14ac:dyDescent="0.25">
      <c r="A941" s="3">
        <v>5</v>
      </c>
      <c r="B941" s="3" t="s">
        <v>10</v>
      </c>
      <c r="C941" s="3" t="s">
        <v>20</v>
      </c>
      <c r="D941" s="2" t="s">
        <v>106</v>
      </c>
      <c r="E941" s="3">
        <v>0</v>
      </c>
      <c r="F941" s="3">
        <v>0</v>
      </c>
      <c r="G941" s="3" t="s">
        <v>17</v>
      </c>
      <c r="H941" s="3" t="s">
        <v>106</v>
      </c>
      <c r="I941" s="3">
        <v>1</v>
      </c>
      <c r="J941" s="3" t="s">
        <v>14</v>
      </c>
      <c r="K941" s="3" t="s">
        <v>13</v>
      </c>
      <c r="L941" s="3" t="s">
        <v>13</v>
      </c>
      <c r="M941" s="3" t="s">
        <v>13</v>
      </c>
      <c r="N941" s="3" t="s">
        <v>14</v>
      </c>
      <c r="O941" s="3">
        <v>1</v>
      </c>
    </row>
    <row r="942" spans="1:15" ht="15" customHeight="1" x14ac:dyDescent="0.25">
      <c r="A942" s="2">
        <v>10</v>
      </c>
      <c r="B942" s="2" t="s">
        <v>10</v>
      </c>
      <c r="C942" s="2" t="s">
        <v>19</v>
      </c>
      <c r="D942" s="2" t="s">
        <v>106</v>
      </c>
      <c r="E942" s="2">
        <v>2</v>
      </c>
      <c r="F942" s="2">
        <v>0</v>
      </c>
      <c r="G942" s="2" t="s">
        <v>10</v>
      </c>
      <c r="H942" s="2" t="s">
        <v>16</v>
      </c>
      <c r="I942" s="2" t="s">
        <v>15</v>
      </c>
      <c r="J942" s="2" t="s">
        <v>14</v>
      </c>
      <c r="K942" s="2" t="s">
        <v>14</v>
      </c>
      <c r="L942" s="2" t="s">
        <v>14</v>
      </c>
      <c r="M942" s="2" t="s">
        <v>14</v>
      </c>
      <c r="N942" s="2" t="s">
        <v>14</v>
      </c>
      <c r="O942" s="2">
        <v>0</v>
      </c>
    </row>
    <row r="943" spans="1:15" ht="15" customHeight="1" x14ac:dyDescent="0.25">
      <c r="A943" s="3">
        <v>5</v>
      </c>
      <c r="B943" s="3" t="s">
        <v>10</v>
      </c>
      <c r="C943" s="3" t="s">
        <v>11</v>
      </c>
      <c r="D943" s="2" t="s">
        <v>106</v>
      </c>
      <c r="E943" s="3">
        <v>0</v>
      </c>
      <c r="F943" s="3">
        <v>0</v>
      </c>
      <c r="G943" s="3" t="s">
        <v>10</v>
      </c>
      <c r="H943" s="3" t="s">
        <v>12</v>
      </c>
      <c r="I943" s="3">
        <v>2</v>
      </c>
      <c r="J943" s="3" t="s">
        <v>14</v>
      </c>
      <c r="K943" s="3" t="s">
        <v>14</v>
      </c>
      <c r="L943" s="3" t="s">
        <v>14</v>
      </c>
      <c r="M943" s="3" t="s">
        <v>14</v>
      </c>
      <c r="N943" s="3" t="s">
        <v>14</v>
      </c>
      <c r="O943" s="3">
        <v>1</v>
      </c>
    </row>
    <row r="944" spans="1:15" ht="15" customHeight="1" x14ac:dyDescent="0.25">
      <c r="A944" s="2">
        <v>5</v>
      </c>
      <c r="B944" s="2" t="s">
        <v>18</v>
      </c>
      <c r="C944" s="2" t="s">
        <v>19</v>
      </c>
      <c r="D944" s="2" t="s">
        <v>106</v>
      </c>
      <c r="E944" s="2">
        <v>0</v>
      </c>
      <c r="F944" s="2">
        <v>0</v>
      </c>
      <c r="G944" s="2" t="s">
        <v>10</v>
      </c>
      <c r="H944" s="2" t="s">
        <v>12</v>
      </c>
      <c r="I944" s="2" t="s">
        <v>15</v>
      </c>
      <c r="J944" s="2" t="s">
        <v>14</v>
      </c>
      <c r="K944" s="2" t="s">
        <v>14</v>
      </c>
      <c r="L944" s="2" t="s">
        <v>14</v>
      </c>
      <c r="M944" s="2" t="s">
        <v>14</v>
      </c>
      <c r="N944" s="2" t="s">
        <v>14</v>
      </c>
      <c r="O944" s="2">
        <v>1</v>
      </c>
    </row>
    <row r="945" spans="1:15" ht="15" customHeight="1" x14ac:dyDescent="0.25">
      <c r="A945" s="3">
        <v>10</v>
      </c>
      <c r="B945" s="3" t="s">
        <v>10</v>
      </c>
      <c r="C945" s="3" t="s">
        <v>11</v>
      </c>
      <c r="D945" s="2" t="s">
        <v>106</v>
      </c>
      <c r="E945" s="3">
        <v>1</v>
      </c>
      <c r="F945" s="3">
        <v>0</v>
      </c>
      <c r="G945" s="3" t="s">
        <v>10</v>
      </c>
      <c r="H945" s="3" t="s">
        <v>16</v>
      </c>
      <c r="I945" s="3">
        <v>1</v>
      </c>
      <c r="J945" s="3" t="s">
        <v>13</v>
      </c>
      <c r="K945" s="3" t="s">
        <v>14</v>
      </c>
      <c r="L945" s="3" t="s">
        <v>14</v>
      </c>
      <c r="M945" s="3" t="s">
        <v>13</v>
      </c>
      <c r="N945" s="3" t="s">
        <v>14</v>
      </c>
      <c r="O945" s="3">
        <v>0</v>
      </c>
    </row>
    <row r="946" spans="1:15" ht="15" customHeight="1" x14ac:dyDescent="0.25">
      <c r="A946" s="2">
        <v>5</v>
      </c>
      <c r="B946" s="2" t="s">
        <v>14</v>
      </c>
      <c r="C946" s="2" t="s">
        <v>19</v>
      </c>
      <c r="D946" s="2" t="s">
        <v>106</v>
      </c>
      <c r="E946" s="2">
        <v>0</v>
      </c>
      <c r="F946" s="2">
        <v>0</v>
      </c>
      <c r="G946" s="2" t="s">
        <v>10</v>
      </c>
      <c r="H946" s="2" t="s">
        <v>12</v>
      </c>
      <c r="I946" s="2">
        <v>2</v>
      </c>
      <c r="J946" s="2" t="s">
        <v>14</v>
      </c>
      <c r="K946" s="2" t="s">
        <v>14</v>
      </c>
      <c r="L946" s="2" t="s">
        <v>14</v>
      </c>
      <c r="M946" s="2" t="s">
        <v>14</v>
      </c>
      <c r="N946" s="2" t="s">
        <v>14</v>
      </c>
      <c r="O946" s="2">
        <v>1</v>
      </c>
    </row>
    <row r="947" spans="1:15" ht="15" customHeight="1" x14ac:dyDescent="0.25">
      <c r="A947" s="3">
        <v>0</v>
      </c>
      <c r="B947" s="3" t="s">
        <v>18</v>
      </c>
      <c r="C947" s="3" t="s">
        <v>19</v>
      </c>
      <c r="D947" s="2" t="s">
        <v>106</v>
      </c>
      <c r="E947" s="3">
        <v>0</v>
      </c>
      <c r="F947" s="3">
        <v>0</v>
      </c>
      <c r="G947" s="3" t="s">
        <v>10</v>
      </c>
      <c r="H947" s="3" t="s">
        <v>12</v>
      </c>
      <c r="I947" s="3" t="s">
        <v>15</v>
      </c>
      <c r="J947" s="3" t="s">
        <v>14</v>
      </c>
      <c r="K947" s="3" t="s">
        <v>14</v>
      </c>
      <c r="L947" s="3" t="s">
        <v>14</v>
      </c>
      <c r="M947" s="3" t="s">
        <v>14</v>
      </c>
      <c r="N947" s="3" t="s">
        <v>14</v>
      </c>
      <c r="O947" s="3">
        <v>1</v>
      </c>
    </row>
    <row r="948" spans="1:15" ht="15" customHeight="1" x14ac:dyDescent="0.25">
      <c r="A948" s="2">
        <v>10</v>
      </c>
      <c r="B948" s="2" t="s">
        <v>14</v>
      </c>
      <c r="C948" s="2" t="s">
        <v>19</v>
      </c>
      <c r="D948" s="2" t="s">
        <v>106</v>
      </c>
      <c r="E948" s="2">
        <v>0</v>
      </c>
      <c r="F948" s="2">
        <v>0</v>
      </c>
      <c r="G948" s="2" t="s">
        <v>10</v>
      </c>
      <c r="H948" s="2" t="s">
        <v>12</v>
      </c>
      <c r="I948" s="2">
        <v>1</v>
      </c>
      <c r="J948" s="2" t="s">
        <v>14</v>
      </c>
      <c r="K948" s="2" t="s">
        <v>14</v>
      </c>
      <c r="L948" s="2" t="s">
        <v>14</v>
      </c>
      <c r="M948" s="2" t="s">
        <v>14</v>
      </c>
      <c r="N948" s="2" t="s">
        <v>14</v>
      </c>
      <c r="O948" s="2">
        <v>1</v>
      </c>
    </row>
    <row r="949" spans="1:15" ht="15" customHeight="1" x14ac:dyDescent="0.25">
      <c r="A949" s="3">
        <v>5</v>
      </c>
      <c r="B949" s="3" t="s">
        <v>10</v>
      </c>
      <c r="C949" s="3" t="s">
        <v>19</v>
      </c>
      <c r="D949" s="2" t="s">
        <v>106</v>
      </c>
      <c r="E949" s="3">
        <v>0</v>
      </c>
      <c r="F949" s="3">
        <v>0</v>
      </c>
      <c r="G949" s="3" t="s">
        <v>10</v>
      </c>
      <c r="H949" s="3" t="s">
        <v>12</v>
      </c>
      <c r="I949" s="3">
        <v>2</v>
      </c>
      <c r="J949" s="3" t="s">
        <v>14</v>
      </c>
      <c r="K949" s="3" t="s">
        <v>14</v>
      </c>
      <c r="L949" s="3" t="s">
        <v>14</v>
      </c>
      <c r="M949" s="3" t="s">
        <v>14</v>
      </c>
      <c r="N949" s="3" t="s">
        <v>14</v>
      </c>
      <c r="O949" s="3">
        <v>1</v>
      </c>
    </row>
    <row r="950" spans="1:15" ht="15" customHeight="1" x14ac:dyDescent="0.25">
      <c r="A950" s="2">
        <v>10</v>
      </c>
      <c r="B950" s="2" t="s">
        <v>18</v>
      </c>
      <c r="C950" s="2" t="s">
        <v>19</v>
      </c>
      <c r="D950" s="2" t="s">
        <v>106</v>
      </c>
      <c r="E950" s="2">
        <v>0</v>
      </c>
      <c r="F950" s="2">
        <v>0</v>
      </c>
      <c r="G950" s="2" t="s">
        <v>10</v>
      </c>
      <c r="H950" s="2" t="s">
        <v>12</v>
      </c>
      <c r="I950" s="2" t="s">
        <v>15</v>
      </c>
      <c r="J950" s="2" t="s">
        <v>14</v>
      </c>
      <c r="K950" s="2" t="s">
        <v>14</v>
      </c>
      <c r="L950" s="2" t="s">
        <v>14</v>
      </c>
      <c r="M950" s="2" t="s">
        <v>14</v>
      </c>
      <c r="N950" s="2" t="s">
        <v>14</v>
      </c>
      <c r="O950" s="2">
        <v>1</v>
      </c>
    </row>
    <row r="951" spans="1:15" ht="15" customHeight="1" x14ac:dyDescent="0.25">
      <c r="A951" s="3">
        <v>10</v>
      </c>
      <c r="B951" s="3" t="s">
        <v>14</v>
      </c>
      <c r="C951" s="3" t="s">
        <v>19</v>
      </c>
      <c r="D951" s="2" t="s">
        <v>106</v>
      </c>
      <c r="E951" s="3">
        <v>0</v>
      </c>
      <c r="F951" s="3">
        <v>0</v>
      </c>
      <c r="G951" s="3" t="s">
        <v>10</v>
      </c>
      <c r="H951" s="3" t="s">
        <v>16</v>
      </c>
      <c r="I951" s="3" t="s">
        <v>15</v>
      </c>
      <c r="J951" s="3" t="s">
        <v>14</v>
      </c>
      <c r="K951" s="3" t="s">
        <v>14</v>
      </c>
      <c r="L951" s="3" t="s">
        <v>14</v>
      </c>
      <c r="M951" s="3" t="s">
        <v>14</v>
      </c>
      <c r="N951" s="3" t="s">
        <v>14</v>
      </c>
      <c r="O951" s="3">
        <v>1</v>
      </c>
    </row>
    <row r="952" spans="1:15" ht="15" customHeight="1" x14ac:dyDescent="0.25">
      <c r="A952" s="2">
        <v>20</v>
      </c>
      <c r="B952" s="2" t="s">
        <v>10</v>
      </c>
      <c r="C952" s="2" t="s">
        <v>19</v>
      </c>
      <c r="D952" s="2" t="s">
        <v>106</v>
      </c>
      <c r="E952" s="2">
        <v>0</v>
      </c>
      <c r="F952" s="2">
        <v>0</v>
      </c>
      <c r="G952" s="2" t="s">
        <v>10</v>
      </c>
      <c r="H952" s="2" t="s">
        <v>12</v>
      </c>
      <c r="I952" s="2">
        <v>2</v>
      </c>
      <c r="J952" s="2" t="s">
        <v>14</v>
      </c>
      <c r="K952" s="2" t="s">
        <v>14</v>
      </c>
      <c r="L952" s="2" t="s">
        <v>14</v>
      </c>
      <c r="M952" s="2" t="s">
        <v>14</v>
      </c>
      <c r="N952" s="2" t="s">
        <v>14</v>
      </c>
      <c r="O952" s="2">
        <v>1</v>
      </c>
    </row>
    <row r="953" spans="1:15" ht="15" customHeight="1" x14ac:dyDescent="0.25">
      <c r="A953" s="3">
        <v>5</v>
      </c>
      <c r="B953" s="3" t="s">
        <v>10</v>
      </c>
      <c r="C953" s="3" t="s">
        <v>11</v>
      </c>
      <c r="D953" s="2" t="s">
        <v>106</v>
      </c>
      <c r="E953" s="3">
        <v>2</v>
      </c>
      <c r="F953" s="3">
        <v>0</v>
      </c>
      <c r="G953" s="3" t="s">
        <v>10</v>
      </c>
      <c r="H953" s="3" t="s">
        <v>12</v>
      </c>
      <c r="I953" s="3" t="s">
        <v>15</v>
      </c>
      <c r="J953" s="3" t="s">
        <v>14</v>
      </c>
      <c r="K953" s="3" t="s">
        <v>14</v>
      </c>
      <c r="L953" s="3" t="s">
        <v>14</v>
      </c>
      <c r="M953" s="3" t="s">
        <v>14</v>
      </c>
      <c r="N953" s="3" t="s">
        <v>14</v>
      </c>
      <c r="O953" s="3">
        <v>0</v>
      </c>
    </row>
    <row r="954" spans="1:15" ht="15" customHeight="1" x14ac:dyDescent="0.25">
      <c r="A954" s="2">
        <v>30</v>
      </c>
      <c r="B954" s="2" t="s">
        <v>10</v>
      </c>
      <c r="C954" s="2" t="s">
        <v>19</v>
      </c>
      <c r="D954" s="2" t="s">
        <v>106</v>
      </c>
      <c r="E954" s="2">
        <v>1</v>
      </c>
      <c r="F954" s="2">
        <v>0</v>
      </c>
      <c r="G954" s="2" t="s">
        <v>10</v>
      </c>
      <c r="H954" s="2" t="s">
        <v>12</v>
      </c>
      <c r="I954" s="2">
        <v>1</v>
      </c>
      <c r="J954" s="2" t="s">
        <v>14</v>
      </c>
      <c r="K954" s="2" t="s">
        <v>14</v>
      </c>
      <c r="L954" s="2" t="s">
        <v>14</v>
      </c>
      <c r="M954" s="2" t="s">
        <v>13</v>
      </c>
      <c r="N954" s="2" t="s">
        <v>14</v>
      </c>
      <c r="O954" s="2">
        <v>1</v>
      </c>
    </row>
    <row r="955" spans="1:15" ht="15" customHeight="1" x14ac:dyDescent="0.25">
      <c r="A955" s="3">
        <v>5</v>
      </c>
      <c r="B955" s="3" t="s">
        <v>18</v>
      </c>
      <c r="C955" s="3" t="s">
        <v>19</v>
      </c>
      <c r="D955" s="2" t="s">
        <v>106</v>
      </c>
      <c r="E955" s="3">
        <v>0</v>
      </c>
      <c r="F955" s="3">
        <v>1</v>
      </c>
      <c r="G955" s="3" t="s">
        <v>17</v>
      </c>
      <c r="H955" s="3" t="s">
        <v>106</v>
      </c>
      <c r="I955" s="3">
        <v>1</v>
      </c>
      <c r="J955" s="3" t="s">
        <v>14</v>
      </c>
      <c r="K955" s="3" t="s">
        <v>13</v>
      </c>
      <c r="L955" s="3" t="s">
        <v>13</v>
      </c>
      <c r="M955" s="3" t="s">
        <v>13</v>
      </c>
      <c r="N955" s="3" t="s">
        <v>14</v>
      </c>
      <c r="O955" s="3">
        <v>1</v>
      </c>
    </row>
    <row r="956" spans="1:15" ht="15" customHeight="1" x14ac:dyDescent="0.25">
      <c r="A956" s="2">
        <v>20</v>
      </c>
      <c r="B956" s="2" t="s">
        <v>14</v>
      </c>
      <c r="C956" s="2" t="s">
        <v>20</v>
      </c>
      <c r="D956" s="2" t="s">
        <v>106</v>
      </c>
      <c r="E956" s="2">
        <v>0</v>
      </c>
      <c r="F956" s="2">
        <v>0</v>
      </c>
      <c r="G956" s="2" t="s">
        <v>10</v>
      </c>
      <c r="H956" s="2" t="s">
        <v>12</v>
      </c>
      <c r="I956" s="2">
        <v>2</v>
      </c>
      <c r="J956" s="2" t="s">
        <v>14</v>
      </c>
      <c r="K956" s="2" t="s">
        <v>14</v>
      </c>
      <c r="L956" s="2" t="s">
        <v>14</v>
      </c>
      <c r="M956" s="2" t="s">
        <v>14</v>
      </c>
      <c r="N956" s="2" t="s">
        <v>14</v>
      </c>
      <c r="O956" s="2">
        <v>1</v>
      </c>
    </row>
    <row r="957" spans="1:15" ht="15" customHeight="1" x14ac:dyDescent="0.25">
      <c r="A957" s="3">
        <v>20</v>
      </c>
      <c r="B957" s="3" t="s">
        <v>10</v>
      </c>
      <c r="C957" s="3" t="s">
        <v>19</v>
      </c>
      <c r="D957" s="2" t="s">
        <v>106</v>
      </c>
      <c r="E957" s="3">
        <v>0</v>
      </c>
      <c r="F957" s="3">
        <v>0</v>
      </c>
      <c r="G957" s="3" t="s">
        <v>10</v>
      </c>
      <c r="H957" s="3" t="s">
        <v>16</v>
      </c>
      <c r="I957" s="3">
        <v>2</v>
      </c>
      <c r="J957" s="3" t="s">
        <v>14</v>
      </c>
      <c r="K957" s="3" t="s">
        <v>14</v>
      </c>
      <c r="L957" s="3" t="s">
        <v>14</v>
      </c>
      <c r="M957" s="3" t="s">
        <v>14</v>
      </c>
      <c r="N957" s="3" t="s">
        <v>14</v>
      </c>
      <c r="O957" s="3">
        <v>1</v>
      </c>
    </row>
    <row r="958" spans="1:15" ht="15" customHeight="1" x14ac:dyDescent="0.25">
      <c r="A958" s="2">
        <v>20</v>
      </c>
      <c r="B958" s="2" t="s">
        <v>10</v>
      </c>
      <c r="C958" s="2" t="s">
        <v>19</v>
      </c>
      <c r="D958" s="2" t="s">
        <v>106</v>
      </c>
      <c r="E958" s="2">
        <v>0</v>
      </c>
      <c r="F958" s="2">
        <v>0</v>
      </c>
      <c r="G958" s="2" t="s">
        <v>10</v>
      </c>
      <c r="H958" s="2" t="s">
        <v>12</v>
      </c>
      <c r="I958" s="2">
        <v>2</v>
      </c>
      <c r="J958" s="2" t="s">
        <v>14</v>
      </c>
      <c r="K958" s="2" t="s">
        <v>14</v>
      </c>
      <c r="L958" s="2" t="s">
        <v>14</v>
      </c>
      <c r="M958" s="2" t="s">
        <v>14</v>
      </c>
      <c r="N958" s="2" t="s">
        <v>14</v>
      </c>
      <c r="O958" s="2">
        <v>1</v>
      </c>
    </row>
    <row r="959" spans="1:15" ht="15" customHeight="1" x14ac:dyDescent="0.25">
      <c r="A959" s="3">
        <v>0</v>
      </c>
      <c r="B959" s="3" t="s">
        <v>14</v>
      </c>
      <c r="C959" s="3" t="s">
        <v>19</v>
      </c>
      <c r="D959" s="2" t="s">
        <v>106</v>
      </c>
      <c r="E959" s="3">
        <v>0</v>
      </c>
      <c r="F959" s="3">
        <v>0</v>
      </c>
      <c r="G959" s="3" t="s">
        <v>10</v>
      </c>
      <c r="H959" s="3" t="s">
        <v>12</v>
      </c>
      <c r="I959" s="3" t="s">
        <v>15</v>
      </c>
      <c r="J959" s="3" t="s">
        <v>14</v>
      </c>
      <c r="K959" s="3" t="s">
        <v>14</v>
      </c>
      <c r="L959" s="3" t="s">
        <v>14</v>
      </c>
      <c r="M959" s="3" t="s">
        <v>14</v>
      </c>
      <c r="N959" s="3" t="s">
        <v>14</v>
      </c>
      <c r="O959" s="3">
        <v>1</v>
      </c>
    </row>
    <row r="960" spans="1:15" ht="15" customHeight="1" x14ac:dyDescent="0.25">
      <c r="A960" s="2">
        <v>10</v>
      </c>
      <c r="B960" s="2" t="s">
        <v>10</v>
      </c>
      <c r="C960" s="2" t="s">
        <v>11</v>
      </c>
      <c r="D960" s="2" t="s">
        <v>106</v>
      </c>
      <c r="E960" s="2">
        <v>1</v>
      </c>
      <c r="F960" s="2">
        <v>0</v>
      </c>
      <c r="G960" s="2" t="s">
        <v>10</v>
      </c>
      <c r="H960" s="2" t="s">
        <v>12</v>
      </c>
      <c r="I960" s="2">
        <v>1</v>
      </c>
      <c r="J960" s="2" t="s">
        <v>14</v>
      </c>
      <c r="K960" s="2" t="s">
        <v>14</v>
      </c>
      <c r="L960" s="2" t="s">
        <v>14</v>
      </c>
      <c r="M960" s="2" t="s">
        <v>14</v>
      </c>
      <c r="N960" s="2" t="s">
        <v>14</v>
      </c>
      <c r="O960" s="2">
        <v>0</v>
      </c>
    </row>
    <row r="961" spans="1:15" ht="15" customHeight="1" x14ac:dyDescent="0.25">
      <c r="A961" s="3">
        <v>0</v>
      </c>
      <c r="B961" s="3" t="s">
        <v>18</v>
      </c>
      <c r="C961" s="3" t="s">
        <v>19</v>
      </c>
      <c r="D961" s="2" t="s">
        <v>106</v>
      </c>
      <c r="E961" s="3">
        <v>0</v>
      </c>
      <c r="F961" s="3">
        <v>0</v>
      </c>
      <c r="G961" s="3" t="s">
        <v>10</v>
      </c>
      <c r="H961" s="3" t="s">
        <v>12</v>
      </c>
      <c r="I961" s="3">
        <v>1</v>
      </c>
      <c r="J961" s="3" t="s">
        <v>14</v>
      </c>
      <c r="K961" s="3" t="s">
        <v>13</v>
      </c>
      <c r="L961" s="3" t="s">
        <v>14</v>
      </c>
      <c r="M961" s="3" t="s">
        <v>14</v>
      </c>
      <c r="N961" s="3" t="s">
        <v>14</v>
      </c>
      <c r="O961" s="3">
        <v>1</v>
      </c>
    </row>
    <row r="962" spans="1:15" ht="15" customHeight="1" x14ac:dyDescent="0.25">
      <c r="A962" s="2">
        <v>20</v>
      </c>
      <c r="B962" s="2" t="s">
        <v>10</v>
      </c>
      <c r="C962" s="2" t="s">
        <v>11</v>
      </c>
      <c r="D962" s="2" t="s">
        <v>106</v>
      </c>
      <c r="E962" s="2">
        <v>1</v>
      </c>
      <c r="F962" s="2">
        <v>0</v>
      </c>
      <c r="G962" s="2" t="s">
        <v>10</v>
      </c>
      <c r="H962" s="2" t="s">
        <v>12</v>
      </c>
      <c r="I962" s="2" t="s">
        <v>15</v>
      </c>
      <c r="J962" s="2" t="s">
        <v>13</v>
      </c>
      <c r="K962" s="2" t="s">
        <v>14</v>
      </c>
      <c r="L962" s="2" t="s">
        <v>14</v>
      </c>
      <c r="M962" s="2" t="s">
        <v>14</v>
      </c>
      <c r="N962" s="2" t="s">
        <v>14</v>
      </c>
      <c r="O962" s="2">
        <v>0</v>
      </c>
    </row>
    <row r="963" spans="1:15" ht="15" customHeight="1" x14ac:dyDescent="0.25">
      <c r="A963" s="3">
        <v>5</v>
      </c>
      <c r="B963" s="3" t="s">
        <v>10</v>
      </c>
      <c r="C963" s="3" t="s">
        <v>19</v>
      </c>
      <c r="D963" s="2" t="s">
        <v>106</v>
      </c>
      <c r="E963" s="3">
        <v>0</v>
      </c>
      <c r="F963" s="3">
        <v>0</v>
      </c>
      <c r="G963" s="3" t="s">
        <v>10</v>
      </c>
      <c r="H963" s="3" t="s">
        <v>12</v>
      </c>
      <c r="I963" s="3">
        <v>1</v>
      </c>
      <c r="J963" s="3" t="s">
        <v>14</v>
      </c>
      <c r="K963" s="3" t="s">
        <v>14</v>
      </c>
      <c r="L963" s="3" t="s">
        <v>14</v>
      </c>
      <c r="M963" s="3" t="s">
        <v>14</v>
      </c>
      <c r="N963" s="3" t="s">
        <v>14</v>
      </c>
      <c r="O963" s="3">
        <v>1</v>
      </c>
    </row>
    <row r="964" spans="1:15" ht="15" customHeight="1" x14ac:dyDescent="0.25">
      <c r="A964" s="2">
        <v>5</v>
      </c>
      <c r="B964" s="2" t="s">
        <v>10</v>
      </c>
      <c r="C964" s="2" t="s">
        <v>19</v>
      </c>
      <c r="D964" s="2" t="s">
        <v>106</v>
      </c>
      <c r="E964" s="2">
        <v>0</v>
      </c>
      <c r="F964" s="2">
        <v>0</v>
      </c>
      <c r="G964" s="2" t="s">
        <v>10</v>
      </c>
      <c r="H964" s="2" t="s">
        <v>12</v>
      </c>
      <c r="I964" s="2">
        <v>2</v>
      </c>
      <c r="J964" s="2" t="s">
        <v>14</v>
      </c>
      <c r="K964" s="2" t="s">
        <v>14</v>
      </c>
      <c r="L964" s="2" t="s">
        <v>14</v>
      </c>
      <c r="M964" s="2" t="s">
        <v>14</v>
      </c>
      <c r="N964" s="2" t="s">
        <v>14</v>
      </c>
      <c r="O964" s="2">
        <v>1</v>
      </c>
    </row>
    <row r="965" spans="1:15" ht="15" customHeight="1" x14ac:dyDescent="0.25">
      <c r="A965" s="3">
        <v>10</v>
      </c>
      <c r="B965" s="3" t="s">
        <v>10</v>
      </c>
      <c r="C965" s="3" t="s">
        <v>19</v>
      </c>
      <c r="D965" s="2" t="s">
        <v>106</v>
      </c>
      <c r="E965" s="3">
        <v>0</v>
      </c>
      <c r="F965" s="3">
        <v>0</v>
      </c>
      <c r="G965" s="3" t="s">
        <v>10</v>
      </c>
      <c r="H965" s="3" t="s">
        <v>12</v>
      </c>
      <c r="I965" s="3" t="s">
        <v>15</v>
      </c>
      <c r="J965" s="3" t="s">
        <v>14</v>
      </c>
      <c r="K965" s="3" t="s">
        <v>14</v>
      </c>
      <c r="L965" s="3" t="s">
        <v>14</v>
      </c>
      <c r="M965" s="3" t="s">
        <v>14</v>
      </c>
      <c r="N965" s="3" t="s">
        <v>14</v>
      </c>
      <c r="O965" s="3">
        <v>1</v>
      </c>
    </row>
    <row r="966" spans="1:15" ht="15" customHeight="1" x14ac:dyDescent="0.25">
      <c r="A966" s="2">
        <v>10</v>
      </c>
      <c r="B966" s="2" t="s">
        <v>10</v>
      </c>
      <c r="C966" s="2" t="s">
        <v>11</v>
      </c>
      <c r="D966" s="2" t="s">
        <v>106</v>
      </c>
      <c r="E966" s="2">
        <v>0</v>
      </c>
      <c r="F966" s="2">
        <v>0</v>
      </c>
      <c r="G966" s="2" t="s">
        <v>10</v>
      </c>
      <c r="H966" s="2" t="s">
        <v>12</v>
      </c>
      <c r="I966" s="2" t="s">
        <v>15</v>
      </c>
      <c r="J966" s="2" t="s">
        <v>14</v>
      </c>
      <c r="K966" s="2" t="s">
        <v>14</v>
      </c>
      <c r="L966" s="2" t="s">
        <v>14</v>
      </c>
      <c r="M966" s="2" t="s">
        <v>14</v>
      </c>
      <c r="N966" s="2" t="s">
        <v>14</v>
      </c>
      <c r="O966" s="2">
        <v>1</v>
      </c>
    </row>
    <row r="967" spans="1:15" ht="15" customHeight="1" x14ac:dyDescent="0.25">
      <c r="A967" s="3">
        <v>5</v>
      </c>
      <c r="B967" s="3" t="s">
        <v>10</v>
      </c>
      <c r="C967" s="3" t="s">
        <v>11</v>
      </c>
      <c r="D967" s="2" t="s">
        <v>106</v>
      </c>
      <c r="E967" s="3">
        <v>0</v>
      </c>
      <c r="F967" s="3">
        <v>0</v>
      </c>
      <c r="G967" s="3" t="s">
        <v>10</v>
      </c>
      <c r="H967" s="3" t="s">
        <v>12</v>
      </c>
      <c r="I967" s="3" t="s">
        <v>15</v>
      </c>
      <c r="J967" s="3" t="s">
        <v>14</v>
      </c>
      <c r="K967" s="3" t="s">
        <v>14</v>
      </c>
      <c r="L967" s="3" t="s">
        <v>14</v>
      </c>
      <c r="M967" s="3" t="s">
        <v>14</v>
      </c>
      <c r="N967" s="3" t="s">
        <v>14</v>
      </c>
      <c r="O967" s="3">
        <v>1</v>
      </c>
    </row>
    <row r="968" spans="1:15" ht="15" customHeight="1" x14ac:dyDescent="0.25">
      <c r="A968" s="2">
        <v>0</v>
      </c>
      <c r="B968" s="2" t="s">
        <v>10</v>
      </c>
      <c r="C968" s="2" t="s">
        <v>11</v>
      </c>
      <c r="D968" s="2" t="s">
        <v>106</v>
      </c>
      <c r="E968" s="2">
        <v>1</v>
      </c>
      <c r="F968" s="2">
        <v>0</v>
      </c>
      <c r="G968" s="2" t="s">
        <v>10</v>
      </c>
      <c r="H968" s="2" t="s">
        <v>12</v>
      </c>
      <c r="I968" s="2">
        <v>1</v>
      </c>
      <c r="J968" s="2" t="s">
        <v>14</v>
      </c>
      <c r="K968" s="2" t="s">
        <v>14</v>
      </c>
      <c r="L968" s="2" t="s">
        <v>14</v>
      </c>
      <c r="M968" s="2" t="s">
        <v>14</v>
      </c>
      <c r="N968" s="2" t="s">
        <v>14</v>
      </c>
      <c r="O968" s="2">
        <v>0</v>
      </c>
    </row>
    <row r="969" spans="1:15" ht="15" customHeight="1" x14ac:dyDescent="0.25">
      <c r="A969" s="3">
        <v>20</v>
      </c>
      <c r="B969" s="3" t="s">
        <v>10</v>
      </c>
      <c r="C969" s="3" t="s">
        <v>11</v>
      </c>
      <c r="D969" s="2" t="s">
        <v>106</v>
      </c>
      <c r="E969" s="3">
        <v>0</v>
      </c>
      <c r="F969" s="3">
        <v>1</v>
      </c>
      <c r="G969" s="3" t="s">
        <v>10</v>
      </c>
      <c r="H969" s="3" t="s">
        <v>12</v>
      </c>
      <c r="I969" s="3">
        <v>2</v>
      </c>
      <c r="J969" s="3" t="s">
        <v>14</v>
      </c>
      <c r="K969" s="3" t="s">
        <v>14</v>
      </c>
      <c r="L969" s="3" t="s">
        <v>14</v>
      </c>
      <c r="M969" s="3" t="s">
        <v>13</v>
      </c>
      <c r="N969" s="3" t="s">
        <v>13</v>
      </c>
      <c r="O969" s="3">
        <v>1</v>
      </c>
    </row>
    <row r="970" spans="1:15" ht="15" customHeight="1" x14ac:dyDescent="0.25">
      <c r="A970" s="2">
        <v>0</v>
      </c>
      <c r="B970" s="2" t="s">
        <v>10</v>
      </c>
      <c r="C970" s="2" t="s">
        <v>19</v>
      </c>
      <c r="D970" s="2" t="s">
        <v>106</v>
      </c>
      <c r="E970" s="2">
        <v>1</v>
      </c>
      <c r="F970" s="2">
        <v>0</v>
      </c>
      <c r="G970" s="2" t="s">
        <v>17</v>
      </c>
      <c r="H970" s="2" t="s">
        <v>106</v>
      </c>
      <c r="I970" s="2">
        <v>1</v>
      </c>
      <c r="J970" s="2" t="s">
        <v>14</v>
      </c>
      <c r="K970" s="2" t="s">
        <v>13</v>
      </c>
      <c r="L970" s="2" t="s">
        <v>13</v>
      </c>
      <c r="M970" s="2" t="s">
        <v>13</v>
      </c>
      <c r="N970" s="2" t="s">
        <v>14</v>
      </c>
      <c r="O970" s="2">
        <v>1</v>
      </c>
    </row>
    <row r="971" spans="1:15" ht="15" customHeight="1" x14ac:dyDescent="0.25">
      <c r="A971" s="3">
        <v>10</v>
      </c>
      <c r="B971" s="3" t="s">
        <v>10</v>
      </c>
      <c r="C971" s="3" t="s">
        <v>19</v>
      </c>
      <c r="D971" s="2" t="s">
        <v>106</v>
      </c>
      <c r="E971" s="3">
        <v>0</v>
      </c>
      <c r="F971" s="3">
        <v>0</v>
      </c>
      <c r="G971" s="3" t="s">
        <v>10</v>
      </c>
      <c r="H971" s="3" t="s">
        <v>12</v>
      </c>
      <c r="I971" s="3">
        <v>1</v>
      </c>
      <c r="J971" s="3" t="s">
        <v>14</v>
      </c>
      <c r="K971" s="3" t="s">
        <v>13</v>
      </c>
      <c r="L971" s="3" t="s">
        <v>13</v>
      </c>
      <c r="M971" s="3" t="s">
        <v>13</v>
      </c>
      <c r="N971" s="3" t="s">
        <v>14</v>
      </c>
      <c r="O971" s="3">
        <v>1</v>
      </c>
    </row>
    <row r="972" spans="1:15" ht="15" customHeight="1" x14ac:dyDescent="0.25">
      <c r="A972" s="2">
        <v>0</v>
      </c>
      <c r="B972" s="2" t="s">
        <v>18</v>
      </c>
      <c r="C972" s="2" t="s">
        <v>19</v>
      </c>
      <c r="D972" s="2" t="s">
        <v>106</v>
      </c>
      <c r="E972" s="2">
        <v>0</v>
      </c>
      <c r="F972" s="2">
        <v>0</v>
      </c>
      <c r="G972" s="2" t="s">
        <v>18</v>
      </c>
      <c r="H972" s="2" t="s">
        <v>106</v>
      </c>
      <c r="I972" s="2">
        <v>1</v>
      </c>
      <c r="J972" s="2" t="s">
        <v>14</v>
      </c>
      <c r="K972" s="2" t="s">
        <v>13</v>
      </c>
      <c r="L972" s="2" t="s">
        <v>13</v>
      </c>
      <c r="M972" s="2" t="s">
        <v>13</v>
      </c>
      <c r="N972" s="2" t="s">
        <v>14</v>
      </c>
      <c r="O972" s="2">
        <v>1</v>
      </c>
    </row>
    <row r="973" spans="1:15" ht="15" customHeight="1" x14ac:dyDescent="0.25">
      <c r="A973" s="3">
        <v>10</v>
      </c>
      <c r="B973" s="3" t="s">
        <v>18</v>
      </c>
      <c r="C973" s="3" t="s">
        <v>20</v>
      </c>
      <c r="D973" s="2" t="s">
        <v>106</v>
      </c>
      <c r="E973" s="3">
        <v>0</v>
      </c>
      <c r="F973" s="3">
        <v>0</v>
      </c>
      <c r="G973" s="3" t="s">
        <v>10</v>
      </c>
      <c r="H973" s="3" t="s">
        <v>12</v>
      </c>
      <c r="I973" s="3">
        <v>1</v>
      </c>
      <c r="J973" s="3" t="s">
        <v>14</v>
      </c>
      <c r="K973" s="3" t="s">
        <v>14</v>
      </c>
      <c r="L973" s="3" t="s">
        <v>14</v>
      </c>
      <c r="M973" s="3" t="s">
        <v>14</v>
      </c>
      <c r="N973" s="3" t="s">
        <v>14</v>
      </c>
      <c r="O973" s="3">
        <v>1</v>
      </c>
    </row>
    <row r="974" spans="1:15" ht="15" customHeight="1" x14ac:dyDescent="0.25">
      <c r="A974" s="2">
        <v>10</v>
      </c>
      <c r="B974" s="2" t="s">
        <v>14</v>
      </c>
      <c r="C974" s="2" t="s">
        <v>19</v>
      </c>
      <c r="D974" s="2" t="s">
        <v>106</v>
      </c>
      <c r="E974" s="2">
        <v>0</v>
      </c>
      <c r="F974" s="2">
        <v>1</v>
      </c>
      <c r="G974" s="2" t="s">
        <v>10</v>
      </c>
      <c r="H974" s="2" t="s">
        <v>16</v>
      </c>
      <c r="I974" s="2" t="s">
        <v>15</v>
      </c>
      <c r="J974" s="2" t="s">
        <v>14</v>
      </c>
      <c r="K974" s="2" t="s">
        <v>14</v>
      </c>
      <c r="L974" s="2" t="s">
        <v>14</v>
      </c>
      <c r="M974" s="2" t="s">
        <v>14</v>
      </c>
      <c r="N974" s="2" t="s">
        <v>14</v>
      </c>
      <c r="O974" s="2">
        <v>1</v>
      </c>
    </row>
    <row r="975" spans="1:15" ht="15" customHeight="1" x14ac:dyDescent="0.25">
      <c r="A975" s="3">
        <v>20</v>
      </c>
      <c r="B975" s="3" t="s">
        <v>10</v>
      </c>
      <c r="C975" s="3" t="s">
        <v>11</v>
      </c>
      <c r="D975" s="2" t="s">
        <v>106</v>
      </c>
      <c r="E975" s="3">
        <v>1</v>
      </c>
      <c r="F975" s="3">
        <v>0</v>
      </c>
      <c r="G975" s="3" t="s">
        <v>10</v>
      </c>
      <c r="H975" s="3" t="s">
        <v>12</v>
      </c>
      <c r="I975" s="3" t="s">
        <v>15</v>
      </c>
      <c r="J975" s="3" t="s">
        <v>14</v>
      </c>
      <c r="K975" s="3" t="s">
        <v>14</v>
      </c>
      <c r="L975" s="3" t="s">
        <v>14</v>
      </c>
      <c r="M975" s="3" t="s">
        <v>13</v>
      </c>
      <c r="N975" s="3" t="s">
        <v>13</v>
      </c>
      <c r="O975" s="3">
        <v>0</v>
      </c>
    </row>
    <row r="976" spans="1:15" ht="15" customHeight="1" x14ac:dyDescent="0.25">
      <c r="A976" s="2">
        <v>0</v>
      </c>
      <c r="B976" s="2" t="s">
        <v>10</v>
      </c>
      <c r="C976" s="2" t="s">
        <v>19</v>
      </c>
      <c r="D976" s="2" t="s">
        <v>106</v>
      </c>
      <c r="E976" s="2">
        <v>0</v>
      </c>
      <c r="F976" s="2">
        <v>0</v>
      </c>
      <c r="G976" s="2" t="s">
        <v>10</v>
      </c>
      <c r="H976" s="2" t="s">
        <v>12</v>
      </c>
      <c r="I976" s="2">
        <v>2</v>
      </c>
      <c r="J976" s="2" t="s">
        <v>14</v>
      </c>
      <c r="K976" s="2" t="s">
        <v>13</v>
      </c>
      <c r="L976" s="2" t="s">
        <v>13</v>
      </c>
      <c r="M976" s="2" t="s">
        <v>14</v>
      </c>
      <c r="N976" s="2" t="s">
        <v>14</v>
      </c>
      <c r="O976" s="2">
        <v>1</v>
      </c>
    </row>
    <row r="977" spans="1:15" ht="15" customHeight="1" x14ac:dyDescent="0.25">
      <c r="A977" s="3">
        <v>10</v>
      </c>
      <c r="B977" s="3" t="s">
        <v>10</v>
      </c>
      <c r="C977" s="3" t="s">
        <v>11</v>
      </c>
      <c r="D977" s="2" t="s">
        <v>106</v>
      </c>
      <c r="E977" s="3">
        <v>1</v>
      </c>
      <c r="F977" s="3">
        <v>1</v>
      </c>
      <c r="G977" s="3" t="s">
        <v>10</v>
      </c>
      <c r="H977" s="3" t="s">
        <v>12</v>
      </c>
      <c r="I977" s="3" t="s">
        <v>15</v>
      </c>
      <c r="J977" s="3" t="s">
        <v>13</v>
      </c>
      <c r="K977" s="3" t="s">
        <v>14</v>
      </c>
      <c r="L977" s="3" t="s">
        <v>14</v>
      </c>
      <c r="M977" s="3" t="s">
        <v>14</v>
      </c>
      <c r="N977" s="3" t="s">
        <v>14</v>
      </c>
      <c r="O977" s="3">
        <v>1</v>
      </c>
    </row>
    <row r="978" spans="1:15" ht="15" customHeight="1" x14ac:dyDescent="0.25">
      <c r="A978" s="2">
        <v>10</v>
      </c>
      <c r="B978" s="2" t="s">
        <v>18</v>
      </c>
      <c r="C978" s="2" t="s">
        <v>19</v>
      </c>
      <c r="D978" s="2" t="s">
        <v>106</v>
      </c>
      <c r="E978" s="2">
        <v>0</v>
      </c>
      <c r="F978" s="2">
        <v>0</v>
      </c>
      <c r="G978" s="2" t="s">
        <v>10</v>
      </c>
      <c r="H978" s="2" t="s">
        <v>16</v>
      </c>
      <c r="I978" s="2" t="s">
        <v>15</v>
      </c>
      <c r="J978" s="2" t="s">
        <v>14</v>
      </c>
      <c r="K978" s="2" t="s">
        <v>14</v>
      </c>
      <c r="L978" s="2" t="s">
        <v>14</v>
      </c>
      <c r="M978" s="2" t="s">
        <v>14</v>
      </c>
      <c r="N978" s="2" t="s">
        <v>14</v>
      </c>
      <c r="O978" s="2">
        <v>1</v>
      </c>
    </row>
    <row r="979" spans="1:15" ht="15" customHeight="1" x14ac:dyDescent="0.25">
      <c r="A979" s="3">
        <v>10</v>
      </c>
      <c r="B979" s="3" t="s">
        <v>10</v>
      </c>
      <c r="C979" s="3" t="s">
        <v>19</v>
      </c>
      <c r="D979" s="2" t="s">
        <v>106</v>
      </c>
      <c r="E979" s="3">
        <v>0</v>
      </c>
      <c r="F979" s="3">
        <v>0</v>
      </c>
      <c r="G979" s="3" t="s">
        <v>10</v>
      </c>
      <c r="H979" s="3" t="s">
        <v>16</v>
      </c>
      <c r="I979" s="3">
        <v>2</v>
      </c>
      <c r="J979" s="3" t="s">
        <v>14</v>
      </c>
      <c r="K979" s="3" t="s">
        <v>14</v>
      </c>
      <c r="L979" s="3" t="s">
        <v>14</v>
      </c>
      <c r="M979" s="3" t="s">
        <v>14</v>
      </c>
      <c r="N979" s="3" t="s">
        <v>14</v>
      </c>
      <c r="O979" s="3">
        <v>1</v>
      </c>
    </row>
    <row r="980" spans="1:15" ht="15" customHeight="1" x14ac:dyDescent="0.25">
      <c r="A980" s="2">
        <v>5</v>
      </c>
      <c r="B980" s="2" t="s">
        <v>10</v>
      </c>
      <c r="C980" s="2" t="s">
        <v>19</v>
      </c>
      <c r="D980" s="2" t="s">
        <v>106</v>
      </c>
      <c r="E980" s="2">
        <v>0</v>
      </c>
      <c r="F980" s="2">
        <v>0</v>
      </c>
      <c r="G980" s="2" t="s">
        <v>10</v>
      </c>
      <c r="H980" s="2" t="s">
        <v>12</v>
      </c>
      <c r="I980" s="2" t="s">
        <v>15</v>
      </c>
      <c r="J980" s="2" t="s">
        <v>14</v>
      </c>
      <c r="K980" s="2" t="s">
        <v>14</v>
      </c>
      <c r="L980" s="2" t="s">
        <v>14</v>
      </c>
      <c r="M980" s="2" t="s">
        <v>14</v>
      </c>
      <c r="N980" s="2" t="s">
        <v>14</v>
      </c>
      <c r="O980" s="2">
        <v>1</v>
      </c>
    </row>
    <row r="981" spans="1:15" ht="15" customHeight="1" x14ac:dyDescent="0.25">
      <c r="A981" s="3">
        <v>5</v>
      </c>
      <c r="B981" s="3" t="s">
        <v>18</v>
      </c>
      <c r="C981" s="3" t="s">
        <v>19</v>
      </c>
      <c r="D981" s="2" t="s">
        <v>106</v>
      </c>
      <c r="E981" s="3">
        <v>0</v>
      </c>
      <c r="F981" s="3">
        <v>0</v>
      </c>
      <c r="G981" s="3" t="s">
        <v>10</v>
      </c>
      <c r="H981" s="3" t="s">
        <v>16</v>
      </c>
      <c r="I981" s="3">
        <v>2</v>
      </c>
      <c r="J981" s="3" t="s">
        <v>14</v>
      </c>
      <c r="K981" s="3" t="s">
        <v>14</v>
      </c>
      <c r="L981" s="3" t="s">
        <v>14</v>
      </c>
      <c r="M981" s="3" t="s">
        <v>14</v>
      </c>
      <c r="N981" s="3" t="s">
        <v>14</v>
      </c>
      <c r="O981" s="3">
        <v>1</v>
      </c>
    </row>
    <row r="982" spans="1:15" ht="15" customHeight="1" x14ac:dyDescent="0.25">
      <c r="A982" s="2">
        <v>5</v>
      </c>
      <c r="B982" s="2" t="s">
        <v>10</v>
      </c>
      <c r="C982" s="2" t="s">
        <v>19</v>
      </c>
      <c r="D982" s="2" t="s">
        <v>106</v>
      </c>
      <c r="E982" s="2">
        <v>0</v>
      </c>
      <c r="F982" s="2">
        <v>0</v>
      </c>
      <c r="G982" s="2" t="s">
        <v>10</v>
      </c>
      <c r="H982" s="2" t="s">
        <v>12</v>
      </c>
      <c r="I982" s="2" t="s">
        <v>15</v>
      </c>
      <c r="J982" s="2" t="s">
        <v>14</v>
      </c>
      <c r="K982" s="2" t="s">
        <v>14</v>
      </c>
      <c r="L982" s="2" t="s">
        <v>14</v>
      </c>
      <c r="M982" s="2" t="s">
        <v>14</v>
      </c>
      <c r="N982" s="2" t="s">
        <v>14</v>
      </c>
      <c r="O982" s="2">
        <v>1</v>
      </c>
    </row>
    <row r="983" spans="1:15" ht="15" customHeight="1" x14ac:dyDescent="0.25">
      <c r="A983" s="3">
        <v>10</v>
      </c>
      <c r="B983" s="3" t="s">
        <v>18</v>
      </c>
      <c r="C983" s="3" t="s">
        <v>19</v>
      </c>
      <c r="D983" s="2" t="s">
        <v>106</v>
      </c>
      <c r="E983" s="3">
        <v>0</v>
      </c>
      <c r="F983" s="3">
        <v>0</v>
      </c>
      <c r="G983" s="3" t="s">
        <v>10</v>
      </c>
      <c r="H983" s="3" t="s">
        <v>12</v>
      </c>
      <c r="I983" s="3" t="s">
        <v>15</v>
      </c>
      <c r="J983" s="3" t="s">
        <v>14</v>
      </c>
      <c r="K983" s="3" t="s">
        <v>14</v>
      </c>
      <c r="L983" s="3" t="s">
        <v>14</v>
      </c>
      <c r="M983" s="3" t="s">
        <v>14</v>
      </c>
      <c r="N983" s="3" t="s">
        <v>14</v>
      </c>
      <c r="O983" s="3">
        <v>1</v>
      </c>
    </row>
    <row r="984" spans="1:15" ht="15" customHeight="1" x14ac:dyDescent="0.25">
      <c r="A984" s="2">
        <v>10</v>
      </c>
      <c r="B984" s="2" t="s">
        <v>10</v>
      </c>
      <c r="C984" s="2" t="s">
        <v>19</v>
      </c>
      <c r="D984" s="2" t="s">
        <v>106</v>
      </c>
      <c r="E984" s="2">
        <v>0</v>
      </c>
      <c r="F984" s="2">
        <v>0</v>
      </c>
      <c r="G984" s="2" t="s">
        <v>10</v>
      </c>
      <c r="H984" s="2" t="s">
        <v>16</v>
      </c>
      <c r="I984" s="2" t="s">
        <v>15</v>
      </c>
      <c r="J984" s="2" t="s">
        <v>14</v>
      </c>
      <c r="K984" s="2" t="s">
        <v>14</v>
      </c>
      <c r="L984" s="2" t="s">
        <v>14</v>
      </c>
      <c r="M984" s="2" t="s">
        <v>14</v>
      </c>
      <c r="N984" s="2" t="s">
        <v>14</v>
      </c>
      <c r="O984" s="2">
        <v>1</v>
      </c>
    </row>
    <row r="985" spans="1:15" ht="15" customHeight="1" x14ac:dyDescent="0.25">
      <c r="A985" s="3">
        <v>5</v>
      </c>
      <c r="B985" s="3" t="s">
        <v>10</v>
      </c>
      <c r="C985" s="3" t="s">
        <v>19</v>
      </c>
      <c r="D985" s="2" t="s">
        <v>106</v>
      </c>
      <c r="E985" s="3">
        <v>0</v>
      </c>
      <c r="F985" s="3">
        <v>0</v>
      </c>
      <c r="G985" s="3" t="s">
        <v>10</v>
      </c>
      <c r="H985" s="3" t="s">
        <v>12</v>
      </c>
      <c r="I985" s="3" t="s">
        <v>15</v>
      </c>
      <c r="J985" s="3" t="s">
        <v>14</v>
      </c>
      <c r="K985" s="3" t="s">
        <v>14</v>
      </c>
      <c r="L985" s="3" t="s">
        <v>14</v>
      </c>
      <c r="M985" s="3" t="s">
        <v>14</v>
      </c>
      <c r="N985" s="3" t="s">
        <v>14</v>
      </c>
      <c r="O985" s="3">
        <v>1</v>
      </c>
    </row>
    <row r="986" spans="1:15" ht="15" customHeight="1" x14ac:dyDescent="0.25">
      <c r="A986" s="2">
        <v>5</v>
      </c>
      <c r="B986" s="2" t="s">
        <v>10</v>
      </c>
      <c r="C986" s="2" t="s">
        <v>11</v>
      </c>
      <c r="D986" s="2" t="s">
        <v>106</v>
      </c>
      <c r="E986" s="2">
        <v>0</v>
      </c>
      <c r="F986" s="2">
        <v>0</v>
      </c>
      <c r="G986" s="2" t="s">
        <v>10</v>
      </c>
      <c r="H986" s="2" t="s">
        <v>16</v>
      </c>
      <c r="I986" s="2" t="s">
        <v>15</v>
      </c>
      <c r="J986" s="2" t="s">
        <v>14</v>
      </c>
      <c r="K986" s="2" t="s">
        <v>14</v>
      </c>
      <c r="L986" s="2" t="s">
        <v>14</v>
      </c>
      <c r="M986" s="2" t="s">
        <v>14</v>
      </c>
      <c r="N986" s="2" t="s">
        <v>14</v>
      </c>
      <c r="O986" s="2">
        <v>1</v>
      </c>
    </row>
    <row r="987" spans="1:15" ht="15" customHeight="1" x14ac:dyDescent="0.25">
      <c r="A987" s="3">
        <v>5</v>
      </c>
      <c r="B987" s="3" t="s">
        <v>10</v>
      </c>
      <c r="C987" s="3" t="s">
        <v>11</v>
      </c>
      <c r="D987" s="2" t="s">
        <v>106</v>
      </c>
      <c r="E987" s="3">
        <v>1</v>
      </c>
      <c r="F987" s="3">
        <v>0</v>
      </c>
      <c r="G987" s="3" t="s">
        <v>10</v>
      </c>
      <c r="H987" s="3" t="s">
        <v>16</v>
      </c>
      <c r="I987" s="3">
        <v>1</v>
      </c>
      <c r="J987" s="3" t="s">
        <v>13</v>
      </c>
      <c r="K987" s="3" t="s">
        <v>14</v>
      </c>
      <c r="L987" s="3" t="s">
        <v>14</v>
      </c>
      <c r="M987" s="3" t="s">
        <v>14</v>
      </c>
      <c r="N987" s="3" t="s">
        <v>14</v>
      </c>
      <c r="O987" s="3">
        <v>0</v>
      </c>
    </row>
    <row r="988" spans="1:15" ht="15" customHeight="1" x14ac:dyDescent="0.25">
      <c r="A988" s="2">
        <v>20</v>
      </c>
      <c r="B988" s="2" t="s">
        <v>10</v>
      </c>
      <c r="C988" s="2" t="s">
        <v>19</v>
      </c>
      <c r="D988" s="2" t="s">
        <v>106</v>
      </c>
      <c r="E988" s="2">
        <v>1</v>
      </c>
      <c r="F988" s="2">
        <v>0</v>
      </c>
      <c r="G988" s="2" t="s">
        <v>10</v>
      </c>
      <c r="H988" s="2" t="s">
        <v>12</v>
      </c>
      <c r="I988" s="2">
        <v>1</v>
      </c>
      <c r="J988" s="2" t="s">
        <v>14</v>
      </c>
      <c r="K988" s="2" t="s">
        <v>14</v>
      </c>
      <c r="L988" s="2" t="s">
        <v>14</v>
      </c>
      <c r="M988" s="2" t="s">
        <v>13</v>
      </c>
      <c r="N988" s="2" t="s">
        <v>13</v>
      </c>
      <c r="O988" s="2">
        <v>0</v>
      </c>
    </row>
    <row r="989" spans="1:15" ht="15" customHeight="1" x14ac:dyDescent="0.25">
      <c r="A989" s="3">
        <v>10</v>
      </c>
      <c r="B989" s="3" t="s">
        <v>10</v>
      </c>
      <c r="C989" s="3" t="s">
        <v>19</v>
      </c>
      <c r="D989" s="2" t="s">
        <v>106</v>
      </c>
      <c r="E989" s="3">
        <v>1</v>
      </c>
      <c r="F989" s="3">
        <v>0</v>
      </c>
      <c r="G989" s="3" t="s">
        <v>10</v>
      </c>
      <c r="H989" s="3" t="s">
        <v>12</v>
      </c>
      <c r="I989" s="3">
        <v>1</v>
      </c>
      <c r="J989" s="3" t="s">
        <v>14</v>
      </c>
      <c r="K989" s="3" t="s">
        <v>13</v>
      </c>
      <c r="L989" s="3" t="s">
        <v>13</v>
      </c>
      <c r="M989" s="3" t="s">
        <v>13</v>
      </c>
      <c r="N989" s="3" t="s">
        <v>14</v>
      </c>
      <c r="O989" s="3">
        <v>0</v>
      </c>
    </row>
    <row r="990" spans="1:15" ht="15" customHeight="1" x14ac:dyDescent="0.25">
      <c r="A990" s="2">
        <v>30</v>
      </c>
      <c r="B990" s="2" t="s">
        <v>10</v>
      </c>
      <c r="C990" s="2" t="s">
        <v>11</v>
      </c>
      <c r="D990" s="2" t="s">
        <v>106</v>
      </c>
      <c r="E990" s="2">
        <v>0</v>
      </c>
      <c r="F990" s="2">
        <v>1</v>
      </c>
      <c r="G990" s="2" t="s">
        <v>10</v>
      </c>
      <c r="H990" s="2" t="s">
        <v>12</v>
      </c>
      <c r="I990" s="2" t="s">
        <v>15</v>
      </c>
      <c r="J990" s="2" t="s">
        <v>14</v>
      </c>
      <c r="K990" s="2" t="s">
        <v>14</v>
      </c>
      <c r="L990" s="2" t="s">
        <v>14</v>
      </c>
      <c r="M990" s="2" t="s">
        <v>13</v>
      </c>
      <c r="N990" s="2" t="s">
        <v>13</v>
      </c>
      <c r="O990" s="2">
        <v>1</v>
      </c>
    </row>
    <row r="991" spans="1:15" ht="15" customHeight="1" x14ac:dyDescent="0.25">
      <c r="A991" s="3">
        <v>0</v>
      </c>
      <c r="B991" s="3" t="s">
        <v>18</v>
      </c>
      <c r="C991" s="3" t="s">
        <v>11</v>
      </c>
      <c r="D991" s="2" t="s">
        <v>106</v>
      </c>
      <c r="E991" s="3">
        <v>0</v>
      </c>
      <c r="F991" s="3">
        <v>0</v>
      </c>
      <c r="G991" s="3" t="s">
        <v>10</v>
      </c>
      <c r="H991" s="3" t="s">
        <v>12</v>
      </c>
      <c r="I991" s="3">
        <v>2</v>
      </c>
      <c r="J991" s="3" t="s">
        <v>14</v>
      </c>
      <c r="K991" s="3" t="s">
        <v>14</v>
      </c>
      <c r="L991" s="3" t="s">
        <v>14</v>
      </c>
      <c r="M991" s="3" t="s">
        <v>14</v>
      </c>
      <c r="N991" s="3" t="s">
        <v>14</v>
      </c>
      <c r="O991" s="3">
        <v>1</v>
      </c>
    </row>
    <row r="992" spans="1:15" ht="15" customHeight="1" x14ac:dyDescent="0.25">
      <c r="A992" s="2">
        <v>5</v>
      </c>
      <c r="B992" s="2" t="s">
        <v>18</v>
      </c>
      <c r="C992" s="2" t="s">
        <v>19</v>
      </c>
      <c r="D992" s="2" t="s">
        <v>106</v>
      </c>
      <c r="E992" s="2">
        <v>0</v>
      </c>
      <c r="F992" s="2">
        <v>0</v>
      </c>
      <c r="G992" s="2" t="s">
        <v>10</v>
      </c>
      <c r="H992" s="2" t="s">
        <v>12</v>
      </c>
      <c r="I992" s="2" t="s">
        <v>15</v>
      </c>
      <c r="J992" s="2" t="s">
        <v>14</v>
      </c>
      <c r="K992" s="2" t="s">
        <v>14</v>
      </c>
      <c r="L992" s="2" t="s">
        <v>14</v>
      </c>
      <c r="M992" s="2" t="s">
        <v>14</v>
      </c>
      <c r="N992" s="2" t="s">
        <v>14</v>
      </c>
      <c r="O992" s="2">
        <v>1</v>
      </c>
    </row>
    <row r="993" spans="1:15" ht="15" customHeight="1" x14ac:dyDescent="0.25">
      <c r="A993" s="3">
        <v>0</v>
      </c>
      <c r="B993" s="3" t="s">
        <v>10</v>
      </c>
      <c r="C993" s="3" t="s">
        <v>11</v>
      </c>
      <c r="D993" s="2" t="s">
        <v>106</v>
      </c>
      <c r="E993" s="3">
        <v>0</v>
      </c>
      <c r="F993" s="3">
        <v>0</v>
      </c>
      <c r="G993" s="3" t="s">
        <v>10</v>
      </c>
      <c r="H993" s="3" t="s">
        <v>12</v>
      </c>
      <c r="I993" s="3">
        <v>2</v>
      </c>
      <c r="J993" s="3" t="s">
        <v>14</v>
      </c>
      <c r="K993" s="3" t="s">
        <v>14</v>
      </c>
      <c r="L993" s="3" t="s">
        <v>14</v>
      </c>
      <c r="M993" s="3" t="s">
        <v>14</v>
      </c>
      <c r="N993" s="3" t="s">
        <v>14</v>
      </c>
      <c r="O993" s="3">
        <v>1</v>
      </c>
    </row>
    <row r="994" spans="1:15" ht="15" customHeight="1" x14ac:dyDescent="0.25">
      <c r="A994" s="2">
        <v>5</v>
      </c>
      <c r="B994" s="2" t="s">
        <v>18</v>
      </c>
      <c r="C994" s="2" t="s">
        <v>19</v>
      </c>
      <c r="D994" s="2" t="s">
        <v>106</v>
      </c>
      <c r="E994" s="2">
        <v>0</v>
      </c>
      <c r="F994" s="2">
        <v>0</v>
      </c>
      <c r="G994" s="2" t="s">
        <v>10</v>
      </c>
      <c r="H994" s="2" t="s">
        <v>12</v>
      </c>
      <c r="I994" s="2" t="s">
        <v>15</v>
      </c>
      <c r="J994" s="2" t="s">
        <v>14</v>
      </c>
      <c r="K994" s="2" t="s">
        <v>14</v>
      </c>
      <c r="L994" s="2" t="s">
        <v>14</v>
      </c>
      <c r="M994" s="2" t="s">
        <v>14</v>
      </c>
      <c r="N994" s="2" t="s">
        <v>14</v>
      </c>
      <c r="O994" s="2">
        <v>1</v>
      </c>
    </row>
    <row r="995" spans="1:15" ht="15" customHeight="1" x14ac:dyDescent="0.25">
      <c r="A995" s="3">
        <v>5</v>
      </c>
      <c r="B995" s="3" t="s">
        <v>10</v>
      </c>
      <c r="C995" s="3" t="s">
        <v>19</v>
      </c>
      <c r="D995" s="2" t="s">
        <v>106</v>
      </c>
      <c r="E995" s="3">
        <v>0</v>
      </c>
      <c r="F995" s="3">
        <v>0</v>
      </c>
      <c r="G995" s="3" t="s">
        <v>10</v>
      </c>
      <c r="H995" s="3" t="s">
        <v>12</v>
      </c>
      <c r="I995" s="3">
        <v>2</v>
      </c>
      <c r="J995" s="3" t="s">
        <v>14</v>
      </c>
      <c r="K995" s="3" t="s">
        <v>14</v>
      </c>
      <c r="L995" s="3" t="s">
        <v>14</v>
      </c>
      <c r="M995" s="3" t="s">
        <v>14</v>
      </c>
      <c r="N995" s="3" t="s">
        <v>14</v>
      </c>
      <c r="O995" s="3">
        <v>1</v>
      </c>
    </row>
    <row r="996" spans="1:15" ht="15" customHeight="1" x14ac:dyDescent="0.25">
      <c r="A996" s="2">
        <v>5</v>
      </c>
      <c r="B996" s="2" t="s">
        <v>10</v>
      </c>
      <c r="C996" s="2" t="s">
        <v>11</v>
      </c>
      <c r="D996" s="2" t="s">
        <v>106</v>
      </c>
      <c r="E996" s="2">
        <v>0</v>
      </c>
      <c r="F996" s="2">
        <v>0</v>
      </c>
      <c r="G996" s="2" t="s">
        <v>10</v>
      </c>
      <c r="H996" s="2" t="s">
        <v>12</v>
      </c>
      <c r="I996" s="2">
        <v>2</v>
      </c>
      <c r="J996" s="2" t="s">
        <v>14</v>
      </c>
      <c r="K996" s="2" t="s">
        <v>14</v>
      </c>
      <c r="L996" s="2" t="s">
        <v>14</v>
      </c>
      <c r="M996" s="2" t="s">
        <v>14</v>
      </c>
      <c r="N996" s="2" t="s">
        <v>14</v>
      </c>
      <c r="O996" s="2">
        <v>1</v>
      </c>
    </row>
    <row r="997" spans="1:15" ht="15" customHeight="1" x14ac:dyDescent="0.25">
      <c r="A997" s="3">
        <v>0</v>
      </c>
      <c r="B997" s="3" t="s">
        <v>14</v>
      </c>
      <c r="C997" s="3" t="s">
        <v>11</v>
      </c>
      <c r="D997" s="2" t="s">
        <v>106</v>
      </c>
      <c r="E997" s="3">
        <v>0</v>
      </c>
      <c r="F997" s="3">
        <v>1</v>
      </c>
      <c r="G997" s="3" t="s">
        <v>10</v>
      </c>
      <c r="H997" s="3" t="s">
        <v>12</v>
      </c>
      <c r="I997" s="3">
        <v>1</v>
      </c>
      <c r="J997" s="3" t="s">
        <v>14</v>
      </c>
      <c r="K997" s="3" t="s">
        <v>14</v>
      </c>
      <c r="L997" s="3" t="s">
        <v>14</v>
      </c>
      <c r="M997" s="3" t="s">
        <v>14</v>
      </c>
      <c r="N997" s="3" t="s">
        <v>14</v>
      </c>
      <c r="O997" s="3">
        <v>0</v>
      </c>
    </row>
    <row r="998" spans="1:15" ht="15" customHeight="1" x14ac:dyDescent="0.25">
      <c r="A998" s="2">
        <v>5</v>
      </c>
      <c r="B998" s="2" t="s">
        <v>18</v>
      </c>
      <c r="C998" s="2" t="s">
        <v>19</v>
      </c>
      <c r="D998" s="2" t="s">
        <v>106</v>
      </c>
      <c r="E998" s="2">
        <v>0</v>
      </c>
      <c r="F998" s="2">
        <v>0</v>
      </c>
      <c r="G998" s="2" t="s">
        <v>10</v>
      </c>
      <c r="H998" s="2" t="s">
        <v>12</v>
      </c>
      <c r="I998" s="2">
        <v>1</v>
      </c>
      <c r="J998" s="2" t="s">
        <v>14</v>
      </c>
      <c r="K998" s="2" t="s">
        <v>14</v>
      </c>
      <c r="L998" s="2" t="s">
        <v>14</v>
      </c>
      <c r="M998" s="2" t="s">
        <v>14</v>
      </c>
      <c r="N998" s="2" t="s">
        <v>14</v>
      </c>
      <c r="O998" s="2">
        <v>1</v>
      </c>
    </row>
    <row r="999" spans="1:15" ht="15" customHeight="1" x14ac:dyDescent="0.25">
      <c r="A999" s="3">
        <v>5</v>
      </c>
      <c r="B999" s="3" t="s">
        <v>18</v>
      </c>
      <c r="C999" s="3" t="s">
        <v>20</v>
      </c>
      <c r="D999" s="2" t="s">
        <v>106</v>
      </c>
      <c r="E999" s="3">
        <v>0</v>
      </c>
      <c r="F999" s="3">
        <v>0</v>
      </c>
      <c r="G999" s="3" t="s">
        <v>10</v>
      </c>
      <c r="H999" s="3" t="s">
        <v>16</v>
      </c>
      <c r="I999" s="3">
        <v>2</v>
      </c>
      <c r="J999" s="3" t="s">
        <v>14</v>
      </c>
      <c r="K999" s="3" t="s">
        <v>14</v>
      </c>
      <c r="L999" s="3" t="s">
        <v>14</v>
      </c>
      <c r="M999" s="3" t="s">
        <v>14</v>
      </c>
      <c r="N999" s="3" t="s">
        <v>14</v>
      </c>
      <c r="O999" s="3">
        <v>1</v>
      </c>
    </row>
    <row r="1000" spans="1:15" ht="15" customHeight="1" x14ac:dyDescent="0.25">
      <c r="A1000" s="2">
        <v>10</v>
      </c>
      <c r="B1000" s="2" t="s">
        <v>10</v>
      </c>
      <c r="C1000" s="2" t="s">
        <v>20</v>
      </c>
      <c r="D1000" s="2" t="s">
        <v>106</v>
      </c>
      <c r="E1000" s="2">
        <v>0</v>
      </c>
      <c r="F1000" s="2">
        <v>0</v>
      </c>
      <c r="G1000" s="2" t="s">
        <v>10</v>
      </c>
      <c r="H1000" s="2" t="s">
        <v>12</v>
      </c>
      <c r="I1000" s="2">
        <v>1</v>
      </c>
      <c r="J1000" s="2" t="s">
        <v>14</v>
      </c>
      <c r="K1000" s="2" t="s">
        <v>14</v>
      </c>
      <c r="L1000" s="2" t="s">
        <v>14</v>
      </c>
      <c r="M1000" s="2" t="s">
        <v>14</v>
      </c>
      <c r="N1000" s="2" t="s">
        <v>14</v>
      </c>
      <c r="O1000" s="2">
        <v>1</v>
      </c>
    </row>
    <row r="1001" spans="1:15" ht="15" customHeight="1" x14ac:dyDescent="0.25">
      <c r="A1001" s="3">
        <v>5</v>
      </c>
      <c r="B1001" s="3" t="s">
        <v>18</v>
      </c>
      <c r="C1001" s="3" t="s">
        <v>19</v>
      </c>
      <c r="D1001" s="2" t="s">
        <v>106</v>
      </c>
      <c r="E1001" s="3">
        <v>0</v>
      </c>
      <c r="F1001" s="3">
        <v>0</v>
      </c>
      <c r="G1001" s="3" t="s">
        <v>10</v>
      </c>
      <c r="H1001" s="3" t="s">
        <v>12</v>
      </c>
      <c r="I1001" s="3" t="s">
        <v>15</v>
      </c>
      <c r="J1001" s="3" t="s">
        <v>14</v>
      </c>
      <c r="K1001" s="3" t="s">
        <v>14</v>
      </c>
      <c r="L1001" s="3" t="s">
        <v>14</v>
      </c>
      <c r="M1001" s="3" t="s">
        <v>14</v>
      </c>
      <c r="N1001" s="3" t="s">
        <v>14</v>
      </c>
      <c r="O1001" s="3">
        <v>1</v>
      </c>
    </row>
    <row r="1002" spans="1:15" ht="15" customHeight="1" x14ac:dyDescent="0.25">
      <c r="A1002" s="2">
        <v>10</v>
      </c>
      <c r="B1002" s="2" t="s">
        <v>10</v>
      </c>
      <c r="C1002" s="2" t="s">
        <v>19</v>
      </c>
      <c r="D1002" s="2" t="s">
        <v>106</v>
      </c>
      <c r="E1002" s="2">
        <v>0</v>
      </c>
      <c r="F1002" s="2">
        <v>0</v>
      </c>
      <c r="G1002" s="2" t="s">
        <v>10</v>
      </c>
      <c r="H1002" s="2" t="s">
        <v>12</v>
      </c>
      <c r="I1002" s="2">
        <v>2</v>
      </c>
      <c r="J1002" s="2" t="s">
        <v>14</v>
      </c>
      <c r="K1002" s="2" t="s">
        <v>14</v>
      </c>
      <c r="L1002" s="2" t="s">
        <v>14</v>
      </c>
      <c r="M1002" s="2" t="s">
        <v>14</v>
      </c>
      <c r="N1002" s="2" t="s">
        <v>14</v>
      </c>
      <c r="O1002" s="2">
        <v>1</v>
      </c>
    </row>
    <row r="1003" spans="1:15" ht="15" customHeight="1" x14ac:dyDescent="0.25">
      <c r="A1003" s="3">
        <v>30</v>
      </c>
      <c r="B1003" s="3" t="s">
        <v>10</v>
      </c>
      <c r="C1003" s="3" t="s">
        <v>11</v>
      </c>
      <c r="D1003" s="2" t="s">
        <v>106</v>
      </c>
      <c r="E1003" s="3">
        <v>1</v>
      </c>
      <c r="F1003" s="3">
        <v>0</v>
      </c>
      <c r="G1003" s="3" t="s">
        <v>10</v>
      </c>
      <c r="H1003" s="3" t="s">
        <v>12</v>
      </c>
      <c r="I1003" s="3" t="s">
        <v>15</v>
      </c>
      <c r="J1003" s="3" t="s">
        <v>14</v>
      </c>
      <c r="K1003" s="3" t="s">
        <v>14</v>
      </c>
      <c r="L1003" s="3" t="s">
        <v>14</v>
      </c>
      <c r="M1003" s="3" t="s">
        <v>13</v>
      </c>
      <c r="N1003" s="3" t="s">
        <v>13</v>
      </c>
      <c r="O1003" s="3">
        <v>0</v>
      </c>
    </row>
    <row r="1004" spans="1:15" ht="15" customHeight="1" x14ac:dyDescent="0.25">
      <c r="A1004" s="2">
        <v>0</v>
      </c>
      <c r="B1004" s="2" t="s">
        <v>18</v>
      </c>
      <c r="C1004" s="2" t="s">
        <v>20</v>
      </c>
      <c r="D1004" s="2" t="s">
        <v>106</v>
      </c>
      <c r="E1004" s="2">
        <v>0</v>
      </c>
      <c r="F1004" s="2">
        <v>0</v>
      </c>
      <c r="G1004" s="2" t="s">
        <v>18</v>
      </c>
      <c r="H1004" s="2" t="s">
        <v>106</v>
      </c>
      <c r="I1004" s="2">
        <v>1</v>
      </c>
      <c r="J1004" s="2" t="s">
        <v>14</v>
      </c>
      <c r="K1004" s="2" t="s">
        <v>13</v>
      </c>
      <c r="L1004" s="2" t="s">
        <v>13</v>
      </c>
      <c r="M1004" s="2" t="s">
        <v>13</v>
      </c>
      <c r="N1004" s="2" t="s">
        <v>14</v>
      </c>
      <c r="O1004" s="2">
        <v>1</v>
      </c>
    </row>
    <row r="1005" spans="1:15" ht="15" customHeight="1" x14ac:dyDescent="0.25">
      <c r="A1005" s="3">
        <v>10</v>
      </c>
      <c r="B1005" s="3" t="s">
        <v>10</v>
      </c>
      <c r="C1005" s="3" t="s">
        <v>19</v>
      </c>
      <c r="D1005" s="2" t="s">
        <v>106</v>
      </c>
      <c r="E1005" s="3">
        <v>0</v>
      </c>
      <c r="F1005" s="3">
        <v>1</v>
      </c>
      <c r="G1005" s="3" t="s">
        <v>10</v>
      </c>
      <c r="H1005" s="3" t="s">
        <v>16</v>
      </c>
      <c r="I1005" s="3" t="s">
        <v>15</v>
      </c>
      <c r="J1005" s="3" t="s">
        <v>13</v>
      </c>
      <c r="K1005" s="3" t="s">
        <v>14</v>
      </c>
      <c r="L1005" s="3" t="s">
        <v>14</v>
      </c>
      <c r="M1005" s="3" t="s">
        <v>14</v>
      </c>
      <c r="N1005" s="3" t="s">
        <v>14</v>
      </c>
      <c r="O1005" s="3">
        <v>1</v>
      </c>
    </row>
    <row r="1006" spans="1:15" ht="15" customHeight="1" x14ac:dyDescent="0.25">
      <c r="A1006" s="2">
        <v>30</v>
      </c>
      <c r="B1006" s="2" t="s">
        <v>10</v>
      </c>
      <c r="C1006" s="2" t="s">
        <v>11</v>
      </c>
      <c r="D1006" s="2" t="s">
        <v>106</v>
      </c>
      <c r="E1006" s="2">
        <v>1</v>
      </c>
      <c r="F1006" s="2">
        <v>1</v>
      </c>
      <c r="G1006" s="2" t="s">
        <v>10</v>
      </c>
      <c r="H1006" s="2" t="s">
        <v>12</v>
      </c>
      <c r="I1006" s="2">
        <v>2</v>
      </c>
      <c r="J1006" s="2" t="s">
        <v>14</v>
      </c>
      <c r="K1006" s="2" t="s">
        <v>14</v>
      </c>
      <c r="L1006" s="2" t="s">
        <v>14</v>
      </c>
      <c r="M1006" s="2" t="s">
        <v>13</v>
      </c>
      <c r="N1006" s="2" t="s">
        <v>13</v>
      </c>
      <c r="O1006" s="2">
        <v>0</v>
      </c>
    </row>
    <row r="1007" spans="1:15" ht="15" customHeight="1" x14ac:dyDescent="0.25">
      <c r="A1007" s="3">
        <v>10</v>
      </c>
      <c r="B1007" s="3" t="s">
        <v>14</v>
      </c>
      <c r="C1007" s="3" t="s">
        <v>20</v>
      </c>
      <c r="D1007" s="2" t="s">
        <v>106</v>
      </c>
      <c r="E1007" s="3">
        <v>0</v>
      </c>
      <c r="F1007" s="3">
        <v>0</v>
      </c>
      <c r="G1007" s="3" t="s">
        <v>10</v>
      </c>
      <c r="H1007" s="3" t="s">
        <v>16</v>
      </c>
      <c r="I1007" s="3" t="s">
        <v>15</v>
      </c>
      <c r="J1007" s="3" t="s">
        <v>14</v>
      </c>
      <c r="K1007" s="3" t="s">
        <v>14</v>
      </c>
      <c r="L1007" s="3" t="s">
        <v>14</v>
      </c>
      <c r="M1007" s="3" t="s">
        <v>14</v>
      </c>
      <c r="N1007" s="3" t="s">
        <v>14</v>
      </c>
      <c r="O1007" s="3">
        <v>1</v>
      </c>
    </row>
    <row r="1008" spans="1:15" ht="15" customHeight="1" x14ac:dyDescent="0.25">
      <c r="A1008" s="2">
        <v>5</v>
      </c>
      <c r="B1008" s="2" t="s">
        <v>10</v>
      </c>
      <c r="C1008" s="2" t="s">
        <v>19</v>
      </c>
      <c r="D1008" s="2" t="s">
        <v>106</v>
      </c>
      <c r="E1008" s="2">
        <v>0</v>
      </c>
      <c r="F1008" s="2">
        <v>0</v>
      </c>
      <c r="G1008" s="2" t="s">
        <v>10</v>
      </c>
      <c r="H1008" s="2" t="s">
        <v>12</v>
      </c>
      <c r="I1008" s="2" t="s">
        <v>15</v>
      </c>
      <c r="J1008" s="2" t="s">
        <v>14</v>
      </c>
      <c r="K1008" s="2" t="s">
        <v>14</v>
      </c>
      <c r="L1008" s="2" t="s">
        <v>14</v>
      </c>
      <c r="M1008" s="2" t="s">
        <v>14</v>
      </c>
      <c r="N1008" s="2" t="s">
        <v>14</v>
      </c>
      <c r="O1008" s="2">
        <v>1</v>
      </c>
    </row>
    <row r="1009" spans="1:15" ht="15" customHeight="1" x14ac:dyDescent="0.25">
      <c r="A1009" s="3">
        <v>5</v>
      </c>
      <c r="B1009" s="3" t="s">
        <v>10</v>
      </c>
      <c r="C1009" s="3" t="s">
        <v>19</v>
      </c>
      <c r="D1009" s="2" t="s">
        <v>106</v>
      </c>
      <c r="E1009" s="3">
        <v>1</v>
      </c>
      <c r="F1009" s="3">
        <v>0</v>
      </c>
      <c r="G1009" s="3" t="s">
        <v>10</v>
      </c>
      <c r="H1009" s="3" t="s">
        <v>12</v>
      </c>
      <c r="I1009" s="3">
        <v>2</v>
      </c>
      <c r="J1009" s="3" t="s">
        <v>14</v>
      </c>
      <c r="K1009" s="3" t="s">
        <v>14</v>
      </c>
      <c r="L1009" s="3" t="s">
        <v>14</v>
      </c>
      <c r="M1009" s="3" t="s">
        <v>14</v>
      </c>
      <c r="N1009" s="3" t="s">
        <v>14</v>
      </c>
      <c r="O1009" s="3">
        <v>1</v>
      </c>
    </row>
    <row r="1010" spans="1:15" ht="15" customHeight="1" x14ac:dyDescent="0.25">
      <c r="A1010" s="2">
        <v>5</v>
      </c>
      <c r="B1010" s="2" t="s">
        <v>10</v>
      </c>
      <c r="C1010" s="2" t="s">
        <v>20</v>
      </c>
      <c r="D1010" s="2" t="s">
        <v>106</v>
      </c>
      <c r="E1010" s="2">
        <v>0</v>
      </c>
      <c r="F1010" s="2">
        <v>1</v>
      </c>
      <c r="G1010" s="2" t="s">
        <v>10</v>
      </c>
      <c r="H1010" s="2" t="s">
        <v>12</v>
      </c>
      <c r="I1010" s="2">
        <v>1</v>
      </c>
      <c r="J1010" s="2" t="s">
        <v>14</v>
      </c>
      <c r="K1010" s="2" t="s">
        <v>14</v>
      </c>
      <c r="L1010" s="2" t="s">
        <v>14</v>
      </c>
      <c r="M1010" s="2" t="s">
        <v>13</v>
      </c>
      <c r="N1010" s="2" t="s">
        <v>14</v>
      </c>
      <c r="O1010" s="2">
        <v>1</v>
      </c>
    </row>
    <row r="1011" spans="1:15" ht="15" customHeight="1" x14ac:dyDescent="0.25">
      <c r="A1011" s="3">
        <v>5</v>
      </c>
      <c r="B1011" s="3" t="s">
        <v>18</v>
      </c>
      <c r="C1011" s="3" t="s">
        <v>20</v>
      </c>
      <c r="D1011" s="2" t="s">
        <v>106</v>
      </c>
      <c r="E1011" s="3">
        <v>0</v>
      </c>
      <c r="F1011" s="3">
        <v>0</v>
      </c>
      <c r="G1011" s="3" t="s">
        <v>10</v>
      </c>
      <c r="H1011" s="3" t="s">
        <v>16</v>
      </c>
      <c r="I1011" s="3">
        <v>1</v>
      </c>
      <c r="J1011" s="3" t="s">
        <v>14</v>
      </c>
      <c r="K1011" s="3" t="s">
        <v>13</v>
      </c>
      <c r="L1011" s="3" t="s">
        <v>13</v>
      </c>
      <c r="M1011" s="3" t="s">
        <v>14</v>
      </c>
      <c r="N1011" s="3" t="s">
        <v>14</v>
      </c>
      <c r="O1011" s="3">
        <v>1</v>
      </c>
    </row>
    <row r="1012" spans="1:15" ht="15" customHeight="1" x14ac:dyDescent="0.25">
      <c r="A1012" s="2">
        <v>10</v>
      </c>
      <c r="B1012" s="2" t="s">
        <v>10</v>
      </c>
      <c r="C1012" s="2" t="s">
        <v>20</v>
      </c>
      <c r="D1012" s="2" t="s">
        <v>106</v>
      </c>
      <c r="E1012" s="2">
        <v>0</v>
      </c>
      <c r="F1012" s="2">
        <v>1</v>
      </c>
      <c r="G1012" s="2" t="s">
        <v>10</v>
      </c>
      <c r="H1012" s="2" t="s">
        <v>12</v>
      </c>
      <c r="I1012" s="2">
        <v>2</v>
      </c>
      <c r="J1012" s="2" t="s">
        <v>14</v>
      </c>
      <c r="K1012" s="2" t="s">
        <v>13</v>
      </c>
      <c r="L1012" s="2" t="s">
        <v>13</v>
      </c>
      <c r="M1012" s="2" t="s">
        <v>13</v>
      </c>
      <c r="N1012" s="2" t="s">
        <v>14</v>
      </c>
      <c r="O1012" s="2">
        <v>1</v>
      </c>
    </row>
    <row r="1013" spans="1:15" ht="15" customHeight="1" x14ac:dyDescent="0.25">
      <c r="A1013" s="3">
        <v>0</v>
      </c>
      <c r="B1013" s="3" t="s">
        <v>14</v>
      </c>
      <c r="C1013" s="3" t="s">
        <v>20</v>
      </c>
      <c r="D1013" s="2" t="s">
        <v>106</v>
      </c>
      <c r="E1013" s="3">
        <v>2</v>
      </c>
      <c r="F1013" s="3">
        <v>0</v>
      </c>
      <c r="G1013" s="3" t="s">
        <v>10</v>
      </c>
      <c r="H1013" s="3" t="s">
        <v>12</v>
      </c>
      <c r="I1013" s="3" t="s">
        <v>15</v>
      </c>
      <c r="J1013" s="3" t="s">
        <v>14</v>
      </c>
      <c r="K1013" s="3" t="s">
        <v>14</v>
      </c>
      <c r="L1013" s="3" t="s">
        <v>14</v>
      </c>
      <c r="M1013" s="3" t="s">
        <v>14</v>
      </c>
      <c r="N1013" s="3" t="s">
        <v>14</v>
      </c>
      <c r="O1013" s="3">
        <v>0</v>
      </c>
    </row>
    <row r="1014" spans="1:15" ht="15" customHeight="1" x14ac:dyDescent="0.25">
      <c r="A1014" s="2">
        <v>0</v>
      </c>
      <c r="B1014" s="2" t="s">
        <v>10</v>
      </c>
      <c r="C1014" s="2" t="s">
        <v>11</v>
      </c>
      <c r="D1014" s="2" t="s">
        <v>106</v>
      </c>
      <c r="E1014" s="2">
        <v>0</v>
      </c>
      <c r="F1014" s="2">
        <v>1</v>
      </c>
      <c r="G1014" s="2" t="s">
        <v>10</v>
      </c>
      <c r="H1014" s="2" t="s">
        <v>12</v>
      </c>
      <c r="I1014" s="2" t="s">
        <v>15</v>
      </c>
      <c r="J1014" s="2" t="s">
        <v>14</v>
      </c>
      <c r="K1014" s="2" t="s">
        <v>14</v>
      </c>
      <c r="L1014" s="2" t="s">
        <v>14</v>
      </c>
      <c r="M1014" s="2" t="s">
        <v>14</v>
      </c>
      <c r="N1014" s="2" t="s">
        <v>14</v>
      </c>
      <c r="O1014" s="2">
        <v>1</v>
      </c>
    </row>
    <row r="1015" spans="1:15" ht="15" customHeight="1" x14ac:dyDescent="0.25">
      <c r="A1015" s="3">
        <v>5</v>
      </c>
      <c r="B1015" s="3" t="s">
        <v>10</v>
      </c>
      <c r="C1015" s="3" t="s">
        <v>11</v>
      </c>
      <c r="D1015" s="2" t="s">
        <v>106</v>
      </c>
      <c r="E1015" s="3">
        <v>1</v>
      </c>
      <c r="F1015" s="3">
        <v>1</v>
      </c>
      <c r="G1015" s="3" t="s">
        <v>10</v>
      </c>
      <c r="H1015" s="3" t="s">
        <v>16</v>
      </c>
      <c r="I1015" s="3">
        <v>1</v>
      </c>
      <c r="J1015" s="3" t="s">
        <v>13</v>
      </c>
      <c r="K1015" s="3" t="s">
        <v>14</v>
      </c>
      <c r="L1015" s="3" t="s">
        <v>14</v>
      </c>
      <c r="M1015" s="3" t="s">
        <v>14</v>
      </c>
      <c r="N1015" s="3" t="s">
        <v>14</v>
      </c>
      <c r="O1015" s="3">
        <v>0</v>
      </c>
    </row>
    <row r="1016" spans="1:15" ht="15" customHeight="1" x14ac:dyDescent="0.25">
      <c r="A1016" s="2">
        <v>5</v>
      </c>
      <c r="B1016" s="2" t="s">
        <v>14</v>
      </c>
      <c r="C1016" s="2" t="s">
        <v>19</v>
      </c>
      <c r="D1016" s="2" t="s">
        <v>106</v>
      </c>
      <c r="E1016" s="2">
        <v>0</v>
      </c>
      <c r="F1016" s="2">
        <v>0</v>
      </c>
      <c r="G1016" s="2" t="s">
        <v>10</v>
      </c>
      <c r="H1016" s="2" t="s">
        <v>12</v>
      </c>
      <c r="I1016" s="2">
        <v>2</v>
      </c>
      <c r="J1016" s="2" t="s">
        <v>14</v>
      </c>
      <c r="K1016" s="2" t="s">
        <v>14</v>
      </c>
      <c r="L1016" s="2" t="s">
        <v>14</v>
      </c>
      <c r="M1016" s="2" t="s">
        <v>14</v>
      </c>
      <c r="N1016" s="2" t="s">
        <v>14</v>
      </c>
      <c r="O1016" s="2">
        <v>1</v>
      </c>
    </row>
    <row r="1017" spans="1:15" ht="15" customHeight="1" x14ac:dyDescent="0.25">
      <c r="A1017" s="3">
        <v>10</v>
      </c>
      <c r="B1017" s="3" t="s">
        <v>18</v>
      </c>
      <c r="C1017" s="3" t="s">
        <v>19</v>
      </c>
      <c r="D1017" s="2" t="s">
        <v>106</v>
      </c>
      <c r="E1017" s="3">
        <v>0</v>
      </c>
      <c r="F1017" s="3">
        <v>0</v>
      </c>
      <c r="G1017" s="3" t="s">
        <v>10</v>
      </c>
      <c r="H1017" s="3" t="s">
        <v>12</v>
      </c>
      <c r="I1017" s="3" t="s">
        <v>15</v>
      </c>
      <c r="J1017" s="3" t="s">
        <v>14</v>
      </c>
      <c r="K1017" s="3" t="s">
        <v>14</v>
      </c>
      <c r="L1017" s="3" t="s">
        <v>14</v>
      </c>
      <c r="M1017" s="3" t="s">
        <v>14</v>
      </c>
      <c r="N1017" s="3" t="s">
        <v>14</v>
      </c>
      <c r="O1017" s="3">
        <v>1</v>
      </c>
    </row>
    <row r="1018" spans="1:15" ht="15" customHeight="1" x14ac:dyDescent="0.25">
      <c r="A1018" s="2">
        <v>10</v>
      </c>
      <c r="B1018" s="2" t="s">
        <v>14</v>
      </c>
      <c r="C1018" s="2" t="s">
        <v>19</v>
      </c>
      <c r="D1018" s="2" t="s">
        <v>106</v>
      </c>
      <c r="E1018" s="2">
        <v>0</v>
      </c>
      <c r="F1018" s="2">
        <v>0</v>
      </c>
      <c r="G1018" s="2" t="s">
        <v>10</v>
      </c>
      <c r="H1018" s="2" t="s">
        <v>12</v>
      </c>
      <c r="I1018" s="2">
        <v>2</v>
      </c>
      <c r="J1018" s="2" t="s">
        <v>14</v>
      </c>
      <c r="K1018" s="2" t="s">
        <v>14</v>
      </c>
      <c r="L1018" s="2" t="s">
        <v>14</v>
      </c>
      <c r="M1018" s="2" t="s">
        <v>14</v>
      </c>
      <c r="N1018" s="2" t="s">
        <v>14</v>
      </c>
      <c r="O1018" s="2">
        <v>1</v>
      </c>
    </row>
    <row r="1019" spans="1:15" ht="15" customHeight="1" x14ac:dyDescent="0.25">
      <c r="A1019" s="3">
        <v>5</v>
      </c>
      <c r="B1019" s="3" t="s">
        <v>10</v>
      </c>
      <c r="C1019" s="3" t="s">
        <v>19</v>
      </c>
      <c r="D1019" s="2" t="s">
        <v>106</v>
      </c>
      <c r="E1019" s="3">
        <v>0</v>
      </c>
      <c r="F1019" s="3">
        <v>0</v>
      </c>
      <c r="G1019" s="3" t="s">
        <v>10</v>
      </c>
      <c r="H1019" s="3" t="s">
        <v>12</v>
      </c>
      <c r="I1019" s="3">
        <v>2</v>
      </c>
      <c r="J1019" s="3" t="s">
        <v>14</v>
      </c>
      <c r="K1019" s="3" t="s">
        <v>14</v>
      </c>
      <c r="L1019" s="3" t="s">
        <v>14</v>
      </c>
      <c r="M1019" s="3" t="s">
        <v>14</v>
      </c>
      <c r="N1019" s="3" t="s">
        <v>14</v>
      </c>
      <c r="O1019" s="3">
        <v>1</v>
      </c>
    </row>
    <row r="1020" spans="1:15" ht="15" customHeight="1" x14ac:dyDescent="0.25">
      <c r="A1020" s="2">
        <v>10</v>
      </c>
      <c r="B1020" s="2" t="s">
        <v>18</v>
      </c>
      <c r="C1020" s="2" t="s">
        <v>19</v>
      </c>
      <c r="D1020" s="2" t="s">
        <v>106</v>
      </c>
      <c r="E1020" s="2">
        <v>0</v>
      </c>
      <c r="F1020" s="2">
        <v>0</v>
      </c>
      <c r="G1020" s="2" t="s">
        <v>10</v>
      </c>
      <c r="H1020" s="2" t="s">
        <v>12</v>
      </c>
      <c r="I1020" s="2">
        <v>2</v>
      </c>
      <c r="J1020" s="2" t="s">
        <v>14</v>
      </c>
      <c r="K1020" s="2" t="s">
        <v>14</v>
      </c>
      <c r="L1020" s="2" t="s">
        <v>14</v>
      </c>
      <c r="M1020" s="2" t="s">
        <v>14</v>
      </c>
      <c r="N1020" s="2" t="s">
        <v>14</v>
      </c>
      <c r="O1020" s="2">
        <v>1</v>
      </c>
    </row>
    <row r="1021" spans="1:15" ht="15" customHeight="1" x14ac:dyDescent="0.25">
      <c r="A1021" s="3">
        <v>5</v>
      </c>
      <c r="B1021" s="3" t="s">
        <v>10</v>
      </c>
      <c r="C1021" s="3" t="s">
        <v>19</v>
      </c>
      <c r="D1021" s="2" t="s">
        <v>106</v>
      </c>
      <c r="E1021" s="3">
        <v>0</v>
      </c>
      <c r="F1021" s="3">
        <v>0</v>
      </c>
      <c r="G1021" s="3" t="s">
        <v>10</v>
      </c>
      <c r="H1021" s="3" t="s">
        <v>12</v>
      </c>
      <c r="I1021" s="3">
        <v>2</v>
      </c>
      <c r="J1021" s="3" t="s">
        <v>14</v>
      </c>
      <c r="K1021" s="3" t="s">
        <v>14</v>
      </c>
      <c r="L1021" s="3" t="s">
        <v>14</v>
      </c>
      <c r="M1021" s="3" t="s">
        <v>14</v>
      </c>
      <c r="N1021" s="3" t="s">
        <v>14</v>
      </c>
      <c r="O1021" s="3">
        <v>1</v>
      </c>
    </row>
    <row r="1022" spans="1:15" ht="15" customHeight="1" x14ac:dyDescent="0.25">
      <c r="A1022" s="2">
        <v>10</v>
      </c>
      <c r="B1022" s="2" t="s">
        <v>18</v>
      </c>
      <c r="C1022" s="2" t="s">
        <v>19</v>
      </c>
      <c r="D1022" s="2" t="s">
        <v>106</v>
      </c>
      <c r="E1022" s="2">
        <v>0</v>
      </c>
      <c r="F1022" s="2">
        <v>0</v>
      </c>
      <c r="G1022" s="2" t="s">
        <v>10</v>
      </c>
      <c r="H1022" s="2" t="s">
        <v>12</v>
      </c>
      <c r="I1022" s="2">
        <v>2</v>
      </c>
      <c r="J1022" s="2" t="s">
        <v>14</v>
      </c>
      <c r="K1022" s="2" t="s">
        <v>14</v>
      </c>
      <c r="L1022" s="2" t="s">
        <v>14</v>
      </c>
      <c r="M1022" s="2" t="s">
        <v>14</v>
      </c>
      <c r="N1022" s="2" t="s">
        <v>14</v>
      </c>
      <c r="O1022" s="2">
        <v>1</v>
      </c>
    </row>
    <row r="1023" spans="1:15" ht="15" customHeight="1" x14ac:dyDescent="0.25">
      <c r="A1023" s="3">
        <v>5</v>
      </c>
      <c r="B1023" s="3" t="s">
        <v>14</v>
      </c>
      <c r="C1023" s="3" t="s">
        <v>19</v>
      </c>
      <c r="D1023" s="2" t="s">
        <v>106</v>
      </c>
      <c r="E1023" s="3">
        <v>0</v>
      </c>
      <c r="F1023" s="3">
        <v>0</v>
      </c>
      <c r="G1023" s="3" t="s">
        <v>10</v>
      </c>
      <c r="H1023" s="3" t="s">
        <v>12</v>
      </c>
      <c r="I1023" s="3">
        <v>2</v>
      </c>
      <c r="J1023" s="3" t="s">
        <v>14</v>
      </c>
      <c r="K1023" s="3" t="s">
        <v>14</v>
      </c>
      <c r="L1023" s="3" t="s">
        <v>14</v>
      </c>
      <c r="M1023" s="3" t="s">
        <v>14</v>
      </c>
      <c r="N1023" s="3" t="s">
        <v>14</v>
      </c>
      <c r="O1023" s="3">
        <v>1</v>
      </c>
    </row>
    <row r="1024" spans="1:15" ht="15" customHeight="1" x14ac:dyDescent="0.25">
      <c r="A1024" s="2">
        <v>10</v>
      </c>
      <c r="B1024" s="2" t="s">
        <v>10</v>
      </c>
      <c r="C1024" s="2" t="s">
        <v>19</v>
      </c>
      <c r="D1024" s="2" t="s">
        <v>106</v>
      </c>
      <c r="E1024" s="2">
        <v>0</v>
      </c>
      <c r="F1024" s="2">
        <v>0</v>
      </c>
      <c r="G1024" s="2" t="s">
        <v>10</v>
      </c>
      <c r="H1024" s="2" t="s">
        <v>12</v>
      </c>
      <c r="I1024" s="2">
        <v>2</v>
      </c>
      <c r="J1024" s="2" t="s">
        <v>14</v>
      </c>
      <c r="K1024" s="2" t="s">
        <v>14</v>
      </c>
      <c r="L1024" s="2" t="s">
        <v>14</v>
      </c>
      <c r="M1024" s="2" t="s">
        <v>14</v>
      </c>
      <c r="N1024" s="2" t="s">
        <v>14</v>
      </c>
      <c r="O1024" s="2">
        <v>1</v>
      </c>
    </row>
    <row r="1025" spans="1:16" ht="15" customHeight="1" x14ac:dyDescent="0.25">
      <c r="A1025" s="3">
        <v>20</v>
      </c>
      <c r="B1025" s="3" t="s">
        <v>10</v>
      </c>
      <c r="C1025" s="3" t="s">
        <v>11</v>
      </c>
      <c r="D1025" s="2" t="s">
        <v>106</v>
      </c>
      <c r="E1025" s="3">
        <v>1</v>
      </c>
      <c r="F1025" s="3">
        <v>0</v>
      </c>
      <c r="G1025" s="3" t="s">
        <v>10</v>
      </c>
      <c r="H1025" s="3" t="s">
        <v>12</v>
      </c>
      <c r="I1025" s="3" t="s">
        <v>15</v>
      </c>
      <c r="J1025" s="3" t="s">
        <v>13</v>
      </c>
      <c r="K1025" s="3" t="s">
        <v>14</v>
      </c>
      <c r="L1025" s="3" t="s">
        <v>14</v>
      </c>
      <c r="M1025" s="3" t="s">
        <v>14</v>
      </c>
      <c r="N1025" s="3" t="s">
        <v>14</v>
      </c>
      <c r="O1025" s="3">
        <v>0</v>
      </c>
    </row>
    <row r="1026" spans="1:16" ht="15" customHeight="1" x14ac:dyDescent="0.25">
      <c r="A1026" s="2">
        <v>0</v>
      </c>
      <c r="B1026" s="2" t="s">
        <v>10</v>
      </c>
      <c r="C1026" s="2" t="s">
        <v>19</v>
      </c>
      <c r="D1026" s="2" t="s">
        <v>106</v>
      </c>
      <c r="E1026" s="2">
        <v>0</v>
      </c>
      <c r="F1026" s="2">
        <v>0</v>
      </c>
      <c r="G1026" s="2" t="s">
        <v>10</v>
      </c>
      <c r="H1026" s="2" t="s">
        <v>12</v>
      </c>
      <c r="I1026" s="2">
        <v>2</v>
      </c>
      <c r="J1026" s="2" t="s">
        <v>14</v>
      </c>
      <c r="K1026" s="2" t="s">
        <v>13</v>
      </c>
      <c r="L1026" s="2" t="s">
        <v>14</v>
      </c>
      <c r="M1026" s="2" t="s">
        <v>14</v>
      </c>
      <c r="N1026" s="2" t="s">
        <v>14</v>
      </c>
      <c r="O1026" s="2">
        <v>1</v>
      </c>
    </row>
    <row r="1027" spans="1:16" ht="15" customHeight="1" x14ac:dyDescent="0.25">
      <c r="A1027" s="3">
        <v>10</v>
      </c>
      <c r="B1027" s="3" t="s">
        <v>14</v>
      </c>
      <c r="C1027" s="3" t="s">
        <v>19</v>
      </c>
      <c r="D1027" s="2" t="s">
        <v>106</v>
      </c>
      <c r="E1027" s="3">
        <v>0</v>
      </c>
      <c r="F1027" s="3">
        <v>0</v>
      </c>
      <c r="G1027" s="3" t="s">
        <v>10</v>
      </c>
      <c r="H1027" s="3" t="s">
        <v>16</v>
      </c>
      <c r="I1027" s="3">
        <v>2</v>
      </c>
      <c r="J1027" s="3" t="s">
        <v>14</v>
      </c>
      <c r="K1027" s="3" t="s">
        <v>14</v>
      </c>
      <c r="L1027" s="3" t="s">
        <v>14</v>
      </c>
      <c r="M1027" s="3" t="s">
        <v>14</v>
      </c>
      <c r="N1027" s="3" t="s">
        <v>14</v>
      </c>
      <c r="O1027" s="3">
        <v>1</v>
      </c>
    </row>
    <row r="1028" spans="1:16" ht="15" customHeight="1" x14ac:dyDescent="0.25">
      <c r="A1028" s="2">
        <v>5</v>
      </c>
      <c r="B1028" s="2" t="s">
        <v>14</v>
      </c>
      <c r="C1028" s="2" t="s">
        <v>19</v>
      </c>
      <c r="D1028" s="2" t="s">
        <v>106</v>
      </c>
      <c r="E1028" s="2">
        <v>0</v>
      </c>
      <c r="F1028" s="2">
        <v>0</v>
      </c>
      <c r="G1028" s="2" t="s">
        <v>10</v>
      </c>
      <c r="H1028" s="2" t="s">
        <v>16</v>
      </c>
      <c r="I1028" s="2" t="s">
        <v>15</v>
      </c>
      <c r="J1028" s="2" t="s">
        <v>14</v>
      </c>
      <c r="K1028" s="2" t="s">
        <v>14</v>
      </c>
      <c r="L1028" s="2" t="s">
        <v>14</v>
      </c>
      <c r="M1028" s="2" t="s">
        <v>14</v>
      </c>
      <c r="N1028" s="2" t="s">
        <v>14</v>
      </c>
      <c r="O1028" s="2">
        <v>1</v>
      </c>
    </row>
    <row r="1029" spans="1:16" ht="15" customHeight="1" x14ac:dyDescent="0.25">
      <c r="A1029" s="3">
        <v>5</v>
      </c>
      <c r="B1029" s="3" t="s">
        <v>10</v>
      </c>
      <c r="C1029" s="3" t="s">
        <v>11</v>
      </c>
      <c r="D1029" s="2" t="s">
        <v>106</v>
      </c>
      <c r="E1029" s="3">
        <v>0</v>
      </c>
      <c r="F1029" s="3">
        <v>0</v>
      </c>
      <c r="G1029" s="3" t="s">
        <v>10</v>
      </c>
      <c r="H1029" s="3" t="s">
        <v>12</v>
      </c>
      <c r="I1029" s="3">
        <v>2</v>
      </c>
      <c r="J1029" s="3" t="s">
        <v>14</v>
      </c>
      <c r="K1029" s="3" t="s">
        <v>14</v>
      </c>
      <c r="L1029" s="3" t="s">
        <v>14</v>
      </c>
      <c r="M1029" s="3" t="s">
        <v>14</v>
      </c>
      <c r="N1029" s="3" t="s">
        <v>14</v>
      </c>
      <c r="O1029" s="3">
        <v>1</v>
      </c>
    </row>
    <row r="1030" spans="1:16" ht="15" customHeight="1" x14ac:dyDescent="0.25">
      <c r="A1030" s="2">
        <v>5</v>
      </c>
      <c r="B1030" s="2" t="s">
        <v>18</v>
      </c>
      <c r="C1030" s="2" t="s">
        <v>19</v>
      </c>
      <c r="D1030" s="2" t="s">
        <v>106</v>
      </c>
      <c r="E1030" s="2">
        <v>0</v>
      </c>
      <c r="F1030" s="2">
        <v>1</v>
      </c>
      <c r="G1030" s="2" t="s">
        <v>10</v>
      </c>
      <c r="H1030" s="2" t="s">
        <v>12</v>
      </c>
      <c r="I1030" s="2">
        <v>2</v>
      </c>
      <c r="J1030" s="2" t="s">
        <v>14</v>
      </c>
      <c r="K1030" s="2" t="s">
        <v>14</v>
      </c>
      <c r="L1030" s="2" t="s">
        <v>14</v>
      </c>
      <c r="M1030" s="2" t="s">
        <v>14</v>
      </c>
      <c r="N1030" s="2" t="s">
        <v>14</v>
      </c>
      <c r="O1030" s="2">
        <v>1</v>
      </c>
    </row>
    <row r="1031" spans="1:16" ht="15" customHeight="1" x14ac:dyDescent="0.25">
      <c r="A1031" s="3">
        <v>20</v>
      </c>
      <c r="B1031" s="3" t="s">
        <v>18</v>
      </c>
      <c r="C1031" s="3" t="s">
        <v>19</v>
      </c>
      <c r="D1031" s="2" t="s">
        <v>106</v>
      </c>
      <c r="E1031" s="3">
        <v>0</v>
      </c>
      <c r="F1031" s="3">
        <v>0</v>
      </c>
      <c r="G1031" s="3" t="s">
        <v>10</v>
      </c>
      <c r="H1031" s="3" t="s">
        <v>12</v>
      </c>
      <c r="I1031" s="3">
        <v>2</v>
      </c>
      <c r="J1031" s="3" t="s">
        <v>14</v>
      </c>
      <c r="K1031" s="3" t="s">
        <v>14</v>
      </c>
      <c r="L1031" s="3" t="s">
        <v>14</v>
      </c>
      <c r="M1031" s="3" t="s">
        <v>13</v>
      </c>
      <c r="N1031" s="3" t="s">
        <v>14</v>
      </c>
      <c r="O1031" s="3">
        <v>1</v>
      </c>
    </row>
    <row r="1032" spans="1:16" ht="15" customHeight="1" x14ac:dyDescent="0.25">
      <c r="A1032" s="2">
        <v>5</v>
      </c>
      <c r="B1032" s="2" t="s">
        <v>10</v>
      </c>
      <c r="C1032" s="2" t="s">
        <v>19</v>
      </c>
      <c r="D1032" s="2" t="s">
        <v>106</v>
      </c>
      <c r="E1032" s="2">
        <v>0</v>
      </c>
      <c r="F1032" s="2">
        <v>0</v>
      </c>
      <c r="G1032" s="2" t="s">
        <v>10</v>
      </c>
      <c r="H1032" s="2" t="s">
        <v>12</v>
      </c>
      <c r="I1032" s="2">
        <v>2</v>
      </c>
      <c r="J1032" s="2" t="s">
        <v>14</v>
      </c>
      <c r="K1032" s="2" t="s">
        <v>13</v>
      </c>
      <c r="L1032" s="2" t="s">
        <v>14</v>
      </c>
      <c r="M1032" s="2" t="s">
        <v>14</v>
      </c>
      <c r="N1032" s="2" t="s">
        <v>14</v>
      </c>
      <c r="O1032" s="2">
        <v>1</v>
      </c>
    </row>
    <row r="1033" spans="1:16" ht="15" customHeight="1" x14ac:dyDescent="0.25">
      <c r="A1033" s="3">
        <v>10</v>
      </c>
      <c r="B1033" s="3" t="s">
        <v>10</v>
      </c>
      <c r="C1033" s="3" t="s">
        <v>19</v>
      </c>
      <c r="D1033" s="2" t="s">
        <v>106</v>
      </c>
      <c r="E1033" s="3">
        <v>0</v>
      </c>
      <c r="F1033" s="3">
        <v>0</v>
      </c>
      <c r="G1033" s="3" t="s">
        <v>10</v>
      </c>
      <c r="H1033" s="3" t="s">
        <v>12</v>
      </c>
      <c r="I1033" s="3">
        <v>2</v>
      </c>
      <c r="J1033" s="3" t="s">
        <v>14</v>
      </c>
      <c r="K1033" s="3" t="s">
        <v>14</v>
      </c>
      <c r="L1033" s="3" t="s">
        <v>14</v>
      </c>
      <c r="M1033" s="3" t="s">
        <v>14</v>
      </c>
      <c r="N1033" s="3" t="s">
        <v>14</v>
      </c>
      <c r="O1033" s="3">
        <v>1</v>
      </c>
    </row>
    <row r="1034" spans="1:16" ht="15" customHeight="1" x14ac:dyDescent="0.25">
      <c r="A1034" s="2">
        <v>10</v>
      </c>
      <c r="B1034" s="2" t="s">
        <v>10</v>
      </c>
      <c r="C1034" s="2" t="s">
        <v>11</v>
      </c>
      <c r="D1034" s="2" t="s">
        <v>106</v>
      </c>
      <c r="E1034" s="2">
        <v>1</v>
      </c>
      <c r="F1034" s="2">
        <v>0</v>
      </c>
      <c r="G1034" s="2" t="s">
        <v>10</v>
      </c>
      <c r="H1034" s="2" t="s">
        <v>12</v>
      </c>
      <c r="I1034" s="2" t="s">
        <v>15</v>
      </c>
      <c r="J1034" s="2" t="s">
        <v>14</v>
      </c>
      <c r="K1034" s="2" t="s">
        <v>14</v>
      </c>
      <c r="L1034" s="2" t="s">
        <v>14</v>
      </c>
      <c r="M1034" s="2" t="s">
        <v>14</v>
      </c>
      <c r="N1034" s="2" t="s">
        <v>14</v>
      </c>
      <c r="O1034" s="2">
        <v>1</v>
      </c>
    </row>
    <row r="1035" spans="1:16" ht="15" customHeight="1" x14ac:dyDescent="0.25">
      <c r="A1035" s="3">
        <v>5</v>
      </c>
      <c r="B1035" s="3" t="s">
        <v>10</v>
      </c>
      <c r="C1035" s="3" t="s">
        <v>11</v>
      </c>
      <c r="D1035" s="2" t="s">
        <v>106</v>
      </c>
      <c r="E1035" s="3">
        <v>0</v>
      </c>
      <c r="F1035" s="3">
        <v>0</v>
      </c>
      <c r="G1035" s="3" t="s">
        <v>10</v>
      </c>
      <c r="H1035" s="3" t="s">
        <v>16</v>
      </c>
      <c r="I1035" s="3">
        <v>2</v>
      </c>
      <c r="J1035" s="3" t="s">
        <v>13</v>
      </c>
      <c r="K1035" s="3" t="s">
        <v>14</v>
      </c>
      <c r="L1035" s="3" t="s">
        <v>14</v>
      </c>
      <c r="M1035" s="3" t="s">
        <v>14</v>
      </c>
      <c r="N1035" s="3" t="s">
        <v>14</v>
      </c>
      <c r="O1035" s="3">
        <v>1</v>
      </c>
    </row>
    <row r="1036" spans="1:16" ht="15" customHeight="1" x14ac:dyDescent="0.25">
      <c r="A1036" s="2">
        <v>10</v>
      </c>
      <c r="B1036" s="2" t="s">
        <v>14</v>
      </c>
      <c r="C1036" s="2" t="s">
        <v>11</v>
      </c>
      <c r="D1036" s="2" t="s">
        <v>106</v>
      </c>
      <c r="E1036" s="2">
        <v>2</v>
      </c>
      <c r="F1036" s="2">
        <v>0</v>
      </c>
      <c r="G1036" s="2" t="s">
        <v>10</v>
      </c>
      <c r="H1036" s="2" t="s">
        <v>12</v>
      </c>
      <c r="I1036" s="2">
        <v>1</v>
      </c>
      <c r="J1036" s="2" t="s">
        <v>14</v>
      </c>
      <c r="K1036" s="2" t="s">
        <v>14</v>
      </c>
      <c r="L1036" s="2" t="s">
        <v>14</v>
      </c>
      <c r="M1036" s="2" t="s">
        <v>13</v>
      </c>
      <c r="N1036" s="2" t="s">
        <v>13</v>
      </c>
      <c r="O1036" s="2">
        <v>0</v>
      </c>
      <c r="P1036" s="24"/>
    </row>
    <row r="1037" spans="1:16" ht="15" customHeight="1" x14ac:dyDescent="0.25">
      <c r="A1037" s="3">
        <v>10</v>
      </c>
      <c r="B1037" s="3" t="s">
        <v>10</v>
      </c>
      <c r="C1037" s="3" t="s">
        <v>11</v>
      </c>
      <c r="D1037" s="2" t="s">
        <v>106</v>
      </c>
      <c r="E1037" s="3">
        <v>0</v>
      </c>
      <c r="F1037" s="3">
        <v>0</v>
      </c>
      <c r="G1037" s="3" t="s">
        <v>17</v>
      </c>
      <c r="H1037" s="3" t="s">
        <v>106</v>
      </c>
      <c r="I1037" s="3">
        <v>1</v>
      </c>
      <c r="J1037" s="3" t="s">
        <v>14</v>
      </c>
      <c r="K1037" s="3" t="s">
        <v>13</v>
      </c>
      <c r="L1037" s="3" t="s">
        <v>13</v>
      </c>
      <c r="M1037" s="3" t="s">
        <v>13</v>
      </c>
      <c r="N1037" s="3" t="s">
        <v>14</v>
      </c>
      <c r="O1037" s="3">
        <v>1</v>
      </c>
    </row>
    <row r="1038" spans="1:16" ht="15" customHeight="1" x14ac:dyDescent="0.25">
      <c r="A1038" s="2">
        <v>10</v>
      </c>
      <c r="B1038" s="2" t="s">
        <v>18</v>
      </c>
      <c r="C1038" s="2" t="s">
        <v>11</v>
      </c>
      <c r="D1038" s="2" t="s">
        <v>106</v>
      </c>
      <c r="E1038" s="2">
        <v>0</v>
      </c>
      <c r="F1038" s="2">
        <v>0</v>
      </c>
      <c r="G1038" s="2" t="s">
        <v>10</v>
      </c>
      <c r="H1038" s="2" t="s">
        <v>16</v>
      </c>
      <c r="I1038" s="2">
        <v>2</v>
      </c>
      <c r="J1038" s="2" t="s">
        <v>14</v>
      </c>
      <c r="K1038" s="2" t="s">
        <v>14</v>
      </c>
      <c r="L1038" s="2" t="s">
        <v>14</v>
      </c>
      <c r="M1038" s="2" t="s">
        <v>14</v>
      </c>
      <c r="N1038" s="2" t="s">
        <v>14</v>
      </c>
      <c r="O1038" s="2">
        <v>1</v>
      </c>
    </row>
    <row r="1039" spans="1:16" ht="15" customHeight="1" x14ac:dyDescent="0.25">
      <c r="A1039" s="3">
        <v>20</v>
      </c>
      <c r="B1039" s="3" t="s">
        <v>10</v>
      </c>
      <c r="C1039" s="3" t="s">
        <v>11</v>
      </c>
      <c r="D1039" s="2" t="s">
        <v>106</v>
      </c>
      <c r="E1039" s="3">
        <v>1</v>
      </c>
      <c r="F1039" s="3">
        <v>0</v>
      </c>
      <c r="G1039" s="3" t="s">
        <v>10</v>
      </c>
      <c r="H1039" s="3" t="s">
        <v>12</v>
      </c>
      <c r="I1039" s="3">
        <v>2</v>
      </c>
      <c r="J1039" s="3" t="s">
        <v>14</v>
      </c>
      <c r="K1039" s="3" t="s">
        <v>14</v>
      </c>
      <c r="L1039" s="3" t="s">
        <v>14</v>
      </c>
      <c r="M1039" s="3" t="s">
        <v>13</v>
      </c>
      <c r="N1039" s="3" t="s">
        <v>13</v>
      </c>
      <c r="O1039" s="3">
        <v>0</v>
      </c>
    </row>
    <row r="1040" spans="1:16" ht="15" customHeight="1" x14ac:dyDescent="0.25">
      <c r="A1040" s="2">
        <v>10</v>
      </c>
      <c r="B1040" s="2" t="s">
        <v>10</v>
      </c>
      <c r="C1040" s="2" t="s">
        <v>20</v>
      </c>
      <c r="D1040" s="2" t="s">
        <v>106</v>
      </c>
      <c r="E1040" s="2">
        <v>0</v>
      </c>
      <c r="F1040" s="2">
        <v>0</v>
      </c>
      <c r="G1040" s="2" t="s">
        <v>17</v>
      </c>
      <c r="H1040" s="2" t="s">
        <v>106</v>
      </c>
      <c r="I1040" s="2">
        <v>1</v>
      </c>
      <c r="J1040" s="2" t="s">
        <v>14</v>
      </c>
      <c r="K1040" s="2" t="s">
        <v>13</v>
      </c>
      <c r="L1040" s="2" t="s">
        <v>13</v>
      </c>
      <c r="M1040" s="2" t="s">
        <v>14</v>
      </c>
      <c r="N1040" s="2" t="s">
        <v>14</v>
      </c>
      <c r="O1040" s="2">
        <v>1</v>
      </c>
    </row>
    <row r="1041" spans="1:15" ht="15" customHeight="1" x14ac:dyDescent="0.25">
      <c r="A1041" s="3">
        <v>5</v>
      </c>
      <c r="B1041" s="3" t="s">
        <v>10</v>
      </c>
      <c r="C1041" s="3" t="s">
        <v>19</v>
      </c>
      <c r="D1041" s="2" t="s">
        <v>106</v>
      </c>
      <c r="E1041" s="3">
        <v>0</v>
      </c>
      <c r="F1041" s="3">
        <v>0</v>
      </c>
      <c r="G1041" s="3" t="s">
        <v>10</v>
      </c>
      <c r="H1041" s="3" t="s">
        <v>12</v>
      </c>
      <c r="I1041" s="3">
        <v>2</v>
      </c>
      <c r="J1041" s="3" t="s">
        <v>14</v>
      </c>
      <c r="K1041" s="3" t="s">
        <v>14</v>
      </c>
      <c r="L1041" s="3" t="s">
        <v>14</v>
      </c>
      <c r="M1041" s="3" t="s">
        <v>14</v>
      </c>
      <c r="N1041" s="3" t="s">
        <v>14</v>
      </c>
      <c r="O1041" s="3">
        <v>1</v>
      </c>
    </row>
    <row r="1042" spans="1:15" ht="15" customHeight="1" x14ac:dyDescent="0.25">
      <c r="A1042" s="2">
        <v>5</v>
      </c>
      <c r="B1042" s="2" t="s">
        <v>10</v>
      </c>
      <c r="C1042" s="2" t="s">
        <v>19</v>
      </c>
      <c r="D1042" s="2" t="s">
        <v>106</v>
      </c>
      <c r="E1042" s="2">
        <v>0</v>
      </c>
      <c r="F1042" s="2">
        <v>0</v>
      </c>
      <c r="G1042" s="2" t="s">
        <v>10</v>
      </c>
      <c r="H1042" s="2" t="s">
        <v>12</v>
      </c>
      <c r="I1042" s="2">
        <v>2</v>
      </c>
      <c r="J1042" s="2" t="s">
        <v>14</v>
      </c>
      <c r="K1042" s="2" t="s">
        <v>14</v>
      </c>
      <c r="L1042" s="2" t="s">
        <v>14</v>
      </c>
      <c r="M1042" s="2" t="s">
        <v>14</v>
      </c>
      <c r="N1042" s="2" t="s">
        <v>14</v>
      </c>
      <c r="O1042" s="2">
        <v>1</v>
      </c>
    </row>
    <row r="1043" spans="1:15" ht="15" customHeight="1" x14ac:dyDescent="0.25">
      <c r="A1043" s="3">
        <v>5</v>
      </c>
      <c r="B1043" s="3" t="s">
        <v>18</v>
      </c>
      <c r="C1043" s="3" t="s">
        <v>19</v>
      </c>
      <c r="D1043" s="2" t="s">
        <v>106</v>
      </c>
      <c r="E1043" s="3">
        <v>0</v>
      </c>
      <c r="F1043" s="3">
        <v>0</v>
      </c>
      <c r="G1043" s="3" t="s">
        <v>10</v>
      </c>
      <c r="H1043" s="3" t="s">
        <v>12</v>
      </c>
      <c r="I1043" s="3">
        <v>2</v>
      </c>
      <c r="J1043" s="3" t="s">
        <v>14</v>
      </c>
      <c r="K1043" s="3" t="s">
        <v>14</v>
      </c>
      <c r="L1043" s="3" t="s">
        <v>14</v>
      </c>
      <c r="M1043" s="3" t="s">
        <v>14</v>
      </c>
      <c r="N1043" s="3" t="s">
        <v>14</v>
      </c>
      <c r="O1043" s="3">
        <v>1</v>
      </c>
    </row>
    <row r="1044" spans="1:15" ht="15" customHeight="1" x14ac:dyDescent="0.25">
      <c r="A1044" s="2">
        <v>10</v>
      </c>
      <c r="B1044" s="2" t="s">
        <v>10</v>
      </c>
      <c r="C1044" s="2" t="s">
        <v>19</v>
      </c>
      <c r="D1044" s="2" t="s">
        <v>106</v>
      </c>
      <c r="E1044" s="2">
        <v>0</v>
      </c>
      <c r="F1044" s="2">
        <v>0</v>
      </c>
      <c r="G1044" s="2" t="s">
        <v>10</v>
      </c>
      <c r="H1044" s="2" t="s">
        <v>12</v>
      </c>
      <c r="I1044" s="2">
        <v>1</v>
      </c>
      <c r="J1044" s="2" t="s">
        <v>14</v>
      </c>
      <c r="K1044" s="2" t="s">
        <v>14</v>
      </c>
      <c r="L1044" s="2" t="s">
        <v>14</v>
      </c>
      <c r="M1044" s="2" t="s">
        <v>14</v>
      </c>
      <c r="N1044" s="2" t="s">
        <v>14</v>
      </c>
      <c r="O1044" s="2">
        <v>1</v>
      </c>
    </row>
    <row r="1045" spans="1:15" ht="15" customHeight="1" x14ac:dyDescent="0.25">
      <c r="A1045" s="3">
        <v>5</v>
      </c>
      <c r="B1045" s="3" t="s">
        <v>10</v>
      </c>
      <c r="C1045" s="3" t="s">
        <v>19</v>
      </c>
      <c r="D1045" s="2" t="s">
        <v>106</v>
      </c>
      <c r="E1045" s="3">
        <v>0</v>
      </c>
      <c r="F1045" s="3">
        <v>0</v>
      </c>
      <c r="G1045" s="3" t="s">
        <v>10</v>
      </c>
      <c r="H1045" s="3" t="s">
        <v>12</v>
      </c>
      <c r="I1045" s="3">
        <v>2</v>
      </c>
      <c r="J1045" s="3" t="s">
        <v>14</v>
      </c>
      <c r="K1045" s="3" t="s">
        <v>14</v>
      </c>
      <c r="L1045" s="3" t="s">
        <v>14</v>
      </c>
      <c r="M1045" s="3" t="s">
        <v>14</v>
      </c>
      <c r="N1045" s="3" t="s">
        <v>14</v>
      </c>
      <c r="O1045" s="3">
        <v>1</v>
      </c>
    </row>
    <row r="1046" spans="1:15" ht="15" customHeight="1" x14ac:dyDescent="0.25">
      <c r="A1046" s="2">
        <v>10</v>
      </c>
      <c r="B1046" s="2" t="s">
        <v>18</v>
      </c>
      <c r="C1046" s="2" t="s">
        <v>19</v>
      </c>
      <c r="D1046" s="2" t="s">
        <v>106</v>
      </c>
      <c r="E1046" s="2">
        <v>0</v>
      </c>
      <c r="F1046" s="2">
        <v>0</v>
      </c>
      <c r="G1046" s="2" t="s">
        <v>10</v>
      </c>
      <c r="H1046" s="2" t="s">
        <v>12</v>
      </c>
      <c r="I1046" s="2" t="s">
        <v>15</v>
      </c>
      <c r="J1046" s="2" t="s">
        <v>14</v>
      </c>
      <c r="K1046" s="2" t="s">
        <v>14</v>
      </c>
      <c r="L1046" s="2" t="s">
        <v>14</v>
      </c>
      <c r="M1046" s="2" t="s">
        <v>14</v>
      </c>
      <c r="N1046" s="2" t="s">
        <v>14</v>
      </c>
      <c r="O1046" s="2">
        <v>1</v>
      </c>
    </row>
    <row r="1047" spans="1:15" ht="15" customHeight="1" x14ac:dyDescent="0.25">
      <c r="A1047" s="3">
        <v>10</v>
      </c>
      <c r="B1047" s="3" t="s">
        <v>10</v>
      </c>
      <c r="C1047" s="3" t="s">
        <v>11</v>
      </c>
      <c r="D1047" s="2" t="s">
        <v>106</v>
      </c>
      <c r="E1047" s="3">
        <v>0</v>
      </c>
      <c r="F1047" s="3">
        <v>0</v>
      </c>
      <c r="G1047" s="3" t="s">
        <v>10</v>
      </c>
      <c r="H1047" s="3" t="s">
        <v>12</v>
      </c>
      <c r="I1047" s="3" t="s">
        <v>15</v>
      </c>
      <c r="J1047" s="3" t="s">
        <v>14</v>
      </c>
      <c r="K1047" s="3" t="s">
        <v>14</v>
      </c>
      <c r="L1047" s="3" t="s">
        <v>14</v>
      </c>
      <c r="M1047" s="3" t="s">
        <v>14</v>
      </c>
      <c r="N1047" s="3" t="s">
        <v>14</v>
      </c>
      <c r="O1047" s="3">
        <v>1</v>
      </c>
    </row>
    <row r="1048" spans="1:15" ht="15" customHeight="1" x14ac:dyDescent="0.25">
      <c r="A1048" s="2">
        <v>5</v>
      </c>
      <c r="B1048" s="2" t="s">
        <v>10</v>
      </c>
      <c r="C1048" s="2" t="s">
        <v>11</v>
      </c>
      <c r="D1048" s="2" t="s">
        <v>106</v>
      </c>
      <c r="E1048" s="2">
        <v>1</v>
      </c>
      <c r="F1048" s="2">
        <v>0</v>
      </c>
      <c r="G1048" s="2" t="s">
        <v>10</v>
      </c>
      <c r="H1048" s="2" t="s">
        <v>12</v>
      </c>
      <c r="I1048" s="2">
        <v>2</v>
      </c>
      <c r="J1048" s="2" t="s">
        <v>13</v>
      </c>
      <c r="K1048" s="2" t="s">
        <v>14</v>
      </c>
      <c r="L1048" s="2" t="s">
        <v>14</v>
      </c>
      <c r="M1048" s="2" t="s">
        <v>14</v>
      </c>
      <c r="N1048" s="2" t="s">
        <v>14</v>
      </c>
      <c r="O1048" s="2">
        <v>0</v>
      </c>
    </row>
    <row r="1049" spans="1:15" ht="15" customHeight="1" x14ac:dyDescent="0.25">
      <c r="A1049" s="3">
        <v>20</v>
      </c>
      <c r="B1049" s="3" t="s">
        <v>10</v>
      </c>
      <c r="C1049" s="3" t="s">
        <v>11</v>
      </c>
      <c r="D1049" s="2" t="s">
        <v>106</v>
      </c>
      <c r="E1049" s="3">
        <v>1</v>
      </c>
      <c r="F1049" s="3">
        <v>0</v>
      </c>
      <c r="G1049" s="3" t="s">
        <v>10</v>
      </c>
      <c r="H1049" s="3" t="s">
        <v>12</v>
      </c>
      <c r="I1049" s="3" t="s">
        <v>15</v>
      </c>
      <c r="J1049" s="3" t="s">
        <v>14</v>
      </c>
      <c r="K1049" s="3" t="s">
        <v>14</v>
      </c>
      <c r="L1049" s="3" t="s">
        <v>14</v>
      </c>
      <c r="M1049" s="3" t="s">
        <v>13</v>
      </c>
      <c r="N1049" s="3" t="s">
        <v>13</v>
      </c>
      <c r="O1049" s="3">
        <v>0</v>
      </c>
    </row>
    <row r="1050" spans="1:15" ht="15" customHeight="1" x14ac:dyDescent="0.25">
      <c r="A1050" s="2">
        <v>5</v>
      </c>
      <c r="B1050" s="2" t="s">
        <v>10</v>
      </c>
      <c r="C1050" s="2" t="s">
        <v>11</v>
      </c>
      <c r="D1050" s="2" t="s">
        <v>106</v>
      </c>
      <c r="E1050" s="2">
        <v>0</v>
      </c>
      <c r="F1050" s="2">
        <v>0</v>
      </c>
      <c r="G1050" s="2" t="s">
        <v>10</v>
      </c>
      <c r="H1050" s="2" t="s">
        <v>12</v>
      </c>
      <c r="I1050" s="2">
        <v>2</v>
      </c>
      <c r="J1050" s="2" t="s">
        <v>14</v>
      </c>
      <c r="K1050" s="2" t="s">
        <v>14</v>
      </c>
      <c r="L1050" s="2" t="s">
        <v>14</v>
      </c>
      <c r="M1050" s="2" t="s">
        <v>14</v>
      </c>
      <c r="N1050" s="2" t="s">
        <v>14</v>
      </c>
      <c r="O1050" s="2">
        <v>1</v>
      </c>
    </row>
    <row r="1051" spans="1:15" ht="15" customHeight="1" x14ac:dyDescent="0.25">
      <c r="A1051" s="3">
        <v>5</v>
      </c>
      <c r="B1051" s="3" t="s">
        <v>14</v>
      </c>
      <c r="C1051" s="3" t="s">
        <v>11</v>
      </c>
      <c r="D1051" s="2" t="s">
        <v>106</v>
      </c>
      <c r="E1051" s="3">
        <v>1</v>
      </c>
      <c r="F1051" s="3">
        <v>1</v>
      </c>
      <c r="G1051" s="3" t="s">
        <v>10</v>
      </c>
      <c r="H1051" s="3" t="s">
        <v>12</v>
      </c>
      <c r="I1051" s="3">
        <v>2</v>
      </c>
      <c r="J1051" s="3" t="s">
        <v>14</v>
      </c>
      <c r="K1051" s="3" t="s">
        <v>14</v>
      </c>
      <c r="L1051" s="3" t="s">
        <v>14</v>
      </c>
      <c r="M1051" s="3" t="s">
        <v>14</v>
      </c>
      <c r="N1051" s="3" t="s">
        <v>14</v>
      </c>
      <c r="O1051" s="3">
        <v>0</v>
      </c>
    </row>
    <row r="1052" spans="1:15" ht="15" customHeight="1" x14ac:dyDescent="0.25">
      <c r="A1052" s="2">
        <v>0</v>
      </c>
      <c r="B1052" s="2" t="s">
        <v>18</v>
      </c>
      <c r="C1052" s="2" t="s">
        <v>19</v>
      </c>
      <c r="D1052" s="2" t="s">
        <v>106</v>
      </c>
      <c r="E1052" s="2">
        <v>0</v>
      </c>
      <c r="F1052" s="2">
        <v>0</v>
      </c>
      <c r="G1052" s="2" t="s">
        <v>10</v>
      </c>
      <c r="H1052" s="2" t="s">
        <v>12</v>
      </c>
      <c r="I1052" s="2">
        <v>2</v>
      </c>
      <c r="J1052" s="2" t="s">
        <v>14</v>
      </c>
      <c r="K1052" s="2" t="s">
        <v>14</v>
      </c>
      <c r="L1052" s="2" t="s">
        <v>14</v>
      </c>
      <c r="M1052" s="2" t="s">
        <v>14</v>
      </c>
      <c r="N1052" s="2" t="s">
        <v>14</v>
      </c>
      <c r="O1052" s="2">
        <v>1</v>
      </c>
    </row>
    <row r="1053" spans="1:15" ht="15" customHeight="1" x14ac:dyDescent="0.25">
      <c r="A1053" s="3">
        <v>10</v>
      </c>
      <c r="B1053" s="3" t="s">
        <v>18</v>
      </c>
      <c r="C1053" s="3" t="s">
        <v>19</v>
      </c>
      <c r="D1053" s="2" t="s">
        <v>106</v>
      </c>
      <c r="E1053" s="3">
        <v>0</v>
      </c>
      <c r="F1053" s="3">
        <v>0</v>
      </c>
      <c r="G1053" s="3" t="s">
        <v>10</v>
      </c>
      <c r="H1053" s="3" t="s">
        <v>12</v>
      </c>
      <c r="I1053" s="3">
        <v>2</v>
      </c>
      <c r="J1053" s="3" t="s">
        <v>14</v>
      </c>
      <c r="K1053" s="3" t="s">
        <v>14</v>
      </c>
      <c r="L1053" s="3" t="s">
        <v>14</v>
      </c>
      <c r="M1053" s="3" t="s">
        <v>14</v>
      </c>
      <c r="N1053" s="3" t="s">
        <v>14</v>
      </c>
      <c r="O1053" s="3">
        <v>1</v>
      </c>
    </row>
    <row r="1054" spans="1:15" ht="15" customHeight="1" x14ac:dyDescent="0.25">
      <c r="A1054" s="2">
        <v>20</v>
      </c>
      <c r="B1054" s="2" t="s">
        <v>10</v>
      </c>
      <c r="C1054" s="2" t="s">
        <v>19</v>
      </c>
      <c r="D1054" s="2" t="s">
        <v>106</v>
      </c>
      <c r="E1054" s="2">
        <v>0</v>
      </c>
      <c r="F1054" s="2">
        <v>0</v>
      </c>
      <c r="G1054" s="2" t="s">
        <v>10</v>
      </c>
      <c r="H1054" s="2" t="s">
        <v>12</v>
      </c>
      <c r="I1054" s="2">
        <v>2</v>
      </c>
      <c r="J1054" s="2" t="s">
        <v>14</v>
      </c>
      <c r="K1054" s="2" t="s">
        <v>14</v>
      </c>
      <c r="L1054" s="2" t="s">
        <v>14</v>
      </c>
      <c r="M1054" s="2" t="s">
        <v>14</v>
      </c>
      <c r="N1054" s="2" t="s">
        <v>14</v>
      </c>
      <c r="O1054" s="2">
        <v>1</v>
      </c>
    </row>
    <row r="1055" spans="1:15" ht="15" customHeight="1" x14ac:dyDescent="0.25">
      <c r="A1055" s="3">
        <v>10</v>
      </c>
      <c r="B1055" s="3" t="s">
        <v>10</v>
      </c>
      <c r="C1055" s="3" t="s">
        <v>19</v>
      </c>
      <c r="D1055" s="2" t="s">
        <v>106</v>
      </c>
      <c r="E1055" s="3">
        <v>0</v>
      </c>
      <c r="F1055" s="3">
        <v>0</v>
      </c>
      <c r="G1055" s="3" t="s">
        <v>10</v>
      </c>
      <c r="H1055" s="3" t="s">
        <v>12</v>
      </c>
      <c r="I1055" s="3" t="s">
        <v>15</v>
      </c>
      <c r="J1055" s="3" t="s">
        <v>14</v>
      </c>
      <c r="K1055" s="3" t="s">
        <v>14</v>
      </c>
      <c r="L1055" s="3" t="s">
        <v>14</v>
      </c>
      <c r="M1055" s="3" t="s">
        <v>14</v>
      </c>
      <c r="N1055" s="3" t="s">
        <v>14</v>
      </c>
      <c r="O1055" s="3">
        <v>1</v>
      </c>
    </row>
    <row r="1056" spans="1:15" ht="15" customHeight="1" x14ac:dyDescent="0.25">
      <c r="A1056" s="2">
        <v>5</v>
      </c>
      <c r="B1056" s="2" t="s">
        <v>10</v>
      </c>
      <c r="C1056" s="2" t="s">
        <v>19</v>
      </c>
      <c r="D1056" s="2" t="s">
        <v>106</v>
      </c>
      <c r="E1056" s="2">
        <v>0</v>
      </c>
      <c r="F1056" s="2">
        <v>0</v>
      </c>
      <c r="G1056" s="2" t="s">
        <v>10</v>
      </c>
      <c r="H1056" s="2" t="s">
        <v>16</v>
      </c>
      <c r="I1056" s="2" t="s">
        <v>15</v>
      </c>
      <c r="J1056" s="2" t="s">
        <v>14</v>
      </c>
      <c r="K1056" s="2" t="s">
        <v>14</v>
      </c>
      <c r="L1056" s="2" t="s">
        <v>14</v>
      </c>
      <c r="M1056" s="2" t="s">
        <v>14</v>
      </c>
      <c r="N1056" s="2" t="s">
        <v>14</v>
      </c>
      <c r="O1056" s="2">
        <v>1</v>
      </c>
    </row>
    <row r="1057" spans="1:15" ht="15" customHeight="1" x14ac:dyDescent="0.25">
      <c r="A1057" s="3">
        <v>5</v>
      </c>
      <c r="B1057" s="3" t="s">
        <v>18</v>
      </c>
      <c r="C1057" s="3" t="s">
        <v>19</v>
      </c>
      <c r="D1057" s="2" t="s">
        <v>106</v>
      </c>
      <c r="E1057" s="3">
        <v>0</v>
      </c>
      <c r="F1057" s="3">
        <v>0</v>
      </c>
      <c r="G1057" s="3" t="s">
        <v>10</v>
      </c>
      <c r="H1057" s="3" t="s">
        <v>12</v>
      </c>
      <c r="I1057" s="3" t="s">
        <v>15</v>
      </c>
      <c r="J1057" s="3" t="s">
        <v>14</v>
      </c>
      <c r="K1057" s="3" t="s">
        <v>14</v>
      </c>
      <c r="L1057" s="3" t="s">
        <v>14</v>
      </c>
      <c r="M1057" s="3" t="s">
        <v>14</v>
      </c>
      <c r="N1057" s="3" t="s">
        <v>14</v>
      </c>
      <c r="O1057" s="3">
        <v>1</v>
      </c>
    </row>
    <row r="1058" spans="1:15" ht="15" customHeight="1" x14ac:dyDescent="0.25">
      <c r="A1058" s="2">
        <v>20</v>
      </c>
      <c r="B1058" s="2" t="s">
        <v>18</v>
      </c>
      <c r="C1058" s="2" t="s">
        <v>19</v>
      </c>
      <c r="D1058" s="2" t="s">
        <v>106</v>
      </c>
      <c r="E1058" s="2">
        <v>0</v>
      </c>
      <c r="F1058" s="2">
        <v>0</v>
      </c>
      <c r="G1058" s="2" t="s">
        <v>10</v>
      </c>
      <c r="H1058" s="2" t="s">
        <v>12</v>
      </c>
      <c r="I1058" s="2">
        <v>2</v>
      </c>
      <c r="J1058" s="2" t="s">
        <v>14</v>
      </c>
      <c r="K1058" s="2" t="s">
        <v>14</v>
      </c>
      <c r="L1058" s="2" t="s">
        <v>14</v>
      </c>
      <c r="M1058" s="2" t="s">
        <v>14</v>
      </c>
      <c r="N1058" s="2" t="s">
        <v>14</v>
      </c>
      <c r="O1058" s="2">
        <v>1</v>
      </c>
    </row>
    <row r="1059" spans="1:15" ht="15" customHeight="1" x14ac:dyDescent="0.25">
      <c r="A1059" s="3">
        <v>10</v>
      </c>
      <c r="B1059" s="3" t="s">
        <v>10</v>
      </c>
      <c r="C1059" s="3" t="s">
        <v>19</v>
      </c>
      <c r="D1059" s="2" t="s">
        <v>106</v>
      </c>
      <c r="E1059" s="3">
        <v>0</v>
      </c>
      <c r="F1059" s="3">
        <v>0</v>
      </c>
      <c r="G1059" s="3" t="s">
        <v>10</v>
      </c>
      <c r="H1059" s="3" t="s">
        <v>12</v>
      </c>
      <c r="I1059" s="3">
        <v>2</v>
      </c>
      <c r="J1059" s="3" t="s">
        <v>14</v>
      </c>
      <c r="K1059" s="3" t="s">
        <v>14</v>
      </c>
      <c r="L1059" s="3" t="s">
        <v>14</v>
      </c>
      <c r="M1059" s="3" t="s">
        <v>14</v>
      </c>
      <c r="N1059" s="3" t="s">
        <v>14</v>
      </c>
      <c r="O1059" s="3">
        <v>1</v>
      </c>
    </row>
    <row r="1060" spans="1:15" ht="15" customHeight="1" x14ac:dyDescent="0.25">
      <c r="A1060" s="2">
        <v>5</v>
      </c>
      <c r="B1060" s="2" t="s">
        <v>10</v>
      </c>
      <c r="C1060" s="2" t="s">
        <v>19</v>
      </c>
      <c r="D1060" s="2" t="s">
        <v>106</v>
      </c>
      <c r="E1060" s="2">
        <v>0</v>
      </c>
      <c r="F1060" s="2">
        <v>0</v>
      </c>
      <c r="G1060" s="2" t="s">
        <v>10</v>
      </c>
      <c r="H1060" s="2" t="s">
        <v>12</v>
      </c>
      <c r="I1060" s="2">
        <v>2</v>
      </c>
      <c r="J1060" s="2" t="s">
        <v>14</v>
      </c>
      <c r="K1060" s="2" t="s">
        <v>14</v>
      </c>
      <c r="L1060" s="2" t="s">
        <v>14</v>
      </c>
      <c r="M1060" s="2" t="s">
        <v>14</v>
      </c>
      <c r="N1060" s="2" t="s">
        <v>14</v>
      </c>
      <c r="O1060" s="2">
        <v>1</v>
      </c>
    </row>
    <row r="1061" spans="1:15" ht="15" customHeight="1" x14ac:dyDescent="0.25">
      <c r="A1061" s="3">
        <v>10</v>
      </c>
      <c r="B1061" s="3" t="s">
        <v>14</v>
      </c>
      <c r="C1061" s="3" t="s">
        <v>19</v>
      </c>
      <c r="D1061" s="2" t="s">
        <v>106</v>
      </c>
      <c r="E1061" s="3">
        <v>0</v>
      </c>
      <c r="F1061" s="3">
        <v>0</v>
      </c>
      <c r="G1061" s="3" t="s">
        <v>10</v>
      </c>
      <c r="H1061" s="3" t="s">
        <v>12</v>
      </c>
      <c r="I1061" s="3">
        <v>1</v>
      </c>
      <c r="J1061" s="3" t="s">
        <v>14</v>
      </c>
      <c r="K1061" s="3" t="s">
        <v>14</v>
      </c>
      <c r="L1061" s="3" t="s">
        <v>14</v>
      </c>
      <c r="M1061" s="3" t="s">
        <v>14</v>
      </c>
      <c r="N1061" s="3" t="s">
        <v>14</v>
      </c>
      <c r="O1061" s="3">
        <v>1</v>
      </c>
    </row>
    <row r="1062" spans="1:15" ht="15" customHeight="1" x14ac:dyDescent="0.25">
      <c r="A1062" s="2">
        <v>5</v>
      </c>
      <c r="B1062" s="2" t="s">
        <v>10</v>
      </c>
      <c r="C1062" s="2" t="s">
        <v>11</v>
      </c>
      <c r="D1062" s="2" t="s">
        <v>106</v>
      </c>
      <c r="E1062" s="2">
        <v>0</v>
      </c>
      <c r="F1062" s="2">
        <v>0</v>
      </c>
      <c r="G1062" s="2" t="s">
        <v>10</v>
      </c>
      <c r="H1062" s="2" t="s">
        <v>12</v>
      </c>
      <c r="I1062" s="2" t="s">
        <v>15</v>
      </c>
      <c r="J1062" s="2" t="s">
        <v>14</v>
      </c>
      <c r="K1062" s="2" t="s">
        <v>14</v>
      </c>
      <c r="L1062" s="2" t="s">
        <v>14</v>
      </c>
      <c r="M1062" s="2" t="s">
        <v>14</v>
      </c>
      <c r="N1062" s="2" t="s">
        <v>14</v>
      </c>
      <c r="O1062" s="2">
        <v>1</v>
      </c>
    </row>
    <row r="1063" spans="1:15" ht="15" customHeight="1" x14ac:dyDescent="0.25">
      <c r="A1063" s="3">
        <v>5</v>
      </c>
      <c r="B1063" s="3" t="s">
        <v>10</v>
      </c>
      <c r="C1063" s="3" t="s">
        <v>11</v>
      </c>
      <c r="D1063" s="2" t="s">
        <v>106</v>
      </c>
      <c r="E1063" s="3">
        <v>1</v>
      </c>
      <c r="F1063" s="3">
        <v>0</v>
      </c>
      <c r="G1063" s="3" t="s">
        <v>10</v>
      </c>
      <c r="H1063" s="3" t="s">
        <v>12</v>
      </c>
      <c r="I1063" s="3" t="s">
        <v>15</v>
      </c>
      <c r="J1063" s="3" t="s">
        <v>14</v>
      </c>
      <c r="K1063" s="3" t="s">
        <v>14</v>
      </c>
      <c r="L1063" s="3" t="s">
        <v>14</v>
      </c>
      <c r="M1063" s="3" t="s">
        <v>14</v>
      </c>
      <c r="N1063" s="3" t="s">
        <v>14</v>
      </c>
      <c r="O1063" s="3">
        <v>1</v>
      </c>
    </row>
    <row r="1064" spans="1:15" ht="15" customHeight="1" x14ac:dyDescent="0.25">
      <c r="A1064" s="2">
        <v>0</v>
      </c>
      <c r="B1064" s="2" t="s">
        <v>14</v>
      </c>
      <c r="C1064" s="2" t="s">
        <v>11</v>
      </c>
      <c r="D1064" s="2" t="s">
        <v>106</v>
      </c>
      <c r="E1064" s="2">
        <v>0</v>
      </c>
      <c r="F1064" s="2">
        <v>1</v>
      </c>
      <c r="G1064" s="2" t="s">
        <v>10</v>
      </c>
      <c r="H1064" s="2" t="s">
        <v>12</v>
      </c>
      <c r="I1064" s="2" t="s">
        <v>15</v>
      </c>
      <c r="J1064" s="2" t="s">
        <v>14</v>
      </c>
      <c r="K1064" s="2" t="s">
        <v>14</v>
      </c>
      <c r="L1064" s="2" t="s">
        <v>14</v>
      </c>
      <c r="M1064" s="2" t="s">
        <v>14</v>
      </c>
      <c r="N1064" s="2" t="s">
        <v>14</v>
      </c>
      <c r="O1064" s="2">
        <v>1</v>
      </c>
    </row>
    <row r="1065" spans="1:15" ht="15" customHeight="1" x14ac:dyDescent="0.25">
      <c r="A1065" s="3">
        <v>5</v>
      </c>
      <c r="B1065" s="3" t="s">
        <v>10</v>
      </c>
      <c r="C1065" s="3" t="s">
        <v>11</v>
      </c>
      <c r="D1065" s="2" t="s">
        <v>106</v>
      </c>
      <c r="E1065" s="3">
        <v>0</v>
      </c>
      <c r="F1065" s="3">
        <v>1</v>
      </c>
      <c r="G1065" s="3" t="s">
        <v>10</v>
      </c>
      <c r="H1065" s="3" t="s">
        <v>12</v>
      </c>
      <c r="I1065" s="3" t="s">
        <v>15</v>
      </c>
      <c r="J1065" s="3" t="s">
        <v>13</v>
      </c>
      <c r="K1065" s="3" t="s">
        <v>14</v>
      </c>
      <c r="L1065" s="3" t="s">
        <v>14</v>
      </c>
      <c r="M1065" s="3" t="s">
        <v>14</v>
      </c>
      <c r="N1065" s="3" t="s">
        <v>14</v>
      </c>
      <c r="O1065" s="3">
        <v>1</v>
      </c>
    </row>
    <row r="1066" spans="1:15" ht="15" customHeight="1" x14ac:dyDescent="0.25">
      <c r="A1066" s="2">
        <v>10</v>
      </c>
      <c r="B1066" s="2" t="s">
        <v>14</v>
      </c>
      <c r="C1066" s="2" t="s">
        <v>11</v>
      </c>
      <c r="D1066" s="2" t="s">
        <v>106</v>
      </c>
      <c r="E1066" s="2">
        <v>2</v>
      </c>
      <c r="F1066" s="2">
        <v>1</v>
      </c>
      <c r="G1066" s="2" t="s">
        <v>10</v>
      </c>
      <c r="H1066" s="2" t="s">
        <v>12</v>
      </c>
      <c r="I1066" s="2">
        <v>1</v>
      </c>
      <c r="J1066" s="2" t="s">
        <v>14</v>
      </c>
      <c r="K1066" s="2" t="s">
        <v>14</v>
      </c>
      <c r="L1066" s="2" t="s">
        <v>14</v>
      </c>
      <c r="M1066" s="2" t="s">
        <v>13</v>
      </c>
      <c r="N1066" s="2" t="s">
        <v>13</v>
      </c>
      <c r="O1066" s="2">
        <v>0</v>
      </c>
    </row>
    <row r="1067" spans="1:15" ht="15" customHeight="1" x14ac:dyDescent="0.25">
      <c r="A1067" s="3">
        <v>10</v>
      </c>
      <c r="B1067" s="3" t="s">
        <v>14</v>
      </c>
      <c r="C1067" s="3" t="s">
        <v>20</v>
      </c>
      <c r="D1067" s="2" t="s">
        <v>106</v>
      </c>
      <c r="E1067" s="3">
        <v>0</v>
      </c>
      <c r="F1067" s="3">
        <v>0</v>
      </c>
      <c r="G1067" s="3" t="s">
        <v>10</v>
      </c>
      <c r="H1067" s="3" t="s">
        <v>12</v>
      </c>
      <c r="I1067" s="3">
        <v>1</v>
      </c>
      <c r="J1067" s="3" t="s">
        <v>14</v>
      </c>
      <c r="K1067" s="3" t="s">
        <v>13</v>
      </c>
      <c r="L1067" s="3" t="s">
        <v>13</v>
      </c>
      <c r="M1067" s="3" t="s">
        <v>14</v>
      </c>
      <c r="N1067" s="3" t="s">
        <v>14</v>
      </c>
      <c r="O1067" s="3">
        <v>1</v>
      </c>
    </row>
    <row r="1068" spans="1:15" ht="15" customHeight="1" x14ac:dyDescent="0.25">
      <c r="A1068" s="2">
        <v>10</v>
      </c>
      <c r="B1068" s="2" t="s">
        <v>10</v>
      </c>
      <c r="C1068" s="2" t="s">
        <v>19</v>
      </c>
      <c r="D1068" s="2" t="s">
        <v>106</v>
      </c>
      <c r="E1068" s="2">
        <v>1</v>
      </c>
      <c r="F1068" s="2">
        <v>0</v>
      </c>
      <c r="G1068" s="2" t="s">
        <v>10</v>
      </c>
      <c r="H1068" s="2" t="s">
        <v>12</v>
      </c>
      <c r="I1068" s="2">
        <v>1</v>
      </c>
      <c r="J1068" s="2" t="s">
        <v>14</v>
      </c>
      <c r="K1068" s="2" t="s">
        <v>13</v>
      </c>
      <c r="L1068" s="2" t="s">
        <v>13</v>
      </c>
      <c r="M1068" s="2" t="s">
        <v>13</v>
      </c>
      <c r="N1068" s="2" t="s">
        <v>14</v>
      </c>
      <c r="O1068" s="2">
        <v>0</v>
      </c>
    </row>
    <row r="1069" spans="1:15" ht="15" customHeight="1" x14ac:dyDescent="0.25">
      <c r="A1069" s="3">
        <v>5</v>
      </c>
      <c r="B1069" s="3" t="s">
        <v>18</v>
      </c>
      <c r="C1069" s="3" t="s">
        <v>19</v>
      </c>
      <c r="D1069" s="2" t="s">
        <v>106</v>
      </c>
      <c r="E1069" s="3">
        <v>1</v>
      </c>
      <c r="F1069" s="3">
        <v>0</v>
      </c>
      <c r="G1069" s="3" t="s">
        <v>10</v>
      </c>
      <c r="H1069" s="3" t="s">
        <v>12</v>
      </c>
      <c r="I1069" s="3">
        <v>1</v>
      </c>
      <c r="J1069" s="3" t="s">
        <v>14</v>
      </c>
      <c r="K1069" s="3" t="s">
        <v>14</v>
      </c>
      <c r="L1069" s="3" t="s">
        <v>14</v>
      </c>
      <c r="M1069" s="3" t="s">
        <v>14</v>
      </c>
      <c r="N1069" s="3" t="s">
        <v>14</v>
      </c>
      <c r="O1069" s="3">
        <v>0</v>
      </c>
    </row>
    <row r="1070" spans="1:15" ht="15" customHeight="1" x14ac:dyDescent="0.25">
      <c r="A1070" s="2">
        <v>5</v>
      </c>
      <c r="B1070" s="2" t="s">
        <v>10</v>
      </c>
      <c r="C1070" s="2" t="s">
        <v>11</v>
      </c>
      <c r="D1070" s="2" t="s">
        <v>106</v>
      </c>
      <c r="E1070" s="2">
        <v>0</v>
      </c>
      <c r="F1070" s="2">
        <v>0</v>
      </c>
      <c r="G1070" s="2" t="s">
        <v>10</v>
      </c>
      <c r="H1070" s="2" t="s">
        <v>12</v>
      </c>
      <c r="I1070" s="2" t="s">
        <v>15</v>
      </c>
      <c r="J1070" s="2" t="s">
        <v>14</v>
      </c>
      <c r="K1070" s="2" t="s">
        <v>14</v>
      </c>
      <c r="L1070" s="2" t="s">
        <v>14</v>
      </c>
      <c r="M1070" s="2" t="s">
        <v>14</v>
      </c>
      <c r="N1070" s="2" t="s">
        <v>14</v>
      </c>
      <c r="O1070" s="2">
        <v>0</v>
      </c>
    </row>
    <row r="1071" spans="1:15" ht="15" customHeight="1" x14ac:dyDescent="0.25">
      <c r="A1071" s="3">
        <v>10</v>
      </c>
      <c r="B1071" s="3" t="s">
        <v>10</v>
      </c>
      <c r="C1071" s="3" t="s">
        <v>19</v>
      </c>
      <c r="D1071" s="2" t="s">
        <v>106</v>
      </c>
      <c r="E1071" s="3">
        <v>0</v>
      </c>
      <c r="F1071" s="3">
        <v>1</v>
      </c>
      <c r="G1071" s="3" t="s">
        <v>10</v>
      </c>
      <c r="H1071" s="3" t="s">
        <v>12</v>
      </c>
      <c r="I1071" s="3" t="s">
        <v>15</v>
      </c>
      <c r="J1071" s="3" t="s">
        <v>14</v>
      </c>
      <c r="K1071" s="3" t="s">
        <v>14</v>
      </c>
      <c r="L1071" s="3" t="s">
        <v>14</v>
      </c>
      <c r="M1071" s="3" t="s">
        <v>14</v>
      </c>
      <c r="N1071" s="3" t="s">
        <v>14</v>
      </c>
      <c r="O1071" s="3">
        <v>1</v>
      </c>
    </row>
    <row r="1072" spans="1:15" ht="15" customHeight="1" x14ac:dyDescent="0.25">
      <c r="A1072" s="2">
        <v>10</v>
      </c>
      <c r="B1072" s="2" t="s">
        <v>14</v>
      </c>
      <c r="C1072" s="2" t="s">
        <v>11</v>
      </c>
      <c r="D1072" s="2" t="s">
        <v>106</v>
      </c>
      <c r="E1072" s="2">
        <v>0</v>
      </c>
      <c r="F1072" s="2">
        <v>0</v>
      </c>
      <c r="G1072" s="2" t="s">
        <v>10</v>
      </c>
      <c r="H1072" s="2" t="s">
        <v>12</v>
      </c>
      <c r="I1072" s="2" t="s">
        <v>15</v>
      </c>
      <c r="J1072" s="2" t="s">
        <v>14</v>
      </c>
      <c r="K1072" s="2" t="s">
        <v>14</v>
      </c>
      <c r="L1072" s="2" t="s">
        <v>14</v>
      </c>
      <c r="M1072" s="2" t="s">
        <v>14</v>
      </c>
      <c r="N1072" s="2" t="s">
        <v>14</v>
      </c>
      <c r="O1072" s="2">
        <v>1</v>
      </c>
    </row>
    <row r="1073" spans="1:15" ht="15" customHeight="1" x14ac:dyDescent="0.25">
      <c r="A1073" s="3">
        <v>30</v>
      </c>
      <c r="B1073" s="3" t="s">
        <v>10</v>
      </c>
      <c r="C1073" s="3" t="s">
        <v>19</v>
      </c>
      <c r="D1073" s="2" t="s">
        <v>106</v>
      </c>
      <c r="E1073" s="3">
        <v>0</v>
      </c>
      <c r="F1073" s="3">
        <v>1</v>
      </c>
      <c r="G1073" s="3" t="s">
        <v>10</v>
      </c>
      <c r="H1073" s="3" t="s">
        <v>12</v>
      </c>
      <c r="I1073" s="3" t="s">
        <v>15</v>
      </c>
      <c r="J1073" s="3" t="s">
        <v>14</v>
      </c>
      <c r="K1073" s="3" t="s">
        <v>14</v>
      </c>
      <c r="L1073" s="3" t="s">
        <v>14</v>
      </c>
      <c r="M1073" s="3" t="s">
        <v>13</v>
      </c>
      <c r="N1073" s="3" t="s">
        <v>14</v>
      </c>
      <c r="O1073" s="3">
        <v>1</v>
      </c>
    </row>
    <row r="1074" spans="1:15" ht="15" customHeight="1" x14ac:dyDescent="0.25">
      <c r="A1074" s="2">
        <v>10</v>
      </c>
      <c r="B1074" s="2" t="s">
        <v>10</v>
      </c>
      <c r="C1074" s="2" t="s">
        <v>19</v>
      </c>
      <c r="D1074" s="2" t="s">
        <v>106</v>
      </c>
      <c r="E1074" s="2">
        <v>1</v>
      </c>
      <c r="F1074" s="2">
        <v>0</v>
      </c>
      <c r="G1074" s="2" t="s">
        <v>10</v>
      </c>
      <c r="H1074" s="2" t="s">
        <v>12</v>
      </c>
      <c r="I1074" s="2">
        <v>1</v>
      </c>
      <c r="J1074" s="2" t="s">
        <v>14</v>
      </c>
      <c r="K1074" s="2" t="s">
        <v>13</v>
      </c>
      <c r="L1074" s="2" t="s">
        <v>13</v>
      </c>
      <c r="M1074" s="2" t="s">
        <v>13</v>
      </c>
      <c r="N1074" s="2" t="s">
        <v>14</v>
      </c>
      <c r="O1074" s="2">
        <v>0</v>
      </c>
    </row>
    <row r="1075" spans="1:15" ht="15" customHeight="1" x14ac:dyDescent="0.25">
      <c r="A1075" s="3">
        <v>10</v>
      </c>
      <c r="B1075" s="3" t="s">
        <v>10</v>
      </c>
      <c r="C1075" s="3" t="s">
        <v>19</v>
      </c>
      <c r="D1075" s="2" t="s">
        <v>106</v>
      </c>
      <c r="E1075" s="3">
        <v>0</v>
      </c>
      <c r="F1075" s="3">
        <v>0</v>
      </c>
      <c r="G1075" s="3" t="s">
        <v>17</v>
      </c>
      <c r="H1075" s="3" t="s">
        <v>106</v>
      </c>
      <c r="I1075" s="3">
        <v>1</v>
      </c>
      <c r="J1075" s="3" t="s">
        <v>14</v>
      </c>
      <c r="K1075" s="3" t="s">
        <v>13</v>
      </c>
      <c r="L1075" s="3" t="s">
        <v>13</v>
      </c>
      <c r="M1075" s="3" t="s">
        <v>13</v>
      </c>
      <c r="N1075" s="3" t="s">
        <v>14</v>
      </c>
      <c r="O1075" s="3">
        <v>1</v>
      </c>
    </row>
    <row r="1076" spans="1:15" ht="15" customHeight="1" x14ac:dyDescent="0.25">
      <c r="A1076" s="2">
        <v>0</v>
      </c>
      <c r="B1076" s="2" t="s">
        <v>18</v>
      </c>
      <c r="C1076" s="2" t="s">
        <v>19</v>
      </c>
      <c r="D1076" s="2" t="s">
        <v>106</v>
      </c>
      <c r="E1076" s="2">
        <v>0</v>
      </c>
      <c r="F1076" s="2">
        <v>0</v>
      </c>
      <c r="G1076" s="2" t="s">
        <v>10</v>
      </c>
      <c r="H1076" s="2" t="s">
        <v>12</v>
      </c>
      <c r="I1076" s="2">
        <v>1</v>
      </c>
      <c r="J1076" s="2" t="s">
        <v>14</v>
      </c>
      <c r="K1076" s="2" t="s">
        <v>13</v>
      </c>
      <c r="L1076" s="2" t="s">
        <v>13</v>
      </c>
      <c r="M1076" s="2" t="s">
        <v>13</v>
      </c>
      <c r="N1076" s="2" t="s">
        <v>14</v>
      </c>
      <c r="O1076" s="2">
        <v>0</v>
      </c>
    </row>
    <row r="1077" spans="1:15" ht="15" customHeight="1" x14ac:dyDescent="0.25">
      <c r="A1077" s="3">
        <v>10</v>
      </c>
      <c r="B1077" s="3" t="s">
        <v>18</v>
      </c>
      <c r="C1077" s="3" t="s">
        <v>19</v>
      </c>
      <c r="D1077" s="2" t="s">
        <v>106</v>
      </c>
      <c r="E1077" s="3">
        <v>0</v>
      </c>
      <c r="F1077" s="3">
        <v>0</v>
      </c>
      <c r="G1077" s="3" t="s">
        <v>10</v>
      </c>
      <c r="H1077" s="3" t="s">
        <v>12</v>
      </c>
      <c r="I1077" s="3" t="s">
        <v>15</v>
      </c>
      <c r="J1077" s="3" t="s">
        <v>14</v>
      </c>
      <c r="K1077" s="3" t="s">
        <v>14</v>
      </c>
      <c r="L1077" s="3" t="s">
        <v>14</v>
      </c>
      <c r="M1077" s="3" t="s">
        <v>14</v>
      </c>
      <c r="N1077" s="3" t="s">
        <v>14</v>
      </c>
      <c r="O1077" s="3">
        <v>1</v>
      </c>
    </row>
    <row r="1078" spans="1:15" ht="15" customHeight="1" x14ac:dyDescent="0.25">
      <c r="A1078" s="2">
        <v>10</v>
      </c>
      <c r="B1078" s="2" t="s">
        <v>14</v>
      </c>
      <c r="C1078" s="2" t="s">
        <v>19</v>
      </c>
      <c r="D1078" s="2" t="s">
        <v>106</v>
      </c>
      <c r="E1078" s="2">
        <v>0</v>
      </c>
      <c r="F1078" s="2">
        <v>0</v>
      </c>
      <c r="G1078" s="2" t="s">
        <v>10</v>
      </c>
      <c r="H1078" s="2" t="s">
        <v>12</v>
      </c>
      <c r="I1078" s="2">
        <v>2</v>
      </c>
      <c r="J1078" s="2" t="s">
        <v>14</v>
      </c>
      <c r="K1078" s="2" t="s">
        <v>14</v>
      </c>
      <c r="L1078" s="2" t="s">
        <v>14</v>
      </c>
      <c r="M1078" s="2" t="s">
        <v>14</v>
      </c>
      <c r="N1078" s="2" t="s">
        <v>14</v>
      </c>
      <c r="O1078" s="2">
        <v>1</v>
      </c>
    </row>
    <row r="1079" spans="1:15" ht="15" customHeight="1" x14ac:dyDescent="0.25">
      <c r="A1079" s="3">
        <v>5</v>
      </c>
      <c r="B1079" s="3" t="s">
        <v>10</v>
      </c>
      <c r="C1079" s="3" t="s">
        <v>19</v>
      </c>
      <c r="D1079" s="2" t="s">
        <v>106</v>
      </c>
      <c r="E1079" s="3">
        <v>0</v>
      </c>
      <c r="F1079" s="3">
        <v>0</v>
      </c>
      <c r="G1079" s="3" t="s">
        <v>10</v>
      </c>
      <c r="H1079" s="3" t="s">
        <v>12</v>
      </c>
      <c r="I1079" s="3">
        <v>2</v>
      </c>
      <c r="J1079" s="3" t="s">
        <v>14</v>
      </c>
      <c r="K1079" s="3" t="s">
        <v>14</v>
      </c>
      <c r="L1079" s="3" t="s">
        <v>14</v>
      </c>
      <c r="M1079" s="3" t="s">
        <v>14</v>
      </c>
      <c r="N1079" s="3" t="s">
        <v>14</v>
      </c>
      <c r="O1079" s="3">
        <v>1</v>
      </c>
    </row>
    <row r="1080" spans="1:15" ht="15" customHeight="1" x14ac:dyDescent="0.25">
      <c r="A1080" s="2">
        <v>5</v>
      </c>
      <c r="B1080" s="2" t="s">
        <v>10</v>
      </c>
      <c r="C1080" s="2" t="s">
        <v>19</v>
      </c>
      <c r="D1080" s="2" t="s">
        <v>106</v>
      </c>
      <c r="E1080" s="2">
        <v>0</v>
      </c>
      <c r="F1080" s="2">
        <v>0</v>
      </c>
      <c r="G1080" s="2" t="s">
        <v>10</v>
      </c>
      <c r="H1080" s="2" t="s">
        <v>12</v>
      </c>
      <c r="I1080" s="2">
        <v>2</v>
      </c>
      <c r="J1080" s="2" t="s">
        <v>14</v>
      </c>
      <c r="K1080" s="2" t="s">
        <v>14</v>
      </c>
      <c r="L1080" s="2" t="s">
        <v>14</v>
      </c>
      <c r="M1080" s="2" t="s">
        <v>14</v>
      </c>
      <c r="N1080" s="2" t="s">
        <v>14</v>
      </c>
      <c r="O1080" s="2">
        <v>1</v>
      </c>
    </row>
    <row r="1081" spans="1:15" ht="15" customHeight="1" x14ac:dyDescent="0.25">
      <c r="A1081" s="3">
        <v>0</v>
      </c>
      <c r="B1081" s="3" t="s">
        <v>10</v>
      </c>
      <c r="C1081" s="3" t="s">
        <v>19</v>
      </c>
      <c r="D1081" s="2" t="s">
        <v>106</v>
      </c>
      <c r="E1081" s="3">
        <v>0</v>
      </c>
      <c r="F1081" s="3">
        <v>0</v>
      </c>
      <c r="G1081" s="3" t="s">
        <v>10</v>
      </c>
      <c r="H1081" s="3" t="s">
        <v>12</v>
      </c>
      <c r="I1081" s="3">
        <v>2</v>
      </c>
      <c r="J1081" s="3" t="s">
        <v>14</v>
      </c>
      <c r="K1081" s="3" t="s">
        <v>13</v>
      </c>
      <c r="L1081" s="3" t="s">
        <v>14</v>
      </c>
      <c r="M1081" s="3" t="s">
        <v>14</v>
      </c>
      <c r="N1081" s="3" t="s">
        <v>14</v>
      </c>
      <c r="O1081" s="3">
        <v>1</v>
      </c>
    </row>
    <row r="1082" spans="1:15" ht="15" customHeight="1" x14ac:dyDescent="0.25">
      <c r="A1082" s="2">
        <v>0</v>
      </c>
      <c r="B1082" s="2" t="s">
        <v>14</v>
      </c>
      <c r="C1082" s="2" t="s">
        <v>19</v>
      </c>
      <c r="D1082" s="2" t="s">
        <v>106</v>
      </c>
      <c r="E1082" s="2">
        <v>0</v>
      </c>
      <c r="F1082" s="2">
        <v>0</v>
      </c>
      <c r="G1082" s="2" t="s">
        <v>10</v>
      </c>
      <c r="H1082" s="2" t="s">
        <v>12</v>
      </c>
      <c r="I1082" s="2" t="s">
        <v>15</v>
      </c>
      <c r="J1082" s="2" t="s">
        <v>14</v>
      </c>
      <c r="K1082" s="2" t="s">
        <v>14</v>
      </c>
      <c r="L1082" s="2" t="s">
        <v>14</v>
      </c>
      <c r="M1082" s="2" t="s">
        <v>14</v>
      </c>
      <c r="N1082" s="2" t="s">
        <v>14</v>
      </c>
      <c r="O1082" s="2">
        <v>1</v>
      </c>
    </row>
    <row r="1083" spans="1:15" ht="15" customHeight="1" x14ac:dyDescent="0.25">
      <c r="A1083" s="3">
        <v>5</v>
      </c>
      <c r="B1083" s="3" t="s">
        <v>10</v>
      </c>
      <c r="C1083" s="3" t="s">
        <v>19</v>
      </c>
      <c r="D1083" s="2" t="s">
        <v>106</v>
      </c>
      <c r="E1083" s="3">
        <v>0</v>
      </c>
      <c r="F1083" s="3">
        <v>1</v>
      </c>
      <c r="G1083" s="3" t="s">
        <v>10</v>
      </c>
      <c r="H1083" s="3" t="s">
        <v>12</v>
      </c>
      <c r="I1083" s="3">
        <v>2</v>
      </c>
      <c r="J1083" s="3" t="s">
        <v>14</v>
      </c>
      <c r="K1083" s="3" t="s">
        <v>14</v>
      </c>
      <c r="L1083" s="3" t="s">
        <v>14</v>
      </c>
      <c r="M1083" s="3" t="s">
        <v>14</v>
      </c>
      <c r="N1083" s="3" t="s">
        <v>14</v>
      </c>
      <c r="O1083" s="3">
        <v>1</v>
      </c>
    </row>
    <row r="1084" spans="1:15" ht="15" customHeight="1" x14ac:dyDescent="0.25">
      <c r="A1084" s="2">
        <v>10</v>
      </c>
      <c r="B1084" s="2" t="s">
        <v>10</v>
      </c>
      <c r="C1084" s="2" t="s">
        <v>11</v>
      </c>
      <c r="D1084" s="2" t="s">
        <v>106</v>
      </c>
      <c r="E1084" s="2">
        <v>0</v>
      </c>
      <c r="F1084" s="2">
        <v>1</v>
      </c>
      <c r="G1084" s="2" t="s">
        <v>10</v>
      </c>
      <c r="H1084" s="2" t="s">
        <v>12</v>
      </c>
      <c r="I1084" s="2">
        <v>2</v>
      </c>
      <c r="J1084" s="2" t="s">
        <v>13</v>
      </c>
      <c r="K1084" s="2" t="s">
        <v>14</v>
      </c>
      <c r="L1084" s="2" t="s">
        <v>14</v>
      </c>
      <c r="M1084" s="2" t="s">
        <v>14</v>
      </c>
      <c r="N1084" s="2" t="s">
        <v>14</v>
      </c>
      <c r="O1084" s="2">
        <v>0</v>
      </c>
    </row>
    <row r="1085" spans="1:15" ht="15" customHeight="1" x14ac:dyDescent="0.25">
      <c r="A1085" s="3">
        <v>10</v>
      </c>
      <c r="B1085" s="3" t="s">
        <v>10</v>
      </c>
      <c r="C1085" s="3" t="s">
        <v>11</v>
      </c>
      <c r="D1085" s="2" t="s">
        <v>106</v>
      </c>
      <c r="E1085" s="3">
        <v>1</v>
      </c>
      <c r="F1085" s="3">
        <v>0</v>
      </c>
      <c r="G1085" s="3" t="s">
        <v>17</v>
      </c>
      <c r="H1085" s="3" t="s">
        <v>106</v>
      </c>
      <c r="I1085" s="3">
        <v>1</v>
      </c>
      <c r="J1085" s="3" t="s">
        <v>13</v>
      </c>
      <c r="K1085" s="3" t="s">
        <v>13</v>
      </c>
      <c r="L1085" s="3" t="s">
        <v>13</v>
      </c>
      <c r="M1085" s="3" t="s">
        <v>13</v>
      </c>
      <c r="N1085" s="3" t="s">
        <v>14</v>
      </c>
      <c r="O1085" s="3">
        <v>0</v>
      </c>
    </row>
    <row r="1086" spans="1:15" ht="15" customHeight="1" x14ac:dyDescent="0.25">
      <c r="A1086" s="2">
        <v>10</v>
      </c>
      <c r="B1086" s="2" t="s">
        <v>10</v>
      </c>
      <c r="C1086" s="2" t="s">
        <v>19</v>
      </c>
      <c r="D1086" s="2" t="s">
        <v>106</v>
      </c>
      <c r="E1086" s="2">
        <v>1</v>
      </c>
      <c r="F1086" s="2">
        <v>1</v>
      </c>
      <c r="G1086" s="2" t="s">
        <v>17</v>
      </c>
      <c r="H1086" s="2" t="s">
        <v>106</v>
      </c>
      <c r="I1086" s="2">
        <v>1</v>
      </c>
      <c r="J1086" s="2" t="s">
        <v>14</v>
      </c>
      <c r="K1086" s="2" t="s">
        <v>13</v>
      </c>
      <c r="L1086" s="2" t="s">
        <v>13</v>
      </c>
      <c r="M1086" s="2" t="s">
        <v>13</v>
      </c>
      <c r="N1086" s="2" t="s">
        <v>14</v>
      </c>
      <c r="O1086" s="2">
        <v>0</v>
      </c>
    </row>
    <row r="1087" spans="1:15" ht="15" customHeight="1" x14ac:dyDescent="0.25">
      <c r="A1087" s="3">
        <v>5</v>
      </c>
      <c r="B1087" s="3" t="s">
        <v>10</v>
      </c>
      <c r="C1087" s="3" t="s">
        <v>19</v>
      </c>
      <c r="D1087" s="2" t="s">
        <v>106</v>
      </c>
      <c r="E1087" s="3">
        <v>0</v>
      </c>
      <c r="F1087" s="3">
        <v>0</v>
      </c>
      <c r="G1087" s="3" t="s">
        <v>10</v>
      </c>
      <c r="H1087" s="3" t="s">
        <v>16</v>
      </c>
      <c r="I1087" s="3">
        <v>2</v>
      </c>
      <c r="J1087" s="3" t="s">
        <v>14</v>
      </c>
      <c r="K1087" s="3" t="s">
        <v>13</v>
      </c>
      <c r="L1087" s="3" t="s">
        <v>14</v>
      </c>
      <c r="M1087" s="3" t="s">
        <v>14</v>
      </c>
      <c r="N1087" s="3" t="s">
        <v>14</v>
      </c>
      <c r="O1087" s="3">
        <v>1</v>
      </c>
    </row>
    <row r="1088" spans="1:15" ht="15" customHeight="1" x14ac:dyDescent="0.25">
      <c r="A1088" s="2">
        <v>0</v>
      </c>
      <c r="B1088" s="2" t="s">
        <v>18</v>
      </c>
      <c r="C1088" s="2" t="s">
        <v>19</v>
      </c>
      <c r="D1088" s="2" t="s">
        <v>106</v>
      </c>
      <c r="E1088" s="2">
        <v>0</v>
      </c>
      <c r="F1088" s="2">
        <v>0</v>
      </c>
      <c r="G1088" s="2" t="s">
        <v>10</v>
      </c>
      <c r="H1088" s="2" t="s">
        <v>12</v>
      </c>
      <c r="I1088" s="2" t="s">
        <v>15</v>
      </c>
      <c r="J1088" s="2" t="s">
        <v>14</v>
      </c>
      <c r="K1088" s="2" t="s">
        <v>14</v>
      </c>
      <c r="L1088" s="2" t="s">
        <v>14</v>
      </c>
      <c r="M1088" s="2" t="s">
        <v>14</v>
      </c>
      <c r="N1088" s="2" t="s">
        <v>14</v>
      </c>
      <c r="O1088" s="2">
        <v>1</v>
      </c>
    </row>
    <row r="1089" spans="1:15" ht="15" customHeight="1" x14ac:dyDescent="0.25">
      <c r="A1089" s="3">
        <v>5</v>
      </c>
      <c r="B1089" s="3" t="s">
        <v>18</v>
      </c>
      <c r="C1089" s="3" t="s">
        <v>19</v>
      </c>
      <c r="D1089" s="2" t="s">
        <v>106</v>
      </c>
      <c r="E1089" s="3">
        <v>0</v>
      </c>
      <c r="F1089" s="3">
        <v>0</v>
      </c>
      <c r="G1089" s="3" t="s">
        <v>10</v>
      </c>
      <c r="H1089" s="3" t="s">
        <v>12</v>
      </c>
      <c r="I1089" s="3">
        <v>1</v>
      </c>
      <c r="J1089" s="3" t="s">
        <v>14</v>
      </c>
      <c r="K1089" s="3" t="s">
        <v>14</v>
      </c>
      <c r="L1089" s="3" t="s">
        <v>14</v>
      </c>
      <c r="M1089" s="3" t="s">
        <v>14</v>
      </c>
      <c r="N1089" s="3" t="s">
        <v>14</v>
      </c>
      <c r="O1089" s="3">
        <v>1</v>
      </c>
    </row>
    <row r="1090" spans="1:15" ht="15" customHeight="1" x14ac:dyDescent="0.25">
      <c r="A1090" s="2">
        <v>10</v>
      </c>
      <c r="B1090" s="2" t="s">
        <v>18</v>
      </c>
      <c r="C1090" s="2" t="s">
        <v>19</v>
      </c>
      <c r="D1090" s="2" t="s">
        <v>106</v>
      </c>
      <c r="E1090" s="2">
        <v>0</v>
      </c>
      <c r="F1090" s="2">
        <v>0</v>
      </c>
      <c r="G1090" s="2" t="s">
        <v>10</v>
      </c>
      <c r="H1090" s="2" t="s">
        <v>12</v>
      </c>
      <c r="I1090" s="2">
        <v>2</v>
      </c>
      <c r="J1090" s="2" t="s">
        <v>14</v>
      </c>
      <c r="K1090" s="2" t="s">
        <v>14</v>
      </c>
      <c r="L1090" s="2" t="s">
        <v>14</v>
      </c>
      <c r="M1090" s="2" t="s">
        <v>14</v>
      </c>
      <c r="N1090" s="2" t="s">
        <v>14</v>
      </c>
      <c r="O1090" s="2">
        <v>1</v>
      </c>
    </row>
    <row r="1091" spans="1:15" ht="15" customHeight="1" x14ac:dyDescent="0.25">
      <c r="A1091" s="3">
        <v>10</v>
      </c>
      <c r="B1091" s="3" t="s">
        <v>18</v>
      </c>
      <c r="C1091" s="3" t="s">
        <v>20</v>
      </c>
      <c r="D1091" s="2" t="s">
        <v>106</v>
      </c>
      <c r="E1091" s="3">
        <v>0</v>
      </c>
      <c r="F1091" s="3">
        <v>0</v>
      </c>
      <c r="G1091" s="3" t="s">
        <v>10</v>
      </c>
      <c r="H1091" s="3" t="s">
        <v>12</v>
      </c>
      <c r="I1091" s="3">
        <v>1</v>
      </c>
      <c r="J1091" s="3" t="s">
        <v>14</v>
      </c>
      <c r="K1091" s="3" t="s">
        <v>14</v>
      </c>
      <c r="L1091" s="3" t="s">
        <v>14</v>
      </c>
      <c r="M1091" s="3" t="s">
        <v>14</v>
      </c>
      <c r="N1091" s="3" t="s">
        <v>14</v>
      </c>
      <c r="O1091" s="3">
        <v>1</v>
      </c>
    </row>
    <row r="1092" spans="1:15" ht="15" customHeight="1" x14ac:dyDescent="0.25">
      <c r="A1092" s="2">
        <v>5</v>
      </c>
      <c r="B1092" s="2" t="s">
        <v>10</v>
      </c>
      <c r="C1092" s="2" t="s">
        <v>20</v>
      </c>
      <c r="D1092" s="2" t="s">
        <v>106</v>
      </c>
      <c r="E1092" s="2">
        <v>0</v>
      </c>
      <c r="F1092" s="2">
        <v>0</v>
      </c>
      <c r="G1092" s="2" t="s">
        <v>10</v>
      </c>
      <c r="H1092" s="2" t="s">
        <v>12</v>
      </c>
      <c r="I1092" s="2">
        <v>1</v>
      </c>
      <c r="J1092" s="2" t="s">
        <v>14</v>
      </c>
      <c r="K1092" s="2" t="s">
        <v>14</v>
      </c>
      <c r="L1092" s="2" t="s">
        <v>14</v>
      </c>
      <c r="M1092" s="2" t="s">
        <v>14</v>
      </c>
      <c r="N1092" s="2" t="s">
        <v>14</v>
      </c>
      <c r="O1092" s="2">
        <v>1</v>
      </c>
    </row>
    <row r="1093" spans="1:15" ht="15" customHeight="1" x14ac:dyDescent="0.25">
      <c r="A1093" s="3">
        <v>10</v>
      </c>
      <c r="B1093" s="3" t="s">
        <v>10</v>
      </c>
      <c r="C1093" s="3" t="s">
        <v>19</v>
      </c>
      <c r="D1093" s="2" t="s">
        <v>106</v>
      </c>
      <c r="E1093" s="3">
        <v>0</v>
      </c>
      <c r="F1093" s="3">
        <v>0</v>
      </c>
      <c r="G1093" s="3" t="s">
        <v>10</v>
      </c>
      <c r="H1093" s="3" t="s">
        <v>12</v>
      </c>
      <c r="I1093" s="3">
        <v>1</v>
      </c>
      <c r="J1093" s="3" t="s">
        <v>14</v>
      </c>
      <c r="K1093" s="3" t="s">
        <v>14</v>
      </c>
      <c r="L1093" s="3" t="s">
        <v>14</v>
      </c>
      <c r="M1093" s="3" t="s">
        <v>14</v>
      </c>
      <c r="N1093" s="3" t="s">
        <v>14</v>
      </c>
      <c r="O1093" s="3">
        <v>1</v>
      </c>
    </row>
    <row r="1094" spans="1:15" ht="15" customHeight="1" x14ac:dyDescent="0.25">
      <c r="A1094" s="2">
        <v>10</v>
      </c>
      <c r="B1094" s="2" t="s">
        <v>10</v>
      </c>
      <c r="C1094" s="2" t="s">
        <v>19</v>
      </c>
      <c r="D1094" s="2" t="s">
        <v>106</v>
      </c>
      <c r="E1094" s="2">
        <v>1</v>
      </c>
      <c r="F1094" s="2">
        <v>0</v>
      </c>
      <c r="G1094" s="2" t="s">
        <v>10</v>
      </c>
      <c r="H1094" s="2" t="s">
        <v>12</v>
      </c>
      <c r="I1094" s="2">
        <v>1</v>
      </c>
      <c r="J1094" s="2" t="s">
        <v>13</v>
      </c>
      <c r="K1094" s="2" t="s">
        <v>14</v>
      </c>
      <c r="L1094" s="2" t="s">
        <v>14</v>
      </c>
      <c r="M1094" s="2" t="s">
        <v>14</v>
      </c>
      <c r="N1094" s="2" t="s">
        <v>14</v>
      </c>
      <c r="O1094" s="2">
        <v>1</v>
      </c>
    </row>
    <row r="1095" spans="1:15" ht="15" customHeight="1" x14ac:dyDescent="0.25">
      <c r="A1095" s="3">
        <v>10</v>
      </c>
      <c r="B1095" s="3" t="s">
        <v>18</v>
      </c>
      <c r="C1095" s="3" t="s">
        <v>20</v>
      </c>
      <c r="D1095" s="2" t="s">
        <v>106</v>
      </c>
      <c r="E1095" s="3">
        <v>0</v>
      </c>
      <c r="F1095" s="3">
        <v>0</v>
      </c>
      <c r="G1095" s="3" t="s">
        <v>10</v>
      </c>
      <c r="H1095" s="3" t="s">
        <v>12</v>
      </c>
      <c r="I1095" s="3">
        <v>1</v>
      </c>
      <c r="J1095" s="3" t="s">
        <v>14</v>
      </c>
      <c r="K1095" s="3" t="s">
        <v>14</v>
      </c>
      <c r="L1095" s="3" t="s">
        <v>14</v>
      </c>
      <c r="M1095" s="3" t="s">
        <v>14</v>
      </c>
      <c r="N1095" s="3" t="s">
        <v>14</v>
      </c>
      <c r="O1095" s="3">
        <v>1</v>
      </c>
    </row>
    <row r="1096" spans="1:15" ht="15" customHeight="1" x14ac:dyDescent="0.25">
      <c r="A1096" s="2">
        <v>30</v>
      </c>
      <c r="B1096" s="2" t="s">
        <v>10</v>
      </c>
      <c r="C1096" s="2" t="s">
        <v>19</v>
      </c>
      <c r="D1096" s="2" t="s">
        <v>106</v>
      </c>
      <c r="E1096" s="2">
        <v>0</v>
      </c>
      <c r="F1096" s="2">
        <v>0</v>
      </c>
      <c r="G1096" s="2" t="s">
        <v>10</v>
      </c>
      <c r="H1096" s="2" t="s">
        <v>12</v>
      </c>
      <c r="I1096" s="2" t="s">
        <v>15</v>
      </c>
      <c r="J1096" s="2" t="s">
        <v>14</v>
      </c>
      <c r="K1096" s="2" t="s">
        <v>14</v>
      </c>
      <c r="L1096" s="2" t="s">
        <v>14</v>
      </c>
      <c r="M1096" s="2" t="s">
        <v>13</v>
      </c>
      <c r="N1096" s="2" t="s">
        <v>14</v>
      </c>
      <c r="O1096" s="2">
        <v>0</v>
      </c>
    </row>
    <row r="1097" spans="1:15" ht="15" customHeight="1" x14ac:dyDescent="0.25">
      <c r="A1097" s="3">
        <v>20</v>
      </c>
      <c r="B1097" s="3" t="s">
        <v>18</v>
      </c>
      <c r="C1097" s="3" t="s">
        <v>19</v>
      </c>
      <c r="D1097" s="2" t="s">
        <v>106</v>
      </c>
      <c r="E1097" s="3">
        <v>0</v>
      </c>
      <c r="F1097" s="3">
        <v>1</v>
      </c>
      <c r="G1097" s="3" t="s">
        <v>10</v>
      </c>
      <c r="H1097" s="3" t="s">
        <v>12</v>
      </c>
      <c r="I1097" s="3">
        <v>2</v>
      </c>
      <c r="J1097" s="3" t="s">
        <v>14</v>
      </c>
      <c r="K1097" s="3" t="s">
        <v>14</v>
      </c>
      <c r="L1097" s="3" t="s">
        <v>14</v>
      </c>
      <c r="M1097" s="3" t="s">
        <v>14</v>
      </c>
      <c r="N1097" s="3" t="s">
        <v>14</v>
      </c>
      <c r="O1097" s="3">
        <v>1</v>
      </c>
    </row>
    <row r="1098" spans="1:15" ht="15" customHeight="1" x14ac:dyDescent="0.25">
      <c r="A1098" s="2">
        <v>10</v>
      </c>
      <c r="B1098" s="2" t="s">
        <v>10</v>
      </c>
      <c r="C1098" s="2" t="s">
        <v>19</v>
      </c>
      <c r="D1098" s="2" t="s">
        <v>106</v>
      </c>
      <c r="E1098" s="2">
        <v>0</v>
      </c>
      <c r="F1098" s="2">
        <v>0</v>
      </c>
      <c r="G1098" s="2" t="s">
        <v>10</v>
      </c>
      <c r="H1098" s="2" t="s">
        <v>12</v>
      </c>
      <c r="I1098" s="2">
        <v>2</v>
      </c>
      <c r="J1098" s="2" t="s">
        <v>14</v>
      </c>
      <c r="K1098" s="2" t="s">
        <v>14</v>
      </c>
      <c r="L1098" s="2" t="s">
        <v>14</v>
      </c>
      <c r="M1098" s="2" t="s">
        <v>14</v>
      </c>
      <c r="N1098" s="2" t="s">
        <v>14</v>
      </c>
      <c r="O1098" s="2">
        <v>1</v>
      </c>
    </row>
    <row r="1099" spans="1:15" ht="15" customHeight="1" x14ac:dyDescent="0.25">
      <c r="A1099" s="3">
        <v>5</v>
      </c>
      <c r="B1099" s="3" t="s">
        <v>18</v>
      </c>
      <c r="C1099" s="3" t="s">
        <v>19</v>
      </c>
      <c r="D1099" s="2" t="s">
        <v>106</v>
      </c>
      <c r="E1099" s="3">
        <v>0</v>
      </c>
      <c r="F1099" s="3">
        <v>0</v>
      </c>
      <c r="G1099" s="3" t="s">
        <v>10</v>
      </c>
      <c r="H1099" s="3" t="s">
        <v>16</v>
      </c>
      <c r="I1099" s="3" t="s">
        <v>15</v>
      </c>
      <c r="J1099" s="3" t="s">
        <v>14</v>
      </c>
      <c r="K1099" s="3" t="s">
        <v>14</v>
      </c>
      <c r="L1099" s="3" t="s">
        <v>14</v>
      </c>
      <c r="M1099" s="3" t="s">
        <v>14</v>
      </c>
      <c r="N1099" s="3" t="s">
        <v>14</v>
      </c>
      <c r="O1099" s="3">
        <v>1</v>
      </c>
    </row>
    <row r="1100" spans="1:15" ht="15" customHeight="1" x14ac:dyDescent="0.25">
      <c r="A1100" s="2">
        <v>5</v>
      </c>
      <c r="B1100" s="2" t="s">
        <v>14</v>
      </c>
      <c r="C1100" s="2" t="s">
        <v>19</v>
      </c>
      <c r="D1100" s="2" t="s">
        <v>106</v>
      </c>
      <c r="E1100" s="2">
        <v>0</v>
      </c>
      <c r="F1100" s="2">
        <v>0</v>
      </c>
      <c r="G1100" s="2" t="s">
        <v>10</v>
      </c>
      <c r="H1100" s="2" t="s">
        <v>12</v>
      </c>
      <c r="I1100" s="2">
        <v>2</v>
      </c>
      <c r="J1100" s="2" t="s">
        <v>14</v>
      </c>
      <c r="K1100" s="2" t="s">
        <v>14</v>
      </c>
      <c r="L1100" s="2" t="s">
        <v>14</v>
      </c>
      <c r="M1100" s="2" t="s">
        <v>14</v>
      </c>
      <c r="N1100" s="2" t="s">
        <v>14</v>
      </c>
      <c r="O1100" s="2">
        <v>1</v>
      </c>
    </row>
    <row r="1101" spans="1:15" ht="15" customHeight="1" x14ac:dyDescent="0.25">
      <c r="A1101" s="3">
        <v>5</v>
      </c>
      <c r="B1101" s="3" t="s">
        <v>18</v>
      </c>
      <c r="C1101" s="3" t="s">
        <v>19</v>
      </c>
      <c r="D1101" s="2" t="s">
        <v>106</v>
      </c>
      <c r="E1101" s="3">
        <v>0</v>
      </c>
      <c r="F1101" s="3">
        <v>0</v>
      </c>
      <c r="G1101" s="3" t="s">
        <v>10</v>
      </c>
      <c r="H1101" s="3" t="s">
        <v>12</v>
      </c>
      <c r="I1101" s="3">
        <v>2</v>
      </c>
      <c r="J1101" s="3" t="s">
        <v>14</v>
      </c>
      <c r="K1101" s="3" t="s">
        <v>14</v>
      </c>
      <c r="L1101" s="3" t="s">
        <v>14</v>
      </c>
      <c r="M1101" s="3" t="s">
        <v>14</v>
      </c>
      <c r="N1101" s="3" t="s">
        <v>14</v>
      </c>
      <c r="O1101" s="3">
        <v>1</v>
      </c>
    </row>
    <row r="1102" spans="1:15" ht="15" customHeight="1" x14ac:dyDescent="0.25">
      <c r="A1102" s="2">
        <v>0</v>
      </c>
      <c r="B1102" s="2" t="s">
        <v>14</v>
      </c>
      <c r="C1102" s="2" t="s">
        <v>11</v>
      </c>
      <c r="D1102" s="2" t="s">
        <v>106</v>
      </c>
      <c r="E1102" s="2">
        <v>0</v>
      </c>
      <c r="F1102" s="2">
        <v>0</v>
      </c>
      <c r="G1102" s="2" t="s">
        <v>10</v>
      </c>
      <c r="H1102" s="2" t="s">
        <v>12</v>
      </c>
      <c r="I1102" s="2" t="s">
        <v>15</v>
      </c>
      <c r="J1102" s="2" t="s">
        <v>14</v>
      </c>
      <c r="K1102" s="2" t="s">
        <v>14</v>
      </c>
      <c r="L1102" s="2" t="s">
        <v>14</v>
      </c>
      <c r="M1102" s="2" t="s">
        <v>14</v>
      </c>
      <c r="N1102" s="2" t="s">
        <v>14</v>
      </c>
      <c r="O1102" s="2">
        <v>1</v>
      </c>
    </row>
    <row r="1103" spans="1:15" ht="15" customHeight="1" x14ac:dyDescent="0.25">
      <c r="A1103" s="3">
        <v>10</v>
      </c>
      <c r="B1103" s="3" t="s">
        <v>18</v>
      </c>
      <c r="C1103" s="3" t="s">
        <v>19</v>
      </c>
      <c r="D1103" s="2" t="s">
        <v>106</v>
      </c>
      <c r="E1103" s="3">
        <v>0</v>
      </c>
      <c r="F1103" s="3">
        <v>0</v>
      </c>
      <c r="G1103" s="3" t="s">
        <v>10</v>
      </c>
      <c r="H1103" s="3" t="s">
        <v>12</v>
      </c>
      <c r="I1103" s="3">
        <v>2</v>
      </c>
      <c r="J1103" s="3" t="s">
        <v>14</v>
      </c>
      <c r="K1103" s="3" t="s">
        <v>14</v>
      </c>
      <c r="L1103" s="3" t="s">
        <v>14</v>
      </c>
      <c r="M1103" s="3" t="s">
        <v>14</v>
      </c>
      <c r="N1103" s="3" t="s">
        <v>14</v>
      </c>
      <c r="O1103" s="3">
        <v>1</v>
      </c>
    </row>
    <row r="1104" spans="1:15" ht="15" customHeight="1" x14ac:dyDescent="0.25">
      <c r="A1104" s="2">
        <v>20</v>
      </c>
      <c r="B1104" s="2" t="s">
        <v>10</v>
      </c>
      <c r="C1104" s="2" t="s">
        <v>11</v>
      </c>
      <c r="D1104" s="2" t="s">
        <v>106</v>
      </c>
      <c r="E1104" s="2">
        <v>1</v>
      </c>
      <c r="F1104" s="2">
        <v>1</v>
      </c>
      <c r="G1104" s="2" t="s">
        <v>10</v>
      </c>
      <c r="H1104" s="2" t="s">
        <v>12</v>
      </c>
      <c r="I1104" s="2">
        <v>2</v>
      </c>
      <c r="J1104" s="2" t="s">
        <v>14</v>
      </c>
      <c r="K1104" s="2" t="s">
        <v>14</v>
      </c>
      <c r="L1104" s="2" t="s">
        <v>14</v>
      </c>
      <c r="M1104" s="2" t="s">
        <v>13</v>
      </c>
      <c r="N1104" s="2" t="s">
        <v>13</v>
      </c>
      <c r="O1104" s="2">
        <v>0</v>
      </c>
    </row>
    <row r="1105" spans="1:15" ht="15" customHeight="1" x14ac:dyDescent="0.25">
      <c r="A1105" s="3">
        <v>5</v>
      </c>
      <c r="B1105" s="3" t="s">
        <v>10</v>
      </c>
      <c r="C1105" s="3" t="s">
        <v>11</v>
      </c>
      <c r="D1105" s="2" t="s">
        <v>106</v>
      </c>
      <c r="E1105" s="3">
        <v>1</v>
      </c>
      <c r="F1105" s="3">
        <v>0</v>
      </c>
      <c r="G1105" s="3" t="s">
        <v>10</v>
      </c>
      <c r="H1105" s="3" t="s">
        <v>12</v>
      </c>
      <c r="I1105" s="3">
        <v>1</v>
      </c>
      <c r="J1105" s="3" t="s">
        <v>14</v>
      </c>
      <c r="K1105" s="3" t="s">
        <v>13</v>
      </c>
      <c r="L1105" s="3" t="s">
        <v>13</v>
      </c>
      <c r="M1105" s="3" t="s">
        <v>14</v>
      </c>
      <c r="N1105" s="3" t="s">
        <v>14</v>
      </c>
      <c r="O1105" s="3">
        <v>0</v>
      </c>
    </row>
    <row r="1106" spans="1:15" ht="15" customHeight="1" x14ac:dyDescent="0.25">
      <c r="A1106" s="2">
        <v>10</v>
      </c>
      <c r="B1106" s="2" t="s">
        <v>10</v>
      </c>
      <c r="C1106" s="2" t="s">
        <v>19</v>
      </c>
      <c r="D1106" s="2" t="s">
        <v>106</v>
      </c>
      <c r="E1106" s="2">
        <v>0</v>
      </c>
      <c r="F1106" s="2">
        <v>1</v>
      </c>
      <c r="G1106" s="2" t="s">
        <v>17</v>
      </c>
      <c r="H1106" s="2" t="s">
        <v>106</v>
      </c>
      <c r="I1106" s="2">
        <v>1</v>
      </c>
      <c r="J1106" s="2" t="s">
        <v>14</v>
      </c>
      <c r="K1106" s="2" t="s">
        <v>13</v>
      </c>
      <c r="L1106" s="2" t="s">
        <v>13</v>
      </c>
      <c r="M1106" s="2" t="s">
        <v>13</v>
      </c>
      <c r="N1106" s="2" t="s">
        <v>14</v>
      </c>
      <c r="O1106" s="2">
        <v>0</v>
      </c>
    </row>
    <row r="1107" spans="1:15" ht="15" customHeight="1" x14ac:dyDescent="0.25">
      <c r="A1107" s="3">
        <v>5</v>
      </c>
      <c r="B1107" s="3" t="s">
        <v>18</v>
      </c>
      <c r="C1107" s="3" t="s">
        <v>19</v>
      </c>
      <c r="D1107" s="2" t="s">
        <v>106</v>
      </c>
      <c r="E1107" s="3">
        <v>0</v>
      </c>
      <c r="F1107" s="3">
        <v>0</v>
      </c>
      <c r="G1107" s="3" t="s">
        <v>10</v>
      </c>
      <c r="H1107" s="3" t="s">
        <v>12</v>
      </c>
      <c r="I1107" s="3">
        <v>2</v>
      </c>
      <c r="J1107" s="3" t="s">
        <v>14</v>
      </c>
      <c r="K1107" s="3" t="s">
        <v>13</v>
      </c>
      <c r="L1107" s="3" t="s">
        <v>14</v>
      </c>
      <c r="M1107" s="3" t="s">
        <v>14</v>
      </c>
      <c r="N1107" s="3" t="s">
        <v>14</v>
      </c>
      <c r="O1107" s="3">
        <v>1</v>
      </c>
    </row>
    <row r="1108" spans="1:15" ht="15" customHeight="1" x14ac:dyDescent="0.25">
      <c r="A1108" s="2">
        <v>5</v>
      </c>
      <c r="B1108" s="2" t="s">
        <v>10</v>
      </c>
      <c r="C1108" s="2" t="s">
        <v>19</v>
      </c>
      <c r="D1108" s="2" t="s">
        <v>106</v>
      </c>
      <c r="E1108" s="2">
        <v>0</v>
      </c>
      <c r="F1108" s="2">
        <v>1</v>
      </c>
      <c r="G1108" s="2" t="s">
        <v>10</v>
      </c>
      <c r="H1108" s="2" t="s">
        <v>12</v>
      </c>
      <c r="I1108" s="2">
        <v>2</v>
      </c>
      <c r="J1108" s="2" t="s">
        <v>14</v>
      </c>
      <c r="K1108" s="2" t="s">
        <v>14</v>
      </c>
      <c r="L1108" s="2" t="s">
        <v>14</v>
      </c>
      <c r="M1108" s="2" t="s">
        <v>14</v>
      </c>
      <c r="N1108" s="2" t="s">
        <v>14</v>
      </c>
      <c r="O1108" s="2">
        <v>1</v>
      </c>
    </row>
    <row r="1109" spans="1:15" ht="15" customHeight="1" x14ac:dyDescent="0.25">
      <c r="A1109" s="3">
        <v>10</v>
      </c>
      <c r="B1109" s="3" t="s">
        <v>18</v>
      </c>
      <c r="C1109" s="3" t="s">
        <v>19</v>
      </c>
      <c r="D1109" s="2" t="s">
        <v>106</v>
      </c>
      <c r="E1109" s="3">
        <v>0</v>
      </c>
      <c r="F1109" s="3">
        <v>0</v>
      </c>
      <c r="G1109" s="3" t="s">
        <v>10</v>
      </c>
      <c r="H1109" s="3" t="s">
        <v>12</v>
      </c>
      <c r="I1109" s="3" t="s">
        <v>15</v>
      </c>
      <c r="J1109" s="3" t="s">
        <v>14</v>
      </c>
      <c r="K1109" s="3" t="s">
        <v>14</v>
      </c>
      <c r="L1109" s="3" t="s">
        <v>14</v>
      </c>
      <c r="M1109" s="3" t="s">
        <v>14</v>
      </c>
      <c r="N1109" s="3" t="s">
        <v>14</v>
      </c>
      <c r="O1109" s="3">
        <v>1</v>
      </c>
    </row>
    <row r="1110" spans="1:15" ht="15" customHeight="1" x14ac:dyDescent="0.25">
      <c r="A1110" s="2">
        <v>10</v>
      </c>
      <c r="B1110" s="2" t="s">
        <v>18</v>
      </c>
      <c r="C1110" s="2" t="s">
        <v>19</v>
      </c>
      <c r="D1110" s="2" t="s">
        <v>106</v>
      </c>
      <c r="E1110" s="2">
        <v>0</v>
      </c>
      <c r="F1110" s="2">
        <v>0</v>
      </c>
      <c r="G1110" s="2" t="s">
        <v>10</v>
      </c>
      <c r="H1110" s="2" t="s">
        <v>12</v>
      </c>
      <c r="I1110" s="2">
        <v>1</v>
      </c>
      <c r="J1110" s="2" t="s">
        <v>14</v>
      </c>
      <c r="K1110" s="2" t="s">
        <v>14</v>
      </c>
      <c r="L1110" s="2" t="s">
        <v>14</v>
      </c>
      <c r="M1110" s="2" t="s">
        <v>14</v>
      </c>
      <c r="N1110" s="2" t="s">
        <v>14</v>
      </c>
      <c r="O1110" s="2">
        <v>1</v>
      </c>
    </row>
    <row r="1111" spans="1:15" ht="15" customHeight="1" x14ac:dyDescent="0.25">
      <c r="A1111" s="3">
        <v>10</v>
      </c>
      <c r="B1111" s="3" t="s">
        <v>18</v>
      </c>
      <c r="C1111" s="3" t="s">
        <v>20</v>
      </c>
      <c r="D1111" s="2" t="s">
        <v>106</v>
      </c>
      <c r="E1111" s="3">
        <v>0</v>
      </c>
      <c r="F1111" s="3">
        <v>0</v>
      </c>
      <c r="G1111" s="3" t="s">
        <v>10</v>
      </c>
      <c r="H1111" s="3" t="s">
        <v>12</v>
      </c>
      <c r="I1111" s="3">
        <v>2</v>
      </c>
      <c r="J1111" s="3" t="s">
        <v>14</v>
      </c>
      <c r="K1111" s="3" t="s">
        <v>14</v>
      </c>
      <c r="L1111" s="3" t="s">
        <v>14</v>
      </c>
      <c r="M1111" s="3" t="s">
        <v>14</v>
      </c>
      <c r="N1111" s="3" t="s">
        <v>14</v>
      </c>
      <c r="O1111" s="3">
        <v>1</v>
      </c>
    </row>
    <row r="1112" spans="1:15" ht="15" customHeight="1" x14ac:dyDescent="0.25">
      <c r="A1112" s="2">
        <v>10</v>
      </c>
      <c r="B1112" s="2" t="s">
        <v>10</v>
      </c>
      <c r="C1112" s="2" t="s">
        <v>20</v>
      </c>
      <c r="D1112" s="2" t="s">
        <v>106</v>
      </c>
      <c r="E1112" s="2">
        <v>0</v>
      </c>
      <c r="F1112" s="2">
        <v>0</v>
      </c>
      <c r="G1112" s="2" t="s">
        <v>10</v>
      </c>
      <c r="H1112" s="2" t="s">
        <v>12</v>
      </c>
      <c r="I1112" s="2">
        <v>2</v>
      </c>
      <c r="J1112" s="2" t="s">
        <v>14</v>
      </c>
      <c r="K1112" s="2" t="s">
        <v>14</v>
      </c>
      <c r="L1112" s="2" t="s">
        <v>14</v>
      </c>
      <c r="M1112" s="2" t="s">
        <v>14</v>
      </c>
      <c r="N1112" s="2" t="s">
        <v>14</v>
      </c>
      <c r="O1112" s="2">
        <v>1</v>
      </c>
    </row>
    <row r="1113" spans="1:15" ht="15" customHeight="1" x14ac:dyDescent="0.25">
      <c r="A1113" s="3">
        <v>5</v>
      </c>
      <c r="B1113" s="3" t="s">
        <v>10</v>
      </c>
      <c r="C1113" s="3" t="s">
        <v>19</v>
      </c>
      <c r="D1113" s="2" t="s">
        <v>106</v>
      </c>
      <c r="E1113" s="3">
        <v>0</v>
      </c>
      <c r="F1113" s="3">
        <v>0</v>
      </c>
      <c r="G1113" s="3" t="s">
        <v>10</v>
      </c>
      <c r="H1113" s="3" t="s">
        <v>12</v>
      </c>
      <c r="I1113" s="3">
        <v>2</v>
      </c>
      <c r="J1113" s="3" t="s">
        <v>14</v>
      </c>
      <c r="K1113" s="3" t="s">
        <v>14</v>
      </c>
      <c r="L1113" s="3" t="s">
        <v>14</v>
      </c>
      <c r="M1113" s="3" t="s">
        <v>14</v>
      </c>
      <c r="N1113" s="3" t="s">
        <v>14</v>
      </c>
      <c r="O1113" s="3">
        <v>1</v>
      </c>
    </row>
    <row r="1114" spans="1:15" ht="15" customHeight="1" x14ac:dyDescent="0.25">
      <c r="A1114" s="2">
        <v>0</v>
      </c>
      <c r="B1114" s="2" t="s">
        <v>10</v>
      </c>
      <c r="C1114" s="2" t="s">
        <v>19</v>
      </c>
      <c r="D1114" s="2" t="s">
        <v>106</v>
      </c>
      <c r="E1114" s="2">
        <v>0</v>
      </c>
      <c r="F1114" s="2">
        <v>0</v>
      </c>
      <c r="G1114" s="2" t="s">
        <v>10</v>
      </c>
      <c r="H1114" s="2" t="s">
        <v>12</v>
      </c>
      <c r="I1114" s="2" t="s">
        <v>15</v>
      </c>
      <c r="J1114" s="2" t="s">
        <v>14</v>
      </c>
      <c r="K1114" s="2" t="s">
        <v>14</v>
      </c>
      <c r="L1114" s="2" t="s">
        <v>14</v>
      </c>
      <c r="M1114" s="2" t="s">
        <v>14</v>
      </c>
      <c r="N1114" s="2" t="s">
        <v>14</v>
      </c>
      <c r="O1114" s="2">
        <v>1</v>
      </c>
    </row>
    <row r="1115" spans="1:15" ht="15" customHeight="1" x14ac:dyDescent="0.25">
      <c r="A1115" s="3">
        <v>10</v>
      </c>
      <c r="B1115" s="3" t="s">
        <v>10</v>
      </c>
      <c r="C1115" s="3" t="s">
        <v>19</v>
      </c>
      <c r="D1115" s="2" t="s">
        <v>106</v>
      </c>
      <c r="E1115" s="3">
        <v>1</v>
      </c>
      <c r="F1115" s="3">
        <v>0</v>
      </c>
      <c r="G1115" s="3" t="s">
        <v>10</v>
      </c>
      <c r="H1115" s="3" t="s">
        <v>12</v>
      </c>
      <c r="I1115" s="3">
        <v>2</v>
      </c>
      <c r="J1115" s="3" t="s">
        <v>14</v>
      </c>
      <c r="K1115" s="3" t="s">
        <v>14</v>
      </c>
      <c r="L1115" s="3" t="s">
        <v>14</v>
      </c>
      <c r="M1115" s="3" t="s">
        <v>14</v>
      </c>
      <c r="N1115" s="3" t="s">
        <v>14</v>
      </c>
      <c r="O1115" s="3">
        <v>0</v>
      </c>
    </row>
    <row r="1116" spans="1:15" ht="15" customHeight="1" x14ac:dyDescent="0.25">
      <c r="A1116" s="2">
        <v>10</v>
      </c>
      <c r="B1116" s="2" t="s">
        <v>10</v>
      </c>
      <c r="C1116" s="2" t="s">
        <v>19</v>
      </c>
      <c r="D1116" s="2" t="s">
        <v>106</v>
      </c>
      <c r="E1116" s="2">
        <v>0</v>
      </c>
      <c r="F1116" s="2">
        <v>0</v>
      </c>
      <c r="G1116" s="2" t="s">
        <v>17</v>
      </c>
      <c r="H1116" s="2" t="s">
        <v>106</v>
      </c>
      <c r="I1116" s="2">
        <v>1</v>
      </c>
      <c r="J1116" s="2" t="s">
        <v>14</v>
      </c>
      <c r="K1116" s="2" t="s">
        <v>13</v>
      </c>
      <c r="L1116" s="2" t="s">
        <v>13</v>
      </c>
      <c r="M1116" s="2" t="s">
        <v>13</v>
      </c>
      <c r="N1116" s="2" t="s">
        <v>14</v>
      </c>
      <c r="O1116" s="2">
        <v>0</v>
      </c>
    </row>
    <row r="1117" spans="1:15" ht="15" customHeight="1" x14ac:dyDescent="0.25">
      <c r="A1117" s="3">
        <v>10</v>
      </c>
      <c r="B1117" s="3" t="s">
        <v>10</v>
      </c>
      <c r="C1117" s="3" t="s">
        <v>11</v>
      </c>
      <c r="D1117" s="2" t="s">
        <v>106</v>
      </c>
      <c r="E1117" s="3">
        <v>0</v>
      </c>
      <c r="F1117" s="3">
        <v>0</v>
      </c>
      <c r="G1117" s="3" t="s">
        <v>10</v>
      </c>
      <c r="H1117" s="3" t="s">
        <v>12</v>
      </c>
      <c r="I1117" s="3" t="s">
        <v>15</v>
      </c>
      <c r="J1117" s="3" t="s">
        <v>14</v>
      </c>
      <c r="K1117" s="3" t="s">
        <v>14</v>
      </c>
      <c r="L1117" s="3" t="s">
        <v>14</v>
      </c>
      <c r="M1117" s="3" t="s">
        <v>14</v>
      </c>
      <c r="N1117" s="3" t="s">
        <v>14</v>
      </c>
      <c r="O1117" s="3">
        <v>1</v>
      </c>
    </row>
    <row r="1118" spans="1:15" ht="15" customHeight="1" x14ac:dyDescent="0.25">
      <c r="A1118" s="2">
        <v>20</v>
      </c>
      <c r="B1118" s="2" t="s">
        <v>18</v>
      </c>
      <c r="C1118" s="2" t="s">
        <v>19</v>
      </c>
      <c r="D1118" s="2" t="s">
        <v>106</v>
      </c>
      <c r="E1118" s="2">
        <v>0</v>
      </c>
      <c r="F1118" s="2">
        <v>0</v>
      </c>
      <c r="G1118" s="2" t="s">
        <v>10</v>
      </c>
      <c r="H1118" s="2" t="s">
        <v>12</v>
      </c>
      <c r="I1118" s="2">
        <v>2</v>
      </c>
      <c r="J1118" s="2" t="s">
        <v>14</v>
      </c>
      <c r="K1118" s="2" t="s">
        <v>14</v>
      </c>
      <c r="L1118" s="2" t="s">
        <v>14</v>
      </c>
      <c r="M1118" s="2" t="s">
        <v>14</v>
      </c>
      <c r="N1118" s="2" t="s">
        <v>14</v>
      </c>
      <c r="O1118" s="2">
        <v>1</v>
      </c>
    </row>
    <row r="1119" spans="1:15" ht="15" customHeight="1" x14ac:dyDescent="0.25">
      <c r="A1119" s="3">
        <v>5</v>
      </c>
      <c r="B1119" s="3" t="s">
        <v>10</v>
      </c>
      <c r="C1119" s="3" t="s">
        <v>19</v>
      </c>
      <c r="D1119" s="2" t="s">
        <v>106</v>
      </c>
      <c r="E1119" s="3">
        <v>0</v>
      </c>
      <c r="F1119" s="3">
        <v>2</v>
      </c>
      <c r="G1119" s="3" t="s">
        <v>10</v>
      </c>
      <c r="H1119" s="3" t="s">
        <v>12</v>
      </c>
      <c r="I1119" s="3" t="s">
        <v>15</v>
      </c>
      <c r="J1119" s="3" t="s">
        <v>14</v>
      </c>
      <c r="K1119" s="3" t="s">
        <v>14</v>
      </c>
      <c r="L1119" s="3" t="s">
        <v>14</v>
      </c>
      <c r="M1119" s="3" t="s">
        <v>14</v>
      </c>
      <c r="N1119" s="3" t="s">
        <v>14</v>
      </c>
      <c r="O1119" s="3">
        <v>0</v>
      </c>
    </row>
    <row r="1120" spans="1:15" ht="15" customHeight="1" x14ac:dyDescent="0.25">
      <c r="A1120" s="2">
        <v>5</v>
      </c>
      <c r="B1120" s="2" t="s">
        <v>18</v>
      </c>
      <c r="C1120" s="2" t="s">
        <v>19</v>
      </c>
      <c r="D1120" s="2" t="s">
        <v>106</v>
      </c>
      <c r="E1120" s="2">
        <v>0</v>
      </c>
      <c r="F1120" s="2">
        <v>0</v>
      </c>
      <c r="G1120" s="2" t="s">
        <v>10</v>
      </c>
      <c r="H1120" s="2" t="s">
        <v>12</v>
      </c>
      <c r="I1120" s="2">
        <v>1</v>
      </c>
      <c r="J1120" s="2" t="s">
        <v>14</v>
      </c>
      <c r="K1120" s="2" t="s">
        <v>14</v>
      </c>
      <c r="L1120" s="2" t="s">
        <v>14</v>
      </c>
      <c r="M1120" s="2" t="s">
        <v>14</v>
      </c>
      <c r="N1120" s="2" t="s">
        <v>14</v>
      </c>
      <c r="O1120" s="2">
        <v>1</v>
      </c>
    </row>
    <row r="1121" spans="1:15" ht="15" customHeight="1" x14ac:dyDescent="0.25">
      <c r="A1121" s="3">
        <v>20</v>
      </c>
      <c r="B1121" s="3" t="s">
        <v>18</v>
      </c>
      <c r="C1121" s="3" t="s">
        <v>20</v>
      </c>
      <c r="D1121" s="2" t="s">
        <v>106</v>
      </c>
      <c r="E1121" s="3">
        <v>0</v>
      </c>
      <c r="F1121" s="3">
        <v>0</v>
      </c>
      <c r="G1121" s="3" t="s">
        <v>10</v>
      </c>
      <c r="H1121" s="3" t="s">
        <v>12</v>
      </c>
      <c r="I1121" s="3">
        <v>2</v>
      </c>
      <c r="J1121" s="3" t="s">
        <v>14</v>
      </c>
      <c r="K1121" s="3" t="s">
        <v>14</v>
      </c>
      <c r="L1121" s="3" t="s">
        <v>14</v>
      </c>
      <c r="M1121" s="3" t="s">
        <v>14</v>
      </c>
      <c r="N1121" s="3" t="s">
        <v>14</v>
      </c>
      <c r="O1121" s="3">
        <v>1</v>
      </c>
    </row>
    <row r="1122" spans="1:15" ht="15" customHeight="1" x14ac:dyDescent="0.25">
      <c r="A1122" s="2">
        <v>10</v>
      </c>
      <c r="B1122" s="2" t="s">
        <v>10</v>
      </c>
      <c r="C1122" s="2" t="s">
        <v>20</v>
      </c>
      <c r="D1122" s="2" t="s">
        <v>106</v>
      </c>
      <c r="E1122" s="2">
        <v>0</v>
      </c>
      <c r="F1122" s="2">
        <v>0</v>
      </c>
      <c r="G1122" s="2" t="s">
        <v>10</v>
      </c>
      <c r="H1122" s="2" t="s">
        <v>12</v>
      </c>
      <c r="I1122" s="2">
        <v>2</v>
      </c>
      <c r="J1122" s="2" t="s">
        <v>14</v>
      </c>
      <c r="K1122" s="2" t="s">
        <v>14</v>
      </c>
      <c r="L1122" s="2" t="s">
        <v>14</v>
      </c>
      <c r="M1122" s="2" t="s">
        <v>14</v>
      </c>
      <c r="N1122" s="2" t="s">
        <v>14</v>
      </c>
      <c r="O1122" s="2">
        <v>1</v>
      </c>
    </row>
    <row r="1123" spans="1:15" ht="15" customHeight="1" x14ac:dyDescent="0.25">
      <c r="A1123" s="3">
        <v>20</v>
      </c>
      <c r="B1123" s="3" t="s">
        <v>14</v>
      </c>
      <c r="C1123" s="3" t="s">
        <v>19</v>
      </c>
      <c r="D1123" s="2" t="s">
        <v>106</v>
      </c>
      <c r="E1123" s="3">
        <v>0</v>
      </c>
      <c r="F1123" s="3">
        <v>0</v>
      </c>
      <c r="G1123" s="3" t="s">
        <v>10</v>
      </c>
      <c r="H1123" s="3" t="s">
        <v>12</v>
      </c>
      <c r="I1123" s="3" t="s">
        <v>15</v>
      </c>
      <c r="J1123" s="3" t="s">
        <v>14</v>
      </c>
      <c r="K1123" s="3" t="s">
        <v>14</v>
      </c>
      <c r="L1123" s="3" t="s">
        <v>14</v>
      </c>
      <c r="M1123" s="3" t="s">
        <v>14</v>
      </c>
      <c r="N1123" s="3" t="s">
        <v>14</v>
      </c>
      <c r="O1123" s="3">
        <v>1</v>
      </c>
    </row>
    <row r="1124" spans="1:15" ht="15" customHeight="1" x14ac:dyDescent="0.25">
      <c r="A1124" s="2">
        <v>10</v>
      </c>
      <c r="B1124" s="2" t="s">
        <v>10</v>
      </c>
      <c r="C1124" s="2" t="s">
        <v>19</v>
      </c>
      <c r="D1124" s="2" t="s">
        <v>106</v>
      </c>
      <c r="E1124" s="2">
        <v>0</v>
      </c>
      <c r="F1124" s="2">
        <v>0</v>
      </c>
      <c r="G1124" s="2" t="s">
        <v>10</v>
      </c>
      <c r="H1124" s="2" t="s">
        <v>12</v>
      </c>
      <c r="I1124" s="2" t="s">
        <v>15</v>
      </c>
      <c r="J1124" s="2" t="s">
        <v>14</v>
      </c>
      <c r="K1124" s="2" t="s">
        <v>14</v>
      </c>
      <c r="L1124" s="2" t="s">
        <v>14</v>
      </c>
      <c r="M1124" s="2" t="s">
        <v>14</v>
      </c>
      <c r="N1124" s="2" t="s">
        <v>14</v>
      </c>
      <c r="O1124" s="2">
        <v>0</v>
      </c>
    </row>
    <row r="1125" spans="1:15" ht="15" customHeight="1" x14ac:dyDescent="0.25">
      <c r="A1125" s="3">
        <v>10</v>
      </c>
      <c r="B1125" s="3" t="s">
        <v>14</v>
      </c>
      <c r="C1125" s="3" t="s">
        <v>19</v>
      </c>
      <c r="D1125" s="2" t="s">
        <v>106</v>
      </c>
      <c r="E1125" s="3">
        <v>0</v>
      </c>
      <c r="F1125" s="3">
        <v>0</v>
      </c>
      <c r="G1125" s="3" t="s">
        <v>10</v>
      </c>
      <c r="H1125" s="3" t="s">
        <v>12</v>
      </c>
      <c r="I1125" s="3">
        <v>2</v>
      </c>
      <c r="J1125" s="3" t="s">
        <v>14</v>
      </c>
      <c r="K1125" s="3" t="s">
        <v>14</v>
      </c>
      <c r="L1125" s="3" t="s">
        <v>14</v>
      </c>
      <c r="M1125" s="3" t="s">
        <v>14</v>
      </c>
      <c r="N1125" s="3" t="s">
        <v>14</v>
      </c>
      <c r="O1125" s="3">
        <v>1</v>
      </c>
    </row>
    <row r="1126" spans="1:15" ht="15" customHeight="1" x14ac:dyDescent="0.25">
      <c r="A1126" s="2">
        <v>10</v>
      </c>
      <c r="B1126" s="2" t="s">
        <v>18</v>
      </c>
      <c r="C1126" s="2" t="s">
        <v>19</v>
      </c>
      <c r="D1126" s="2" t="s">
        <v>106</v>
      </c>
      <c r="E1126" s="2">
        <v>0</v>
      </c>
      <c r="F1126" s="2">
        <v>0</v>
      </c>
      <c r="G1126" s="2" t="s">
        <v>10</v>
      </c>
      <c r="H1126" s="2" t="s">
        <v>12</v>
      </c>
      <c r="I1126" s="2" t="s">
        <v>15</v>
      </c>
      <c r="J1126" s="2" t="s">
        <v>14</v>
      </c>
      <c r="K1126" s="2" t="s">
        <v>14</v>
      </c>
      <c r="L1126" s="2" t="s">
        <v>14</v>
      </c>
      <c r="M1126" s="2" t="s">
        <v>14</v>
      </c>
      <c r="N1126" s="2" t="s">
        <v>14</v>
      </c>
      <c r="O1126" s="2">
        <v>1</v>
      </c>
    </row>
    <row r="1127" spans="1:15" ht="15" customHeight="1" x14ac:dyDescent="0.25">
      <c r="A1127" s="3">
        <v>20</v>
      </c>
      <c r="B1127" s="3" t="s">
        <v>10</v>
      </c>
      <c r="C1127" s="3" t="s">
        <v>11</v>
      </c>
      <c r="D1127" s="2" t="s">
        <v>106</v>
      </c>
      <c r="E1127" s="3">
        <v>0</v>
      </c>
      <c r="F1127" s="3">
        <v>0</v>
      </c>
      <c r="G1127" s="3" t="s">
        <v>10</v>
      </c>
      <c r="H1127" s="3" t="s">
        <v>12</v>
      </c>
      <c r="I1127" s="3" t="s">
        <v>15</v>
      </c>
      <c r="J1127" s="3" t="s">
        <v>14</v>
      </c>
      <c r="K1127" s="3" t="s">
        <v>14</v>
      </c>
      <c r="L1127" s="3" t="s">
        <v>14</v>
      </c>
      <c r="M1127" s="3" t="s">
        <v>14</v>
      </c>
      <c r="N1127" s="3" t="s">
        <v>14</v>
      </c>
      <c r="O1127" s="3">
        <v>1</v>
      </c>
    </row>
    <row r="1128" spans="1:15" ht="15" customHeight="1" x14ac:dyDescent="0.25">
      <c r="A1128" s="2">
        <v>10</v>
      </c>
      <c r="B1128" s="2" t="s">
        <v>10</v>
      </c>
      <c r="C1128" s="2" t="s">
        <v>11</v>
      </c>
      <c r="D1128" s="2" t="s">
        <v>106</v>
      </c>
      <c r="E1128" s="2">
        <v>0</v>
      </c>
      <c r="F1128" s="2">
        <v>1</v>
      </c>
      <c r="G1128" s="2" t="s">
        <v>10</v>
      </c>
      <c r="H1128" s="2" t="s">
        <v>16</v>
      </c>
      <c r="I1128" s="2" t="s">
        <v>15</v>
      </c>
      <c r="J1128" s="2" t="s">
        <v>13</v>
      </c>
      <c r="K1128" s="2" t="s">
        <v>14</v>
      </c>
      <c r="L1128" s="2" t="s">
        <v>14</v>
      </c>
      <c r="M1128" s="2" t="s">
        <v>14</v>
      </c>
      <c r="N1128" s="2" t="s">
        <v>14</v>
      </c>
      <c r="O1128" s="2">
        <v>1</v>
      </c>
    </row>
    <row r="1129" spans="1:15" ht="15" customHeight="1" x14ac:dyDescent="0.25">
      <c r="A1129" s="3">
        <v>5</v>
      </c>
      <c r="B1129" s="3" t="s">
        <v>18</v>
      </c>
      <c r="C1129" s="3" t="s">
        <v>11</v>
      </c>
      <c r="D1129" s="2" t="s">
        <v>106</v>
      </c>
      <c r="E1129" s="3">
        <v>1</v>
      </c>
      <c r="F1129" s="3">
        <v>0</v>
      </c>
      <c r="G1129" s="3" t="s">
        <v>10</v>
      </c>
      <c r="H1129" s="3" t="s">
        <v>16</v>
      </c>
      <c r="I1129" s="3">
        <v>1</v>
      </c>
      <c r="J1129" s="3" t="s">
        <v>14</v>
      </c>
      <c r="K1129" s="3" t="s">
        <v>14</v>
      </c>
      <c r="L1129" s="3" t="s">
        <v>14</v>
      </c>
      <c r="M1129" s="3" t="s">
        <v>14</v>
      </c>
      <c r="N1129" s="3" t="s">
        <v>14</v>
      </c>
      <c r="O1129" s="3">
        <v>0</v>
      </c>
    </row>
    <row r="1130" spans="1:15" ht="15" customHeight="1" x14ac:dyDescent="0.25">
      <c r="A1130" s="2">
        <v>5</v>
      </c>
      <c r="B1130" s="2" t="s">
        <v>14</v>
      </c>
      <c r="C1130" s="2" t="s">
        <v>19</v>
      </c>
      <c r="D1130" s="2" t="s">
        <v>106</v>
      </c>
      <c r="E1130" s="2">
        <v>0</v>
      </c>
      <c r="F1130" s="2">
        <v>0</v>
      </c>
      <c r="G1130" s="2" t="s">
        <v>10</v>
      </c>
      <c r="H1130" s="2" t="s">
        <v>12</v>
      </c>
      <c r="I1130" s="2">
        <v>2</v>
      </c>
      <c r="J1130" s="2" t="s">
        <v>14</v>
      </c>
      <c r="K1130" s="2" t="s">
        <v>13</v>
      </c>
      <c r="L1130" s="2" t="s">
        <v>14</v>
      </c>
      <c r="M1130" s="2" t="s">
        <v>14</v>
      </c>
      <c r="N1130" s="2" t="s">
        <v>14</v>
      </c>
      <c r="O1130" s="2">
        <v>1</v>
      </c>
    </row>
    <row r="1131" spans="1:15" ht="15" customHeight="1" x14ac:dyDescent="0.25">
      <c r="A1131" s="3">
        <v>5</v>
      </c>
      <c r="B1131" s="3" t="s">
        <v>14</v>
      </c>
      <c r="C1131" s="3" t="s">
        <v>19</v>
      </c>
      <c r="D1131" s="2" t="s">
        <v>106</v>
      </c>
      <c r="E1131" s="3">
        <v>0</v>
      </c>
      <c r="F1131" s="3">
        <v>0</v>
      </c>
      <c r="G1131" s="3" t="s">
        <v>10</v>
      </c>
      <c r="H1131" s="3" t="s">
        <v>12</v>
      </c>
      <c r="I1131" s="3" t="s">
        <v>15</v>
      </c>
      <c r="J1131" s="3" t="s">
        <v>14</v>
      </c>
      <c r="K1131" s="3" t="s">
        <v>14</v>
      </c>
      <c r="L1131" s="3" t="s">
        <v>14</v>
      </c>
      <c r="M1131" s="3" t="s">
        <v>14</v>
      </c>
      <c r="N1131" s="3" t="s">
        <v>14</v>
      </c>
      <c r="O1131" s="3">
        <v>1</v>
      </c>
    </row>
    <row r="1132" spans="1:15" ht="15" customHeight="1" x14ac:dyDescent="0.25">
      <c r="A1132" s="2">
        <v>5</v>
      </c>
      <c r="B1132" s="2" t="s">
        <v>10</v>
      </c>
      <c r="C1132" s="2" t="s">
        <v>19</v>
      </c>
      <c r="D1132" s="2" t="s">
        <v>106</v>
      </c>
      <c r="E1132" s="2">
        <v>0</v>
      </c>
      <c r="F1132" s="2">
        <v>0</v>
      </c>
      <c r="G1132" s="2" t="s">
        <v>10</v>
      </c>
      <c r="H1132" s="2" t="s">
        <v>12</v>
      </c>
      <c r="I1132" s="2">
        <v>2</v>
      </c>
      <c r="J1132" s="2" t="s">
        <v>14</v>
      </c>
      <c r="K1132" s="2" t="s">
        <v>14</v>
      </c>
      <c r="L1132" s="2" t="s">
        <v>14</v>
      </c>
      <c r="M1132" s="2" t="s">
        <v>14</v>
      </c>
      <c r="N1132" s="2" t="s">
        <v>14</v>
      </c>
      <c r="O1132" s="2">
        <v>1</v>
      </c>
    </row>
    <row r="1133" spans="1:15" ht="15" customHeight="1" x14ac:dyDescent="0.25">
      <c r="A1133" s="3">
        <v>0</v>
      </c>
      <c r="B1133" s="3" t="s">
        <v>14</v>
      </c>
      <c r="C1133" s="3" t="s">
        <v>19</v>
      </c>
      <c r="D1133" s="2" t="s">
        <v>106</v>
      </c>
      <c r="E1133" s="3">
        <v>0</v>
      </c>
      <c r="F1133" s="3">
        <v>0</v>
      </c>
      <c r="G1133" s="3" t="s">
        <v>10</v>
      </c>
      <c r="H1133" s="3" t="s">
        <v>12</v>
      </c>
      <c r="I1133" s="3" t="s">
        <v>15</v>
      </c>
      <c r="J1133" s="3" t="s">
        <v>14</v>
      </c>
      <c r="K1133" s="3" t="s">
        <v>14</v>
      </c>
      <c r="L1133" s="3" t="s">
        <v>14</v>
      </c>
      <c r="M1133" s="3" t="s">
        <v>14</v>
      </c>
      <c r="N1133" s="3" t="s">
        <v>14</v>
      </c>
      <c r="O1133" s="3">
        <v>1</v>
      </c>
    </row>
    <row r="1134" spans="1:15" ht="15" customHeight="1" x14ac:dyDescent="0.25">
      <c r="A1134" s="2">
        <v>0</v>
      </c>
      <c r="B1134" s="2" t="s">
        <v>18</v>
      </c>
      <c r="C1134" s="2" t="s">
        <v>19</v>
      </c>
      <c r="D1134" s="2" t="s">
        <v>106</v>
      </c>
      <c r="E1134" s="2">
        <v>0</v>
      </c>
      <c r="F1134" s="2">
        <v>0</v>
      </c>
      <c r="G1134" s="2" t="s">
        <v>10</v>
      </c>
      <c r="H1134" s="2" t="s">
        <v>12</v>
      </c>
      <c r="I1134" s="2" t="s">
        <v>15</v>
      </c>
      <c r="J1134" s="2" t="s">
        <v>14</v>
      </c>
      <c r="K1134" s="2" t="s">
        <v>14</v>
      </c>
      <c r="L1134" s="2" t="s">
        <v>14</v>
      </c>
      <c r="M1134" s="2" t="s">
        <v>14</v>
      </c>
      <c r="N1134" s="2" t="s">
        <v>14</v>
      </c>
      <c r="O1134" s="2">
        <v>1</v>
      </c>
    </row>
    <row r="1135" spans="1:15" ht="15" customHeight="1" x14ac:dyDescent="0.25">
      <c r="A1135" s="3">
        <v>5</v>
      </c>
      <c r="B1135" s="3" t="s">
        <v>18</v>
      </c>
      <c r="C1135" s="3" t="s">
        <v>19</v>
      </c>
      <c r="D1135" s="2" t="s">
        <v>106</v>
      </c>
      <c r="E1135" s="3">
        <v>0</v>
      </c>
      <c r="F1135" s="3">
        <v>0</v>
      </c>
      <c r="G1135" s="3" t="s">
        <v>10</v>
      </c>
      <c r="H1135" s="3" t="s">
        <v>12</v>
      </c>
      <c r="I1135" s="3" t="s">
        <v>15</v>
      </c>
      <c r="J1135" s="3" t="s">
        <v>14</v>
      </c>
      <c r="K1135" s="3" t="s">
        <v>14</v>
      </c>
      <c r="L1135" s="3" t="s">
        <v>14</v>
      </c>
      <c r="M1135" s="3" t="s">
        <v>14</v>
      </c>
      <c r="N1135" s="3" t="s">
        <v>14</v>
      </c>
      <c r="O1135" s="3">
        <v>1</v>
      </c>
    </row>
    <row r="1136" spans="1:15" ht="15" customHeight="1" x14ac:dyDescent="0.25">
      <c r="A1136" s="2">
        <v>10</v>
      </c>
      <c r="B1136" s="2" t="s">
        <v>18</v>
      </c>
      <c r="C1136" s="2" t="s">
        <v>19</v>
      </c>
      <c r="D1136" s="2" t="s">
        <v>106</v>
      </c>
      <c r="E1136" s="2">
        <v>0</v>
      </c>
      <c r="F1136" s="2">
        <v>0</v>
      </c>
      <c r="G1136" s="2" t="s">
        <v>10</v>
      </c>
      <c r="H1136" s="2" t="s">
        <v>12</v>
      </c>
      <c r="I1136" s="2">
        <v>2</v>
      </c>
      <c r="J1136" s="2" t="s">
        <v>14</v>
      </c>
      <c r="K1136" s="2" t="s">
        <v>14</v>
      </c>
      <c r="L1136" s="2" t="s">
        <v>14</v>
      </c>
      <c r="M1136" s="2" t="s">
        <v>14</v>
      </c>
      <c r="N1136" s="2" t="s">
        <v>14</v>
      </c>
      <c r="O1136" s="2">
        <v>1</v>
      </c>
    </row>
    <row r="1137" spans="1:15" ht="15" customHeight="1" x14ac:dyDescent="0.25">
      <c r="A1137" s="3">
        <v>10</v>
      </c>
      <c r="B1137" s="3" t="s">
        <v>14</v>
      </c>
      <c r="C1137" s="3" t="s">
        <v>19</v>
      </c>
      <c r="D1137" s="2" t="s">
        <v>106</v>
      </c>
      <c r="E1137" s="3">
        <v>0</v>
      </c>
      <c r="F1137" s="3">
        <v>0</v>
      </c>
      <c r="G1137" s="3" t="s">
        <v>10</v>
      </c>
      <c r="H1137" s="3" t="s">
        <v>12</v>
      </c>
      <c r="I1137" s="3" t="s">
        <v>15</v>
      </c>
      <c r="J1137" s="3" t="s">
        <v>14</v>
      </c>
      <c r="K1137" s="3" t="s">
        <v>14</v>
      </c>
      <c r="L1137" s="3" t="s">
        <v>14</v>
      </c>
      <c r="M1137" s="3" t="s">
        <v>13</v>
      </c>
      <c r="N1137" s="3" t="s">
        <v>13</v>
      </c>
      <c r="O1137" s="3">
        <v>1</v>
      </c>
    </row>
    <row r="1138" spans="1:15" ht="15" customHeight="1" x14ac:dyDescent="0.25">
      <c r="A1138" s="2">
        <v>5</v>
      </c>
      <c r="B1138" s="2" t="s">
        <v>18</v>
      </c>
      <c r="C1138" s="2" t="s">
        <v>19</v>
      </c>
      <c r="D1138" s="2" t="s">
        <v>106</v>
      </c>
      <c r="E1138" s="2">
        <v>0</v>
      </c>
      <c r="F1138" s="2">
        <v>0</v>
      </c>
      <c r="G1138" s="2" t="s">
        <v>10</v>
      </c>
      <c r="H1138" s="2" t="s">
        <v>12</v>
      </c>
      <c r="I1138" s="2" t="s">
        <v>15</v>
      </c>
      <c r="J1138" s="2" t="s">
        <v>14</v>
      </c>
      <c r="K1138" s="2" t="s">
        <v>14</v>
      </c>
      <c r="L1138" s="2" t="s">
        <v>14</v>
      </c>
      <c r="M1138" s="2" t="s">
        <v>14</v>
      </c>
      <c r="N1138" s="2" t="s">
        <v>14</v>
      </c>
      <c r="O1138" s="2">
        <v>1</v>
      </c>
    </row>
    <row r="1139" spans="1:15" ht="15" customHeight="1" x14ac:dyDescent="0.25">
      <c r="A1139" s="3">
        <v>10</v>
      </c>
      <c r="B1139" s="3" t="s">
        <v>10</v>
      </c>
      <c r="C1139" s="3" t="s">
        <v>19</v>
      </c>
      <c r="D1139" s="2" t="s">
        <v>106</v>
      </c>
      <c r="E1139" s="3">
        <v>0</v>
      </c>
      <c r="F1139" s="3">
        <v>0</v>
      </c>
      <c r="G1139" s="3" t="s">
        <v>10</v>
      </c>
      <c r="H1139" s="3" t="s">
        <v>12</v>
      </c>
      <c r="I1139" s="3">
        <v>2</v>
      </c>
      <c r="J1139" s="3" t="s">
        <v>14</v>
      </c>
      <c r="K1139" s="3" t="s">
        <v>14</v>
      </c>
      <c r="L1139" s="3" t="s">
        <v>14</v>
      </c>
      <c r="M1139" s="3" t="s">
        <v>14</v>
      </c>
      <c r="N1139" s="3" t="s">
        <v>14</v>
      </c>
      <c r="O1139" s="3">
        <v>1</v>
      </c>
    </row>
    <row r="1140" spans="1:15" ht="15" customHeight="1" x14ac:dyDescent="0.25">
      <c r="A1140" s="2">
        <v>20</v>
      </c>
      <c r="B1140" s="2" t="s">
        <v>18</v>
      </c>
      <c r="C1140" s="2" t="s">
        <v>19</v>
      </c>
      <c r="D1140" s="2" t="s">
        <v>106</v>
      </c>
      <c r="E1140" s="2">
        <v>0</v>
      </c>
      <c r="F1140" s="2">
        <v>0</v>
      </c>
      <c r="G1140" s="2" t="s">
        <v>10</v>
      </c>
      <c r="H1140" s="2" t="s">
        <v>12</v>
      </c>
      <c r="I1140" s="2">
        <v>2</v>
      </c>
      <c r="J1140" s="2" t="s">
        <v>14</v>
      </c>
      <c r="K1140" s="2" t="s">
        <v>14</v>
      </c>
      <c r="L1140" s="2" t="s">
        <v>14</v>
      </c>
      <c r="M1140" s="2" t="s">
        <v>14</v>
      </c>
      <c r="N1140" s="2" t="s">
        <v>14</v>
      </c>
      <c r="O1140" s="2">
        <v>1</v>
      </c>
    </row>
    <row r="1141" spans="1:15" ht="15" customHeight="1" x14ac:dyDescent="0.25">
      <c r="A1141" s="3">
        <v>5</v>
      </c>
      <c r="B1141" s="3" t="s">
        <v>10</v>
      </c>
      <c r="C1141" s="3" t="s">
        <v>19</v>
      </c>
      <c r="D1141" s="2" t="s">
        <v>106</v>
      </c>
      <c r="E1141" s="3">
        <v>0</v>
      </c>
      <c r="F1141" s="3">
        <v>0</v>
      </c>
      <c r="G1141" s="3" t="s">
        <v>10</v>
      </c>
      <c r="H1141" s="3" t="s">
        <v>12</v>
      </c>
      <c r="I1141" s="3">
        <v>2</v>
      </c>
      <c r="J1141" s="3" t="s">
        <v>14</v>
      </c>
      <c r="K1141" s="3" t="s">
        <v>14</v>
      </c>
      <c r="L1141" s="3" t="s">
        <v>14</v>
      </c>
      <c r="M1141" s="3" t="s">
        <v>14</v>
      </c>
      <c r="N1141" s="3" t="s">
        <v>14</v>
      </c>
      <c r="O1141" s="3">
        <v>1</v>
      </c>
    </row>
    <row r="1142" spans="1:15" ht="15" customHeight="1" x14ac:dyDescent="0.25">
      <c r="A1142" s="2">
        <v>10</v>
      </c>
      <c r="B1142" s="2" t="s">
        <v>14</v>
      </c>
      <c r="C1142" s="2" t="s">
        <v>19</v>
      </c>
      <c r="D1142" s="2" t="s">
        <v>106</v>
      </c>
      <c r="E1142" s="2">
        <v>0</v>
      </c>
      <c r="F1142" s="2">
        <v>0</v>
      </c>
      <c r="G1142" s="2" t="s">
        <v>10</v>
      </c>
      <c r="H1142" s="2" t="s">
        <v>12</v>
      </c>
      <c r="I1142" s="2" t="s">
        <v>15</v>
      </c>
      <c r="J1142" s="2" t="s">
        <v>14</v>
      </c>
      <c r="K1142" s="2" t="s">
        <v>14</v>
      </c>
      <c r="L1142" s="2" t="s">
        <v>14</v>
      </c>
      <c r="M1142" s="2" t="s">
        <v>14</v>
      </c>
      <c r="N1142" s="2" t="s">
        <v>14</v>
      </c>
      <c r="O1142" s="2">
        <v>1</v>
      </c>
    </row>
    <row r="1143" spans="1:15" ht="15" customHeight="1" x14ac:dyDescent="0.25">
      <c r="A1143" s="3">
        <v>5</v>
      </c>
      <c r="B1143" s="3" t="s">
        <v>10</v>
      </c>
      <c r="C1143" s="3" t="s">
        <v>19</v>
      </c>
      <c r="D1143" s="2" t="s">
        <v>106</v>
      </c>
      <c r="E1143" s="3">
        <v>0</v>
      </c>
      <c r="F1143" s="3">
        <v>0</v>
      </c>
      <c r="G1143" s="3" t="s">
        <v>10</v>
      </c>
      <c r="H1143" s="3" t="s">
        <v>12</v>
      </c>
      <c r="I1143" s="3">
        <v>1</v>
      </c>
      <c r="J1143" s="3" t="s">
        <v>14</v>
      </c>
      <c r="K1143" s="3" t="s">
        <v>14</v>
      </c>
      <c r="L1143" s="3" t="s">
        <v>14</v>
      </c>
      <c r="M1143" s="3" t="s">
        <v>14</v>
      </c>
      <c r="N1143" s="3" t="s">
        <v>14</v>
      </c>
      <c r="O1143" s="3">
        <v>1</v>
      </c>
    </row>
    <row r="1144" spans="1:15" ht="15" customHeight="1" x14ac:dyDescent="0.25">
      <c r="A1144" s="2">
        <v>30</v>
      </c>
      <c r="B1144" s="2" t="s">
        <v>10</v>
      </c>
      <c r="C1144" s="2" t="s">
        <v>11</v>
      </c>
      <c r="D1144" s="2" t="s">
        <v>106</v>
      </c>
      <c r="E1144" s="2">
        <v>0</v>
      </c>
      <c r="F1144" s="2">
        <v>0</v>
      </c>
      <c r="G1144" s="2" t="s">
        <v>10</v>
      </c>
      <c r="H1144" s="2" t="s">
        <v>12</v>
      </c>
      <c r="I1144" s="2" t="s">
        <v>15</v>
      </c>
      <c r="J1144" s="2" t="s">
        <v>14</v>
      </c>
      <c r="K1144" s="2" t="s">
        <v>14</v>
      </c>
      <c r="L1144" s="2" t="s">
        <v>14</v>
      </c>
      <c r="M1144" s="2" t="s">
        <v>13</v>
      </c>
      <c r="N1144" s="2" t="s">
        <v>13</v>
      </c>
      <c r="O1144" s="2">
        <v>1</v>
      </c>
    </row>
    <row r="1145" spans="1:15" ht="15" customHeight="1" x14ac:dyDescent="0.25">
      <c r="A1145" s="3">
        <v>5</v>
      </c>
      <c r="B1145" s="3" t="s">
        <v>14</v>
      </c>
      <c r="C1145" s="3" t="s">
        <v>11</v>
      </c>
      <c r="D1145" s="2" t="s">
        <v>106</v>
      </c>
      <c r="E1145" s="3">
        <v>0</v>
      </c>
      <c r="F1145" s="3">
        <v>0</v>
      </c>
      <c r="G1145" s="3" t="s">
        <v>17</v>
      </c>
      <c r="H1145" s="3" t="s">
        <v>12</v>
      </c>
      <c r="I1145" s="3">
        <v>1</v>
      </c>
      <c r="J1145" s="3" t="s">
        <v>14</v>
      </c>
      <c r="K1145" s="3" t="s">
        <v>13</v>
      </c>
      <c r="L1145" s="3" t="s">
        <v>13</v>
      </c>
      <c r="M1145" s="3" t="s">
        <v>14</v>
      </c>
      <c r="N1145" s="3" t="s">
        <v>14</v>
      </c>
      <c r="O1145" s="3">
        <v>1</v>
      </c>
    </row>
    <row r="1146" spans="1:15" ht="15" customHeight="1" x14ac:dyDescent="0.25">
      <c r="A1146" s="2">
        <v>5</v>
      </c>
      <c r="B1146" s="2" t="s">
        <v>10</v>
      </c>
      <c r="C1146" s="2" t="s">
        <v>11</v>
      </c>
      <c r="D1146" s="2" t="s">
        <v>106</v>
      </c>
      <c r="E1146" s="2">
        <v>0</v>
      </c>
      <c r="F1146" s="2">
        <v>0</v>
      </c>
      <c r="G1146" s="2" t="s">
        <v>10</v>
      </c>
      <c r="H1146" s="2" t="s">
        <v>12</v>
      </c>
      <c r="I1146" s="2">
        <v>1</v>
      </c>
      <c r="J1146" s="2" t="s">
        <v>14</v>
      </c>
      <c r="K1146" s="2" t="s">
        <v>14</v>
      </c>
      <c r="L1146" s="2" t="s">
        <v>14</v>
      </c>
      <c r="M1146" s="2" t="s">
        <v>14</v>
      </c>
      <c r="N1146" s="2" t="s">
        <v>14</v>
      </c>
      <c r="O1146" s="2">
        <v>1</v>
      </c>
    </row>
    <row r="1147" spans="1:15" ht="15" customHeight="1" x14ac:dyDescent="0.25">
      <c r="A1147" s="3">
        <v>0</v>
      </c>
      <c r="B1147" s="3" t="s">
        <v>10</v>
      </c>
      <c r="C1147" s="3" t="s">
        <v>11</v>
      </c>
      <c r="D1147" s="2" t="s">
        <v>106</v>
      </c>
      <c r="E1147" s="3">
        <v>0</v>
      </c>
      <c r="F1147" s="3">
        <v>0</v>
      </c>
      <c r="G1147" s="3" t="s">
        <v>10</v>
      </c>
      <c r="H1147" s="3" t="s">
        <v>16</v>
      </c>
      <c r="I1147" s="3">
        <v>1</v>
      </c>
      <c r="J1147" s="3" t="s">
        <v>14</v>
      </c>
      <c r="K1147" s="3" t="s">
        <v>14</v>
      </c>
      <c r="L1147" s="3" t="s">
        <v>14</v>
      </c>
      <c r="M1147" s="3" t="s">
        <v>14</v>
      </c>
      <c r="N1147" s="3" t="s">
        <v>14</v>
      </c>
      <c r="O1147" s="3">
        <v>1</v>
      </c>
    </row>
    <row r="1148" spans="1:15" ht="15" customHeight="1" x14ac:dyDescent="0.25">
      <c r="A1148" s="2">
        <v>0</v>
      </c>
      <c r="B1148" s="2" t="s">
        <v>10</v>
      </c>
      <c r="C1148" s="2" t="s">
        <v>11</v>
      </c>
      <c r="D1148" s="2" t="s">
        <v>106</v>
      </c>
      <c r="E1148" s="2">
        <v>1</v>
      </c>
      <c r="F1148" s="2">
        <v>0</v>
      </c>
      <c r="G1148" s="2" t="s">
        <v>10</v>
      </c>
      <c r="H1148" s="2" t="s">
        <v>12</v>
      </c>
      <c r="I1148" s="2" t="s">
        <v>15</v>
      </c>
      <c r="J1148" s="2" t="s">
        <v>14</v>
      </c>
      <c r="K1148" s="2" t="s">
        <v>14</v>
      </c>
      <c r="L1148" s="2" t="s">
        <v>14</v>
      </c>
      <c r="M1148" s="2" t="s">
        <v>14</v>
      </c>
      <c r="N1148" s="2" t="s">
        <v>14</v>
      </c>
      <c r="O1148" s="2">
        <v>0</v>
      </c>
    </row>
    <row r="1149" spans="1:15" ht="15" customHeight="1" x14ac:dyDescent="0.25">
      <c r="A1149" s="3">
        <v>10</v>
      </c>
      <c r="B1149" s="3" t="s">
        <v>10</v>
      </c>
      <c r="C1149" s="3" t="s">
        <v>19</v>
      </c>
      <c r="D1149" s="2" t="s">
        <v>106</v>
      </c>
      <c r="E1149" s="3">
        <v>0</v>
      </c>
      <c r="F1149" s="3">
        <v>0</v>
      </c>
      <c r="G1149" s="3" t="s">
        <v>10</v>
      </c>
      <c r="H1149" s="3" t="s">
        <v>12</v>
      </c>
      <c r="I1149" s="3">
        <v>1</v>
      </c>
      <c r="J1149" s="3" t="s">
        <v>14</v>
      </c>
      <c r="K1149" s="3" t="s">
        <v>13</v>
      </c>
      <c r="L1149" s="3" t="s">
        <v>13</v>
      </c>
      <c r="M1149" s="3" t="s">
        <v>13</v>
      </c>
      <c r="N1149" s="3" t="s">
        <v>14</v>
      </c>
      <c r="O1149" s="3">
        <v>1</v>
      </c>
    </row>
    <row r="1150" spans="1:15" ht="15" customHeight="1" x14ac:dyDescent="0.25">
      <c r="A1150" s="2">
        <v>5</v>
      </c>
      <c r="B1150" s="2" t="s">
        <v>10</v>
      </c>
      <c r="C1150" s="2" t="s">
        <v>19</v>
      </c>
      <c r="D1150" s="2" t="s">
        <v>106</v>
      </c>
      <c r="E1150" s="2">
        <v>0</v>
      </c>
      <c r="F1150" s="2">
        <v>1</v>
      </c>
      <c r="G1150" s="2" t="s">
        <v>10</v>
      </c>
      <c r="H1150" s="2" t="s">
        <v>12</v>
      </c>
      <c r="I1150" s="2">
        <v>1</v>
      </c>
      <c r="J1150" s="2" t="s">
        <v>14</v>
      </c>
      <c r="K1150" s="2" t="s">
        <v>13</v>
      </c>
      <c r="L1150" s="2" t="s">
        <v>13</v>
      </c>
      <c r="M1150" s="2" t="s">
        <v>13</v>
      </c>
      <c r="N1150" s="2" t="s">
        <v>14</v>
      </c>
      <c r="O1150" s="2">
        <v>0</v>
      </c>
    </row>
    <row r="1151" spans="1:15" ht="15" customHeight="1" x14ac:dyDescent="0.25">
      <c r="A1151" s="3">
        <v>20</v>
      </c>
      <c r="B1151" s="3" t="s">
        <v>18</v>
      </c>
      <c r="C1151" s="3" t="s">
        <v>20</v>
      </c>
      <c r="D1151" s="2" t="s">
        <v>106</v>
      </c>
      <c r="E1151" s="3">
        <v>0</v>
      </c>
      <c r="F1151" s="3">
        <v>0</v>
      </c>
      <c r="G1151" s="3" t="s">
        <v>10</v>
      </c>
      <c r="H1151" s="3" t="s">
        <v>12</v>
      </c>
      <c r="I1151" s="3" t="s">
        <v>15</v>
      </c>
      <c r="J1151" s="3" t="s">
        <v>14</v>
      </c>
      <c r="K1151" s="3" t="s">
        <v>14</v>
      </c>
      <c r="L1151" s="3" t="s">
        <v>14</v>
      </c>
      <c r="M1151" s="3" t="s">
        <v>14</v>
      </c>
      <c r="N1151" s="3" t="s">
        <v>14</v>
      </c>
      <c r="O1151" s="3">
        <v>1</v>
      </c>
    </row>
    <row r="1152" spans="1:15" ht="15" customHeight="1" x14ac:dyDescent="0.25">
      <c r="A1152" s="2">
        <v>5</v>
      </c>
      <c r="B1152" s="2" t="s">
        <v>10</v>
      </c>
      <c r="C1152" s="2" t="s">
        <v>20</v>
      </c>
      <c r="D1152" s="2" t="s">
        <v>106</v>
      </c>
      <c r="E1152" s="2">
        <v>0</v>
      </c>
      <c r="F1152" s="2">
        <v>0</v>
      </c>
      <c r="G1152" s="2" t="s">
        <v>10</v>
      </c>
      <c r="H1152" s="2" t="s">
        <v>12</v>
      </c>
      <c r="I1152" s="2">
        <v>2</v>
      </c>
      <c r="J1152" s="2" t="s">
        <v>14</v>
      </c>
      <c r="K1152" s="2" t="s">
        <v>14</v>
      </c>
      <c r="L1152" s="2" t="s">
        <v>14</v>
      </c>
      <c r="M1152" s="2" t="s">
        <v>14</v>
      </c>
      <c r="N1152" s="2" t="s">
        <v>14</v>
      </c>
      <c r="O1152" s="2">
        <v>1</v>
      </c>
    </row>
    <row r="1153" spans="1:15" ht="15" customHeight="1" x14ac:dyDescent="0.25">
      <c r="A1153" s="3">
        <v>20</v>
      </c>
      <c r="B1153" s="3" t="s">
        <v>14</v>
      </c>
      <c r="C1153" s="3" t="s">
        <v>20</v>
      </c>
      <c r="D1153" s="2" t="s">
        <v>106</v>
      </c>
      <c r="E1153" s="3">
        <v>0</v>
      </c>
      <c r="F1153" s="3">
        <v>0</v>
      </c>
      <c r="G1153" s="3" t="s">
        <v>10</v>
      </c>
      <c r="H1153" s="3" t="s">
        <v>12</v>
      </c>
      <c r="I1153" s="3">
        <v>2</v>
      </c>
      <c r="J1153" s="3" t="s">
        <v>14</v>
      </c>
      <c r="K1153" s="3" t="s">
        <v>14</v>
      </c>
      <c r="L1153" s="3" t="s">
        <v>14</v>
      </c>
      <c r="M1153" s="3" t="s">
        <v>14</v>
      </c>
      <c r="N1153" s="3" t="s">
        <v>14</v>
      </c>
      <c r="O1153" s="3">
        <v>1</v>
      </c>
    </row>
    <row r="1154" spans="1:15" ht="15" customHeight="1" x14ac:dyDescent="0.25">
      <c r="A1154" s="2">
        <v>10</v>
      </c>
      <c r="B1154" s="2" t="s">
        <v>10</v>
      </c>
      <c r="C1154" s="2" t="s">
        <v>19</v>
      </c>
      <c r="D1154" s="2" t="s">
        <v>106</v>
      </c>
      <c r="E1154" s="2">
        <v>0</v>
      </c>
      <c r="F1154" s="2">
        <v>0</v>
      </c>
      <c r="G1154" s="2" t="s">
        <v>10</v>
      </c>
      <c r="H1154" s="2" t="s">
        <v>12</v>
      </c>
      <c r="I1154" s="2">
        <v>2</v>
      </c>
      <c r="J1154" s="2" t="s">
        <v>14</v>
      </c>
      <c r="K1154" s="2" t="s">
        <v>14</v>
      </c>
      <c r="L1154" s="2" t="s">
        <v>14</v>
      </c>
      <c r="M1154" s="2" t="s">
        <v>14</v>
      </c>
      <c r="N1154" s="2" t="s">
        <v>14</v>
      </c>
      <c r="O1154" s="2">
        <v>1</v>
      </c>
    </row>
    <row r="1155" spans="1:15" ht="15" customHeight="1" x14ac:dyDescent="0.25">
      <c r="A1155" s="3">
        <v>5</v>
      </c>
      <c r="B1155" s="3" t="s">
        <v>14</v>
      </c>
      <c r="C1155" s="3" t="s">
        <v>19</v>
      </c>
      <c r="D1155" s="2" t="s">
        <v>106</v>
      </c>
      <c r="E1155" s="3">
        <v>0</v>
      </c>
      <c r="F1155" s="3">
        <v>0</v>
      </c>
      <c r="G1155" s="3" t="s">
        <v>10</v>
      </c>
      <c r="H1155" s="3" t="s">
        <v>12</v>
      </c>
      <c r="I1155" s="3" t="s">
        <v>15</v>
      </c>
      <c r="J1155" s="3" t="s">
        <v>14</v>
      </c>
      <c r="K1155" s="3" t="s">
        <v>14</v>
      </c>
      <c r="L1155" s="3" t="s">
        <v>14</v>
      </c>
      <c r="M1155" s="3" t="s">
        <v>14</v>
      </c>
      <c r="N1155" s="3" t="s">
        <v>14</v>
      </c>
      <c r="O1155" s="3">
        <v>1</v>
      </c>
    </row>
    <row r="1156" spans="1:15" ht="15" customHeight="1" x14ac:dyDescent="0.25">
      <c r="A1156" s="2">
        <v>10</v>
      </c>
      <c r="B1156" s="2" t="s">
        <v>10</v>
      </c>
      <c r="C1156" s="2" t="s">
        <v>19</v>
      </c>
      <c r="D1156" s="2" t="s">
        <v>106</v>
      </c>
      <c r="E1156" s="2">
        <v>0</v>
      </c>
      <c r="F1156" s="2">
        <v>1</v>
      </c>
      <c r="G1156" s="2" t="s">
        <v>10</v>
      </c>
      <c r="H1156" s="2" t="s">
        <v>12</v>
      </c>
      <c r="I1156" s="2" t="s">
        <v>15</v>
      </c>
      <c r="J1156" s="2" t="s">
        <v>14</v>
      </c>
      <c r="K1156" s="2" t="s">
        <v>14</v>
      </c>
      <c r="L1156" s="2" t="s">
        <v>14</v>
      </c>
      <c r="M1156" s="2" t="s">
        <v>14</v>
      </c>
      <c r="N1156" s="2" t="s">
        <v>14</v>
      </c>
      <c r="O1156" s="2">
        <v>0</v>
      </c>
    </row>
    <row r="1157" spans="1:15" ht="15" customHeight="1" x14ac:dyDescent="0.25">
      <c r="A1157" s="3">
        <v>5</v>
      </c>
      <c r="B1157" s="3" t="s">
        <v>10</v>
      </c>
      <c r="C1157" s="3" t="s">
        <v>20</v>
      </c>
      <c r="D1157" s="2" t="s">
        <v>106</v>
      </c>
      <c r="E1157" s="3">
        <v>0</v>
      </c>
      <c r="F1157" s="3">
        <v>0</v>
      </c>
      <c r="G1157" s="3" t="s">
        <v>10</v>
      </c>
      <c r="H1157" s="3" t="s">
        <v>12</v>
      </c>
      <c r="I1157" s="3">
        <v>1</v>
      </c>
      <c r="J1157" s="3" t="s">
        <v>14</v>
      </c>
      <c r="K1157" s="3" t="s">
        <v>14</v>
      </c>
      <c r="L1157" s="3" t="s">
        <v>14</v>
      </c>
      <c r="M1157" s="3" t="s">
        <v>14</v>
      </c>
      <c r="N1157" s="3" t="s">
        <v>14</v>
      </c>
      <c r="O1157" s="3">
        <v>1</v>
      </c>
    </row>
    <row r="1158" spans="1:15" ht="15" customHeight="1" x14ac:dyDescent="0.25">
      <c r="A1158" s="2">
        <v>5</v>
      </c>
      <c r="B1158" s="2" t="s">
        <v>14</v>
      </c>
      <c r="C1158" s="2" t="s">
        <v>19</v>
      </c>
      <c r="D1158" s="2" t="s">
        <v>106</v>
      </c>
      <c r="E1158" s="2">
        <v>1</v>
      </c>
      <c r="F1158" s="2">
        <v>0</v>
      </c>
      <c r="G1158" s="2" t="s">
        <v>10</v>
      </c>
      <c r="H1158" s="2" t="s">
        <v>12</v>
      </c>
      <c r="I1158" s="2">
        <v>1</v>
      </c>
      <c r="J1158" s="2" t="s">
        <v>14</v>
      </c>
      <c r="K1158" s="2" t="s">
        <v>14</v>
      </c>
      <c r="L1158" s="2" t="s">
        <v>14</v>
      </c>
      <c r="M1158" s="2" t="s">
        <v>14</v>
      </c>
      <c r="N1158" s="2" t="s">
        <v>14</v>
      </c>
      <c r="O1158" s="2">
        <v>1</v>
      </c>
    </row>
    <row r="1159" spans="1:15" ht="15" customHeight="1" x14ac:dyDescent="0.25">
      <c r="A1159" s="3">
        <v>10</v>
      </c>
      <c r="B1159" s="3" t="s">
        <v>10</v>
      </c>
      <c r="C1159" s="3" t="s">
        <v>19</v>
      </c>
      <c r="D1159" s="2" t="s">
        <v>106</v>
      </c>
      <c r="E1159" s="3">
        <v>0</v>
      </c>
      <c r="F1159" s="3">
        <v>1</v>
      </c>
      <c r="G1159" s="3" t="s">
        <v>10</v>
      </c>
      <c r="H1159" s="3" t="s">
        <v>12</v>
      </c>
      <c r="I1159" s="3">
        <v>1</v>
      </c>
      <c r="J1159" s="3" t="s">
        <v>14</v>
      </c>
      <c r="K1159" s="3" t="s">
        <v>14</v>
      </c>
      <c r="L1159" s="3" t="s">
        <v>14</v>
      </c>
      <c r="M1159" s="3" t="s">
        <v>14</v>
      </c>
      <c r="N1159" s="3" t="s">
        <v>14</v>
      </c>
      <c r="O1159" s="3">
        <v>0</v>
      </c>
    </row>
    <row r="1160" spans="1:15" ht="15" customHeight="1" x14ac:dyDescent="0.25">
      <c r="A1160" s="2">
        <v>10</v>
      </c>
      <c r="B1160" s="2" t="s">
        <v>10</v>
      </c>
      <c r="C1160" s="2" t="s">
        <v>19</v>
      </c>
      <c r="D1160" s="2" t="s">
        <v>106</v>
      </c>
      <c r="E1160" s="2">
        <v>0</v>
      </c>
      <c r="F1160" s="2">
        <v>0</v>
      </c>
      <c r="G1160" s="2" t="s">
        <v>10</v>
      </c>
      <c r="H1160" s="2" t="s">
        <v>12</v>
      </c>
      <c r="I1160" s="2">
        <v>2</v>
      </c>
      <c r="J1160" s="2" t="s">
        <v>14</v>
      </c>
      <c r="K1160" s="2" t="s">
        <v>14</v>
      </c>
      <c r="L1160" s="2" t="s">
        <v>14</v>
      </c>
      <c r="M1160" s="2" t="s">
        <v>14</v>
      </c>
      <c r="N1160" s="2" t="s">
        <v>14</v>
      </c>
      <c r="O1160" s="2">
        <v>1</v>
      </c>
    </row>
    <row r="1161" spans="1:15" ht="15" customHeight="1" x14ac:dyDescent="0.25">
      <c r="A1161" s="3">
        <v>5</v>
      </c>
      <c r="B1161" s="3" t="s">
        <v>18</v>
      </c>
      <c r="C1161" s="3" t="s">
        <v>19</v>
      </c>
      <c r="D1161" s="2" t="s">
        <v>106</v>
      </c>
      <c r="E1161" s="3">
        <v>0</v>
      </c>
      <c r="F1161" s="3">
        <v>0</v>
      </c>
      <c r="G1161" s="3" t="s">
        <v>10</v>
      </c>
      <c r="H1161" s="3" t="s">
        <v>12</v>
      </c>
      <c r="I1161" s="3">
        <v>1</v>
      </c>
      <c r="J1161" s="3" t="s">
        <v>14</v>
      </c>
      <c r="K1161" s="3" t="s">
        <v>14</v>
      </c>
      <c r="L1161" s="3" t="s">
        <v>14</v>
      </c>
      <c r="M1161" s="3" t="s">
        <v>14</v>
      </c>
      <c r="N1161" s="3" t="s">
        <v>14</v>
      </c>
      <c r="O1161" s="3">
        <v>1</v>
      </c>
    </row>
    <row r="1162" spans="1:15" ht="15" customHeight="1" x14ac:dyDescent="0.25">
      <c r="A1162" s="2">
        <v>5</v>
      </c>
      <c r="B1162" s="2" t="s">
        <v>10</v>
      </c>
      <c r="C1162" s="2" t="s">
        <v>19</v>
      </c>
      <c r="D1162" s="2" t="s">
        <v>106</v>
      </c>
      <c r="E1162" s="2">
        <v>0</v>
      </c>
      <c r="F1162" s="2">
        <v>0</v>
      </c>
      <c r="G1162" s="2" t="s">
        <v>10</v>
      </c>
      <c r="H1162" s="2" t="s">
        <v>16</v>
      </c>
      <c r="I1162" s="2" t="s">
        <v>15</v>
      </c>
      <c r="J1162" s="2" t="s">
        <v>14</v>
      </c>
      <c r="K1162" s="2" t="s">
        <v>14</v>
      </c>
      <c r="L1162" s="2" t="s">
        <v>14</v>
      </c>
      <c r="M1162" s="2" t="s">
        <v>14</v>
      </c>
      <c r="N1162" s="2" t="s">
        <v>14</v>
      </c>
      <c r="O1162" s="2">
        <v>1</v>
      </c>
    </row>
    <row r="1163" spans="1:15" ht="15" customHeight="1" x14ac:dyDescent="0.25">
      <c r="A1163" s="3">
        <v>5</v>
      </c>
      <c r="B1163" s="3" t="s">
        <v>18</v>
      </c>
      <c r="C1163" s="3" t="s">
        <v>19</v>
      </c>
      <c r="D1163" s="2" t="s">
        <v>106</v>
      </c>
      <c r="E1163" s="3">
        <v>0</v>
      </c>
      <c r="F1163" s="3">
        <v>0</v>
      </c>
      <c r="G1163" s="3" t="s">
        <v>10</v>
      </c>
      <c r="H1163" s="3" t="s">
        <v>12</v>
      </c>
      <c r="I1163" s="3" t="s">
        <v>15</v>
      </c>
      <c r="J1163" s="3" t="s">
        <v>14</v>
      </c>
      <c r="K1163" s="3" t="s">
        <v>14</v>
      </c>
      <c r="L1163" s="3" t="s">
        <v>14</v>
      </c>
      <c r="M1163" s="3" t="s">
        <v>14</v>
      </c>
      <c r="N1163" s="3" t="s">
        <v>14</v>
      </c>
      <c r="O1163" s="3">
        <v>1</v>
      </c>
    </row>
    <row r="1164" spans="1:15" ht="15" customHeight="1" x14ac:dyDescent="0.25">
      <c r="A1164" s="2">
        <v>0</v>
      </c>
      <c r="B1164" s="2" t="s">
        <v>14</v>
      </c>
      <c r="C1164" s="2" t="s">
        <v>19</v>
      </c>
      <c r="D1164" s="2" t="s">
        <v>106</v>
      </c>
      <c r="E1164" s="2">
        <v>0</v>
      </c>
      <c r="F1164" s="2">
        <v>0</v>
      </c>
      <c r="G1164" s="2" t="s">
        <v>10</v>
      </c>
      <c r="H1164" s="2" t="s">
        <v>12</v>
      </c>
      <c r="I1164" s="2" t="s">
        <v>15</v>
      </c>
      <c r="J1164" s="2" t="s">
        <v>14</v>
      </c>
      <c r="K1164" s="2" t="s">
        <v>14</v>
      </c>
      <c r="L1164" s="2" t="s">
        <v>14</v>
      </c>
      <c r="M1164" s="2" t="s">
        <v>14</v>
      </c>
      <c r="N1164" s="2" t="s">
        <v>14</v>
      </c>
      <c r="O1164" s="2">
        <v>1</v>
      </c>
    </row>
    <row r="1165" spans="1:15" ht="15" customHeight="1" x14ac:dyDescent="0.25">
      <c r="A1165" s="3">
        <v>30</v>
      </c>
      <c r="B1165" s="3" t="s">
        <v>10</v>
      </c>
      <c r="C1165" s="3" t="s">
        <v>11</v>
      </c>
      <c r="D1165" s="2" t="s">
        <v>106</v>
      </c>
      <c r="E1165" s="3">
        <v>0</v>
      </c>
      <c r="F1165" s="3">
        <v>0</v>
      </c>
      <c r="G1165" s="3" t="s">
        <v>10</v>
      </c>
      <c r="H1165" s="3" t="s">
        <v>12</v>
      </c>
      <c r="I1165" s="3" t="s">
        <v>15</v>
      </c>
      <c r="J1165" s="3" t="s">
        <v>13</v>
      </c>
      <c r="K1165" s="3" t="s">
        <v>14</v>
      </c>
      <c r="L1165" s="3" t="s">
        <v>14</v>
      </c>
      <c r="M1165" s="3" t="s">
        <v>13</v>
      </c>
      <c r="N1165" s="3" t="s">
        <v>13</v>
      </c>
      <c r="O1165" s="3">
        <v>1</v>
      </c>
    </row>
    <row r="1166" spans="1:15" ht="15" customHeight="1" x14ac:dyDescent="0.25">
      <c r="A1166" s="2">
        <v>10</v>
      </c>
      <c r="B1166" s="2" t="s">
        <v>10</v>
      </c>
      <c r="C1166" s="2" t="s">
        <v>11</v>
      </c>
      <c r="D1166" s="2" t="s">
        <v>106</v>
      </c>
      <c r="E1166" s="2">
        <v>0</v>
      </c>
      <c r="F1166" s="2">
        <v>1</v>
      </c>
      <c r="G1166" s="2" t="s">
        <v>10</v>
      </c>
      <c r="H1166" s="2" t="s">
        <v>12</v>
      </c>
      <c r="I1166" s="2" t="s">
        <v>15</v>
      </c>
      <c r="J1166" s="2" t="s">
        <v>14</v>
      </c>
      <c r="K1166" s="2" t="s">
        <v>14</v>
      </c>
      <c r="L1166" s="2" t="s">
        <v>14</v>
      </c>
      <c r="M1166" s="2" t="s">
        <v>13</v>
      </c>
      <c r="N1166" s="2" t="s">
        <v>13</v>
      </c>
      <c r="O1166" s="2">
        <v>0</v>
      </c>
    </row>
    <row r="1167" spans="1:15" ht="15" customHeight="1" x14ac:dyDescent="0.25">
      <c r="A1167" s="3">
        <v>10</v>
      </c>
      <c r="B1167" s="3" t="s">
        <v>10</v>
      </c>
      <c r="C1167" s="3" t="s">
        <v>19</v>
      </c>
      <c r="D1167" s="2" t="s">
        <v>106</v>
      </c>
      <c r="E1167" s="3">
        <v>0</v>
      </c>
      <c r="F1167" s="3">
        <v>0</v>
      </c>
      <c r="G1167" s="3" t="s">
        <v>10</v>
      </c>
      <c r="H1167" s="3" t="s">
        <v>12</v>
      </c>
      <c r="I1167" s="3">
        <v>2</v>
      </c>
      <c r="J1167" s="3" t="s">
        <v>14</v>
      </c>
      <c r="K1167" s="3" t="s">
        <v>14</v>
      </c>
      <c r="L1167" s="3" t="s">
        <v>14</v>
      </c>
      <c r="M1167" s="3" t="s">
        <v>14</v>
      </c>
      <c r="N1167" s="3" t="s">
        <v>14</v>
      </c>
      <c r="O1167" s="3">
        <v>1</v>
      </c>
    </row>
    <row r="1168" spans="1:15" ht="15" customHeight="1" x14ac:dyDescent="0.25">
      <c r="A1168" s="2">
        <v>0</v>
      </c>
      <c r="B1168" s="2" t="s">
        <v>14</v>
      </c>
      <c r="C1168" s="2" t="s">
        <v>19</v>
      </c>
      <c r="D1168" s="2" t="s">
        <v>106</v>
      </c>
      <c r="E1168" s="2">
        <v>0</v>
      </c>
      <c r="F1168" s="2">
        <v>0</v>
      </c>
      <c r="G1168" s="2" t="s">
        <v>10</v>
      </c>
      <c r="H1168" s="2" t="s">
        <v>12</v>
      </c>
      <c r="I1168" s="2">
        <v>2</v>
      </c>
      <c r="J1168" s="2" t="s">
        <v>14</v>
      </c>
      <c r="K1168" s="2" t="s">
        <v>14</v>
      </c>
      <c r="L1168" s="2" t="s">
        <v>14</v>
      </c>
      <c r="M1168" s="2" t="s">
        <v>14</v>
      </c>
      <c r="N1168" s="2" t="s">
        <v>14</v>
      </c>
      <c r="O1168" s="2">
        <v>1</v>
      </c>
    </row>
    <row r="1169" spans="1:15" ht="15" customHeight="1" x14ac:dyDescent="0.25">
      <c r="A1169" s="3">
        <v>10</v>
      </c>
      <c r="B1169" s="3" t="s">
        <v>18</v>
      </c>
      <c r="C1169" s="3" t="s">
        <v>19</v>
      </c>
      <c r="D1169" s="2" t="s">
        <v>106</v>
      </c>
      <c r="E1169" s="3">
        <v>0</v>
      </c>
      <c r="F1169" s="3">
        <v>0</v>
      </c>
      <c r="G1169" s="3" t="s">
        <v>10</v>
      </c>
      <c r="H1169" s="3" t="s">
        <v>12</v>
      </c>
      <c r="I1169" s="3">
        <v>2</v>
      </c>
      <c r="J1169" s="3" t="s">
        <v>14</v>
      </c>
      <c r="K1169" s="3" t="s">
        <v>14</v>
      </c>
      <c r="L1169" s="3" t="s">
        <v>14</v>
      </c>
      <c r="M1169" s="3" t="s">
        <v>14</v>
      </c>
      <c r="N1169" s="3" t="s">
        <v>14</v>
      </c>
      <c r="O1169" s="3">
        <v>1</v>
      </c>
    </row>
    <row r="1170" spans="1:15" ht="15" customHeight="1" x14ac:dyDescent="0.25">
      <c r="A1170" s="2">
        <v>10</v>
      </c>
      <c r="B1170" s="2" t="s">
        <v>18</v>
      </c>
      <c r="C1170" s="2" t="s">
        <v>20</v>
      </c>
      <c r="D1170" s="2" t="s">
        <v>106</v>
      </c>
      <c r="E1170" s="2">
        <v>0</v>
      </c>
      <c r="F1170" s="2">
        <v>0</v>
      </c>
      <c r="G1170" s="2" t="s">
        <v>10</v>
      </c>
      <c r="H1170" s="2" t="s">
        <v>12</v>
      </c>
      <c r="I1170" s="2">
        <v>2</v>
      </c>
      <c r="J1170" s="2" t="s">
        <v>14</v>
      </c>
      <c r="K1170" s="2" t="s">
        <v>14</v>
      </c>
      <c r="L1170" s="2" t="s">
        <v>14</v>
      </c>
      <c r="M1170" s="2" t="s">
        <v>14</v>
      </c>
      <c r="N1170" s="2" t="s">
        <v>14</v>
      </c>
      <c r="O1170" s="2">
        <v>1</v>
      </c>
    </row>
    <row r="1171" spans="1:15" ht="15" customHeight="1" x14ac:dyDescent="0.25">
      <c r="A1171" s="3">
        <v>20</v>
      </c>
      <c r="B1171" s="3" t="s">
        <v>10</v>
      </c>
      <c r="C1171" s="3" t="s">
        <v>20</v>
      </c>
      <c r="D1171" s="2" t="s">
        <v>106</v>
      </c>
      <c r="E1171" s="3">
        <v>0</v>
      </c>
      <c r="F1171" s="3">
        <v>1</v>
      </c>
      <c r="G1171" s="3" t="s">
        <v>10</v>
      </c>
      <c r="H1171" s="3" t="s">
        <v>12</v>
      </c>
      <c r="I1171" s="3">
        <v>1</v>
      </c>
      <c r="J1171" s="3" t="s">
        <v>14</v>
      </c>
      <c r="K1171" s="3" t="s">
        <v>14</v>
      </c>
      <c r="L1171" s="3" t="s">
        <v>14</v>
      </c>
      <c r="M1171" s="3" t="s">
        <v>14</v>
      </c>
      <c r="N1171" s="3" t="s">
        <v>14</v>
      </c>
      <c r="O1171" s="3">
        <v>1</v>
      </c>
    </row>
    <row r="1172" spans="1:15" ht="15" customHeight="1" x14ac:dyDescent="0.25">
      <c r="A1172" s="2">
        <v>10</v>
      </c>
      <c r="B1172" s="2" t="s">
        <v>10</v>
      </c>
      <c r="C1172" s="2" t="s">
        <v>19</v>
      </c>
      <c r="D1172" s="2" t="s">
        <v>106</v>
      </c>
      <c r="E1172" s="2">
        <v>0</v>
      </c>
      <c r="F1172" s="2">
        <v>0</v>
      </c>
      <c r="G1172" s="2" t="s">
        <v>10</v>
      </c>
      <c r="H1172" s="2" t="s">
        <v>12</v>
      </c>
      <c r="I1172" s="2">
        <v>2</v>
      </c>
      <c r="J1172" s="2" t="s">
        <v>14</v>
      </c>
      <c r="K1172" s="2" t="s">
        <v>14</v>
      </c>
      <c r="L1172" s="2" t="s">
        <v>14</v>
      </c>
      <c r="M1172" s="2" t="s">
        <v>14</v>
      </c>
      <c r="N1172" s="2" t="s">
        <v>14</v>
      </c>
      <c r="O1172" s="2">
        <v>1</v>
      </c>
    </row>
    <row r="1173" spans="1:15" ht="15" customHeight="1" x14ac:dyDescent="0.25">
      <c r="A1173" s="3">
        <v>10</v>
      </c>
      <c r="B1173" s="3" t="s">
        <v>10</v>
      </c>
      <c r="C1173" s="3" t="s">
        <v>19</v>
      </c>
      <c r="D1173" s="2" t="s">
        <v>106</v>
      </c>
      <c r="E1173" s="3">
        <v>0</v>
      </c>
      <c r="F1173" s="3">
        <v>0</v>
      </c>
      <c r="G1173" s="3" t="s">
        <v>10</v>
      </c>
      <c r="H1173" s="3" t="s">
        <v>12</v>
      </c>
      <c r="I1173" s="3" t="s">
        <v>15</v>
      </c>
      <c r="J1173" s="3" t="s">
        <v>14</v>
      </c>
      <c r="K1173" s="3" t="s">
        <v>14</v>
      </c>
      <c r="L1173" s="3" t="s">
        <v>14</v>
      </c>
      <c r="M1173" s="3" t="s">
        <v>14</v>
      </c>
      <c r="N1173" s="3" t="s">
        <v>14</v>
      </c>
      <c r="O1173" s="3">
        <v>1</v>
      </c>
    </row>
    <row r="1174" spans="1:15" ht="15" customHeight="1" x14ac:dyDescent="0.25">
      <c r="A1174" s="2">
        <v>10</v>
      </c>
      <c r="B1174" s="2" t="s">
        <v>10</v>
      </c>
      <c r="C1174" s="2" t="s">
        <v>11</v>
      </c>
      <c r="D1174" s="2" t="s">
        <v>106</v>
      </c>
      <c r="E1174" s="2">
        <v>0</v>
      </c>
      <c r="F1174" s="2">
        <v>1</v>
      </c>
      <c r="G1174" s="2" t="s">
        <v>10</v>
      </c>
      <c r="H1174" s="2" t="s">
        <v>12</v>
      </c>
      <c r="I1174" s="2">
        <v>2</v>
      </c>
      <c r="J1174" s="2" t="s">
        <v>13</v>
      </c>
      <c r="K1174" s="2" t="s">
        <v>14</v>
      </c>
      <c r="L1174" s="2" t="s">
        <v>14</v>
      </c>
      <c r="M1174" s="2" t="s">
        <v>14</v>
      </c>
      <c r="N1174" s="2" t="s">
        <v>14</v>
      </c>
      <c r="O1174" s="2">
        <v>1</v>
      </c>
    </row>
    <row r="1175" spans="1:15" ht="15" customHeight="1" x14ac:dyDescent="0.25">
      <c r="A1175" s="3">
        <v>10</v>
      </c>
      <c r="B1175" s="3" t="s">
        <v>18</v>
      </c>
      <c r="C1175" s="3" t="s">
        <v>11</v>
      </c>
      <c r="D1175" s="2" t="s">
        <v>106</v>
      </c>
      <c r="E1175" s="3">
        <v>0</v>
      </c>
      <c r="F1175" s="3">
        <v>1</v>
      </c>
      <c r="G1175" s="3" t="s">
        <v>10</v>
      </c>
      <c r="H1175" s="3" t="s">
        <v>12</v>
      </c>
      <c r="I1175" s="3">
        <v>1</v>
      </c>
      <c r="J1175" s="3" t="s">
        <v>14</v>
      </c>
      <c r="K1175" s="3" t="s">
        <v>14</v>
      </c>
      <c r="L1175" s="3" t="s">
        <v>14</v>
      </c>
      <c r="M1175" s="3" t="s">
        <v>14</v>
      </c>
      <c r="N1175" s="3" t="s">
        <v>13</v>
      </c>
      <c r="O1175" s="3">
        <v>1</v>
      </c>
    </row>
    <row r="1176" spans="1:15" ht="15" customHeight="1" x14ac:dyDescent="0.25">
      <c r="A1176" s="2">
        <v>0</v>
      </c>
      <c r="B1176" s="2" t="s">
        <v>10</v>
      </c>
      <c r="C1176" s="2" t="s">
        <v>19</v>
      </c>
      <c r="D1176" s="2" t="s">
        <v>106</v>
      </c>
      <c r="E1176" s="2">
        <v>1</v>
      </c>
      <c r="F1176" s="2">
        <v>0</v>
      </c>
      <c r="G1176" s="2" t="s">
        <v>17</v>
      </c>
      <c r="H1176" s="2" t="s">
        <v>106</v>
      </c>
      <c r="I1176" s="2">
        <v>1</v>
      </c>
      <c r="J1176" s="2" t="s">
        <v>14</v>
      </c>
      <c r="K1176" s="2" t="s">
        <v>13</v>
      </c>
      <c r="L1176" s="2" t="s">
        <v>13</v>
      </c>
      <c r="M1176" s="2" t="s">
        <v>14</v>
      </c>
      <c r="N1176" s="2" t="s">
        <v>14</v>
      </c>
      <c r="O1176" s="2">
        <v>1</v>
      </c>
    </row>
    <row r="1177" spans="1:15" ht="15" customHeight="1" x14ac:dyDescent="0.25">
      <c r="A1177" s="3">
        <v>10</v>
      </c>
      <c r="B1177" s="3" t="s">
        <v>14</v>
      </c>
      <c r="C1177" s="3" t="s">
        <v>11</v>
      </c>
      <c r="D1177" s="2" t="s">
        <v>106</v>
      </c>
      <c r="E1177" s="3">
        <v>0</v>
      </c>
      <c r="F1177" s="3">
        <v>0</v>
      </c>
      <c r="G1177" s="3" t="s">
        <v>10</v>
      </c>
      <c r="H1177" s="3" t="s">
        <v>12</v>
      </c>
      <c r="I1177" s="3">
        <v>2</v>
      </c>
      <c r="J1177" s="3" t="s">
        <v>14</v>
      </c>
      <c r="K1177" s="3" t="s">
        <v>14</v>
      </c>
      <c r="L1177" s="3" t="s">
        <v>14</v>
      </c>
      <c r="M1177" s="3" t="s">
        <v>14</v>
      </c>
      <c r="N1177" s="3" t="s">
        <v>14</v>
      </c>
      <c r="O1177" s="3">
        <v>1</v>
      </c>
    </row>
    <row r="1178" spans="1:15" ht="15" customHeight="1" x14ac:dyDescent="0.25">
      <c r="A1178" s="2">
        <v>0</v>
      </c>
      <c r="B1178" s="2" t="s">
        <v>18</v>
      </c>
      <c r="C1178" s="2" t="s">
        <v>11</v>
      </c>
      <c r="D1178" s="2" t="s">
        <v>106</v>
      </c>
      <c r="E1178" s="2">
        <v>0</v>
      </c>
      <c r="F1178" s="2">
        <v>0</v>
      </c>
      <c r="G1178" s="2" t="s">
        <v>10</v>
      </c>
      <c r="H1178" s="2" t="s">
        <v>12</v>
      </c>
      <c r="I1178" s="2">
        <v>1</v>
      </c>
      <c r="J1178" s="2" t="s">
        <v>14</v>
      </c>
      <c r="K1178" s="2" t="s">
        <v>14</v>
      </c>
      <c r="L1178" s="2" t="s">
        <v>14</v>
      </c>
      <c r="M1178" s="2" t="s">
        <v>14</v>
      </c>
      <c r="N1178" s="2" t="s">
        <v>14</v>
      </c>
      <c r="O1178" s="2">
        <v>1</v>
      </c>
    </row>
    <row r="1179" spans="1:15" ht="15" customHeight="1" x14ac:dyDescent="0.25">
      <c r="A1179" s="3">
        <v>5</v>
      </c>
      <c r="B1179" s="3" t="s">
        <v>18</v>
      </c>
      <c r="C1179" s="3" t="s">
        <v>11</v>
      </c>
      <c r="D1179" s="2" t="s">
        <v>106</v>
      </c>
      <c r="E1179" s="3">
        <v>0</v>
      </c>
      <c r="F1179" s="3">
        <v>0</v>
      </c>
      <c r="G1179" s="3" t="s">
        <v>10</v>
      </c>
      <c r="H1179" s="3" t="s">
        <v>12</v>
      </c>
      <c r="I1179" s="3">
        <v>2</v>
      </c>
      <c r="J1179" s="3" t="s">
        <v>14</v>
      </c>
      <c r="K1179" s="3" t="s">
        <v>14</v>
      </c>
      <c r="L1179" s="3" t="s">
        <v>14</v>
      </c>
      <c r="M1179" s="3" t="s">
        <v>14</v>
      </c>
      <c r="N1179" s="3" t="s">
        <v>14</v>
      </c>
      <c r="O1179" s="3">
        <v>1</v>
      </c>
    </row>
    <row r="1180" spans="1:15" ht="15" customHeight="1" x14ac:dyDescent="0.25">
      <c r="A1180" s="2">
        <v>10</v>
      </c>
      <c r="B1180" s="2" t="s">
        <v>10</v>
      </c>
      <c r="C1180" s="2" t="s">
        <v>11</v>
      </c>
      <c r="D1180" s="2" t="s">
        <v>106</v>
      </c>
      <c r="E1180" s="2">
        <v>1</v>
      </c>
      <c r="F1180" s="2">
        <v>0</v>
      </c>
      <c r="G1180" s="2" t="s">
        <v>10</v>
      </c>
      <c r="H1180" s="2" t="s">
        <v>16</v>
      </c>
      <c r="I1180" s="2">
        <v>1</v>
      </c>
      <c r="J1180" s="2" t="s">
        <v>14</v>
      </c>
      <c r="K1180" s="2" t="s">
        <v>14</v>
      </c>
      <c r="L1180" s="2" t="s">
        <v>14</v>
      </c>
      <c r="M1180" s="2" t="s">
        <v>13</v>
      </c>
      <c r="N1180" s="2" t="s">
        <v>14</v>
      </c>
      <c r="O1180" s="2">
        <v>1</v>
      </c>
    </row>
    <row r="1181" spans="1:15" ht="15" customHeight="1" x14ac:dyDescent="0.25">
      <c r="A1181" s="3">
        <v>5</v>
      </c>
      <c r="B1181" s="3" t="s">
        <v>10</v>
      </c>
      <c r="C1181" s="3" t="s">
        <v>20</v>
      </c>
      <c r="D1181" s="2" t="s">
        <v>106</v>
      </c>
      <c r="E1181" s="3">
        <v>0</v>
      </c>
      <c r="F1181" s="3">
        <v>1</v>
      </c>
      <c r="G1181" s="3" t="s">
        <v>17</v>
      </c>
      <c r="H1181" s="3" t="s">
        <v>106</v>
      </c>
      <c r="I1181" s="3">
        <v>1</v>
      </c>
      <c r="J1181" s="3" t="s">
        <v>14</v>
      </c>
      <c r="K1181" s="3" t="s">
        <v>13</v>
      </c>
      <c r="L1181" s="3" t="s">
        <v>13</v>
      </c>
      <c r="M1181" s="3" t="s">
        <v>13</v>
      </c>
      <c r="N1181" s="3" t="s">
        <v>14</v>
      </c>
      <c r="O1181" s="3">
        <v>1</v>
      </c>
    </row>
    <row r="1182" spans="1:15" ht="15" customHeight="1" x14ac:dyDescent="0.25">
      <c r="A1182" s="2">
        <v>5</v>
      </c>
      <c r="B1182" s="2" t="s">
        <v>10</v>
      </c>
      <c r="C1182" s="2" t="s">
        <v>19</v>
      </c>
      <c r="D1182" s="2" t="s">
        <v>106</v>
      </c>
      <c r="E1182" s="2">
        <v>0</v>
      </c>
      <c r="F1182" s="2">
        <v>2</v>
      </c>
      <c r="G1182" s="2" t="s">
        <v>17</v>
      </c>
      <c r="H1182" s="2" t="s">
        <v>106</v>
      </c>
      <c r="I1182" s="2">
        <v>1</v>
      </c>
      <c r="J1182" s="2" t="s">
        <v>14</v>
      </c>
      <c r="K1182" s="2" t="s">
        <v>13</v>
      </c>
      <c r="L1182" s="2" t="s">
        <v>13</v>
      </c>
      <c r="M1182" s="2" t="s">
        <v>14</v>
      </c>
      <c r="N1182" s="2" t="s">
        <v>14</v>
      </c>
      <c r="O1182" s="2">
        <v>1</v>
      </c>
    </row>
    <row r="1183" spans="1:15" ht="15" customHeight="1" x14ac:dyDescent="0.25">
      <c r="A1183" s="3">
        <v>20</v>
      </c>
      <c r="B1183" s="3" t="s">
        <v>18</v>
      </c>
      <c r="C1183" s="3" t="s">
        <v>20</v>
      </c>
      <c r="D1183" s="2" t="s">
        <v>106</v>
      </c>
      <c r="E1183" s="3">
        <v>0</v>
      </c>
      <c r="F1183" s="3">
        <v>0</v>
      </c>
      <c r="G1183" s="3" t="s">
        <v>10</v>
      </c>
      <c r="H1183" s="3" t="s">
        <v>16</v>
      </c>
      <c r="I1183" s="3">
        <v>2</v>
      </c>
      <c r="J1183" s="3" t="s">
        <v>14</v>
      </c>
      <c r="K1183" s="3" t="s">
        <v>14</v>
      </c>
      <c r="L1183" s="3" t="s">
        <v>14</v>
      </c>
      <c r="M1183" s="3" t="s">
        <v>14</v>
      </c>
      <c r="N1183" s="3" t="s">
        <v>14</v>
      </c>
      <c r="O1183" s="3">
        <v>1</v>
      </c>
    </row>
    <row r="1184" spans="1:15" ht="15" customHeight="1" x14ac:dyDescent="0.25">
      <c r="A1184" s="2">
        <v>0</v>
      </c>
      <c r="B1184" s="2" t="s">
        <v>10</v>
      </c>
      <c r="C1184" s="2" t="s">
        <v>20</v>
      </c>
      <c r="D1184" s="2" t="s">
        <v>106</v>
      </c>
      <c r="E1184" s="2">
        <v>0</v>
      </c>
      <c r="F1184" s="2">
        <v>0</v>
      </c>
      <c r="G1184" s="2" t="s">
        <v>10</v>
      </c>
      <c r="H1184" s="2" t="s">
        <v>16</v>
      </c>
      <c r="I1184" s="2" t="s">
        <v>15</v>
      </c>
      <c r="J1184" s="2" t="s">
        <v>14</v>
      </c>
      <c r="K1184" s="2" t="s">
        <v>14</v>
      </c>
      <c r="L1184" s="2" t="s">
        <v>14</v>
      </c>
      <c r="M1184" s="2" t="s">
        <v>14</v>
      </c>
      <c r="N1184" s="2" t="s">
        <v>14</v>
      </c>
      <c r="O1184" s="2">
        <v>1</v>
      </c>
    </row>
    <row r="1185" spans="1:15" ht="15" customHeight="1" x14ac:dyDescent="0.25">
      <c r="A1185" s="3">
        <v>10</v>
      </c>
      <c r="B1185" s="3" t="s">
        <v>10</v>
      </c>
      <c r="C1185" s="3" t="s">
        <v>19</v>
      </c>
      <c r="D1185" s="2" t="s">
        <v>106</v>
      </c>
      <c r="E1185" s="3">
        <v>0</v>
      </c>
      <c r="F1185" s="3">
        <v>0</v>
      </c>
      <c r="G1185" s="3" t="s">
        <v>10</v>
      </c>
      <c r="H1185" s="3" t="s">
        <v>12</v>
      </c>
      <c r="I1185" s="3">
        <v>1</v>
      </c>
      <c r="J1185" s="3" t="s">
        <v>14</v>
      </c>
      <c r="K1185" s="3" t="s">
        <v>14</v>
      </c>
      <c r="L1185" s="3" t="s">
        <v>14</v>
      </c>
      <c r="M1185" s="3" t="s">
        <v>14</v>
      </c>
      <c r="N1185" s="3" t="s">
        <v>14</v>
      </c>
      <c r="O1185" s="3">
        <v>1</v>
      </c>
    </row>
    <row r="1186" spans="1:15" ht="15" customHeight="1" x14ac:dyDescent="0.25">
      <c r="A1186" s="2">
        <v>10</v>
      </c>
      <c r="B1186" s="2" t="s">
        <v>18</v>
      </c>
      <c r="C1186" s="2" t="s">
        <v>20</v>
      </c>
      <c r="D1186" s="2" t="s">
        <v>106</v>
      </c>
      <c r="E1186" s="2">
        <v>0</v>
      </c>
      <c r="F1186" s="2">
        <v>0</v>
      </c>
      <c r="G1186" s="2" t="s">
        <v>10</v>
      </c>
      <c r="H1186" s="2" t="s">
        <v>12</v>
      </c>
      <c r="I1186" s="2" t="s">
        <v>15</v>
      </c>
      <c r="J1186" s="2" t="s">
        <v>14</v>
      </c>
      <c r="K1186" s="2" t="s">
        <v>14</v>
      </c>
      <c r="L1186" s="2" t="s">
        <v>14</v>
      </c>
      <c r="M1186" s="2" t="s">
        <v>14</v>
      </c>
      <c r="N1186" s="2" t="s">
        <v>14</v>
      </c>
      <c r="O1186" s="2">
        <v>1</v>
      </c>
    </row>
    <row r="1187" spans="1:15" ht="15" customHeight="1" x14ac:dyDescent="0.25">
      <c r="A1187" s="3">
        <v>0</v>
      </c>
      <c r="B1187" s="3" t="s">
        <v>14</v>
      </c>
      <c r="C1187" s="3" t="s">
        <v>20</v>
      </c>
      <c r="D1187" s="2" t="s">
        <v>106</v>
      </c>
      <c r="E1187" s="3">
        <v>0</v>
      </c>
      <c r="F1187" s="3">
        <v>0</v>
      </c>
      <c r="G1187" s="3" t="s">
        <v>10</v>
      </c>
      <c r="H1187" s="3" t="s">
        <v>12</v>
      </c>
      <c r="I1187" s="3">
        <v>2</v>
      </c>
      <c r="J1187" s="3" t="s">
        <v>14</v>
      </c>
      <c r="K1187" s="3" t="s">
        <v>14</v>
      </c>
      <c r="L1187" s="3" t="s">
        <v>14</v>
      </c>
      <c r="M1187" s="3" t="s">
        <v>14</v>
      </c>
      <c r="N1187" s="3" t="s">
        <v>14</v>
      </c>
      <c r="O1187" s="3">
        <v>1</v>
      </c>
    </row>
    <row r="1188" spans="1:15" ht="15" customHeight="1" x14ac:dyDescent="0.25">
      <c r="A1188" s="2">
        <v>10</v>
      </c>
      <c r="B1188" s="2" t="s">
        <v>10</v>
      </c>
      <c r="C1188" s="2" t="s">
        <v>19</v>
      </c>
      <c r="D1188" s="2" t="s">
        <v>106</v>
      </c>
      <c r="E1188" s="2">
        <v>0</v>
      </c>
      <c r="F1188" s="2">
        <v>0</v>
      </c>
      <c r="G1188" s="2" t="s">
        <v>10</v>
      </c>
      <c r="H1188" s="2" t="s">
        <v>12</v>
      </c>
      <c r="I1188" s="2">
        <v>2</v>
      </c>
      <c r="J1188" s="2" t="s">
        <v>14</v>
      </c>
      <c r="K1188" s="2" t="s">
        <v>14</v>
      </c>
      <c r="L1188" s="2" t="s">
        <v>14</v>
      </c>
      <c r="M1188" s="2" t="s">
        <v>14</v>
      </c>
      <c r="N1188" s="2" t="s">
        <v>14</v>
      </c>
      <c r="O1188" s="2">
        <v>1</v>
      </c>
    </row>
    <row r="1189" spans="1:15" ht="15" customHeight="1" x14ac:dyDescent="0.25">
      <c r="A1189" s="3">
        <v>30</v>
      </c>
      <c r="B1189" s="3" t="s">
        <v>10</v>
      </c>
      <c r="C1189" s="3" t="s">
        <v>11</v>
      </c>
      <c r="D1189" s="2" t="s">
        <v>106</v>
      </c>
      <c r="E1189" s="3">
        <v>0</v>
      </c>
      <c r="F1189" s="3">
        <v>0</v>
      </c>
      <c r="G1189" s="3" t="s">
        <v>10</v>
      </c>
      <c r="H1189" s="3" t="s">
        <v>12</v>
      </c>
      <c r="I1189" s="3">
        <v>2</v>
      </c>
      <c r="J1189" s="3" t="s">
        <v>13</v>
      </c>
      <c r="K1189" s="3" t="s">
        <v>14</v>
      </c>
      <c r="L1189" s="3" t="s">
        <v>14</v>
      </c>
      <c r="M1189" s="3" t="s">
        <v>13</v>
      </c>
      <c r="N1189" s="3" t="s">
        <v>14</v>
      </c>
      <c r="O1189" s="3">
        <v>0</v>
      </c>
    </row>
    <row r="1190" spans="1:15" ht="15" customHeight="1" x14ac:dyDescent="0.25">
      <c r="A1190" s="2">
        <v>10</v>
      </c>
      <c r="B1190" s="2" t="s">
        <v>14</v>
      </c>
      <c r="C1190" s="2" t="s">
        <v>20</v>
      </c>
      <c r="D1190" s="2" t="s">
        <v>106</v>
      </c>
      <c r="E1190" s="2">
        <v>0</v>
      </c>
      <c r="F1190" s="2">
        <v>0</v>
      </c>
      <c r="G1190" s="2" t="s">
        <v>10</v>
      </c>
      <c r="H1190" s="2" t="s">
        <v>12</v>
      </c>
      <c r="I1190" s="2" t="s">
        <v>15</v>
      </c>
      <c r="J1190" s="2" t="s">
        <v>14</v>
      </c>
      <c r="K1190" s="2" t="s">
        <v>14</v>
      </c>
      <c r="L1190" s="2" t="s">
        <v>14</v>
      </c>
      <c r="M1190" s="2" t="s">
        <v>14</v>
      </c>
      <c r="N1190" s="2" t="s">
        <v>14</v>
      </c>
      <c r="O1190" s="2">
        <v>1</v>
      </c>
    </row>
    <row r="1191" spans="1:15" ht="15" customHeight="1" x14ac:dyDescent="0.25">
      <c r="A1191" s="3">
        <v>10</v>
      </c>
      <c r="B1191" s="3" t="s">
        <v>18</v>
      </c>
      <c r="C1191" s="3" t="s">
        <v>20</v>
      </c>
      <c r="D1191" s="2" t="s">
        <v>106</v>
      </c>
      <c r="E1191" s="3">
        <v>0</v>
      </c>
      <c r="F1191" s="3">
        <v>0</v>
      </c>
      <c r="G1191" s="3" t="s">
        <v>10</v>
      </c>
      <c r="H1191" s="3" t="s">
        <v>12</v>
      </c>
      <c r="I1191" s="3" t="s">
        <v>15</v>
      </c>
      <c r="J1191" s="3" t="s">
        <v>14</v>
      </c>
      <c r="K1191" s="3" t="s">
        <v>14</v>
      </c>
      <c r="L1191" s="3" t="s">
        <v>14</v>
      </c>
      <c r="M1191" s="3" t="s">
        <v>14</v>
      </c>
      <c r="N1191" s="3" t="s">
        <v>14</v>
      </c>
      <c r="O1191" s="3">
        <v>1</v>
      </c>
    </row>
    <row r="1192" spans="1:15" ht="15" customHeight="1" x14ac:dyDescent="0.25">
      <c r="A1192" s="2">
        <v>10</v>
      </c>
      <c r="B1192" s="2" t="s">
        <v>14</v>
      </c>
      <c r="C1192" s="2" t="s">
        <v>20</v>
      </c>
      <c r="D1192" s="2" t="s">
        <v>106</v>
      </c>
      <c r="E1192" s="2">
        <v>0</v>
      </c>
      <c r="F1192" s="2">
        <v>0</v>
      </c>
      <c r="G1192" s="2" t="s">
        <v>10</v>
      </c>
      <c r="H1192" s="2" t="s">
        <v>12</v>
      </c>
      <c r="I1192" s="2" t="s">
        <v>15</v>
      </c>
      <c r="J1192" s="2" t="s">
        <v>14</v>
      </c>
      <c r="K1192" s="2" t="s">
        <v>14</v>
      </c>
      <c r="L1192" s="2" t="s">
        <v>14</v>
      </c>
      <c r="M1192" s="2" t="s">
        <v>14</v>
      </c>
      <c r="N1192" s="2" t="s">
        <v>14</v>
      </c>
      <c r="O1192" s="2">
        <v>1</v>
      </c>
    </row>
    <row r="1193" spans="1:15" ht="15" customHeight="1" x14ac:dyDescent="0.25">
      <c r="A1193" s="3">
        <v>20</v>
      </c>
      <c r="B1193" s="3" t="s">
        <v>10</v>
      </c>
      <c r="C1193" s="3" t="s">
        <v>19</v>
      </c>
      <c r="D1193" s="2" t="s">
        <v>106</v>
      </c>
      <c r="E1193" s="3">
        <v>0</v>
      </c>
      <c r="F1193" s="3">
        <v>0</v>
      </c>
      <c r="G1193" s="3" t="s">
        <v>10</v>
      </c>
      <c r="H1193" s="3" t="s">
        <v>12</v>
      </c>
      <c r="I1193" s="3">
        <v>2</v>
      </c>
      <c r="J1193" s="3" t="s">
        <v>14</v>
      </c>
      <c r="K1193" s="3" t="s">
        <v>14</v>
      </c>
      <c r="L1193" s="3" t="s">
        <v>14</v>
      </c>
      <c r="M1193" s="3" t="s">
        <v>14</v>
      </c>
      <c r="N1193" s="3" t="s">
        <v>14</v>
      </c>
      <c r="O1193" s="3">
        <v>1</v>
      </c>
    </row>
    <row r="1194" spans="1:15" ht="15" customHeight="1" x14ac:dyDescent="0.25">
      <c r="A1194" s="2">
        <v>5</v>
      </c>
      <c r="B1194" s="2" t="s">
        <v>10</v>
      </c>
      <c r="C1194" s="2" t="s">
        <v>19</v>
      </c>
      <c r="D1194" s="2" t="s">
        <v>106</v>
      </c>
      <c r="E1194" s="2">
        <v>0</v>
      </c>
      <c r="F1194" s="2">
        <v>0</v>
      </c>
      <c r="G1194" s="2" t="s">
        <v>10</v>
      </c>
      <c r="H1194" s="2" t="s">
        <v>12</v>
      </c>
      <c r="I1194" s="2">
        <v>2</v>
      </c>
      <c r="J1194" s="2" t="s">
        <v>14</v>
      </c>
      <c r="K1194" s="2" t="s">
        <v>14</v>
      </c>
      <c r="L1194" s="2" t="s">
        <v>14</v>
      </c>
      <c r="M1194" s="2" t="s">
        <v>14</v>
      </c>
      <c r="N1194" s="2" t="s">
        <v>14</v>
      </c>
      <c r="O1194" s="2">
        <v>1</v>
      </c>
    </row>
    <row r="1195" spans="1:15" ht="15" customHeight="1" x14ac:dyDescent="0.25">
      <c r="A1195" s="3">
        <v>5</v>
      </c>
      <c r="B1195" s="3" t="s">
        <v>10</v>
      </c>
      <c r="C1195" s="3" t="s">
        <v>19</v>
      </c>
      <c r="D1195" s="2" t="s">
        <v>106</v>
      </c>
      <c r="E1195" s="3">
        <v>1</v>
      </c>
      <c r="F1195" s="3">
        <v>0</v>
      </c>
      <c r="G1195" s="3" t="s">
        <v>10</v>
      </c>
      <c r="H1195" s="3" t="s">
        <v>12</v>
      </c>
      <c r="I1195" s="3">
        <v>1</v>
      </c>
      <c r="J1195" s="3" t="s">
        <v>13</v>
      </c>
      <c r="K1195" s="3" t="s">
        <v>14</v>
      </c>
      <c r="L1195" s="3" t="s">
        <v>14</v>
      </c>
      <c r="M1195" s="3" t="s">
        <v>13</v>
      </c>
      <c r="N1195" s="3" t="s">
        <v>14</v>
      </c>
      <c r="O1195" s="3">
        <v>0</v>
      </c>
    </row>
    <row r="1196" spans="1:15" ht="15" customHeight="1" x14ac:dyDescent="0.25">
      <c r="A1196" s="2">
        <v>0</v>
      </c>
      <c r="B1196" s="2" t="s">
        <v>14</v>
      </c>
      <c r="C1196" s="2" t="s">
        <v>19</v>
      </c>
      <c r="D1196" s="2" t="s">
        <v>106</v>
      </c>
      <c r="E1196" s="2">
        <v>0</v>
      </c>
      <c r="F1196" s="2">
        <v>0</v>
      </c>
      <c r="G1196" s="2" t="s">
        <v>10</v>
      </c>
      <c r="H1196" s="2" t="s">
        <v>12</v>
      </c>
      <c r="I1196" s="2">
        <v>2</v>
      </c>
      <c r="J1196" s="2" t="s">
        <v>14</v>
      </c>
      <c r="K1196" s="2" t="s">
        <v>14</v>
      </c>
      <c r="L1196" s="2" t="s">
        <v>14</v>
      </c>
      <c r="M1196" s="2" t="s">
        <v>14</v>
      </c>
      <c r="N1196" s="2" t="s">
        <v>14</v>
      </c>
      <c r="O1196" s="2">
        <v>1</v>
      </c>
    </row>
    <row r="1197" spans="1:15" ht="15" customHeight="1" x14ac:dyDescent="0.25">
      <c r="A1197" s="3">
        <v>5</v>
      </c>
      <c r="B1197" s="3" t="s">
        <v>14</v>
      </c>
      <c r="C1197" s="3" t="s">
        <v>19</v>
      </c>
      <c r="D1197" s="2" t="s">
        <v>106</v>
      </c>
      <c r="E1197" s="3">
        <v>0</v>
      </c>
      <c r="F1197" s="3">
        <v>0</v>
      </c>
      <c r="G1197" s="3" t="s">
        <v>10</v>
      </c>
      <c r="H1197" s="3" t="s">
        <v>12</v>
      </c>
      <c r="I1197" s="3">
        <v>1</v>
      </c>
      <c r="J1197" s="3" t="s">
        <v>14</v>
      </c>
      <c r="K1197" s="3" t="s">
        <v>14</v>
      </c>
      <c r="L1197" s="3" t="s">
        <v>14</v>
      </c>
      <c r="M1197" s="3" t="s">
        <v>14</v>
      </c>
      <c r="N1197" s="3" t="s">
        <v>14</v>
      </c>
      <c r="O1197" s="3">
        <v>1</v>
      </c>
    </row>
    <row r="1198" spans="1:15" ht="15" customHeight="1" x14ac:dyDescent="0.25">
      <c r="A1198" s="2">
        <v>10</v>
      </c>
      <c r="B1198" s="2" t="s">
        <v>10</v>
      </c>
      <c r="C1198" s="2" t="s">
        <v>11</v>
      </c>
      <c r="D1198" s="2" t="s">
        <v>106</v>
      </c>
      <c r="E1198" s="2">
        <v>0</v>
      </c>
      <c r="F1198" s="2">
        <v>1</v>
      </c>
      <c r="G1198" s="2" t="s">
        <v>10</v>
      </c>
      <c r="H1198" s="2" t="s">
        <v>12</v>
      </c>
      <c r="I1198" s="2">
        <v>1</v>
      </c>
      <c r="J1198" s="2" t="s">
        <v>13</v>
      </c>
      <c r="K1198" s="2" t="s">
        <v>14</v>
      </c>
      <c r="L1198" s="2" t="s">
        <v>14</v>
      </c>
      <c r="M1198" s="2" t="s">
        <v>14</v>
      </c>
      <c r="N1198" s="2" t="s">
        <v>14</v>
      </c>
      <c r="O1198" s="2">
        <v>1</v>
      </c>
    </row>
    <row r="1199" spans="1:15" ht="15" customHeight="1" x14ac:dyDescent="0.25">
      <c r="A1199" s="3">
        <v>10</v>
      </c>
      <c r="B1199" s="3" t="s">
        <v>18</v>
      </c>
      <c r="C1199" s="3" t="s">
        <v>11</v>
      </c>
      <c r="D1199" s="2" t="s">
        <v>106</v>
      </c>
      <c r="E1199" s="3">
        <v>0</v>
      </c>
      <c r="F1199" s="3">
        <v>1</v>
      </c>
      <c r="G1199" s="3" t="s">
        <v>10</v>
      </c>
      <c r="H1199" s="3" t="s">
        <v>16</v>
      </c>
      <c r="I1199" s="3" t="s">
        <v>15</v>
      </c>
      <c r="J1199" s="3" t="s">
        <v>14</v>
      </c>
      <c r="K1199" s="3" t="s">
        <v>14</v>
      </c>
      <c r="L1199" s="3" t="s">
        <v>14</v>
      </c>
      <c r="M1199" s="3" t="s">
        <v>14</v>
      </c>
      <c r="N1199" s="3" t="s">
        <v>13</v>
      </c>
      <c r="O1199" s="3">
        <v>0</v>
      </c>
    </row>
    <row r="1200" spans="1:15" ht="15" customHeight="1" x14ac:dyDescent="0.25">
      <c r="A1200" s="2">
        <v>20</v>
      </c>
      <c r="B1200" s="2" t="s">
        <v>18</v>
      </c>
      <c r="C1200" s="2" t="s">
        <v>20</v>
      </c>
      <c r="D1200" s="2" t="s">
        <v>106</v>
      </c>
      <c r="E1200" s="2">
        <v>0</v>
      </c>
      <c r="F1200" s="2">
        <v>0</v>
      </c>
      <c r="G1200" s="2" t="s">
        <v>10</v>
      </c>
      <c r="H1200" s="2" t="s">
        <v>12</v>
      </c>
      <c r="I1200" s="2" t="s">
        <v>15</v>
      </c>
      <c r="J1200" s="2" t="s">
        <v>14</v>
      </c>
      <c r="K1200" s="2" t="s">
        <v>14</v>
      </c>
      <c r="L1200" s="2" t="s">
        <v>14</v>
      </c>
      <c r="M1200" s="2" t="s">
        <v>14</v>
      </c>
      <c r="N1200" s="2" t="s">
        <v>14</v>
      </c>
      <c r="O1200" s="2">
        <v>1</v>
      </c>
    </row>
    <row r="1201" spans="1:15" ht="15" customHeight="1" x14ac:dyDescent="0.25">
      <c r="A1201" s="3">
        <v>30</v>
      </c>
      <c r="B1201" s="3" t="s">
        <v>10</v>
      </c>
      <c r="C1201" s="3" t="s">
        <v>19</v>
      </c>
      <c r="D1201" s="2" t="s">
        <v>106</v>
      </c>
      <c r="E1201" s="3">
        <v>1</v>
      </c>
      <c r="F1201" s="3">
        <v>0</v>
      </c>
      <c r="G1201" s="3" t="s">
        <v>10</v>
      </c>
      <c r="H1201" s="3" t="s">
        <v>12</v>
      </c>
      <c r="I1201" s="3">
        <v>2</v>
      </c>
      <c r="J1201" s="3" t="s">
        <v>14</v>
      </c>
      <c r="K1201" s="3" t="s">
        <v>14</v>
      </c>
      <c r="L1201" s="3" t="s">
        <v>14</v>
      </c>
      <c r="M1201" s="3" t="s">
        <v>13</v>
      </c>
      <c r="N1201" s="3" t="s">
        <v>14</v>
      </c>
      <c r="O1201" s="3">
        <v>0</v>
      </c>
    </row>
    <row r="1202" spans="1:15" ht="15" customHeight="1" x14ac:dyDescent="0.25">
      <c r="A1202" s="2">
        <v>20</v>
      </c>
      <c r="B1202" s="2" t="s">
        <v>18</v>
      </c>
      <c r="C1202" s="2" t="s">
        <v>20</v>
      </c>
      <c r="D1202" s="2" t="s">
        <v>106</v>
      </c>
      <c r="E1202" s="2">
        <v>0</v>
      </c>
      <c r="F1202" s="2">
        <v>1</v>
      </c>
      <c r="G1202" s="2" t="s">
        <v>10</v>
      </c>
      <c r="H1202" s="2" t="s">
        <v>12</v>
      </c>
      <c r="I1202" s="2">
        <v>1</v>
      </c>
      <c r="J1202" s="2" t="s">
        <v>14</v>
      </c>
      <c r="K1202" s="2" t="s">
        <v>14</v>
      </c>
      <c r="L1202" s="2" t="s">
        <v>14</v>
      </c>
      <c r="M1202" s="2" t="s">
        <v>14</v>
      </c>
      <c r="N1202" s="2" t="s">
        <v>14</v>
      </c>
      <c r="O1202" s="2">
        <v>1</v>
      </c>
    </row>
    <row r="1203" spans="1:15" ht="15" customHeight="1" x14ac:dyDescent="0.25">
      <c r="A1203" s="3">
        <v>20</v>
      </c>
      <c r="B1203" s="3" t="s">
        <v>14</v>
      </c>
      <c r="C1203" s="3" t="s">
        <v>20</v>
      </c>
      <c r="D1203" s="2" t="s">
        <v>106</v>
      </c>
      <c r="E1203" s="3">
        <v>0</v>
      </c>
      <c r="F1203" s="3">
        <v>0</v>
      </c>
      <c r="G1203" s="3" t="s">
        <v>10</v>
      </c>
      <c r="H1203" s="3" t="s">
        <v>12</v>
      </c>
      <c r="I1203" s="3" t="s">
        <v>15</v>
      </c>
      <c r="J1203" s="3" t="s">
        <v>14</v>
      </c>
      <c r="K1203" s="3" t="s">
        <v>14</v>
      </c>
      <c r="L1203" s="3" t="s">
        <v>14</v>
      </c>
      <c r="M1203" s="3" t="s">
        <v>14</v>
      </c>
      <c r="N1203" s="3" t="s">
        <v>14</v>
      </c>
      <c r="O1203" s="3">
        <v>1</v>
      </c>
    </row>
    <row r="1204" spans="1:15" ht="15" customHeight="1" x14ac:dyDescent="0.25">
      <c r="A1204" s="2">
        <v>5</v>
      </c>
      <c r="B1204" s="2" t="s">
        <v>10</v>
      </c>
      <c r="C1204" s="2" t="s">
        <v>20</v>
      </c>
      <c r="D1204" s="2" t="s">
        <v>106</v>
      </c>
      <c r="E1204" s="2">
        <v>0</v>
      </c>
      <c r="F1204" s="2">
        <v>0</v>
      </c>
      <c r="G1204" s="2" t="s">
        <v>10</v>
      </c>
      <c r="H1204" s="2" t="s">
        <v>12</v>
      </c>
      <c r="I1204" s="2">
        <v>2</v>
      </c>
      <c r="J1204" s="2" t="s">
        <v>14</v>
      </c>
      <c r="K1204" s="2" t="s">
        <v>14</v>
      </c>
      <c r="L1204" s="2" t="s">
        <v>14</v>
      </c>
      <c r="M1204" s="2" t="s">
        <v>14</v>
      </c>
      <c r="N1204" s="2" t="s">
        <v>14</v>
      </c>
      <c r="O1204" s="2">
        <v>1</v>
      </c>
    </row>
    <row r="1205" spans="1:15" ht="15" customHeight="1" x14ac:dyDescent="0.25">
      <c r="A1205" s="3">
        <v>10</v>
      </c>
      <c r="B1205" s="3" t="s">
        <v>10</v>
      </c>
      <c r="C1205" s="3" t="s">
        <v>19</v>
      </c>
      <c r="D1205" s="2" t="s">
        <v>106</v>
      </c>
      <c r="E1205" s="3">
        <v>1</v>
      </c>
      <c r="F1205" s="3">
        <v>0</v>
      </c>
      <c r="G1205" s="3" t="s">
        <v>10</v>
      </c>
      <c r="H1205" s="3" t="s">
        <v>12</v>
      </c>
      <c r="I1205" s="3">
        <v>2</v>
      </c>
      <c r="J1205" s="3" t="s">
        <v>14</v>
      </c>
      <c r="K1205" s="3" t="s">
        <v>14</v>
      </c>
      <c r="L1205" s="3" t="s">
        <v>14</v>
      </c>
      <c r="M1205" s="3" t="s">
        <v>14</v>
      </c>
      <c r="N1205" s="3" t="s">
        <v>14</v>
      </c>
      <c r="O1205" s="3">
        <v>0</v>
      </c>
    </row>
    <row r="1206" spans="1:15" ht="15" customHeight="1" x14ac:dyDescent="0.25">
      <c r="A1206" s="2">
        <v>10</v>
      </c>
      <c r="B1206" s="2" t="s">
        <v>10</v>
      </c>
      <c r="C1206" s="2" t="s">
        <v>19</v>
      </c>
      <c r="D1206" s="2" t="s">
        <v>106</v>
      </c>
      <c r="E1206" s="2">
        <v>0</v>
      </c>
      <c r="F1206" s="2">
        <v>2</v>
      </c>
      <c r="G1206" s="2" t="s">
        <v>10</v>
      </c>
      <c r="H1206" s="2" t="s">
        <v>16</v>
      </c>
      <c r="I1206" s="2">
        <v>1</v>
      </c>
      <c r="J1206" s="2" t="s">
        <v>14</v>
      </c>
      <c r="K1206" s="2" t="s">
        <v>13</v>
      </c>
      <c r="L1206" s="2" t="s">
        <v>13</v>
      </c>
      <c r="M1206" s="2" t="s">
        <v>13</v>
      </c>
      <c r="N1206" s="2" t="s">
        <v>14</v>
      </c>
      <c r="O1206" s="2">
        <v>0</v>
      </c>
    </row>
    <row r="1207" spans="1:15" ht="15" customHeight="1" x14ac:dyDescent="0.25">
      <c r="A1207" s="3">
        <v>5</v>
      </c>
      <c r="B1207" s="3" t="s">
        <v>10</v>
      </c>
      <c r="C1207" s="3" t="s">
        <v>11</v>
      </c>
      <c r="D1207" s="2" t="s">
        <v>106</v>
      </c>
      <c r="E1207" s="3">
        <v>0</v>
      </c>
      <c r="F1207" s="3">
        <v>0</v>
      </c>
      <c r="G1207" s="3" t="s">
        <v>10</v>
      </c>
      <c r="H1207" s="3" t="s">
        <v>12</v>
      </c>
      <c r="I1207" s="3">
        <v>1</v>
      </c>
      <c r="J1207" s="3" t="s">
        <v>14</v>
      </c>
      <c r="K1207" s="3" t="s">
        <v>14</v>
      </c>
      <c r="L1207" s="3" t="s">
        <v>14</v>
      </c>
      <c r="M1207" s="3" t="s">
        <v>14</v>
      </c>
      <c r="N1207" s="3" t="s">
        <v>14</v>
      </c>
      <c r="O1207" s="3">
        <v>1</v>
      </c>
    </row>
    <row r="1208" spans="1:15" ht="15" customHeight="1" x14ac:dyDescent="0.25">
      <c r="A1208" s="2">
        <v>0</v>
      </c>
      <c r="B1208" s="2" t="s">
        <v>14</v>
      </c>
      <c r="C1208" s="2" t="s">
        <v>11</v>
      </c>
      <c r="D1208" s="2" t="s">
        <v>106</v>
      </c>
      <c r="E1208" s="2">
        <v>0</v>
      </c>
      <c r="F1208" s="2">
        <v>0</v>
      </c>
      <c r="G1208" s="2" t="s">
        <v>10</v>
      </c>
      <c r="H1208" s="2" t="s">
        <v>12</v>
      </c>
      <c r="I1208" s="2" t="s">
        <v>15</v>
      </c>
      <c r="J1208" s="2" t="s">
        <v>14</v>
      </c>
      <c r="K1208" s="2" t="s">
        <v>14</v>
      </c>
      <c r="L1208" s="2" t="s">
        <v>14</v>
      </c>
      <c r="M1208" s="2" t="s">
        <v>14</v>
      </c>
      <c r="N1208" s="2" t="s">
        <v>14</v>
      </c>
      <c r="O1208" s="2">
        <v>1</v>
      </c>
    </row>
    <row r="1209" spans="1:15" ht="15" customHeight="1" x14ac:dyDescent="0.25">
      <c r="A1209" s="3">
        <v>10</v>
      </c>
      <c r="B1209" s="3" t="s">
        <v>14</v>
      </c>
      <c r="C1209" s="3" t="s">
        <v>11</v>
      </c>
      <c r="D1209" s="2" t="s">
        <v>106</v>
      </c>
      <c r="E1209" s="3">
        <v>0</v>
      </c>
      <c r="F1209" s="3">
        <v>0</v>
      </c>
      <c r="G1209" s="3" t="s">
        <v>10</v>
      </c>
      <c r="H1209" s="3" t="s">
        <v>12</v>
      </c>
      <c r="I1209" s="3" t="s">
        <v>15</v>
      </c>
      <c r="J1209" s="3" t="s">
        <v>14</v>
      </c>
      <c r="K1209" s="3" t="s">
        <v>14</v>
      </c>
      <c r="L1209" s="3" t="s">
        <v>14</v>
      </c>
      <c r="M1209" s="3" t="s">
        <v>14</v>
      </c>
      <c r="N1209" s="3" t="s">
        <v>14</v>
      </c>
      <c r="O1209" s="3">
        <v>1</v>
      </c>
    </row>
    <row r="1210" spans="1:15" ht="15" customHeight="1" x14ac:dyDescent="0.25">
      <c r="A1210" s="2">
        <v>5</v>
      </c>
      <c r="B1210" s="2" t="s">
        <v>10</v>
      </c>
      <c r="C1210" s="2" t="s">
        <v>20</v>
      </c>
      <c r="D1210" s="2" t="s">
        <v>106</v>
      </c>
      <c r="E1210" s="2">
        <v>1</v>
      </c>
      <c r="F1210" s="2">
        <v>0</v>
      </c>
      <c r="G1210" s="2" t="s">
        <v>10</v>
      </c>
      <c r="H1210" s="2" t="s">
        <v>12</v>
      </c>
      <c r="I1210" s="2">
        <v>1</v>
      </c>
      <c r="J1210" s="2" t="s">
        <v>14</v>
      </c>
      <c r="K1210" s="2" t="s">
        <v>14</v>
      </c>
      <c r="L1210" s="2" t="s">
        <v>14</v>
      </c>
      <c r="M1210" s="2" t="s">
        <v>14</v>
      </c>
      <c r="N1210" s="2" t="s">
        <v>14</v>
      </c>
      <c r="O1210" s="2">
        <v>1</v>
      </c>
    </row>
    <row r="1211" spans="1:15" ht="15" customHeight="1" x14ac:dyDescent="0.25">
      <c r="A1211" s="3">
        <v>5</v>
      </c>
      <c r="B1211" s="3" t="s">
        <v>10</v>
      </c>
      <c r="C1211" s="3" t="s">
        <v>19</v>
      </c>
      <c r="D1211" s="2" t="s">
        <v>106</v>
      </c>
      <c r="E1211" s="3">
        <v>0</v>
      </c>
      <c r="F1211" s="3">
        <v>1</v>
      </c>
      <c r="G1211" s="3" t="s">
        <v>10</v>
      </c>
      <c r="H1211" s="3" t="s">
        <v>12</v>
      </c>
      <c r="I1211" s="3" t="s">
        <v>15</v>
      </c>
      <c r="J1211" s="3" t="s">
        <v>14</v>
      </c>
      <c r="K1211" s="3" t="s">
        <v>14</v>
      </c>
      <c r="L1211" s="3" t="s">
        <v>14</v>
      </c>
      <c r="M1211" s="3" t="s">
        <v>14</v>
      </c>
      <c r="N1211" s="3" t="s">
        <v>14</v>
      </c>
      <c r="O1211" s="3">
        <v>1</v>
      </c>
    </row>
    <row r="1212" spans="1:15" ht="15" customHeight="1" x14ac:dyDescent="0.25">
      <c r="A1212" s="2">
        <v>5</v>
      </c>
      <c r="B1212" s="2" t="s">
        <v>10</v>
      </c>
      <c r="C1212" s="2" t="s">
        <v>19</v>
      </c>
      <c r="D1212" s="2" t="s">
        <v>106</v>
      </c>
      <c r="E1212" s="2">
        <v>0</v>
      </c>
      <c r="F1212" s="2">
        <v>1</v>
      </c>
      <c r="G1212" s="2" t="s">
        <v>10</v>
      </c>
      <c r="H1212" s="2" t="s">
        <v>12</v>
      </c>
      <c r="I1212" s="2">
        <v>2</v>
      </c>
      <c r="J1212" s="2" t="s">
        <v>14</v>
      </c>
      <c r="K1212" s="2" t="s">
        <v>14</v>
      </c>
      <c r="L1212" s="2" t="s">
        <v>14</v>
      </c>
      <c r="M1212" s="2" t="s">
        <v>14</v>
      </c>
      <c r="N1212" s="2" t="s">
        <v>14</v>
      </c>
      <c r="O1212" s="2">
        <v>1</v>
      </c>
    </row>
    <row r="1213" spans="1:15" ht="15" customHeight="1" x14ac:dyDescent="0.25">
      <c r="A1213" s="3">
        <v>0</v>
      </c>
      <c r="B1213" s="3" t="s">
        <v>14</v>
      </c>
      <c r="C1213" s="3" t="s">
        <v>19</v>
      </c>
      <c r="D1213" s="2" t="s">
        <v>106</v>
      </c>
      <c r="E1213" s="3">
        <v>0</v>
      </c>
      <c r="F1213" s="3">
        <v>0</v>
      </c>
      <c r="G1213" s="3" t="s">
        <v>10</v>
      </c>
      <c r="H1213" s="3" t="s">
        <v>12</v>
      </c>
      <c r="I1213" s="3" t="s">
        <v>15</v>
      </c>
      <c r="J1213" s="3" t="s">
        <v>14</v>
      </c>
      <c r="K1213" s="3" t="s">
        <v>14</v>
      </c>
      <c r="L1213" s="3" t="s">
        <v>14</v>
      </c>
      <c r="M1213" s="3" t="s">
        <v>14</v>
      </c>
      <c r="N1213" s="3" t="s">
        <v>14</v>
      </c>
      <c r="O1213" s="3">
        <v>1</v>
      </c>
    </row>
    <row r="1214" spans="1:15" ht="15" customHeight="1" x14ac:dyDescent="0.25">
      <c r="A1214" s="2">
        <v>5</v>
      </c>
      <c r="B1214" s="2" t="s">
        <v>18</v>
      </c>
      <c r="C1214" s="2" t="s">
        <v>19</v>
      </c>
      <c r="D1214" s="2" t="s">
        <v>106</v>
      </c>
      <c r="E1214" s="2">
        <v>0</v>
      </c>
      <c r="F1214" s="2">
        <v>0</v>
      </c>
      <c r="G1214" s="2" t="s">
        <v>10</v>
      </c>
      <c r="H1214" s="2" t="s">
        <v>12</v>
      </c>
      <c r="I1214" s="2" t="s">
        <v>15</v>
      </c>
      <c r="J1214" s="2" t="s">
        <v>14</v>
      </c>
      <c r="K1214" s="2" t="s">
        <v>14</v>
      </c>
      <c r="L1214" s="2" t="s">
        <v>14</v>
      </c>
      <c r="M1214" s="2" t="s">
        <v>14</v>
      </c>
      <c r="N1214" s="2" t="s">
        <v>14</v>
      </c>
      <c r="O1214" s="2">
        <v>1</v>
      </c>
    </row>
    <row r="1215" spans="1:15" ht="15" customHeight="1" x14ac:dyDescent="0.25">
      <c r="A1215" s="3">
        <v>5</v>
      </c>
      <c r="B1215" s="3" t="s">
        <v>10</v>
      </c>
      <c r="C1215" s="3" t="s">
        <v>19</v>
      </c>
      <c r="D1215" s="2" t="s">
        <v>106</v>
      </c>
      <c r="E1215" s="3">
        <v>0</v>
      </c>
      <c r="F1215" s="3">
        <v>0</v>
      </c>
      <c r="G1215" s="3" t="s">
        <v>10</v>
      </c>
      <c r="H1215" s="3" t="s">
        <v>12</v>
      </c>
      <c r="I1215" s="3">
        <v>1</v>
      </c>
      <c r="J1215" s="3" t="s">
        <v>14</v>
      </c>
      <c r="K1215" s="3" t="s">
        <v>14</v>
      </c>
      <c r="L1215" s="3" t="s">
        <v>14</v>
      </c>
      <c r="M1215" s="3" t="s">
        <v>14</v>
      </c>
      <c r="N1215" s="3" t="s">
        <v>14</v>
      </c>
      <c r="O1215" s="3">
        <v>1</v>
      </c>
    </row>
    <row r="1216" spans="1:15" ht="15" customHeight="1" x14ac:dyDescent="0.25">
      <c r="A1216" s="2">
        <v>10</v>
      </c>
      <c r="B1216" s="2" t="s">
        <v>18</v>
      </c>
      <c r="C1216" s="2" t="s">
        <v>19</v>
      </c>
      <c r="D1216" s="2" t="s">
        <v>106</v>
      </c>
      <c r="E1216" s="2">
        <v>0</v>
      </c>
      <c r="F1216" s="2">
        <v>0</v>
      </c>
      <c r="G1216" s="2" t="s">
        <v>10</v>
      </c>
      <c r="H1216" s="2" t="s">
        <v>12</v>
      </c>
      <c r="I1216" s="2">
        <v>2</v>
      </c>
      <c r="J1216" s="2" t="s">
        <v>14</v>
      </c>
      <c r="K1216" s="2" t="s">
        <v>14</v>
      </c>
      <c r="L1216" s="2" t="s">
        <v>14</v>
      </c>
      <c r="M1216" s="2" t="s">
        <v>14</v>
      </c>
      <c r="N1216" s="2" t="s">
        <v>14</v>
      </c>
      <c r="O1216" s="2">
        <v>1</v>
      </c>
    </row>
    <row r="1217" spans="1:15" ht="15" customHeight="1" x14ac:dyDescent="0.25">
      <c r="A1217" s="3">
        <v>10</v>
      </c>
      <c r="B1217" s="3" t="s">
        <v>18</v>
      </c>
      <c r="C1217" s="3" t="s">
        <v>20</v>
      </c>
      <c r="D1217" s="2" t="s">
        <v>106</v>
      </c>
      <c r="E1217" s="3">
        <v>0</v>
      </c>
      <c r="F1217" s="3">
        <v>0</v>
      </c>
      <c r="G1217" s="3" t="s">
        <v>10</v>
      </c>
      <c r="H1217" s="3" t="s">
        <v>12</v>
      </c>
      <c r="I1217" s="3">
        <v>2</v>
      </c>
      <c r="J1217" s="3" t="s">
        <v>14</v>
      </c>
      <c r="K1217" s="3" t="s">
        <v>14</v>
      </c>
      <c r="L1217" s="3" t="s">
        <v>14</v>
      </c>
      <c r="M1217" s="3" t="s">
        <v>14</v>
      </c>
      <c r="N1217" s="3" t="s">
        <v>14</v>
      </c>
      <c r="O1217" s="3">
        <v>1</v>
      </c>
    </row>
    <row r="1218" spans="1:15" ht="15" customHeight="1" x14ac:dyDescent="0.25">
      <c r="A1218" s="2">
        <v>10</v>
      </c>
      <c r="B1218" s="2" t="s">
        <v>10</v>
      </c>
      <c r="C1218" s="2" t="s">
        <v>20</v>
      </c>
      <c r="D1218" s="2" t="s">
        <v>106</v>
      </c>
      <c r="E1218" s="2">
        <v>0</v>
      </c>
      <c r="F1218" s="2">
        <v>0</v>
      </c>
      <c r="G1218" s="2" t="s">
        <v>10</v>
      </c>
      <c r="H1218" s="2" t="s">
        <v>12</v>
      </c>
      <c r="I1218" s="2">
        <v>2</v>
      </c>
      <c r="J1218" s="2" t="s">
        <v>14</v>
      </c>
      <c r="K1218" s="2" t="s">
        <v>14</v>
      </c>
      <c r="L1218" s="2" t="s">
        <v>14</v>
      </c>
      <c r="M1218" s="2" t="s">
        <v>14</v>
      </c>
      <c r="N1218" s="2" t="s">
        <v>14</v>
      </c>
      <c r="O1218" s="2">
        <v>1</v>
      </c>
    </row>
    <row r="1219" spans="1:15" ht="15" customHeight="1" x14ac:dyDescent="0.25">
      <c r="A1219" s="3">
        <v>20</v>
      </c>
      <c r="B1219" s="3" t="s">
        <v>10</v>
      </c>
      <c r="C1219" s="3" t="s">
        <v>19</v>
      </c>
      <c r="D1219" s="2" t="s">
        <v>106</v>
      </c>
      <c r="E1219" s="3">
        <v>0</v>
      </c>
      <c r="F1219" s="3">
        <v>1</v>
      </c>
      <c r="G1219" s="3" t="s">
        <v>10</v>
      </c>
      <c r="H1219" s="3" t="s">
        <v>16</v>
      </c>
      <c r="I1219" s="3">
        <v>2</v>
      </c>
      <c r="J1219" s="3" t="s">
        <v>14</v>
      </c>
      <c r="K1219" s="3" t="s">
        <v>14</v>
      </c>
      <c r="L1219" s="3" t="s">
        <v>14</v>
      </c>
      <c r="M1219" s="3" t="s">
        <v>13</v>
      </c>
      <c r="N1219" s="3" t="s">
        <v>14</v>
      </c>
      <c r="O1219" s="3">
        <v>0</v>
      </c>
    </row>
    <row r="1220" spans="1:15" ht="15" customHeight="1" x14ac:dyDescent="0.25">
      <c r="A1220" s="2">
        <v>10</v>
      </c>
      <c r="B1220" s="2" t="s">
        <v>10</v>
      </c>
      <c r="C1220" s="2" t="s">
        <v>11</v>
      </c>
      <c r="D1220" s="2" t="s">
        <v>106</v>
      </c>
      <c r="E1220" s="2">
        <v>0</v>
      </c>
      <c r="F1220" s="2">
        <v>0</v>
      </c>
      <c r="G1220" s="2" t="s">
        <v>17</v>
      </c>
      <c r="H1220" s="2" t="s">
        <v>106</v>
      </c>
      <c r="I1220" s="2">
        <v>1</v>
      </c>
      <c r="J1220" s="2" t="s">
        <v>14</v>
      </c>
      <c r="K1220" s="2" t="s">
        <v>13</v>
      </c>
      <c r="L1220" s="2" t="s">
        <v>13</v>
      </c>
      <c r="M1220" s="2" t="s">
        <v>13</v>
      </c>
      <c r="N1220" s="2" t="s">
        <v>14</v>
      </c>
      <c r="O1220" s="2">
        <v>1</v>
      </c>
    </row>
    <row r="1221" spans="1:15" ht="15" customHeight="1" x14ac:dyDescent="0.25">
      <c r="A1221" s="3">
        <v>0</v>
      </c>
      <c r="B1221" s="3" t="s">
        <v>18</v>
      </c>
      <c r="C1221" s="3" t="s">
        <v>11</v>
      </c>
      <c r="D1221" s="2" t="s">
        <v>106</v>
      </c>
      <c r="E1221" s="3">
        <v>0</v>
      </c>
      <c r="F1221" s="3">
        <v>0</v>
      </c>
      <c r="G1221" s="3" t="s">
        <v>17</v>
      </c>
      <c r="H1221" s="3" t="s">
        <v>106</v>
      </c>
      <c r="I1221" s="3">
        <v>1</v>
      </c>
      <c r="J1221" s="3" t="s">
        <v>14</v>
      </c>
      <c r="K1221" s="3" t="s">
        <v>13</v>
      </c>
      <c r="L1221" s="3" t="s">
        <v>13</v>
      </c>
      <c r="M1221" s="3" t="s">
        <v>14</v>
      </c>
      <c r="N1221" s="3" t="s">
        <v>14</v>
      </c>
      <c r="O1221" s="3">
        <v>1</v>
      </c>
    </row>
    <row r="1222" spans="1:15" ht="15" customHeight="1" x14ac:dyDescent="0.25">
      <c r="A1222" s="2">
        <v>10</v>
      </c>
      <c r="B1222" s="2" t="s">
        <v>10</v>
      </c>
      <c r="C1222" s="2" t="s">
        <v>19</v>
      </c>
      <c r="D1222" s="2" t="s">
        <v>106</v>
      </c>
      <c r="E1222" s="2">
        <v>0</v>
      </c>
      <c r="F1222" s="2">
        <v>2</v>
      </c>
      <c r="G1222" s="2" t="s">
        <v>17</v>
      </c>
      <c r="H1222" s="2" t="s">
        <v>106</v>
      </c>
      <c r="I1222" s="2">
        <v>1</v>
      </c>
      <c r="J1222" s="2" t="s">
        <v>14</v>
      </c>
      <c r="K1222" s="2" t="s">
        <v>13</v>
      </c>
      <c r="L1222" s="2" t="s">
        <v>13</v>
      </c>
      <c r="M1222" s="2" t="s">
        <v>13</v>
      </c>
      <c r="N1222" s="2" t="s">
        <v>14</v>
      </c>
      <c r="O1222" s="2">
        <v>0</v>
      </c>
    </row>
    <row r="1223" spans="1:15" ht="15" customHeight="1" x14ac:dyDescent="0.25">
      <c r="A1223" s="3">
        <v>10</v>
      </c>
      <c r="B1223" s="3" t="s">
        <v>10</v>
      </c>
      <c r="C1223" s="3" t="s">
        <v>19</v>
      </c>
      <c r="D1223" s="2" t="s">
        <v>106</v>
      </c>
      <c r="E1223" s="3">
        <v>1</v>
      </c>
      <c r="F1223" s="3">
        <v>1</v>
      </c>
      <c r="G1223" s="3" t="s">
        <v>17</v>
      </c>
      <c r="H1223" s="3" t="s">
        <v>106</v>
      </c>
      <c r="I1223" s="3">
        <v>1</v>
      </c>
      <c r="J1223" s="3" t="s">
        <v>14</v>
      </c>
      <c r="K1223" s="3" t="s">
        <v>13</v>
      </c>
      <c r="L1223" s="3" t="s">
        <v>13</v>
      </c>
      <c r="M1223" s="3" t="s">
        <v>13</v>
      </c>
      <c r="N1223" s="3" t="s">
        <v>14</v>
      </c>
      <c r="O1223" s="3">
        <v>0</v>
      </c>
    </row>
    <row r="1224" spans="1:15" ht="15" customHeight="1" x14ac:dyDescent="0.25">
      <c r="A1224" s="2">
        <v>10</v>
      </c>
      <c r="B1224" s="2" t="s">
        <v>10</v>
      </c>
      <c r="C1224" s="2" t="s">
        <v>19</v>
      </c>
      <c r="D1224" s="2" t="s">
        <v>106</v>
      </c>
      <c r="E1224" s="2">
        <v>0</v>
      </c>
      <c r="F1224" s="2">
        <v>0</v>
      </c>
      <c r="G1224" s="2" t="s">
        <v>17</v>
      </c>
      <c r="H1224" s="2" t="s">
        <v>106</v>
      </c>
      <c r="I1224" s="2">
        <v>1</v>
      </c>
      <c r="J1224" s="2" t="s">
        <v>14</v>
      </c>
      <c r="K1224" s="2" t="s">
        <v>13</v>
      </c>
      <c r="L1224" s="2" t="s">
        <v>13</v>
      </c>
      <c r="M1224" s="2" t="s">
        <v>13</v>
      </c>
      <c r="N1224" s="2" t="s">
        <v>14</v>
      </c>
      <c r="O1224" s="2">
        <v>1</v>
      </c>
    </row>
    <row r="1225" spans="1:15" ht="15" customHeight="1" x14ac:dyDescent="0.25">
      <c r="A1225" s="3">
        <v>10</v>
      </c>
      <c r="B1225" s="3" t="s">
        <v>10</v>
      </c>
      <c r="C1225" s="3" t="s">
        <v>19</v>
      </c>
      <c r="D1225" s="2" t="s">
        <v>106</v>
      </c>
      <c r="E1225" s="3">
        <v>1</v>
      </c>
      <c r="F1225" s="3">
        <v>0</v>
      </c>
      <c r="G1225" s="3" t="s">
        <v>17</v>
      </c>
      <c r="H1225" s="3" t="s">
        <v>106</v>
      </c>
      <c r="I1225" s="3">
        <v>1</v>
      </c>
      <c r="J1225" s="3" t="s">
        <v>13</v>
      </c>
      <c r="K1225" s="3" t="s">
        <v>13</v>
      </c>
      <c r="L1225" s="3" t="s">
        <v>13</v>
      </c>
      <c r="M1225" s="3" t="s">
        <v>14</v>
      </c>
      <c r="N1225" s="3" t="s">
        <v>14</v>
      </c>
      <c r="O1225" s="3">
        <v>0</v>
      </c>
    </row>
    <row r="1226" spans="1:15" ht="15" customHeight="1" x14ac:dyDescent="0.25">
      <c r="A1226" s="2">
        <v>20</v>
      </c>
      <c r="B1226" s="2" t="s">
        <v>18</v>
      </c>
      <c r="C1226" s="2" t="s">
        <v>20</v>
      </c>
      <c r="D1226" s="2" t="s">
        <v>106</v>
      </c>
      <c r="E1226" s="2">
        <v>0</v>
      </c>
      <c r="F1226" s="2">
        <v>0</v>
      </c>
      <c r="G1226" s="2" t="s">
        <v>10</v>
      </c>
      <c r="H1226" s="2" t="s">
        <v>16</v>
      </c>
      <c r="I1226" s="2">
        <v>1</v>
      </c>
      <c r="J1226" s="2" t="s">
        <v>14</v>
      </c>
      <c r="K1226" s="2" t="s">
        <v>14</v>
      </c>
      <c r="L1226" s="2" t="s">
        <v>14</v>
      </c>
      <c r="M1226" s="2" t="s">
        <v>14</v>
      </c>
      <c r="N1226" s="2" t="s">
        <v>14</v>
      </c>
      <c r="O1226" s="2">
        <v>1</v>
      </c>
    </row>
    <row r="1227" spans="1:15" ht="15" customHeight="1" x14ac:dyDescent="0.25">
      <c r="A1227" s="3">
        <v>5</v>
      </c>
      <c r="B1227" s="3" t="s">
        <v>10</v>
      </c>
      <c r="C1227" s="3" t="s">
        <v>20</v>
      </c>
      <c r="D1227" s="2" t="s">
        <v>106</v>
      </c>
      <c r="E1227" s="3">
        <v>0</v>
      </c>
      <c r="F1227" s="3">
        <v>0</v>
      </c>
      <c r="G1227" s="3" t="s">
        <v>10</v>
      </c>
      <c r="H1227" s="3" t="s">
        <v>12</v>
      </c>
      <c r="I1227" s="3">
        <v>1</v>
      </c>
      <c r="J1227" s="3" t="s">
        <v>14</v>
      </c>
      <c r="K1227" s="3" t="s">
        <v>14</v>
      </c>
      <c r="L1227" s="3" t="s">
        <v>14</v>
      </c>
      <c r="M1227" s="3" t="s">
        <v>14</v>
      </c>
      <c r="N1227" s="3" t="s">
        <v>14</v>
      </c>
      <c r="O1227" s="3">
        <v>1</v>
      </c>
    </row>
    <row r="1228" spans="1:15" ht="15" customHeight="1" x14ac:dyDescent="0.25">
      <c r="A1228" s="2">
        <v>5</v>
      </c>
      <c r="B1228" s="2" t="s">
        <v>10</v>
      </c>
      <c r="C1228" s="2" t="s">
        <v>20</v>
      </c>
      <c r="D1228" s="2" t="s">
        <v>106</v>
      </c>
      <c r="E1228" s="2">
        <v>0</v>
      </c>
      <c r="F1228" s="2">
        <v>0</v>
      </c>
      <c r="G1228" s="2" t="s">
        <v>10</v>
      </c>
      <c r="H1228" s="2" t="s">
        <v>12</v>
      </c>
      <c r="I1228" s="2">
        <v>1</v>
      </c>
      <c r="J1228" s="2" t="s">
        <v>14</v>
      </c>
      <c r="K1228" s="2" t="s">
        <v>14</v>
      </c>
      <c r="L1228" s="2" t="s">
        <v>14</v>
      </c>
      <c r="M1228" s="2" t="s">
        <v>14</v>
      </c>
      <c r="N1228" s="2" t="s">
        <v>14</v>
      </c>
      <c r="O1228" s="2">
        <v>1</v>
      </c>
    </row>
    <row r="1229" spans="1:15" ht="15" customHeight="1" x14ac:dyDescent="0.25">
      <c r="A1229" s="3">
        <v>5</v>
      </c>
      <c r="B1229" s="3" t="s">
        <v>10</v>
      </c>
      <c r="C1229" s="3" t="s">
        <v>19</v>
      </c>
      <c r="D1229" s="2" t="s">
        <v>106</v>
      </c>
      <c r="E1229" s="3">
        <v>0</v>
      </c>
      <c r="F1229" s="3">
        <v>0</v>
      </c>
      <c r="G1229" s="3" t="s">
        <v>10</v>
      </c>
      <c r="H1229" s="3" t="s">
        <v>12</v>
      </c>
      <c r="I1229" s="3" t="s">
        <v>15</v>
      </c>
      <c r="J1229" s="3" t="s">
        <v>14</v>
      </c>
      <c r="K1229" s="3" t="s">
        <v>14</v>
      </c>
      <c r="L1229" s="3" t="s">
        <v>14</v>
      </c>
      <c r="M1229" s="3" t="s">
        <v>14</v>
      </c>
      <c r="N1229" s="3" t="s">
        <v>14</v>
      </c>
      <c r="O1229" s="3">
        <v>1</v>
      </c>
    </row>
    <row r="1230" spans="1:15" ht="15" customHeight="1" x14ac:dyDescent="0.25">
      <c r="A1230" s="2">
        <v>10</v>
      </c>
      <c r="B1230" s="2" t="s">
        <v>10</v>
      </c>
      <c r="C1230" s="2" t="s">
        <v>19</v>
      </c>
      <c r="D1230" s="2" t="s">
        <v>106</v>
      </c>
      <c r="E1230" s="2">
        <v>0</v>
      </c>
      <c r="F1230" s="2">
        <v>1</v>
      </c>
      <c r="G1230" s="2" t="s">
        <v>10</v>
      </c>
      <c r="H1230" s="2" t="s">
        <v>12</v>
      </c>
      <c r="I1230" s="2">
        <v>1</v>
      </c>
      <c r="J1230" s="2" t="s">
        <v>14</v>
      </c>
      <c r="K1230" s="2" t="s">
        <v>14</v>
      </c>
      <c r="L1230" s="2" t="s">
        <v>14</v>
      </c>
      <c r="M1230" s="2" t="s">
        <v>14</v>
      </c>
      <c r="N1230" s="2" t="s">
        <v>14</v>
      </c>
      <c r="O1230" s="2">
        <v>1</v>
      </c>
    </row>
    <row r="1231" spans="1:15" ht="15" customHeight="1" x14ac:dyDescent="0.25">
      <c r="A1231" s="3">
        <v>5</v>
      </c>
      <c r="B1231" s="3" t="s">
        <v>18</v>
      </c>
      <c r="C1231" s="3" t="s">
        <v>19</v>
      </c>
      <c r="D1231" s="2" t="s">
        <v>106</v>
      </c>
      <c r="E1231" s="3">
        <v>0</v>
      </c>
      <c r="F1231" s="3">
        <v>0</v>
      </c>
      <c r="G1231" s="3" t="s">
        <v>10</v>
      </c>
      <c r="H1231" s="3" t="s">
        <v>12</v>
      </c>
      <c r="I1231" s="3" t="s">
        <v>15</v>
      </c>
      <c r="J1231" s="3" t="s">
        <v>14</v>
      </c>
      <c r="K1231" s="3" t="s">
        <v>14</v>
      </c>
      <c r="L1231" s="3" t="s">
        <v>14</v>
      </c>
      <c r="M1231" s="3" t="s">
        <v>14</v>
      </c>
      <c r="N1231" s="3" t="s">
        <v>14</v>
      </c>
      <c r="O1231" s="3">
        <v>1</v>
      </c>
    </row>
    <row r="1232" spans="1:15" ht="15" customHeight="1" x14ac:dyDescent="0.25">
      <c r="A1232" s="2">
        <v>5</v>
      </c>
      <c r="B1232" s="2" t="s">
        <v>14</v>
      </c>
      <c r="C1232" s="2" t="s">
        <v>19</v>
      </c>
      <c r="D1232" s="2" t="s">
        <v>106</v>
      </c>
      <c r="E1232" s="2">
        <v>0</v>
      </c>
      <c r="F1232" s="2">
        <v>0</v>
      </c>
      <c r="G1232" s="2" t="s">
        <v>10</v>
      </c>
      <c r="H1232" s="2" t="s">
        <v>12</v>
      </c>
      <c r="I1232" s="2">
        <v>2</v>
      </c>
      <c r="J1232" s="2" t="s">
        <v>14</v>
      </c>
      <c r="K1232" s="2" t="s">
        <v>14</v>
      </c>
      <c r="L1232" s="2" t="s">
        <v>14</v>
      </c>
      <c r="M1232" s="2" t="s">
        <v>14</v>
      </c>
      <c r="N1232" s="2" t="s">
        <v>14</v>
      </c>
      <c r="O1232" s="2">
        <v>1</v>
      </c>
    </row>
    <row r="1233" spans="1:15" ht="15" customHeight="1" x14ac:dyDescent="0.25">
      <c r="A1233" s="3">
        <v>10</v>
      </c>
      <c r="B1233" s="3" t="s">
        <v>10</v>
      </c>
      <c r="C1233" s="3" t="s">
        <v>19</v>
      </c>
      <c r="D1233" s="2" t="s">
        <v>106</v>
      </c>
      <c r="E1233" s="3">
        <v>0</v>
      </c>
      <c r="F1233" s="3">
        <v>1</v>
      </c>
      <c r="G1233" s="3" t="s">
        <v>10</v>
      </c>
      <c r="H1233" s="3" t="s">
        <v>12</v>
      </c>
      <c r="I1233" s="3">
        <v>2</v>
      </c>
      <c r="J1233" s="3" t="s">
        <v>14</v>
      </c>
      <c r="K1233" s="3" t="s">
        <v>14</v>
      </c>
      <c r="L1233" s="3" t="s">
        <v>14</v>
      </c>
      <c r="M1233" s="3" t="s">
        <v>14</v>
      </c>
      <c r="N1233" s="3" t="s">
        <v>14</v>
      </c>
      <c r="O1233" s="3">
        <v>1</v>
      </c>
    </row>
    <row r="1234" spans="1:15" ht="15" customHeight="1" x14ac:dyDescent="0.25">
      <c r="A1234" s="2">
        <v>10</v>
      </c>
      <c r="B1234" s="2" t="s">
        <v>10</v>
      </c>
      <c r="C1234" s="2" t="s">
        <v>11</v>
      </c>
      <c r="D1234" s="2" t="s">
        <v>106</v>
      </c>
      <c r="E1234" s="2">
        <v>0</v>
      </c>
      <c r="F1234" s="2">
        <v>0</v>
      </c>
      <c r="G1234" s="2" t="s">
        <v>10</v>
      </c>
      <c r="H1234" s="2" t="s">
        <v>12</v>
      </c>
      <c r="I1234" s="2">
        <v>1</v>
      </c>
      <c r="J1234" s="2" t="s">
        <v>13</v>
      </c>
      <c r="K1234" s="2" t="s">
        <v>14</v>
      </c>
      <c r="L1234" s="2" t="s">
        <v>14</v>
      </c>
      <c r="M1234" s="2" t="s">
        <v>14</v>
      </c>
      <c r="N1234" s="2" t="s">
        <v>14</v>
      </c>
      <c r="O1234" s="2">
        <v>0</v>
      </c>
    </row>
    <row r="1235" spans="1:15" ht="15" customHeight="1" x14ac:dyDescent="0.25">
      <c r="A1235" s="3">
        <v>5</v>
      </c>
      <c r="B1235" s="3" t="s">
        <v>14</v>
      </c>
      <c r="C1235" s="3" t="s">
        <v>19</v>
      </c>
      <c r="D1235" s="2" t="s">
        <v>106</v>
      </c>
      <c r="E1235" s="3">
        <v>0</v>
      </c>
      <c r="F1235" s="3">
        <v>0</v>
      </c>
      <c r="G1235" s="3" t="s">
        <v>10</v>
      </c>
      <c r="H1235" s="3" t="s">
        <v>12</v>
      </c>
      <c r="I1235" s="3" t="s">
        <v>15</v>
      </c>
      <c r="J1235" s="3" t="s">
        <v>14</v>
      </c>
      <c r="K1235" s="3" t="s">
        <v>14</v>
      </c>
      <c r="L1235" s="3" t="s">
        <v>14</v>
      </c>
      <c r="M1235" s="3" t="s">
        <v>14</v>
      </c>
      <c r="N1235" s="3" t="s">
        <v>14</v>
      </c>
      <c r="O1235" s="3">
        <v>1</v>
      </c>
    </row>
    <row r="1236" spans="1:15" ht="15" customHeight="1" x14ac:dyDescent="0.25">
      <c r="A1236" s="2">
        <v>30</v>
      </c>
      <c r="B1236" s="2" t="s">
        <v>10</v>
      </c>
      <c r="C1236" s="2" t="s">
        <v>11</v>
      </c>
      <c r="D1236" s="2" t="s">
        <v>106</v>
      </c>
      <c r="E1236" s="2">
        <v>1</v>
      </c>
      <c r="F1236" s="2">
        <v>0</v>
      </c>
      <c r="G1236" s="2" t="s">
        <v>10</v>
      </c>
      <c r="H1236" s="2" t="s">
        <v>16</v>
      </c>
      <c r="I1236" s="2">
        <v>1</v>
      </c>
      <c r="J1236" s="2" t="s">
        <v>13</v>
      </c>
      <c r="K1236" s="2" t="s">
        <v>14</v>
      </c>
      <c r="L1236" s="2" t="s">
        <v>14</v>
      </c>
      <c r="M1236" s="2" t="s">
        <v>13</v>
      </c>
      <c r="N1236" s="2" t="s">
        <v>14</v>
      </c>
      <c r="O1236" s="2">
        <v>0</v>
      </c>
    </row>
    <row r="1237" spans="1:15" ht="15" customHeight="1" x14ac:dyDescent="0.25">
      <c r="A1237" s="3">
        <v>10</v>
      </c>
      <c r="B1237" s="3" t="s">
        <v>18</v>
      </c>
      <c r="C1237" s="3" t="s">
        <v>20</v>
      </c>
      <c r="D1237" s="2" t="s">
        <v>106</v>
      </c>
      <c r="E1237" s="3">
        <v>0</v>
      </c>
      <c r="F1237" s="3">
        <v>0</v>
      </c>
      <c r="G1237" s="3" t="s">
        <v>10</v>
      </c>
      <c r="H1237" s="3" t="s">
        <v>12</v>
      </c>
      <c r="I1237" s="3">
        <v>1</v>
      </c>
      <c r="J1237" s="3" t="s">
        <v>14</v>
      </c>
      <c r="K1237" s="3" t="s">
        <v>14</v>
      </c>
      <c r="L1237" s="3" t="s">
        <v>14</v>
      </c>
      <c r="M1237" s="3" t="s">
        <v>14</v>
      </c>
      <c r="N1237" s="3" t="s">
        <v>14</v>
      </c>
      <c r="O1237" s="3">
        <v>1</v>
      </c>
    </row>
    <row r="1238" spans="1:15" ht="15" customHeight="1" x14ac:dyDescent="0.25">
      <c r="A1238" s="2">
        <v>10</v>
      </c>
      <c r="B1238" s="2" t="s">
        <v>10</v>
      </c>
      <c r="C1238" s="2" t="s">
        <v>20</v>
      </c>
      <c r="D1238" s="2" t="s">
        <v>106</v>
      </c>
      <c r="E1238" s="2">
        <v>0</v>
      </c>
      <c r="F1238" s="2">
        <v>1</v>
      </c>
      <c r="G1238" s="2" t="s">
        <v>10</v>
      </c>
      <c r="H1238" s="2" t="s">
        <v>12</v>
      </c>
      <c r="I1238" s="2">
        <v>1</v>
      </c>
      <c r="J1238" s="2" t="s">
        <v>14</v>
      </c>
      <c r="K1238" s="2" t="s">
        <v>14</v>
      </c>
      <c r="L1238" s="2" t="s">
        <v>14</v>
      </c>
      <c r="M1238" s="2" t="s">
        <v>13</v>
      </c>
      <c r="N1238" s="2" t="s">
        <v>14</v>
      </c>
      <c r="O1238" s="2">
        <v>0</v>
      </c>
    </row>
    <row r="1239" spans="1:15" ht="15" customHeight="1" x14ac:dyDescent="0.25">
      <c r="A1239" s="3">
        <v>0</v>
      </c>
      <c r="B1239" s="3" t="s">
        <v>18</v>
      </c>
      <c r="C1239" s="3" t="s">
        <v>11</v>
      </c>
      <c r="D1239" s="2" t="s">
        <v>106</v>
      </c>
      <c r="E1239" s="3">
        <v>0</v>
      </c>
      <c r="F1239" s="3">
        <v>0</v>
      </c>
      <c r="G1239" s="3" t="s">
        <v>10</v>
      </c>
      <c r="H1239" s="3" t="s">
        <v>12</v>
      </c>
      <c r="I1239" s="3">
        <v>1</v>
      </c>
      <c r="J1239" s="3" t="s">
        <v>14</v>
      </c>
      <c r="K1239" s="3" t="s">
        <v>13</v>
      </c>
      <c r="L1239" s="3" t="s">
        <v>14</v>
      </c>
      <c r="M1239" s="3" t="s">
        <v>14</v>
      </c>
      <c r="N1239" s="3" t="s">
        <v>14</v>
      </c>
      <c r="O1239" s="3">
        <v>1</v>
      </c>
    </row>
    <row r="1240" spans="1:15" ht="15" customHeight="1" x14ac:dyDescent="0.25">
      <c r="A1240" s="2">
        <v>10</v>
      </c>
      <c r="B1240" s="2" t="s">
        <v>18</v>
      </c>
      <c r="C1240" s="2" t="s">
        <v>19</v>
      </c>
      <c r="D1240" s="2" t="s">
        <v>106</v>
      </c>
      <c r="E1240" s="2">
        <v>0</v>
      </c>
      <c r="F1240" s="2">
        <v>0</v>
      </c>
      <c r="G1240" s="2" t="s">
        <v>10</v>
      </c>
      <c r="H1240" s="2" t="s">
        <v>12</v>
      </c>
      <c r="I1240" s="2" t="s">
        <v>15</v>
      </c>
      <c r="J1240" s="2" t="s">
        <v>14</v>
      </c>
      <c r="K1240" s="2" t="s">
        <v>14</v>
      </c>
      <c r="L1240" s="2" t="s">
        <v>14</v>
      </c>
      <c r="M1240" s="2" t="s">
        <v>14</v>
      </c>
      <c r="N1240" s="2" t="s">
        <v>14</v>
      </c>
      <c r="O1240" s="2">
        <v>1</v>
      </c>
    </row>
    <row r="1241" spans="1:15" ht="15" customHeight="1" x14ac:dyDescent="0.25">
      <c r="A1241" s="3">
        <v>5</v>
      </c>
      <c r="B1241" s="3" t="s">
        <v>10</v>
      </c>
      <c r="C1241" s="3" t="s">
        <v>19</v>
      </c>
      <c r="D1241" s="2" t="s">
        <v>106</v>
      </c>
      <c r="E1241" s="3">
        <v>0</v>
      </c>
      <c r="F1241" s="3">
        <v>1</v>
      </c>
      <c r="G1241" s="3" t="s">
        <v>10</v>
      </c>
      <c r="H1241" s="3" t="s">
        <v>12</v>
      </c>
      <c r="I1241" s="3" t="s">
        <v>15</v>
      </c>
      <c r="J1241" s="3" t="s">
        <v>14</v>
      </c>
      <c r="K1241" s="3" t="s">
        <v>14</v>
      </c>
      <c r="L1241" s="3" t="s">
        <v>14</v>
      </c>
      <c r="M1241" s="3" t="s">
        <v>14</v>
      </c>
      <c r="N1241" s="3" t="s">
        <v>14</v>
      </c>
      <c r="O1241" s="3">
        <v>1</v>
      </c>
    </row>
    <row r="1242" spans="1:15" ht="15" customHeight="1" x14ac:dyDescent="0.25">
      <c r="A1242" s="2">
        <v>0</v>
      </c>
      <c r="B1242" s="2" t="s">
        <v>14</v>
      </c>
      <c r="C1242" s="2" t="s">
        <v>19</v>
      </c>
      <c r="D1242" s="2" t="s">
        <v>106</v>
      </c>
      <c r="E1242" s="2">
        <v>0</v>
      </c>
      <c r="F1242" s="2">
        <v>1</v>
      </c>
      <c r="G1242" s="2" t="s">
        <v>10</v>
      </c>
      <c r="H1242" s="2" t="s">
        <v>12</v>
      </c>
      <c r="I1242" s="2">
        <v>2</v>
      </c>
      <c r="J1242" s="2" t="s">
        <v>14</v>
      </c>
      <c r="K1242" s="2" t="s">
        <v>14</v>
      </c>
      <c r="L1242" s="2" t="s">
        <v>14</v>
      </c>
      <c r="M1242" s="2" t="s">
        <v>14</v>
      </c>
      <c r="N1242" s="2" t="s">
        <v>14</v>
      </c>
      <c r="O1242" s="2">
        <v>1</v>
      </c>
    </row>
    <row r="1243" spans="1:15" ht="15" customHeight="1" x14ac:dyDescent="0.25">
      <c r="A1243" s="3">
        <v>10</v>
      </c>
      <c r="B1243" s="3" t="s">
        <v>10</v>
      </c>
      <c r="C1243" s="3" t="s">
        <v>11</v>
      </c>
      <c r="D1243" s="2" t="s">
        <v>106</v>
      </c>
      <c r="E1243" s="3">
        <v>0</v>
      </c>
      <c r="F1243" s="3">
        <v>0</v>
      </c>
      <c r="G1243" s="3" t="s">
        <v>10</v>
      </c>
      <c r="H1243" s="3" t="s">
        <v>12</v>
      </c>
      <c r="I1243" s="3">
        <v>2</v>
      </c>
      <c r="J1243" s="3" t="s">
        <v>13</v>
      </c>
      <c r="K1243" s="3" t="s">
        <v>14</v>
      </c>
      <c r="L1243" s="3" t="s">
        <v>14</v>
      </c>
      <c r="M1243" s="3" t="s">
        <v>14</v>
      </c>
      <c r="N1243" s="3" t="s">
        <v>14</v>
      </c>
      <c r="O1243" s="3">
        <v>1</v>
      </c>
    </row>
    <row r="1244" spans="1:15" ht="15" customHeight="1" x14ac:dyDescent="0.25">
      <c r="A1244" s="2">
        <v>20</v>
      </c>
      <c r="B1244" s="2" t="s">
        <v>14</v>
      </c>
      <c r="C1244" s="2" t="s">
        <v>11</v>
      </c>
      <c r="D1244" s="2" t="s">
        <v>106</v>
      </c>
      <c r="E1244" s="2">
        <v>1</v>
      </c>
      <c r="F1244" s="2">
        <v>0</v>
      </c>
      <c r="G1244" s="2" t="s">
        <v>10</v>
      </c>
      <c r="H1244" s="2" t="s">
        <v>12</v>
      </c>
      <c r="I1244" s="2">
        <v>1</v>
      </c>
      <c r="J1244" s="2" t="s">
        <v>14</v>
      </c>
      <c r="K1244" s="2" t="s">
        <v>14</v>
      </c>
      <c r="L1244" s="2" t="s">
        <v>14</v>
      </c>
      <c r="M1244" s="2" t="s">
        <v>13</v>
      </c>
      <c r="N1244" s="2" t="s">
        <v>13</v>
      </c>
      <c r="O1244" s="2">
        <v>0</v>
      </c>
    </row>
    <row r="1245" spans="1:15" ht="15" customHeight="1" x14ac:dyDescent="0.25">
      <c r="A1245" s="3">
        <v>5</v>
      </c>
      <c r="B1245" s="3" t="s">
        <v>10</v>
      </c>
      <c r="C1245" s="3" t="s">
        <v>20</v>
      </c>
      <c r="D1245" s="2" t="s">
        <v>106</v>
      </c>
      <c r="E1245" s="3">
        <v>0</v>
      </c>
      <c r="F1245" s="3">
        <v>0</v>
      </c>
      <c r="G1245" s="3" t="s">
        <v>17</v>
      </c>
      <c r="H1245" s="3" t="s">
        <v>106</v>
      </c>
      <c r="I1245" s="3">
        <v>1</v>
      </c>
      <c r="J1245" s="3" t="s">
        <v>14</v>
      </c>
      <c r="K1245" s="3" t="s">
        <v>13</v>
      </c>
      <c r="L1245" s="3" t="s">
        <v>13</v>
      </c>
      <c r="M1245" s="3" t="s">
        <v>13</v>
      </c>
      <c r="N1245" s="3" t="s">
        <v>14</v>
      </c>
      <c r="O1245" s="3">
        <v>1</v>
      </c>
    </row>
    <row r="1246" spans="1:15" ht="15" customHeight="1" x14ac:dyDescent="0.25">
      <c r="A1246" s="2">
        <v>10</v>
      </c>
      <c r="B1246" s="2" t="s">
        <v>10</v>
      </c>
      <c r="C1246" s="2" t="s">
        <v>19</v>
      </c>
      <c r="D1246" s="2" t="s">
        <v>106</v>
      </c>
      <c r="E1246" s="2">
        <v>1</v>
      </c>
      <c r="F1246" s="2">
        <v>0</v>
      </c>
      <c r="G1246" s="2" t="s">
        <v>10</v>
      </c>
      <c r="H1246" s="2" t="s">
        <v>12</v>
      </c>
      <c r="I1246" s="2">
        <v>1</v>
      </c>
      <c r="J1246" s="2" t="s">
        <v>14</v>
      </c>
      <c r="K1246" s="2" t="s">
        <v>14</v>
      </c>
      <c r="L1246" s="2" t="s">
        <v>14</v>
      </c>
      <c r="M1246" s="2" t="s">
        <v>14</v>
      </c>
      <c r="N1246" s="2" t="s">
        <v>14</v>
      </c>
      <c r="O1246" s="2">
        <v>0</v>
      </c>
    </row>
    <row r="1247" spans="1:15" ht="15" customHeight="1" x14ac:dyDescent="0.25">
      <c r="A1247" s="3">
        <v>0</v>
      </c>
      <c r="B1247" s="3" t="s">
        <v>10</v>
      </c>
      <c r="C1247" s="3" t="s">
        <v>19</v>
      </c>
      <c r="D1247" s="2" t="s">
        <v>106</v>
      </c>
      <c r="E1247" s="3">
        <v>0</v>
      </c>
      <c r="F1247" s="3">
        <v>0</v>
      </c>
      <c r="G1247" s="3" t="s">
        <v>10</v>
      </c>
      <c r="H1247" s="3" t="s">
        <v>12</v>
      </c>
      <c r="I1247" s="3" t="s">
        <v>15</v>
      </c>
      <c r="J1247" s="3" t="s">
        <v>14</v>
      </c>
      <c r="K1247" s="3" t="s">
        <v>14</v>
      </c>
      <c r="L1247" s="3" t="s">
        <v>14</v>
      </c>
      <c r="M1247" s="3" t="s">
        <v>14</v>
      </c>
      <c r="N1247" s="3" t="s">
        <v>14</v>
      </c>
      <c r="O1247" s="3">
        <v>1</v>
      </c>
    </row>
    <row r="1248" spans="1:15" ht="15" customHeight="1" x14ac:dyDescent="0.25">
      <c r="A1248" s="2">
        <v>10</v>
      </c>
      <c r="B1248" s="2" t="s">
        <v>10</v>
      </c>
      <c r="C1248" s="2" t="s">
        <v>19</v>
      </c>
      <c r="D1248" s="2" t="s">
        <v>106</v>
      </c>
      <c r="E1248" s="2">
        <v>0</v>
      </c>
      <c r="F1248" s="2">
        <v>0</v>
      </c>
      <c r="G1248" s="2" t="s">
        <v>10</v>
      </c>
      <c r="H1248" s="2" t="s">
        <v>12</v>
      </c>
      <c r="I1248" s="2" t="s">
        <v>15</v>
      </c>
      <c r="J1248" s="2" t="s">
        <v>14</v>
      </c>
      <c r="K1248" s="2" t="s">
        <v>14</v>
      </c>
      <c r="L1248" s="2" t="s">
        <v>14</v>
      </c>
      <c r="M1248" s="2" t="s">
        <v>14</v>
      </c>
      <c r="N1248" s="2" t="s">
        <v>14</v>
      </c>
      <c r="O1248" s="2">
        <v>1</v>
      </c>
    </row>
    <row r="1249" spans="1:15" ht="15" customHeight="1" x14ac:dyDescent="0.25">
      <c r="A1249" s="3">
        <v>5</v>
      </c>
      <c r="B1249" s="3" t="s">
        <v>18</v>
      </c>
      <c r="C1249" s="3" t="s">
        <v>19</v>
      </c>
      <c r="D1249" s="2" t="s">
        <v>106</v>
      </c>
      <c r="E1249" s="3">
        <v>0</v>
      </c>
      <c r="F1249" s="3">
        <v>0</v>
      </c>
      <c r="G1249" s="3" t="s">
        <v>10</v>
      </c>
      <c r="H1249" s="3" t="s">
        <v>12</v>
      </c>
      <c r="I1249" s="3">
        <v>2</v>
      </c>
      <c r="J1249" s="3" t="s">
        <v>14</v>
      </c>
      <c r="K1249" s="3" t="s">
        <v>14</v>
      </c>
      <c r="L1249" s="3" t="s">
        <v>14</v>
      </c>
      <c r="M1249" s="3" t="s">
        <v>14</v>
      </c>
      <c r="N1249" s="3" t="s">
        <v>14</v>
      </c>
      <c r="O1249" s="3">
        <v>1</v>
      </c>
    </row>
    <row r="1250" spans="1:15" ht="15" customHeight="1" x14ac:dyDescent="0.25">
      <c r="A1250" s="2">
        <v>5</v>
      </c>
      <c r="B1250" s="2" t="s">
        <v>10</v>
      </c>
      <c r="C1250" s="2" t="s">
        <v>11</v>
      </c>
      <c r="D1250" s="2" t="s">
        <v>106</v>
      </c>
      <c r="E1250" s="2">
        <v>0</v>
      </c>
      <c r="F1250" s="2">
        <v>0</v>
      </c>
      <c r="G1250" s="2" t="s">
        <v>10</v>
      </c>
      <c r="H1250" s="2" t="s">
        <v>16</v>
      </c>
      <c r="I1250" s="2" t="s">
        <v>15</v>
      </c>
      <c r="J1250" s="2" t="s">
        <v>14</v>
      </c>
      <c r="K1250" s="2" t="s">
        <v>14</v>
      </c>
      <c r="L1250" s="2" t="s">
        <v>14</v>
      </c>
      <c r="M1250" s="2" t="s">
        <v>14</v>
      </c>
      <c r="N1250" s="2" t="s">
        <v>14</v>
      </c>
      <c r="O1250" s="2">
        <v>1</v>
      </c>
    </row>
    <row r="1251" spans="1:15" ht="15" customHeight="1" x14ac:dyDescent="0.25">
      <c r="A1251" s="3">
        <v>20</v>
      </c>
      <c r="B1251" s="3" t="s">
        <v>14</v>
      </c>
      <c r="C1251" s="3" t="s">
        <v>11</v>
      </c>
      <c r="D1251" s="2" t="s">
        <v>106</v>
      </c>
      <c r="E1251" s="3">
        <v>1</v>
      </c>
      <c r="F1251" s="3">
        <v>1</v>
      </c>
      <c r="G1251" s="3" t="s">
        <v>10</v>
      </c>
      <c r="H1251" s="3" t="s">
        <v>12</v>
      </c>
      <c r="I1251" s="3">
        <v>2</v>
      </c>
      <c r="J1251" s="3" t="s">
        <v>14</v>
      </c>
      <c r="K1251" s="3" t="s">
        <v>14</v>
      </c>
      <c r="L1251" s="3" t="s">
        <v>14</v>
      </c>
      <c r="M1251" s="3" t="s">
        <v>13</v>
      </c>
      <c r="N1251" s="3" t="s">
        <v>13</v>
      </c>
      <c r="O1251" s="3">
        <v>0</v>
      </c>
    </row>
    <row r="1252" spans="1:15" ht="15" customHeight="1" x14ac:dyDescent="0.25">
      <c r="A1252" s="2">
        <v>0</v>
      </c>
      <c r="B1252" s="2" t="s">
        <v>18</v>
      </c>
      <c r="C1252" s="2" t="s">
        <v>19</v>
      </c>
      <c r="D1252" s="2" t="s">
        <v>106</v>
      </c>
      <c r="E1252" s="2">
        <v>0</v>
      </c>
      <c r="F1252" s="2">
        <v>0</v>
      </c>
      <c r="G1252" s="2" t="s">
        <v>10</v>
      </c>
      <c r="H1252" s="2" t="s">
        <v>12</v>
      </c>
      <c r="I1252" s="2">
        <v>2</v>
      </c>
      <c r="J1252" s="2" t="s">
        <v>14</v>
      </c>
      <c r="K1252" s="2" t="s">
        <v>14</v>
      </c>
      <c r="L1252" s="2" t="s">
        <v>14</v>
      </c>
      <c r="M1252" s="2" t="s">
        <v>14</v>
      </c>
      <c r="N1252" s="2" t="s">
        <v>14</v>
      </c>
      <c r="O1252" s="2">
        <v>1</v>
      </c>
    </row>
    <row r="1253" spans="1:15" ht="15" customHeight="1" x14ac:dyDescent="0.25">
      <c r="A1253" s="3">
        <v>10</v>
      </c>
      <c r="B1253" s="3" t="s">
        <v>10</v>
      </c>
      <c r="C1253" s="3" t="s">
        <v>11</v>
      </c>
      <c r="D1253" s="2" t="s">
        <v>106</v>
      </c>
      <c r="E1253" s="3">
        <v>0</v>
      </c>
      <c r="F1253" s="3">
        <v>0</v>
      </c>
      <c r="G1253" s="3" t="s">
        <v>10</v>
      </c>
      <c r="H1253" s="3" t="s">
        <v>12</v>
      </c>
      <c r="I1253" s="3">
        <v>1</v>
      </c>
      <c r="J1253" s="3" t="s">
        <v>14</v>
      </c>
      <c r="K1253" s="3" t="s">
        <v>14</v>
      </c>
      <c r="L1253" s="3" t="s">
        <v>14</v>
      </c>
      <c r="M1253" s="3" t="s">
        <v>14</v>
      </c>
      <c r="N1253" s="3" t="s">
        <v>14</v>
      </c>
      <c r="O1253" s="3">
        <v>0</v>
      </c>
    </row>
    <row r="1254" spans="1:15" ht="15" customHeight="1" x14ac:dyDescent="0.25">
      <c r="A1254" s="2">
        <v>10</v>
      </c>
      <c r="B1254" s="2" t="s">
        <v>18</v>
      </c>
      <c r="C1254" s="2" t="s">
        <v>19</v>
      </c>
      <c r="D1254" s="2" t="s">
        <v>106</v>
      </c>
      <c r="E1254" s="2">
        <v>0</v>
      </c>
      <c r="F1254" s="2">
        <v>0</v>
      </c>
      <c r="G1254" s="2" t="s">
        <v>10</v>
      </c>
      <c r="H1254" s="2" t="s">
        <v>12</v>
      </c>
      <c r="I1254" s="2" t="s">
        <v>15</v>
      </c>
      <c r="J1254" s="2" t="s">
        <v>14</v>
      </c>
      <c r="K1254" s="2" t="s">
        <v>14</v>
      </c>
      <c r="L1254" s="2" t="s">
        <v>14</v>
      </c>
      <c r="M1254" s="2" t="s">
        <v>14</v>
      </c>
      <c r="N1254" s="2" t="s">
        <v>14</v>
      </c>
      <c r="O1254" s="2">
        <v>1</v>
      </c>
    </row>
    <row r="1255" spans="1:15" ht="15" customHeight="1" x14ac:dyDescent="0.25">
      <c r="A1255" s="3">
        <v>5</v>
      </c>
      <c r="B1255" s="3" t="s">
        <v>10</v>
      </c>
      <c r="C1255" s="3" t="s">
        <v>19</v>
      </c>
      <c r="D1255" s="2" t="s">
        <v>106</v>
      </c>
      <c r="E1255" s="3">
        <v>0</v>
      </c>
      <c r="F1255" s="3">
        <v>0</v>
      </c>
      <c r="G1255" s="3" t="s">
        <v>10</v>
      </c>
      <c r="H1255" s="3" t="s">
        <v>16</v>
      </c>
      <c r="I1255" s="3">
        <v>2</v>
      </c>
      <c r="J1255" s="3" t="s">
        <v>14</v>
      </c>
      <c r="K1255" s="3" t="s">
        <v>14</v>
      </c>
      <c r="L1255" s="3" t="s">
        <v>14</v>
      </c>
      <c r="M1255" s="3" t="s">
        <v>14</v>
      </c>
      <c r="N1255" s="3" t="s">
        <v>14</v>
      </c>
      <c r="O1255" s="3">
        <v>1</v>
      </c>
    </row>
    <row r="1256" spans="1:15" ht="15" customHeight="1" x14ac:dyDescent="0.25">
      <c r="A1256" s="2">
        <v>10</v>
      </c>
      <c r="B1256" s="2" t="s">
        <v>10</v>
      </c>
      <c r="C1256" s="2" t="s">
        <v>19</v>
      </c>
      <c r="D1256" s="2" t="s">
        <v>106</v>
      </c>
      <c r="E1256" s="2">
        <v>0</v>
      </c>
      <c r="F1256" s="2">
        <v>0</v>
      </c>
      <c r="G1256" s="2" t="s">
        <v>10</v>
      </c>
      <c r="H1256" s="2" t="s">
        <v>12</v>
      </c>
      <c r="I1256" s="2">
        <v>2</v>
      </c>
      <c r="J1256" s="2" t="s">
        <v>14</v>
      </c>
      <c r="K1256" s="2" t="s">
        <v>14</v>
      </c>
      <c r="L1256" s="2" t="s">
        <v>14</v>
      </c>
      <c r="M1256" s="2" t="s">
        <v>14</v>
      </c>
      <c r="N1256" s="2" t="s">
        <v>14</v>
      </c>
      <c r="O1256" s="2">
        <v>1</v>
      </c>
    </row>
    <row r="1257" spans="1:15" ht="15" customHeight="1" x14ac:dyDescent="0.25">
      <c r="A1257" s="3">
        <v>10</v>
      </c>
      <c r="B1257" s="3" t="s">
        <v>14</v>
      </c>
      <c r="C1257" s="3" t="s">
        <v>19</v>
      </c>
      <c r="D1257" s="2" t="s">
        <v>106</v>
      </c>
      <c r="E1257" s="3">
        <v>0</v>
      </c>
      <c r="F1257" s="3">
        <v>0</v>
      </c>
      <c r="G1257" s="3" t="s">
        <v>10</v>
      </c>
      <c r="H1257" s="3" t="s">
        <v>12</v>
      </c>
      <c r="I1257" s="3" t="s">
        <v>15</v>
      </c>
      <c r="J1257" s="3" t="s">
        <v>14</v>
      </c>
      <c r="K1257" s="3" t="s">
        <v>14</v>
      </c>
      <c r="L1257" s="3" t="s">
        <v>14</v>
      </c>
      <c r="M1257" s="3" t="s">
        <v>14</v>
      </c>
      <c r="N1257" s="3" t="s">
        <v>14</v>
      </c>
      <c r="O1257" s="3">
        <v>1</v>
      </c>
    </row>
    <row r="1258" spans="1:15" ht="15" customHeight="1" x14ac:dyDescent="0.25">
      <c r="A1258" s="2">
        <v>10</v>
      </c>
      <c r="B1258" s="2" t="s">
        <v>10</v>
      </c>
      <c r="C1258" s="2" t="s">
        <v>19</v>
      </c>
      <c r="D1258" s="2" t="s">
        <v>106</v>
      </c>
      <c r="E1258" s="2">
        <v>0</v>
      </c>
      <c r="F1258" s="2">
        <v>0</v>
      </c>
      <c r="G1258" s="2" t="s">
        <v>10</v>
      </c>
      <c r="H1258" s="2" t="s">
        <v>12</v>
      </c>
      <c r="I1258" s="2" t="s">
        <v>15</v>
      </c>
      <c r="J1258" s="2" t="s">
        <v>14</v>
      </c>
      <c r="K1258" s="2" t="s">
        <v>14</v>
      </c>
      <c r="L1258" s="2" t="s">
        <v>14</v>
      </c>
      <c r="M1258" s="2" t="s">
        <v>14</v>
      </c>
      <c r="N1258" s="2" t="s">
        <v>14</v>
      </c>
      <c r="O1258" s="2">
        <v>1</v>
      </c>
    </row>
    <row r="1259" spans="1:15" ht="15" customHeight="1" x14ac:dyDescent="0.25">
      <c r="A1259" s="3">
        <v>5</v>
      </c>
      <c r="B1259" s="3" t="s">
        <v>18</v>
      </c>
      <c r="C1259" s="3" t="s">
        <v>19</v>
      </c>
      <c r="D1259" s="2" t="s">
        <v>106</v>
      </c>
      <c r="E1259" s="3">
        <v>0</v>
      </c>
      <c r="F1259" s="3">
        <v>0</v>
      </c>
      <c r="G1259" s="3" t="s">
        <v>10</v>
      </c>
      <c r="H1259" s="3" t="s">
        <v>12</v>
      </c>
      <c r="I1259" s="3">
        <v>2</v>
      </c>
      <c r="J1259" s="3" t="s">
        <v>14</v>
      </c>
      <c r="K1259" s="3" t="s">
        <v>14</v>
      </c>
      <c r="L1259" s="3" t="s">
        <v>14</v>
      </c>
      <c r="M1259" s="3" t="s">
        <v>14</v>
      </c>
      <c r="N1259" s="3" t="s">
        <v>14</v>
      </c>
      <c r="O1259" s="3">
        <v>1</v>
      </c>
    </row>
    <row r="1260" spans="1:15" ht="15" customHeight="1" x14ac:dyDescent="0.25">
      <c r="A1260" s="2">
        <v>5</v>
      </c>
      <c r="B1260" s="2" t="s">
        <v>10</v>
      </c>
      <c r="C1260" s="2" t="s">
        <v>19</v>
      </c>
      <c r="D1260" s="2" t="s">
        <v>106</v>
      </c>
      <c r="E1260" s="2">
        <v>0</v>
      </c>
      <c r="F1260" s="2">
        <v>0</v>
      </c>
      <c r="G1260" s="2" t="s">
        <v>10</v>
      </c>
      <c r="H1260" s="2" t="s">
        <v>12</v>
      </c>
      <c r="I1260" s="2">
        <v>2</v>
      </c>
      <c r="J1260" s="2" t="s">
        <v>14</v>
      </c>
      <c r="K1260" s="2" t="s">
        <v>14</v>
      </c>
      <c r="L1260" s="2" t="s">
        <v>14</v>
      </c>
      <c r="M1260" s="2" t="s">
        <v>14</v>
      </c>
      <c r="N1260" s="2" t="s">
        <v>14</v>
      </c>
      <c r="O1260" s="2">
        <v>1</v>
      </c>
    </row>
    <row r="1261" spans="1:15" ht="15" customHeight="1" x14ac:dyDescent="0.25">
      <c r="A1261" s="3">
        <v>5</v>
      </c>
      <c r="B1261" s="3" t="s">
        <v>10</v>
      </c>
      <c r="C1261" s="3" t="s">
        <v>19</v>
      </c>
      <c r="D1261" s="2" t="s">
        <v>106</v>
      </c>
      <c r="E1261" s="3">
        <v>0</v>
      </c>
      <c r="F1261" s="3">
        <v>0</v>
      </c>
      <c r="G1261" s="3" t="s">
        <v>10</v>
      </c>
      <c r="H1261" s="3" t="s">
        <v>12</v>
      </c>
      <c r="I1261" s="3" t="s">
        <v>15</v>
      </c>
      <c r="J1261" s="3" t="s">
        <v>14</v>
      </c>
      <c r="K1261" s="3" t="s">
        <v>14</v>
      </c>
      <c r="L1261" s="3" t="s">
        <v>14</v>
      </c>
      <c r="M1261" s="3" t="s">
        <v>14</v>
      </c>
      <c r="N1261" s="3" t="s">
        <v>14</v>
      </c>
      <c r="O1261" s="3">
        <v>1</v>
      </c>
    </row>
    <row r="1262" spans="1:15" ht="15" customHeight="1" x14ac:dyDescent="0.25">
      <c r="A1262" s="2">
        <v>10</v>
      </c>
      <c r="B1262" s="2" t="s">
        <v>10</v>
      </c>
      <c r="C1262" s="2" t="s">
        <v>11</v>
      </c>
      <c r="D1262" s="2" t="s">
        <v>106</v>
      </c>
      <c r="E1262" s="2">
        <v>0</v>
      </c>
      <c r="F1262" s="2">
        <v>1</v>
      </c>
      <c r="G1262" s="2" t="s">
        <v>10</v>
      </c>
      <c r="H1262" s="2" t="s">
        <v>12</v>
      </c>
      <c r="I1262" s="2">
        <v>1</v>
      </c>
      <c r="J1262" s="2" t="s">
        <v>13</v>
      </c>
      <c r="K1262" s="2" t="s">
        <v>14</v>
      </c>
      <c r="L1262" s="2" t="s">
        <v>14</v>
      </c>
      <c r="M1262" s="2" t="s">
        <v>14</v>
      </c>
      <c r="N1262" s="2" t="s">
        <v>14</v>
      </c>
      <c r="O1262" s="2">
        <v>0</v>
      </c>
    </row>
    <row r="1263" spans="1:15" ht="15" customHeight="1" x14ac:dyDescent="0.25">
      <c r="A1263" s="3">
        <v>10</v>
      </c>
      <c r="B1263" s="3" t="s">
        <v>10</v>
      </c>
      <c r="C1263" s="3" t="s">
        <v>19</v>
      </c>
      <c r="D1263" s="2" t="s">
        <v>106</v>
      </c>
      <c r="E1263" s="3">
        <v>0</v>
      </c>
      <c r="F1263" s="3">
        <v>0</v>
      </c>
      <c r="G1263" s="3" t="s">
        <v>10</v>
      </c>
      <c r="H1263" s="3" t="s">
        <v>16</v>
      </c>
      <c r="I1263" s="3">
        <v>1</v>
      </c>
      <c r="J1263" s="3" t="s">
        <v>14</v>
      </c>
      <c r="K1263" s="3" t="s">
        <v>14</v>
      </c>
      <c r="L1263" s="3" t="s">
        <v>14</v>
      </c>
      <c r="M1263" s="3" t="s">
        <v>14</v>
      </c>
      <c r="N1263" s="3" t="s">
        <v>14</v>
      </c>
      <c r="O1263" s="3">
        <v>1</v>
      </c>
    </row>
    <row r="1264" spans="1:15" ht="15" customHeight="1" x14ac:dyDescent="0.25">
      <c r="A1264" s="2">
        <v>5</v>
      </c>
      <c r="B1264" s="2" t="s">
        <v>18</v>
      </c>
      <c r="C1264" s="2" t="s">
        <v>19</v>
      </c>
      <c r="D1264" s="2" t="s">
        <v>106</v>
      </c>
      <c r="E1264" s="2">
        <v>0</v>
      </c>
      <c r="F1264" s="2">
        <v>0</v>
      </c>
      <c r="G1264" s="2" t="s">
        <v>10</v>
      </c>
      <c r="H1264" s="2" t="s">
        <v>12</v>
      </c>
      <c r="I1264" s="2" t="s">
        <v>15</v>
      </c>
      <c r="J1264" s="2" t="s">
        <v>14</v>
      </c>
      <c r="K1264" s="2" t="s">
        <v>14</v>
      </c>
      <c r="L1264" s="2" t="s">
        <v>14</v>
      </c>
      <c r="M1264" s="2" t="s">
        <v>14</v>
      </c>
      <c r="N1264" s="2" t="s">
        <v>14</v>
      </c>
      <c r="O1264" s="2">
        <v>1</v>
      </c>
    </row>
    <row r="1265" spans="1:15" ht="15" customHeight="1" x14ac:dyDescent="0.25">
      <c r="A1265" s="3">
        <v>10</v>
      </c>
      <c r="B1265" s="3" t="s">
        <v>14</v>
      </c>
      <c r="C1265" s="3" t="s">
        <v>19</v>
      </c>
      <c r="D1265" s="2" t="s">
        <v>106</v>
      </c>
      <c r="E1265" s="3">
        <v>0</v>
      </c>
      <c r="F1265" s="3">
        <v>0</v>
      </c>
      <c r="G1265" s="3" t="s">
        <v>10</v>
      </c>
      <c r="H1265" s="3" t="s">
        <v>12</v>
      </c>
      <c r="I1265" s="3">
        <v>2</v>
      </c>
      <c r="J1265" s="3" t="s">
        <v>14</v>
      </c>
      <c r="K1265" s="3" t="s">
        <v>14</v>
      </c>
      <c r="L1265" s="3" t="s">
        <v>14</v>
      </c>
      <c r="M1265" s="3" t="s">
        <v>14</v>
      </c>
      <c r="N1265" s="3" t="s">
        <v>14</v>
      </c>
      <c r="O1265" s="3">
        <v>1</v>
      </c>
    </row>
    <row r="1266" spans="1:15" ht="15" customHeight="1" x14ac:dyDescent="0.25">
      <c r="A1266" s="2">
        <v>0</v>
      </c>
      <c r="B1266" s="2" t="s">
        <v>18</v>
      </c>
      <c r="C1266" s="2" t="s">
        <v>20</v>
      </c>
      <c r="D1266" s="2" t="s">
        <v>106</v>
      </c>
      <c r="E1266" s="2">
        <v>0</v>
      </c>
      <c r="F1266" s="2">
        <v>0</v>
      </c>
      <c r="G1266" s="2" t="s">
        <v>10</v>
      </c>
      <c r="H1266" s="2" t="s">
        <v>12</v>
      </c>
      <c r="I1266" s="2">
        <v>2</v>
      </c>
      <c r="J1266" s="2" t="s">
        <v>14</v>
      </c>
      <c r="K1266" s="2" t="s">
        <v>14</v>
      </c>
      <c r="L1266" s="2" t="s">
        <v>14</v>
      </c>
      <c r="M1266" s="2" t="s">
        <v>14</v>
      </c>
      <c r="N1266" s="2" t="s">
        <v>14</v>
      </c>
      <c r="O1266" s="2">
        <v>1</v>
      </c>
    </row>
    <row r="1267" spans="1:15" ht="15" customHeight="1" x14ac:dyDescent="0.25">
      <c r="A1267" s="3">
        <v>10</v>
      </c>
      <c r="B1267" s="3" t="s">
        <v>18</v>
      </c>
      <c r="C1267" s="3" t="s">
        <v>20</v>
      </c>
      <c r="D1267" s="2" t="s">
        <v>106</v>
      </c>
      <c r="E1267" s="3">
        <v>0</v>
      </c>
      <c r="F1267" s="3">
        <v>0</v>
      </c>
      <c r="G1267" s="3" t="s">
        <v>10</v>
      </c>
      <c r="H1267" s="3" t="s">
        <v>12</v>
      </c>
      <c r="I1267" s="3">
        <v>2</v>
      </c>
      <c r="J1267" s="3" t="s">
        <v>14</v>
      </c>
      <c r="K1267" s="3" t="s">
        <v>14</v>
      </c>
      <c r="L1267" s="3" t="s">
        <v>14</v>
      </c>
      <c r="M1267" s="3" t="s">
        <v>14</v>
      </c>
      <c r="N1267" s="3" t="s">
        <v>14</v>
      </c>
      <c r="O1267" s="3">
        <v>1</v>
      </c>
    </row>
    <row r="1268" spans="1:15" ht="15" customHeight="1" x14ac:dyDescent="0.25">
      <c r="A1268" s="2">
        <v>10</v>
      </c>
      <c r="B1268" s="2" t="s">
        <v>14</v>
      </c>
      <c r="C1268" s="2" t="s">
        <v>20</v>
      </c>
      <c r="D1268" s="2" t="s">
        <v>106</v>
      </c>
      <c r="E1268" s="2">
        <v>0</v>
      </c>
      <c r="F1268" s="2">
        <v>0</v>
      </c>
      <c r="G1268" s="2" t="s">
        <v>10</v>
      </c>
      <c r="H1268" s="2" t="s">
        <v>12</v>
      </c>
      <c r="I1268" s="2">
        <v>2</v>
      </c>
      <c r="J1268" s="2" t="s">
        <v>14</v>
      </c>
      <c r="K1268" s="2" t="s">
        <v>14</v>
      </c>
      <c r="L1268" s="2" t="s">
        <v>14</v>
      </c>
      <c r="M1268" s="2" t="s">
        <v>14</v>
      </c>
      <c r="N1268" s="2" t="s">
        <v>14</v>
      </c>
      <c r="O1268" s="2">
        <v>1</v>
      </c>
    </row>
    <row r="1269" spans="1:15" ht="15" customHeight="1" x14ac:dyDescent="0.25">
      <c r="A1269" s="3">
        <v>5</v>
      </c>
      <c r="B1269" s="3" t="s">
        <v>10</v>
      </c>
      <c r="C1269" s="3" t="s">
        <v>20</v>
      </c>
      <c r="D1269" s="2" t="s">
        <v>106</v>
      </c>
      <c r="E1269" s="3">
        <v>0</v>
      </c>
      <c r="F1269" s="3">
        <v>0</v>
      </c>
      <c r="G1269" s="3" t="s">
        <v>10</v>
      </c>
      <c r="H1269" s="3" t="s">
        <v>12</v>
      </c>
      <c r="I1269" s="3">
        <v>1</v>
      </c>
      <c r="J1269" s="3" t="s">
        <v>14</v>
      </c>
      <c r="K1269" s="3" t="s">
        <v>14</v>
      </c>
      <c r="L1269" s="3" t="s">
        <v>14</v>
      </c>
      <c r="M1269" s="3" t="s">
        <v>14</v>
      </c>
      <c r="N1269" s="3" t="s">
        <v>14</v>
      </c>
      <c r="O1269" s="3">
        <v>1</v>
      </c>
    </row>
    <row r="1270" spans="1:15" ht="15" customHeight="1" x14ac:dyDescent="0.25">
      <c r="A1270" s="2">
        <v>10</v>
      </c>
      <c r="B1270" s="2" t="s">
        <v>10</v>
      </c>
      <c r="C1270" s="2" t="s">
        <v>19</v>
      </c>
      <c r="D1270" s="2" t="s">
        <v>106</v>
      </c>
      <c r="E1270" s="2">
        <v>0</v>
      </c>
      <c r="F1270" s="2">
        <v>1</v>
      </c>
      <c r="G1270" s="2" t="s">
        <v>10</v>
      </c>
      <c r="H1270" s="2" t="s">
        <v>12</v>
      </c>
      <c r="I1270" s="2" t="s">
        <v>15</v>
      </c>
      <c r="J1270" s="2" t="s">
        <v>14</v>
      </c>
      <c r="K1270" s="2" t="s">
        <v>14</v>
      </c>
      <c r="L1270" s="2" t="s">
        <v>14</v>
      </c>
      <c r="M1270" s="2" t="s">
        <v>14</v>
      </c>
      <c r="N1270" s="2" t="s">
        <v>14</v>
      </c>
      <c r="O1270" s="2">
        <v>1</v>
      </c>
    </row>
    <row r="1271" spans="1:15" ht="15" customHeight="1" x14ac:dyDescent="0.25">
      <c r="A1271" s="3">
        <v>5</v>
      </c>
      <c r="B1271" s="3" t="s">
        <v>18</v>
      </c>
      <c r="C1271" s="3" t="s">
        <v>19</v>
      </c>
      <c r="D1271" s="2" t="s">
        <v>106</v>
      </c>
      <c r="E1271" s="3">
        <v>0</v>
      </c>
      <c r="F1271" s="3">
        <v>2</v>
      </c>
      <c r="G1271" s="3" t="s">
        <v>10</v>
      </c>
      <c r="H1271" s="3" t="s">
        <v>12</v>
      </c>
      <c r="I1271" s="3">
        <v>1</v>
      </c>
      <c r="J1271" s="3" t="s">
        <v>14</v>
      </c>
      <c r="K1271" s="3" t="s">
        <v>14</v>
      </c>
      <c r="L1271" s="3" t="s">
        <v>14</v>
      </c>
      <c r="M1271" s="3" t="s">
        <v>14</v>
      </c>
      <c r="N1271" s="3" t="s">
        <v>14</v>
      </c>
      <c r="O1271" s="3">
        <v>1</v>
      </c>
    </row>
    <row r="1272" spans="1:15" ht="15" customHeight="1" x14ac:dyDescent="0.25">
      <c r="A1272" s="2">
        <v>10</v>
      </c>
      <c r="B1272" s="2" t="s">
        <v>10</v>
      </c>
      <c r="C1272" s="2" t="s">
        <v>19</v>
      </c>
      <c r="D1272" s="2" t="s">
        <v>106</v>
      </c>
      <c r="E1272" s="2">
        <v>0</v>
      </c>
      <c r="F1272" s="2">
        <v>1</v>
      </c>
      <c r="G1272" s="2" t="s">
        <v>10</v>
      </c>
      <c r="H1272" s="2" t="s">
        <v>12</v>
      </c>
      <c r="I1272" s="2">
        <v>1</v>
      </c>
      <c r="J1272" s="2" t="s">
        <v>14</v>
      </c>
      <c r="K1272" s="2" t="s">
        <v>14</v>
      </c>
      <c r="L1272" s="2" t="s">
        <v>14</v>
      </c>
      <c r="M1272" s="2" t="s">
        <v>14</v>
      </c>
      <c r="N1272" s="2" t="s">
        <v>14</v>
      </c>
      <c r="O1272" s="2">
        <v>1</v>
      </c>
    </row>
    <row r="1273" spans="1:15" ht="15" customHeight="1" x14ac:dyDescent="0.25">
      <c r="A1273" s="3">
        <v>20</v>
      </c>
      <c r="B1273" s="3" t="s">
        <v>10</v>
      </c>
      <c r="C1273" s="3" t="s">
        <v>19</v>
      </c>
      <c r="D1273" s="2" t="s">
        <v>106</v>
      </c>
      <c r="E1273" s="3">
        <v>0</v>
      </c>
      <c r="F1273" s="3">
        <v>0</v>
      </c>
      <c r="G1273" s="3" t="s">
        <v>10</v>
      </c>
      <c r="H1273" s="3" t="s">
        <v>12</v>
      </c>
      <c r="I1273" s="3">
        <v>2</v>
      </c>
      <c r="J1273" s="3" t="s">
        <v>14</v>
      </c>
      <c r="K1273" s="3" t="s">
        <v>14</v>
      </c>
      <c r="L1273" s="3" t="s">
        <v>14</v>
      </c>
      <c r="M1273" s="3" t="s">
        <v>14</v>
      </c>
      <c r="N1273" s="3" t="s">
        <v>14</v>
      </c>
      <c r="O1273" s="3">
        <v>1</v>
      </c>
    </row>
    <row r="1274" spans="1:15" ht="15" customHeight="1" x14ac:dyDescent="0.25">
      <c r="A1274" s="2">
        <v>10</v>
      </c>
      <c r="B1274" s="2" t="s">
        <v>18</v>
      </c>
      <c r="C1274" s="2" t="s">
        <v>19</v>
      </c>
      <c r="D1274" s="2" t="s">
        <v>106</v>
      </c>
      <c r="E1274" s="2">
        <v>0</v>
      </c>
      <c r="F1274" s="2">
        <v>0</v>
      </c>
      <c r="G1274" s="2" t="s">
        <v>10</v>
      </c>
      <c r="H1274" s="2" t="s">
        <v>12</v>
      </c>
      <c r="I1274" s="2" t="s">
        <v>15</v>
      </c>
      <c r="J1274" s="2" t="s">
        <v>14</v>
      </c>
      <c r="K1274" s="2" t="s">
        <v>14</v>
      </c>
      <c r="L1274" s="2" t="s">
        <v>14</v>
      </c>
      <c r="M1274" s="2" t="s">
        <v>14</v>
      </c>
      <c r="N1274" s="2" t="s">
        <v>14</v>
      </c>
      <c r="O1274" s="2">
        <v>1</v>
      </c>
    </row>
    <row r="1275" spans="1:15" ht="15" customHeight="1" x14ac:dyDescent="0.25">
      <c r="A1275" s="3">
        <v>10</v>
      </c>
      <c r="B1275" s="3" t="s">
        <v>14</v>
      </c>
      <c r="C1275" s="3" t="s">
        <v>19</v>
      </c>
      <c r="D1275" s="2" t="s">
        <v>106</v>
      </c>
      <c r="E1275" s="3">
        <v>0</v>
      </c>
      <c r="F1275" s="3">
        <v>0</v>
      </c>
      <c r="G1275" s="3" t="s">
        <v>10</v>
      </c>
      <c r="H1275" s="3" t="s">
        <v>12</v>
      </c>
      <c r="I1275" s="3" t="s">
        <v>15</v>
      </c>
      <c r="J1275" s="3" t="s">
        <v>14</v>
      </c>
      <c r="K1275" s="3" t="s">
        <v>14</v>
      </c>
      <c r="L1275" s="3" t="s">
        <v>14</v>
      </c>
      <c r="M1275" s="3" t="s">
        <v>14</v>
      </c>
      <c r="N1275" s="3" t="s">
        <v>14</v>
      </c>
      <c r="O1275" s="3">
        <v>1</v>
      </c>
    </row>
    <row r="1276" spans="1:15" ht="15" customHeight="1" x14ac:dyDescent="0.25">
      <c r="A1276" s="2">
        <v>20</v>
      </c>
      <c r="B1276" s="2" t="s">
        <v>10</v>
      </c>
      <c r="C1276" s="2" t="s">
        <v>11</v>
      </c>
      <c r="D1276" s="2" t="s">
        <v>106</v>
      </c>
      <c r="E1276" s="2">
        <v>1</v>
      </c>
      <c r="F1276" s="2">
        <v>0</v>
      </c>
      <c r="G1276" s="2" t="s">
        <v>10</v>
      </c>
      <c r="H1276" s="2" t="s">
        <v>12</v>
      </c>
      <c r="I1276" s="2">
        <v>2</v>
      </c>
      <c r="J1276" s="2" t="s">
        <v>13</v>
      </c>
      <c r="K1276" s="2" t="s">
        <v>14</v>
      </c>
      <c r="L1276" s="2" t="s">
        <v>14</v>
      </c>
      <c r="M1276" s="2" t="s">
        <v>14</v>
      </c>
      <c r="N1276" s="2" t="s">
        <v>14</v>
      </c>
      <c r="O1276" s="2">
        <v>0</v>
      </c>
    </row>
    <row r="1277" spans="1:15" ht="15" customHeight="1" x14ac:dyDescent="0.25">
      <c r="A1277" s="3">
        <v>0</v>
      </c>
      <c r="B1277" s="3" t="s">
        <v>10</v>
      </c>
      <c r="C1277" s="3" t="s">
        <v>19</v>
      </c>
      <c r="D1277" s="2" t="s">
        <v>106</v>
      </c>
      <c r="E1277" s="3">
        <v>0</v>
      </c>
      <c r="F1277" s="3">
        <v>0</v>
      </c>
      <c r="G1277" s="3" t="s">
        <v>10</v>
      </c>
      <c r="H1277" s="3" t="s">
        <v>16</v>
      </c>
      <c r="I1277" s="3">
        <v>1</v>
      </c>
      <c r="J1277" s="3" t="s">
        <v>14</v>
      </c>
      <c r="K1277" s="3" t="s">
        <v>14</v>
      </c>
      <c r="L1277" s="3" t="s">
        <v>14</v>
      </c>
      <c r="M1277" s="3" t="s">
        <v>14</v>
      </c>
      <c r="N1277" s="3" t="s">
        <v>14</v>
      </c>
      <c r="O1277" s="3">
        <v>1</v>
      </c>
    </row>
    <row r="1278" spans="1:15" ht="15" customHeight="1" x14ac:dyDescent="0.25">
      <c r="A1278" s="2">
        <v>0</v>
      </c>
      <c r="B1278" s="2" t="s">
        <v>18</v>
      </c>
      <c r="C1278" s="2" t="s">
        <v>20</v>
      </c>
      <c r="D1278" s="2" t="s">
        <v>106</v>
      </c>
      <c r="E1278" s="2">
        <v>0</v>
      </c>
      <c r="F1278" s="2">
        <v>1</v>
      </c>
      <c r="G1278" s="2" t="s">
        <v>10</v>
      </c>
      <c r="H1278" s="2" t="s">
        <v>16</v>
      </c>
      <c r="I1278" s="2">
        <v>1</v>
      </c>
      <c r="J1278" s="2" t="s">
        <v>14</v>
      </c>
      <c r="K1278" s="2" t="s">
        <v>14</v>
      </c>
      <c r="L1278" s="2" t="s">
        <v>14</v>
      </c>
      <c r="M1278" s="2" t="s">
        <v>14</v>
      </c>
      <c r="N1278" s="2" t="s">
        <v>14</v>
      </c>
      <c r="O1278" s="2">
        <v>1</v>
      </c>
    </row>
    <row r="1279" spans="1:15" ht="15" customHeight="1" x14ac:dyDescent="0.25">
      <c r="A1279" s="3">
        <v>5</v>
      </c>
      <c r="B1279" s="3" t="s">
        <v>14</v>
      </c>
      <c r="C1279" s="3" t="s">
        <v>20</v>
      </c>
      <c r="D1279" s="2" t="s">
        <v>106</v>
      </c>
      <c r="E1279" s="3">
        <v>0</v>
      </c>
      <c r="F1279" s="3">
        <v>0</v>
      </c>
      <c r="G1279" s="3" t="s">
        <v>10</v>
      </c>
      <c r="H1279" s="3" t="s">
        <v>12</v>
      </c>
      <c r="I1279" s="3">
        <v>2</v>
      </c>
      <c r="J1279" s="3" t="s">
        <v>14</v>
      </c>
      <c r="K1279" s="3" t="s">
        <v>14</v>
      </c>
      <c r="L1279" s="3" t="s">
        <v>14</v>
      </c>
      <c r="M1279" s="3" t="s">
        <v>14</v>
      </c>
      <c r="N1279" s="3" t="s">
        <v>14</v>
      </c>
      <c r="O1279" s="3">
        <v>1</v>
      </c>
    </row>
    <row r="1280" spans="1:15" ht="15" customHeight="1" x14ac:dyDescent="0.25">
      <c r="A1280" s="2">
        <v>10</v>
      </c>
      <c r="B1280" s="2" t="s">
        <v>10</v>
      </c>
      <c r="C1280" s="2" t="s">
        <v>19</v>
      </c>
      <c r="D1280" s="2" t="s">
        <v>106</v>
      </c>
      <c r="E1280" s="2">
        <v>0</v>
      </c>
      <c r="F1280" s="2">
        <v>1</v>
      </c>
      <c r="G1280" s="2" t="s">
        <v>10</v>
      </c>
      <c r="H1280" s="2" t="s">
        <v>12</v>
      </c>
      <c r="I1280" s="2">
        <v>2</v>
      </c>
      <c r="J1280" s="2" t="s">
        <v>14</v>
      </c>
      <c r="K1280" s="2" t="s">
        <v>14</v>
      </c>
      <c r="L1280" s="2" t="s">
        <v>14</v>
      </c>
      <c r="M1280" s="2" t="s">
        <v>14</v>
      </c>
      <c r="N1280" s="2" t="s">
        <v>14</v>
      </c>
      <c r="O1280" s="2">
        <v>1</v>
      </c>
    </row>
    <row r="1281" spans="1:15" ht="15" customHeight="1" x14ac:dyDescent="0.25">
      <c r="A1281" s="3">
        <v>10</v>
      </c>
      <c r="B1281" s="3" t="s">
        <v>18</v>
      </c>
      <c r="C1281" s="3" t="s">
        <v>19</v>
      </c>
      <c r="D1281" s="2" t="s">
        <v>106</v>
      </c>
      <c r="E1281" s="3">
        <v>0</v>
      </c>
      <c r="F1281" s="3">
        <v>0</v>
      </c>
      <c r="G1281" s="3" t="s">
        <v>10</v>
      </c>
      <c r="H1281" s="3" t="s">
        <v>12</v>
      </c>
      <c r="I1281" s="3" t="s">
        <v>15</v>
      </c>
      <c r="J1281" s="3" t="s">
        <v>14</v>
      </c>
      <c r="K1281" s="3" t="s">
        <v>14</v>
      </c>
      <c r="L1281" s="3" t="s">
        <v>14</v>
      </c>
      <c r="M1281" s="3" t="s">
        <v>14</v>
      </c>
      <c r="N1281" s="3" t="s">
        <v>14</v>
      </c>
      <c r="O1281" s="3">
        <v>1</v>
      </c>
    </row>
    <row r="1282" spans="1:15" ht="15" customHeight="1" x14ac:dyDescent="0.25">
      <c r="A1282" s="2">
        <v>0</v>
      </c>
      <c r="B1282" s="2" t="s">
        <v>10</v>
      </c>
      <c r="C1282" s="2" t="s">
        <v>19</v>
      </c>
      <c r="D1282" s="2" t="s">
        <v>106</v>
      </c>
      <c r="E1282" s="2">
        <v>0</v>
      </c>
      <c r="F1282" s="2">
        <v>0</v>
      </c>
      <c r="G1282" s="2" t="s">
        <v>10</v>
      </c>
      <c r="H1282" s="2" t="s">
        <v>12</v>
      </c>
      <c r="I1282" s="2">
        <v>2</v>
      </c>
      <c r="J1282" s="2" t="s">
        <v>14</v>
      </c>
      <c r="K1282" s="2" t="s">
        <v>14</v>
      </c>
      <c r="L1282" s="2" t="s">
        <v>14</v>
      </c>
      <c r="M1282" s="2" t="s">
        <v>14</v>
      </c>
      <c r="N1282" s="2" t="s">
        <v>14</v>
      </c>
      <c r="O1282" s="2">
        <v>1</v>
      </c>
    </row>
    <row r="1283" spans="1:15" ht="15" customHeight="1" x14ac:dyDescent="0.25">
      <c r="A1283" s="3">
        <v>20</v>
      </c>
      <c r="B1283" s="3" t="s">
        <v>18</v>
      </c>
      <c r="C1283" s="3" t="s">
        <v>20</v>
      </c>
      <c r="D1283" s="2" t="s">
        <v>106</v>
      </c>
      <c r="E1283" s="3">
        <v>0</v>
      </c>
      <c r="F1283" s="3">
        <v>1</v>
      </c>
      <c r="G1283" s="3" t="s">
        <v>10</v>
      </c>
      <c r="H1283" s="3" t="s">
        <v>16</v>
      </c>
      <c r="I1283" s="3">
        <v>2</v>
      </c>
      <c r="J1283" s="3" t="s">
        <v>14</v>
      </c>
      <c r="K1283" s="3" t="s">
        <v>14</v>
      </c>
      <c r="L1283" s="3" t="s">
        <v>14</v>
      </c>
      <c r="M1283" s="3" t="s">
        <v>13</v>
      </c>
      <c r="N1283" s="3" t="s">
        <v>14</v>
      </c>
      <c r="O1283" s="3">
        <v>1</v>
      </c>
    </row>
    <row r="1284" spans="1:15" ht="15" customHeight="1" x14ac:dyDescent="0.25">
      <c r="A1284" s="2">
        <v>10</v>
      </c>
      <c r="B1284" s="2" t="s">
        <v>14</v>
      </c>
      <c r="C1284" s="2" t="s">
        <v>20</v>
      </c>
      <c r="D1284" s="2" t="s">
        <v>106</v>
      </c>
      <c r="E1284" s="2">
        <v>0</v>
      </c>
      <c r="F1284" s="2">
        <v>0</v>
      </c>
      <c r="G1284" s="2" t="s">
        <v>10</v>
      </c>
      <c r="H1284" s="2" t="s">
        <v>12</v>
      </c>
      <c r="I1284" s="2">
        <v>2</v>
      </c>
      <c r="J1284" s="2" t="s">
        <v>14</v>
      </c>
      <c r="K1284" s="2" t="s">
        <v>14</v>
      </c>
      <c r="L1284" s="2" t="s">
        <v>14</v>
      </c>
      <c r="M1284" s="2" t="s">
        <v>14</v>
      </c>
      <c r="N1284" s="2" t="s">
        <v>14</v>
      </c>
      <c r="O1284" s="2">
        <v>1</v>
      </c>
    </row>
    <row r="1285" spans="1:15" ht="15" customHeight="1" x14ac:dyDescent="0.25">
      <c r="A1285" s="3">
        <v>5</v>
      </c>
      <c r="B1285" s="3" t="s">
        <v>14</v>
      </c>
      <c r="C1285" s="3" t="s">
        <v>20</v>
      </c>
      <c r="D1285" s="2" t="s">
        <v>106</v>
      </c>
      <c r="E1285" s="3">
        <v>0</v>
      </c>
      <c r="F1285" s="3">
        <v>0</v>
      </c>
      <c r="G1285" s="3" t="s">
        <v>10</v>
      </c>
      <c r="H1285" s="3" t="s">
        <v>12</v>
      </c>
      <c r="I1285" s="3">
        <v>1</v>
      </c>
      <c r="J1285" s="3" t="s">
        <v>14</v>
      </c>
      <c r="K1285" s="3" t="s">
        <v>14</v>
      </c>
      <c r="L1285" s="3" t="s">
        <v>14</v>
      </c>
      <c r="M1285" s="3" t="s">
        <v>14</v>
      </c>
      <c r="N1285" s="3" t="s">
        <v>14</v>
      </c>
      <c r="O1285" s="3">
        <v>1</v>
      </c>
    </row>
    <row r="1286" spans="1:15" ht="15" customHeight="1" x14ac:dyDescent="0.25">
      <c r="A1286" s="2">
        <v>10</v>
      </c>
      <c r="B1286" s="2" t="s">
        <v>10</v>
      </c>
      <c r="C1286" s="2" t="s">
        <v>20</v>
      </c>
      <c r="D1286" s="2" t="s">
        <v>106</v>
      </c>
      <c r="E1286" s="2">
        <v>0</v>
      </c>
      <c r="F1286" s="2">
        <v>0</v>
      </c>
      <c r="G1286" s="2" t="s">
        <v>10</v>
      </c>
      <c r="H1286" s="2" t="s">
        <v>12</v>
      </c>
      <c r="I1286" s="2">
        <v>2</v>
      </c>
      <c r="J1286" s="2" t="s">
        <v>14</v>
      </c>
      <c r="K1286" s="2" t="s">
        <v>14</v>
      </c>
      <c r="L1286" s="2" t="s">
        <v>14</v>
      </c>
      <c r="M1286" s="2" t="s">
        <v>14</v>
      </c>
      <c r="N1286" s="2" t="s">
        <v>14</v>
      </c>
      <c r="O1286" s="2">
        <v>1</v>
      </c>
    </row>
    <row r="1287" spans="1:15" ht="15" customHeight="1" x14ac:dyDescent="0.25">
      <c r="A1287" s="3">
        <v>20</v>
      </c>
      <c r="B1287" s="3" t="s">
        <v>10</v>
      </c>
      <c r="C1287" s="3" t="s">
        <v>19</v>
      </c>
      <c r="D1287" s="2" t="s">
        <v>106</v>
      </c>
      <c r="E1287" s="3">
        <v>0</v>
      </c>
      <c r="F1287" s="3">
        <v>2</v>
      </c>
      <c r="G1287" s="3" t="s">
        <v>10</v>
      </c>
      <c r="H1287" s="3" t="s">
        <v>16</v>
      </c>
      <c r="I1287" s="3">
        <v>2</v>
      </c>
      <c r="J1287" s="3" t="s">
        <v>14</v>
      </c>
      <c r="K1287" s="3" t="s">
        <v>14</v>
      </c>
      <c r="L1287" s="3" t="s">
        <v>14</v>
      </c>
      <c r="M1287" s="3" t="s">
        <v>14</v>
      </c>
      <c r="N1287" s="3" t="s">
        <v>14</v>
      </c>
      <c r="O1287" s="3">
        <v>0</v>
      </c>
    </row>
    <row r="1288" spans="1:15" ht="15" customHeight="1" x14ac:dyDescent="0.25">
      <c r="A1288" s="2">
        <v>0</v>
      </c>
      <c r="B1288" s="2" t="s">
        <v>10</v>
      </c>
      <c r="C1288" s="2" t="s">
        <v>11</v>
      </c>
      <c r="D1288" s="2" t="s">
        <v>106</v>
      </c>
      <c r="E1288" s="2">
        <v>0</v>
      </c>
      <c r="F1288" s="2">
        <v>1</v>
      </c>
      <c r="G1288" s="2" t="s">
        <v>10</v>
      </c>
      <c r="H1288" s="2" t="s">
        <v>12</v>
      </c>
      <c r="I1288" s="2">
        <v>1</v>
      </c>
      <c r="J1288" s="2" t="s">
        <v>14</v>
      </c>
      <c r="K1288" s="2" t="s">
        <v>14</v>
      </c>
      <c r="L1288" s="2" t="s">
        <v>14</v>
      </c>
      <c r="M1288" s="2" t="s">
        <v>14</v>
      </c>
      <c r="N1288" s="2" t="s">
        <v>14</v>
      </c>
      <c r="O1288" s="2">
        <v>0</v>
      </c>
    </row>
    <row r="1289" spans="1:15" ht="15" customHeight="1" x14ac:dyDescent="0.25">
      <c r="A1289" s="3">
        <v>10</v>
      </c>
      <c r="B1289" s="3" t="s">
        <v>10</v>
      </c>
      <c r="C1289" s="3" t="s">
        <v>19</v>
      </c>
      <c r="D1289" s="2" t="s">
        <v>106</v>
      </c>
      <c r="E1289" s="3">
        <v>0</v>
      </c>
      <c r="F1289" s="3">
        <v>1</v>
      </c>
      <c r="G1289" s="3" t="s">
        <v>10</v>
      </c>
      <c r="H1289" s="3" t="s">
        <v>12</v>
      </c>
      <c r="I1289" s="3" t="s">
        <v>15</v>
      </c>
      <c r="J1289" s="3" t="s">
        <v>14</v>
      </c>
      <c r="K1289" s="3" t="s">
        <v>14</v>
      </c>
      <c r="L1289" s="3" t="s">
        <v>14</v>
      </c>
      <c r="M1289" s="3" t="s">
        <v>13</v>
      </c>
      <c r="N1289" s="3" t="s">
        <v>14</v>
      </c>
      <c r="O1289" s="3">
        <v>1</v>
      </c>
    </row>
    <row r="1290" spans="1:15" ht="15" customHeight="1" x14ac:dyDescent="0.25">
      <c r="A1290" s="2">
        <v>10</v>
      </c>
      <c r="B1290" s="2" t="s">
        <v>10</v>
      </c>
      <c r="C1290" s="2" t="s">
        <v>11</v>
      </c>
      <c r="D1290" s="2" t="s">
        <v>106</v>
      </c>
      <c r="E1290" s="2">
        <v>1</v>
      </c>
      <c r="F1290" s="2">
        <v>0</v>
      </c>
      <c r="G1290" s="2" t="s">
        <v>10</v>
      </c>
      <c r="H1290" s="2" t="s">
        <v>12</v>
      </c>
      <c r="I1290" s="2" t="s">
        <v>15</v>
      </c>
      <c r="J1290" s="2" t="s">
        <v>13</v>
      </c>
      <c r="K1290" s="2" t="s">
        <v>14</v>
      </c>
      <c r="L1290" s="2" t="s">
        <v>14</v>
      </c>
      <c r="M1290" s="2" t="s">
        <v>14</v>
      </c>
      <c r="N1290" s="2" t="s">
        <v>14</v>
      </c>
      <c r="O1290" s="2">
        <v>0</v>
      </c>
    </row>
    <row r="1291" spans="1:15" ht="15" customHeight="1" x14ac:dyDescent="0.25">
      <c r="A1291" s="3">
        <v>10</v>
      </c>
      <c r="B1291" s="3" t="s">
        <v>14</v>
      </c>
      <c r="C1291" s="3" t="s">
        <v>20</v>
      </c>
      <c r="D1291" s="2" t="s">
        <v>106</v>
      </c>
      <c r="E1291" s="3">
        <v>0</v>
      </c>
      <c r="F1291" s="3">
        <v>0</v>
      </c>
      <c r="G1291" s="3" t="s">
        <v>10</v>
      </c>
      <c r="H1291" s="3" t="s">
        <v>16</v>
      </c>
      <c r="I1291" s="3">
        <v>2</v>
      </c>
      <c r="J1291" s="3" t="s">
        <v>14</v>
      </c>
      <c r="K1291" s="3" t="s">
        <v>14</v>
      </c>
      <c r="L1291" s="3" t="s">
        <v>14</v>
      </c>
      <c r="M1291" s="3" t="s">
        <v>14</v>
      </c>
      <c r="N1291" s="3" t="s">
        <v>14</v>
      </c>
      <c r="O1291" s="3">
        <v>1</v>
      </c>
    </row>
    <row r="1292" spans="1:15" ht="15" customHeight="1" x14ac:dyDescent="0.25">
      <c r="A1292" s="2">
        <v>20</v>
      </c>
      <c r="B1292" s="2" t="s">
        <v>10</v>
      </c>
      <c r="C1292" s="2" t="s">
        <v>19</v>
      </c>
      <c r="D1292" s="2" t="s">
        <v>106</v>
      </c>
      <c r="E1292" s="2">
        <v>0</v>
      </c>
      <c r="F1292" s="2">
        <v>1</v>
      </c>
      <c r="G1292" s="2" t="s">
        <v>10</v>
      </c>
      <c r="H1292" s="2" t="s">
        <v>12</v>
      </c>
      <c r="I1292" s="2" t="s">
        <v>15</v>
      </c>
      <c r="J1292" s="2" t="s">
        <v>14</v>
      </c>
      <c r="K1292" s="2" t="s">
        <v>14</v>
      </c>
      <c r="L1292" s="2" t="s">
        <v>14</v>
      </c>
      <c r="M1292" s="2" t="s">
        <v>13</v>
      </c>
      <c r="N1292" s="2" t="s">
        <v>14</v>
      </c>
      <c r="O1292" s="2">
        <v>1</v>
      </c>
    </row>
    <row r="1293" spans="1:15" ht="15" customHeight="1" x14ac:dyDescent="0.25">
      <c r="A1293" s="3">
        <v>5</v>
      </c>
      <c r="B1293" s="3" t="s">
        <v>10</v>
      </c>
      <c r="C1293" s="3" t="s">
        <v>19</v>
      </c>
      <c r="D1293" s="2" t="s">
        <v>106</v>
      </c>
      <c r="E1293" s="3">
        <v>1</v>
      </c>
      <c r="F1293" s="3">
        <v>0</v>
      </c>
      <c r="G1293" s="3" t="s">
        <v>17</v>
      </c>
      <c r="H1293" s="3" t="s">
        <v>106</v>
      </c>
      <c r="I1293" s="3">
        <v>1</v>
      </c>
      <c r="J1293" s="3" t="s">
        <v>14</v>
      </c>
      <c r="K1293" s="3" t="s">
        <v>13</v>
      </c>
      <c r="L1293" s="3" t="s">
        <v>13</v>
      </c>
      <c r="M1293" s="3" t="s">
        <v>13</v>
      </c>
      <c r="N1293" s="3" t="s">
        <v>14</v>
      </c>
      <c r="O1293" s="3">
        <v>0</v>
      </c>
    </row>
    <row r="1294" spans="1:15" ht="15" customHeight="1" x14ac:dyDescent="0.25">
      <c r="A1294" s="2">
        <v>5</v>
      </c>
      <c r="B1294" s="2" t="s">
        <v>10</v>
      </c>
      <c r="C1294" s="2" t="s">
        <v>19</v>
      </c>
      <c r="D1294" s="2" t="s">
        <v>106</v>
      </c>
      <c r="E1294" s="2">
        <v>0</v>
      </c>
      <c r="F1294" s="2">
        <v>1</v>
      </c>
      <c r="G1294" s="2" t="s">
        <v>17</v>
      </c>
      <c r="H1294" s="2" t="s">
        <v>106</v>
      </c>
      <c r="I1294" s="2">
        <v>1</v>
      </c>
      <c r="J1294" s="2" t="s">
        <v>14</v>
      </c>
      <c r="K1294" s="2" t="s">
        <v>13</v>
      </c>
      <c r="L1294" s="2" t="s">
        <v>13</v>
      </c>
      <c r="M1294" s="2" t="s">
        <v>13</v>
      </c>
      <c r="N1294" s="2" t="s">
        <v>14</v>
      </c>
      <c r="O1294" s="2">
        <v>1</v>
      </c>
    </row>
    <row r="1295" spans="1:15" ht="15" customHeight="1" x14ac:dyDescent="0.25">
      <c r="A1295" s="3">
        <v>10</v>
      </c>
      <c r="B1295" s="3" t="s">
        <v>10</v>
      </c>
      <c r="C1295" s="3" t="s">
        <v>19</v>
      </c>
      <c r="D1295" s="2" t="s">
        <v>106</v>
      </c>
      <c r="E1295" s="3">
        <v>0</v>
      </c>
      <c r="F1295" s="3">
        <v>0</v>
      </c>
      <c r="G1295" s="3" t="s">
        <v>17</v>
      </c>
      <c r="H1295" s="3" t="s">
        <v>106</v>
      </c>
      <c r="I1295" s="3">
        <v>1</v>
      </c>
      <c r="J1295" s="3" t="s">
        <v>14</v>
      </c>
      <c r="K1295" s="3" t="s">
        <v>13</v>
      </c>
      <c r="L1295" s="3" t="s">
        <v>13</v>
      </c>
      <c r="M1295" s="3" t="s">
        <v>13</v>
      </c>
      <c r="N1295" s="3" t="s">
        <v>14</v>
      </c>
      <c r="O1295" s="3">
        <v>1</v>
      </c>
    </row>
    <row r="1296" spans="1:15" ht="15" customHeight="1" x14ac:dyDescent="0.25">
      <c r="A1296" s="2">
        <v>0</v>
      </c>
      <c r="B1296" s="2" t="s">
        <v>14</v>
      </c>
      <c r="C1296" s="2" t="s">
        <v>19</v>
      </c>
      <c r="D1296" s="2" t="s">
        <v>106</v>
      </c>
      <c r="E1296" s="2">
        <v>0</v>
      </c>
      <c r="F1296" s="2">
        <v>1</v>
      </c>
      <c r="G1296" s="2" t="s">
        <v>10</v>
      </c>
      <c r="H1296" s="2" t="s">
        <v>16</v>
      </c>
      <c r="I1296" s="2">
        <v>2</v>
      </c>
      <c r="J1296" s="2" t="s">
        <v>14</v>
      </c>
      <c r="K1296" s="2" t="s">
        <v>13</v>
      </c>
      <c r="L1296" s="2" t="s">
        <v>14</v>
      </c>
      <c r="M1296" s="2" t="s">
        <v>14</v>
      </c>
      <c r="N1296" s="2" t="s">
        <v>14</v>
      </c>
      <c r="O1296" s="2">
        <v>1</v>
      </c>
    </row>
    <row r="1297" spans="1:16" ht="15" customHeight="1" x14ac:dyDescent="0.25">
      <c r="A1297" s="3">
        <v>5</v>
      </c>
      <c r="B1297" s="3" t="s">
        <v>10</v>
      </c>
      <c r="C1297" s="3" t="s">
        <v>11</v>
      </c>
      <c r="D1297" s="2" t="s">
        <v>106</v>
      </c>
      <c r="E1297" s="3">
        <v>0</v>
      </c>
      <c r="F1297" s="3">
        <v>1</v>
      </c>
      <c r="G1297" s="3" t="s">
        <v>10</v>
      </c>
      <c r="H1297" s="3" t="s">
        <v>16</v>
      </c>
      <c r="I1297" s="3">
        <v>2</v>
      </c>
      <c r="J1297" s="3" t="s">
        <v>14</v>
      </c>
      <c r="K1297" s="3" t="s">
        <v>14</v>
      </c>
      <c r="L1297" s="3" t="s">
        <v>14</v>
      </c>
      <c r="M1297" s="3" t="s">
        <v>14</v>
      </c>
      <c r="N1297" s="3" t="s">
        <v>14</v>
      </c>
      <c r="O1297" s="3">
        <v>1</v>
      </c>
    </row>
    <row r="1298" spans="1:16" ht="15" customHeight="1" x14ac:dyDescent="0.25">
      <c r="A1298" s="2">
        <v>20</v>
      </c>
      <c r="B1298" s="2" t="s">
        <v>10</v>
      </c>
      <c r="C1298" s="2" t="s">
        <v>11</v>
      </c>
      <c r="D1298" s="2" t="s">
        <v>106</v>
      </c>
      <c r="E1298" s="2">
        <v>1</v>
      </c>
      <c r="F1298" s="2">
        <v>0</v>
      </c>
      <c r="G1298" s="2" t="s">
        <v>10</v>
      </c>
      <c r="H1298" s="2" t="s">
        <v>12</v>
      </c>
      <c r="I1298" s="2" t="s">
        <v>15</v>
      </c>
      <c r="J1298" s="2" t="s">
        <v>14</v>
      </c>
      <c r="K1298" s="2" t="s">
        <v>14</v>
      </c>
      <c r="L1298" s="2" t="s">
        <v>14</v>
      </c>
      <c r="M1298" s="2" t="s">
        <v>13</v>
      </c>
      <c r="N1298" s="2" t="s">
        <v>13</v>
      </c>
      <c r="O1298" s="2">
        <v>0</v>
      </c>
      <c r="P1298" s="24"/>
    </row>
    <row r="1299" spans="1:16" ht="15" customHeight="1" x14ac:dyDescent="0.25">
      <c r="A1299" s="3">
        <v>10</v>
      </c>
      <c r="B1299" s="3" t="s">
        <v>10</v>
      </c>
      <c r="C1299" s="3" t="s">
        <v>19</v>
      </c>
      <c r="D1299" s="2" t="s">
        <v>106</v>
      </c>
      <c r="E1299" s="3">
        <v>0</v>
      </c>
      <c r="F1299" s="3">
        <v>1</v>
      </c>
      <c r="G1299" s="3" t="s">
        <v>10</v>
      </c>
      <c r="H1299" s="3" t="s">
        <v>12</v>
      </c>
      <c r="I1299" s="3">
        <v>1</v>
      </c>
      <c r="J1299" s="3" t="s">
        <v>14</v>
      </c>
      <c r="K1299" s="3" t="s">
        <v>14</v>
      </c>
      <c r="L1299" s="3" t="s">
        <v>14</v>
      </c>
      <c r="M1299" s="3" t="s">
        <v>14</v>
      </c>
      <c r="N1299" s="3" t="s">
        <v>14</v>
      </c>
      <c r="O1299" s="3">
        <v>1</v>
      </c>
    </row>
    <row r="1300" spans="1:16" ht="15" customHeight="1" x14ac:dyDescent="0.25">
      <c r="A1300" s="2">
        <v>10</v>
      </c>
      <c r="B1300" s="2" t="s">
        <v>10</v>
      </c>
      <c r="C1300" s="2" t="s">
        <v>19</v>
      </c>
      <c r="D1300" s="2" t="s">
        <v>106</v>
      </c>
      <c r="E1300" s="2">
        <v>0</v>
      </c>
      <c r="F1300" s="2">
        <v>0</v>
      </c>
      <c r="G1300" s="2" t="s">
        <v>10</v>
      </c>
      <c r="H1300" s="2" t="s">
        <v>12</v>
      </c>
      <c r="I1300" s="2">
        <v>2</v>
      </c>
      <c r="J1300" s="2" t="s">
        <v>14</v>
      </c>
      <c r="K1300" s="2" t="s">
        <v>14</v>
      </c>
      <c r="L1300" s="2" t="s">
        <v>14</v>
      </c>
      <c r="M1300" s="2" t="s">
        <v>14</v>
      </c>
      <c r="N1300" s="2" t="s">
        <v>14</v>
      </c>
      <c r="O1300" s="2">
        <v>1</v>
      </c>
    </row>
    <row r="1301" spans="1:16" ht="15" customHeight="1" x14ac:dyDescent="0.25">
      <c r="A1301" s="3">
        <v>5</v>
      </c>
      <c r="B1301" s="3" t="s">
        <v>10</v>
      </c>
      <c r="C1301" s="3" t="s">
        <v>19</v>
      </c>
      <c r="D1301" s="2" t="s">
        <v>106</v>
      </c>
      <c r="E1301" s="3">
        <v>0</v>
      </c>
      <c r="F1301" s="3">
        <v>0</v>
      </c>
      <c r="G1301" s="3" t="s">
        <v>10</v>
      </c>
      <c r="H1301" s="3" t="s">
        <v>12</v>
      </c>
      <c r="I1301" s="3" t="s">
        <v>15</v>
      </c>
      <c r="J1301" s="3" t="s">
        <v>14</v>
      </c>
      <c r="K1301" s="3" t="s">
        <v>14</v>
      </c>
      <c r="L1301" s="3" t="s">
        <v>14</v>
      </c>
      <c r="M1301" s="3" t="s">
        <v>14</v>
      </c>
      <c r="N1301" s="3" t="s">
        <v>14</v>
      </c>
      <c r="O1301" s="3">
        <v>1</v>
      </c>
    </row>
    <row r="1302" spans="1:16" ht="15" customHeight="1" x14ac:dyDescent="0.25">
      <c r="A1302" s="2">
        <v>10</v>
      </c>
      <c r="B1302" s="2" t="s">
        <v>18</v>
      </c>
      <c r="C1302" s="2" t="s">
        <v>19</v>
      </c>
      <c r="D1302" s="2" t="s">
        <v>106</v>
      </c>
      <c r="E1302" s="2">
        <v>0</v>
      </c>
      <c r="F1302" s="2">
        <v>0</v>
      </c>
      <c r="G1302" s="2" t="s">
        <v>10</v>
      </c>
      <c r="H1302" s="2" t="s">
        <v>12</v>
      </c>
      <c r="I1302" s="2">
        <v>1</v>
      </c>
      <c r="J1302" s="2" t="s">
        <v>14</v>
      </c>
      <c r="K1302" s="2" t="s">
        <v>14</v>
      </c>
      <c r="L1302" s="2" t="s">
        <v>14</v>
      </c>
      <c r="M1302" s="2" t="s">
        <v>14</v>
      </c>
      <c r="N1302" s="2" t="s">
        <v>14</v>
      </c>
      <c r="O1302" s="2">
        <v>1</v>
      </c>
    </row>
    <row r="1303" spans="1:16" ht="15" customHeight="1" x14ac:dyDescent="0.25">
      <c r="A1303" s="3">
        <v>20</v>
      </c>
      <c r="B1303" s="3" t="s">
        <v>18</v>
      </c>
      <c r="C1303" s="3" t="s">
        <v>20</v>
      </c>
      <c r="D1303" s="2" t="s">
        <v>106</v>
      </c>
      <c r="E1303" s="3">
        <v>0</v>
      </c>
      <c r="F1303" s="3">
        <v>0</v>
      </c>
      <c r="G1303" s="3" t="s">
        <v>10</v>
      </c>
      <c r="H1303" s="3" t="s">
        <v>12</v>
      </c>
      <c r="I1303" s="3" t="s">
        <v>15</v>
      </c>
      <c r="J1303" s="3" t="s">
        <v>14</v>
      </c>
      <c r="K1303" s="3" t="s">
        <v>14</v>
      </c>
      <c r="L1303" s="3" t="s">
        <v>14</v>
      </c>
      <c r="M1303" s="3" t="s">
        <v>14</v>
      </c>
      <c r="N1303" s="3" t="s">
        <v>14</v>
      </c>
      <c r="O1303" s="3">
        <v>1</v>
      </c>
    </row>
    <row r="1304" spans="1:16" ht="15" customHeight="1" x14ac:dyDescent="0.25">
      <c r="A1304" s="2">
        <v>20</v>
      </c>
      <c r="B1304" s="2" t="s">
        <v>10</v>
      </c>
      <c r="C1304" s="2" t="s">
        <v>20</v>
      </c>
      <c r="D1304" s="2" t="s">
        <v>106</v>
      </c>
      <c r="E1304" s="2">
        <v>0</v>
      </c>
      <c r="F1304" s="2">
        <v>0</v>
      </c>
      <c r="G1304" s="2" t="s">
        <v>10</v>
      </c>
      <c r="H1304" s="2" t="s">
        <v>12</v>
      </c>
      <c r="I1304" s="2">
        <v>2</v>
      </c>
      <c r="J1304" s="2" t="s">
        <v>14</v>
      </c>
      <c r="K1304" s="2" t="s">
        <v>14</v>
      </c>
      <c r="L1304" s="2" t="s">
        <v>14</v>
      </c>
      <c r="M1304" s="2" t="s">
        <v>14</v>
      </c>
      <c r="N1304" s="2" t="s">
        <v>14</v>
      </c>
      <c r="O1304" s="2">
        <v>1</v>
      </c>
    </row>
    <row r="1305" spans="1:16" ht="15" customHeight="1" x14ac:dyDescent="0.25">
      <c r="A1305" s="3">
        <v>10</v>
      </c>
      <c r="B1305" s="3" t="s">
        <v>10</v>
      </c>
      <c r="C1305" s="3" t="s">
        <v>19</v>
      </c>
      <c r="D1305" s="2" t="s">
        <v>106</v>
      </c>
      <c r="E1305" s="3">
        <v>0</v>
      </c>
      <c r="F1305" s="3">
        <v>1</v>
      </c>
      <c r="G1305" s="3" t="s">
        <v>10</v>
      </c>
      <c r="H1305" s="3" t="s">
        <v>16</v>
      </c>
      <c r="I1305" s="3" t="s">
        <v>15</v>
      </c>
      <c r="J1305" s="3" t="s">
        <v>14</v>
      </c>
      <c r="K1305" s="3" t="s">
        <v>14</v>
      </c>
      <c r="L1305" s="3" t="s">
        <v>14</v>
      </c>
      <c r="M1305" s="3" t="s">
        <v>14</v>
      </c>
      <c r="N1305" s="3" t="s">
        <v>14</v>
      </c>
      <c r="O1305" s="3">
        <v>1</v>
      </c>
    </row>
    <row r="1306" spans="1:16" ht="15" customHeight="1" x14ac:dyDescent="0.25">
      <c r="A1306" s="2">
        <v>10</v>
      </c>
      <c r="B1306" s="2" t="s">
        <v>14</v>
      </c>
      <c r="C1306" s="2" t="s">
        <v>19</v>
      </c>
      <c r="D1306" s="2" t="s">
        <v>106</v>
      </c>
      <c r="E1306" s="2">
        <v>0</v>
      </c>
      <c r="F1306" s="2">
        <v>0</v>
      </c>
      <c r="G1306" s="2" t="s">
        <v>10</v>
      </c>
      <c r="H1306" s="2" t="s">
        <v>12</v>
      </c>
      <c r="I1306" s="2">
        <v>2</v>
      </c>
      <c r="J1306" s="2" t="s">
        <v>14</v>
      </c>
      <c r="K1306" s="2" t="s">
        <v>14</v>
      </c>
      <c r="L1306" s="2" t="s">
        <v>14</v>
      </c>
      <c r="M1306" s="2" t="s">
        <v>14</v>
      </c>
      <c r="N1306" s="2" t="s">
        <v>14</v>
      </c>
      <c r="O1306" s="2">
        <v>1</v>
      </c>
    </row>
    <row r="1307" spans="1:16" ht="15" customHeight="1" x14ac:dyDescent="0.25">
      <c r="A1307" s="3">
        <v>0</v>
      </c>
      <c r="B1307" s="3" t="s">
        <v>10</v>
      </c>
      <c r="C1307" s="3" t="s">
        <v>19</v>
      </c>
      <c r="D1307" s="2" t="s">
        <v>106</v>
      </c>
      <c r="E1307" s="3">
        <v>0</v>
      </c>
      <c r="F1307" s="3">
        <v>0</v>
      </c>
      <c r="G1307" s="3" t="s">
        <v>10</v>
      </c>
      <c r="H1307" s="3" t="s">
        <v>12</v>
      </c>
      <c r="I1307" s="3">
        <v>1</v>
      </c>
      <c r="J1307" s="3" t="s">
        <v>14</v>
      </c>
      <c r="K1307" s="3" t="s">
        <v>14</v>
      </c>
      <c r="L1307" s="3" t="s">
        <v>14</v>
      </c>
      <c r="M1307" s="3" t="s">
        <v>14</v>
      </c>
      <c r="N1307" s="3" t="s">
        <v>14</v>
      </c>
      <c r="O1307" s="3">
        <v>1</v>
      </c>
    </row>
    <row r="1308" spans="1:16" ht="15" customHeight="1" x14ac:dyDescent="0.25">
      <c r="A1308" s="2">
        <v>10</v>
      </c>
      <c r="B1308" s="2" t="s">
        <v>18</v>
      </c>
      <c r="C1308" s="2" t="s">
        <v>20</v>
      </c>
      <c r="D1308" s="2" t="s">
        <v>106</v>
      </c>
      <c r="E1308" s="2">
        <v>0</v>
      </c>
      <c r="F1308" s="2">
        <v>0</v>
      </c>
      <c r="G1308" s="2" t="s">
        <v>10</v>
      </c>
      <c r="H1308" s="2" t="s">
        <v>12</v>
      </c>
      <c r="I1308" s="2">
        <v>1</v>
      </c>
      <c r="J1308" s="2" t="s">
        <v>14</v>
      </c>
      <c r="K1308" s="2" t="s">
        <v>14</v>
      </c>
      <c r="L1308" s="2" t="s">
        <v>14</v>
      </c>
      <c r="M1308" s="2" t="s">
        <v>14</v>
      </c>
      <c r="N1308" s="2" t="s">
        <v>14</v>
      </c>
      <c r="O1308" s="2">
        <v>1</v>
      </c>
    </row>
    <row r="1309" spans="1:16" ht="15" customHeight="1" x14ac:dyDescent="0.25">
      <c r="A1309" s="3">
        <v>5</v>
      </c>
      <c r="B1309" s="3" t="s">
        <v>18</v>
      </c>
      <c r="C1309" s="3" t="s">
        <v>20</v>
      </c>
      <c r="D1309" s="2" t="s">
        <v>106</v>
      </c>
      <c r="E1309" s="3">
        <v>0</v>
      </c>
      <c r="F1309" s="3">
        <v>0</v>
      </c>
      <c r="G1309" s="3" t="s">
        <v>10</v>
      </c>
      <c r="H1309" s="3" t="s">
        <v>12</v>
      </c>
      <c r="I1309" s="3">
        <v>2</v>
      </c>
      <c r="J1309" s="3" t="s">
        <v>14</v>
      </c>
      <c r="K1309" s="3" t="s">
        <v>14</v>
      </c>
      <c r="L1309" s="3" t="s">
        <v>14</v>
      </c>
      <c r="M1309" s="3" t="s">
        <v>14</v>
      </c>
      <c r="N1309" s="3" t="s">
        <v>14</v>
      </c>
      <c r="O1309" s="3">
        <v>1</v>
      </c>
    </row>
    <row r="1310" spans="1:16" ht="15" customHeight="1" x14ac:dyDescent="0.25">
      <c r="A1310" s="2">
        <v>5</v>
      </c>
      <c r="B1310" s="2" t="s">
        <v>10</v>
      </c>
      <c r="C1310" s="2" t="s">
        <v>20</v>
      </c>
      <c r="D1310" s="2" t="s">
        <v>106</v>
      </c>
      <c r="E1310" s="2">
        <v>0</v>
      </c>
      <c r="F1310" s="2">
        <v>0</v>
      </c>
      <c r="G1310" s="2" t="s">
        <v>10</v>
      </c>
      <c r="H1310" s="2" t="s">
        <v>12</v>
      </c>
      <c r="I1310" s="2">
        <v>2</v>
      </c>
      <c r="J1310" s="2" t="s">
        <v>14</v>
      </c>
      <c r="K1310" s="2" t="s">
        <v>14</v>
      </c>
      <c r="L1310" s="2" t="s">
        <v>14</v>
      </c>
      <c r="M1310" s="2" t="s">
        <v>14</v>
      </c>
      <c r="N1310" s="2" t="s">
        <v>14</v>
      </c>
      <c r="O1310" s="2">
        <v>1</v>
      </c>
    </row>
    <row r="1311" spans="1:16" ht="15" customHeight="1" x14ac:dyDescent="0.25">
      <c r="A1311" s="3">
        <v>0</v>
      </c>
      <c r="B1311" s="3" t="s">
        <v>18</v>
      </c>
      <c r="C1311" s="3" t="s">
        <v>20</v>
      </c>
      <c r="D1311" s="2" t="s">
        <v>106</v>
      </c>
      <c r="E1311" s="3">
        <v>0</v>
      </c>
      <c r="F1311" s="3">
        <v>0</v>
      </c>
      <c r="G1311" s="3" t="s">
        <v>10</v>
      </c>
      <c r="H1311" s="3" t="s">
        <v>12</v>
      </c>
      <c r="I1311" s="3">
        <v>2</v>
      </c>
      <c r="J1311" s="3" t="s">
        <v>14</v>
      </c>
      <c r="K1311" s="3" t="s">
        <v>14</v>
      </c>
      <c r="L1311" s="3" t="s">
        <v>14</v>
      </c>
      <c r="M1311" s="3" t="s">
        <v>14</v>
      </c>
      <c r="N1311" s="3" t="s">
        <v>14</v>
      </c>
      <c r="O1311" s="3">
        <v>1</v>
      </c>
    </row>
    <row r="1312" spans="1:16" ht="15" customHeight="1" x14ac:dyDescent="0.25">
      <c r="A1312" s="2">
        <v>30</v>
      </c>
      <c r="B1312" s="2" t="s">
        <v>10</v>
      </c>
      <c r="C1312" s="2" t="s">
        <v>19</v>
      </c>
      <c r="D1312" s="2" t="s">
        <v>106</v>
      </c>
      <c r="E1312" s="2">
        <v>1</v>
      </c>
      <c r="F1312" s="2">
        <v>0</v>
      </c>
      <c r="G1312" s="2" t="s">
        <v>10</v>
      </c>
      <c r="H1312" s="2" t="s">
        <v>12</v>
      </c>
      <c r="I1312" s="2">
        <v>1</v>
      </c>
      <c r="J1312" s="2" t="s">
        <v>14</v>
      </c>
      <c r="K1312" s="2" t="s">
        <v>14</v>
      </c>
      <c r="L1312" s="2" t="s">
        <v>14</v>
      </c>
      <c r="M1312" s="2" t="s">
        <v>13</v>
      </c>
      <c r="N1312" s="2" t="s">
        <v>14</v>
      </c>
      <c r="O1312" s="2">
        <v>0</v>
      </c>
    </row>
    <row r="1313" spans="1:15" ht="15" customHeight="1" x14ac:dyDescent="0.25">
      <c r="A1313" s="3">
        <v>10</v>
      </c>
      <c r="B1313" s="3" t="s">
        <v>10</v>
      </c>
      <c r="C1313" s="3" t="s">
        <v>19</v>
      </c>
      <c r="D1313" s="2" t="s">
        <v>106</v>
      </c>
      <c r="E1313" s="3">
        <v>0</v>
      </c>
      <c r="F1313" s="3">
        <v>0</v>
      </c>
      <c r="G1313" s="3" t="s">
        <v>17</v>
      </c>
      <c r="H1313" s="3" t="s">
        <v>106</v>
      </c>
      <c r="I1313" s="3">
        <v>1</v>
      </c>
      <c r="J1313" s="3" t="s">
        <v>14</v>
      </c>
      <c r="K1313" s="3" t="s">
        <v>13</v>
      </c>
      <c r="L1313" s="3" t="s">
        <v>13</v>
      </c>
      <c r="M1313" s="3" t="s">
        <v>14</v>
      </c>
      <c r="N1313" s="3" t="s">
        <v>14</v>
      </c>
      <c r="O1313" s="3">
        <v>1</v>
      </c>
    </row>
    <row r="1314" spans="1:15" ht="15" customHeight="1" x14ac:dyDescent="0.25">
      <c r="A1314" s="2">
        <v>0</v>
      </c>
      <c r="B1314" s="2" t="s">
        <v>14</v>
      </c>
      <c r="C1314" s="2" t="s">
        <v>19</v>
      </c>
      <c r="D1314" s="2" t="s">
        <v>106</v>
      </c>
      <c r="E1314" s="2">
        <v>0</v>
      </c>
      <c r="F1314" s="2">
        <v>1</v>
      </c>
      <c r="G1314" s="2" t="s">
        <v>10</v>
      </c>
      <c r="H1314" s="2" t="s">
        <v>12</v>
      </c>
      <c r="I1314" s="2">
        <v>1</v>
      </c>
      <c r="J1314" s="2" t="s">
        <v>14</v>
      </c>
      <c r="K1314" s="2" t="s">
        <v>14</v>
      </c>
      <c r="L1314" s="2" t="s">
        <v>14</v>
      </c>
      <c r="M1314" s="2" t="s">
        <v>14</v>
      </c>
      <c r="N1314" s="2" t="s">
        <v>14</v>
      </c>
      <c r="O1314" s="2">
        <v>1</v>
      </c>
    </row>
    <row r="1315" spans="1:15" ht="15" customHeight="1" x14ac:dyDescent="0.25">
      <c r="A1315" s="3">
        <v>10</v>
      </c>
      <c r="B1315" s="3" t="s">
        <v>14</v>
      </c>
      <c r="C1315" s="3" t="s">
        <v>11</v>
      </c>
      <c r="D1315" s="2" t="s">
        <v>106</v>
      </c>
      <c r="E1315" s="3">
        <v>2</v>
      </c>
      <c r="F1315" s="3">
        <v>0</v>
      </c>
      <c r="G1315" s="3" t="s">
        <v>10</v>
      </c>
      <c r="H1315" s="3" t="s">
        <v>16</v>
      </c>
      <c r="I1315" s="3" t="s">
        <v>15</v>
      </c>
      <c r="J1315" s="3" t="s">
        <v>14</v>
      </c>
      <c r="K1315" s="3" t="s">
        <v>14</v>
      </c>
      <c r="L1315" s="3" t="s">
        <v>14</v>
      </c>
      <c r="M1315" s="3" t="s">
        <v>14</v>
      </c>
      <c r="N1315" s="3" t="s">
        <v>13</v>
      </c>
      <c r="O1315" s="3">
        <v>0</v>
      </c>
    </row>
    <row r="1316" spans="1:15" ht="15" customHeight="1" x14ac:dyDescent="0.25">
      <c r="A1316" s="2">
        <v>0</v>
      </c>
      <c r="B1316" s="2" t="s">
        <v>10</v>
      </c>
      <c r="C1316" s="2" t="s">
        <v>19</v>
      </c>
      <c r="D1316" s="2" t="s">
        <v>106</v>
      </c>
      <c r="E1316" s="2">
        <v>0</v>
      </c>
      <c r="F1316" s="2">
        <v>0</v>
      </c>
      <c r="G1316" s="2" t="s">
        <v>10</v>
      </c>
      <c r="H1316" s="2" t="s">
        <v>12</v>
      </c>
      <c r="I1316" s="2">
        <v>2</v>
      </c>
      <c r="J1316" s="2" t="s">
        <v>14</v>
      </c>
      <c r="K1316" s="2" t="s">
        <v>14</v>
      </c>
      <c r="L1316" s="2" t="s">
        <v>14</v>
      </c>
      <c r="M1316" s="2" t="s">
        <v>14</v>
      </c>
      <c r="N1316" s="2" t="s">
        <v>14</v>
      </c>
      <c r="O1316" s="2">
        <v>1</v>
      </c>
    </row>
    <row r="1317" spans="1:15" ht="15" customHeight="1" x14ac:dyDescent="0.25">
      <c r="A1317" s="3">
        <v>10</v>
      </c>
      <c r="B1317" s="3" t="s">
        <v>18</v>
      </c>
      <c r="C1317" s="3" t="s">
        <v>20</v>
      </c>
      <c r="D1317" s="2" t="s">
        <v>106</v>
      </c>
      <c r="E1317" s="3">
        <v>0</v>
      </c>
      <c r="F1317" s="3">
        <v>1</v>
      </c>
      <c r="G1317" s="3" t="s">
        <v>10</v>
      </c>
      <c r="H1317" s="3" t="s">
        <v>12</v>
      </c>
      <c r="I1317" s="3">
        <v>1</v>
      </c>
      <c r="J1317" s="3" t="s">
        <v>14</v>
      </c>
      <c r="K1317" s="3" t="s">
        <v>14</v>
      </c>
      <c r="L1317" s="3" t="s">
        <v>14</v>
      </c>
      <c r="M1317" s="3" t="s">
        <v>14</v>
      </c>
      <c r="N1317" s="3" t="s">
        <v>14</v>
      </c>
      <c r="O1317" s="3">
        <v>1</v>
      </c>
    </row>
    <row r="1318" spans="1:15" ht="15" customHeight="1" x14ac:dyDescent="0.25">
      <c r="A1318" s="2">
        <v>5</v>
      </c>
      <c r="B1318" s="2" t="s">
        <v>14</v>
      </c>
      <c r="C1318" s="2" t="s">
        <v>20</v>
      </c>
      <c r="D1318" s="2" t="s">
        <v>106</v>
      </c>
      <c r="E1318" s="2">
        <v>0</v>
      </c>
      <c r="F1318" s="2">
        <v>0</v>
      </c>
      <c r="G1318" s="2" t="s">
        <v>10</v>
      </c>
      <c r="H1318" s="2" t="s">
        <v>12</v>
      </c>
      <c r="I1318" s="2">
        <v>1</v>
      </c>
      <c r="J1318" s="2" t="s">
        <v>14</v>
      </c>
      <c r="K1318" s="2" t="s">
        <v>14</v>
      </c>
      <c r="L1318" s="2" t="s">
        <v>14</v>
      </c>
      <c r="M1318" s="2" t="s">
        <v>14</v>
      </c>
      <c r="N1318" s="2" t="s">
        <v>14</v>
      </c>
      <c r="O1318" s="2">
        <v>1</v>
      </c>
    </row>
    <row r="1319" spans="1:15" ht="15" customHeight="1" x14ac:dyDescent="0.25">
      <c r="A1319" s="3">
        <v>20</v>
      </c>
      <c r="B1319" s="3" t="s">
        <v>10</v>
      </c>
      <c r="C1319" s="3" t="s">
        <v>19</v>
      </c>
      <c r="D1319" s="2" t="s">
        <v>106</v>
      </c>
      <c r="E1319" s="3">
        <v>0</v>
      </c>
      <c r="F1319" s="3">
        <v>0</v>
      </c>
      <c r="G1319" s="3" t="s">
        <v>10</v>
      </c>
      <c r="H1319" s="3" t="s">
        <v>12</v>
      </c>
      <c r="I1319" s="3">
        <v>2</v>
      </c>
      <c r="J1319" s="3" t="s">
        <v>14</v>
      </c>
      <c r="K1319" s="3" t="s">
        <v>14</v>
      </c>
      <c r="L1319" s="3" t="s">
        <v>14</v>
      </c>
      <c r="M1319" s="3" t="s">
        <v>14</v>
      </c>
      <c r="N1319" s="3" t="s">
        <v>14</v>
      </c>
      <c r="O1319" s="3">
        <v>1</v>
      </c>
    </row>
    <row r="1320" spans="1:15" ht="15" customHeight="1" x14ac:dyDescent="0.25">
      <c r="A1320" s="2">
        <v>5</v>
      </c>
      <c r="B1320" s="2" t="s">
        <v>10</v>
      </c>
      <c r="C1320" s="2" t="s">
        <v>19</v>
      </c>
      <c r="D1320" s="2" t="s">
        <v>106</v>
      </c>
      <c r="E1320" s="2">
        <v>0</v>
      </c>
      <c r="F1320" s="2">
        <v>0</v>
      </c>
      <c r="G1320" s="2" t="s">
        <v>10</v>
      </c>
      <c r="H1320" s="2" t="s">
        <v>12</v>
      </c>
      <c r="I1320" s="2">
        <v>1</v>
      </c>
      <c r="J1320" s="2" t="s">
        <v>14</v>
      </c>
      <c r="K1320" s="2" t="s">
        <v>14</v>
      </c>
      <c r="L1320" s="2" t="s">
        <v>14</v>
      </c>
      <c r="M1320" s="2" t="s">
        <v>14</v>
      </c>
      <c r="N1320" s="2" t="s">
        <v>14</v>
      </c>
      <c r="O1320" s="2">
        <v>1</v>
      </c>
    </row>
    <row r="1321" spans="1:15" ht="15" customHeight="1" x14ac:dyDescent="0.25">
      <c r="A1321" s="3">
        <v>5</v>
      </c>
      <c r="B1321" s="3" t="s">
        <v>10</v>
      </c>
      <c r="C1321" s="3" t="s">
        <v>11</v>
      </c>
      <c r="D1321" s="2" t="s">
        <v>106</v>
      </c>
      <c r="E1321" s="3">
        <v>2</v>
      </c>
      <c r="F1321" s="3">
        <v>1</v>
      </c>
      <c r="G1321" s="3" t="s">
        <v>10</v>
      </c>
      <c r="H1321" s="3" t="s">
        <v>12</v>
      </c>
      <c r="I1321" s="3" t="s">
        <v>15</v>
      </c>
      <c r="J1321" s="3" t="s">
        <v>13</v>
      </c>
      <c r="K1321" s="3" t="s">
        <v>14</v>
      </c>
      <c r="L1321" s="3" t="s">
        <v>14</v>
      </c>
      <c r="M1321" s="3" t="s">
        <v>14</v>
      </c>
      <c r="N1321" s="3" t="s">
        <v>14</v>
      </c>
      <c r="O1321" s="3">
        <v>0</v>
      </c>
    </row>
    <row r="1322" spans="1:15" ht="15" customHeight="1" x14ac:dyDescent="0.25">
      <c r="A1322" s="2">
        <v>10</v>
      </c>
      <c r="B1322" s="2" t="s">
        <v>18</v>
      </c>
      <c r="C1322" s="2" t="s">
        <v>20</v>
      </c>
      <c r="D1322" s="2" t="s">
        <v>106</v>
      </c>
      <c r="E1322" s="2">
        <v>0</v>
      </c>
      <c r="F1322" s="2">
        <v>0</v>
      </c>
      <c r="G1322" s="2" t="s">
        <v>10</v>
      </c>
      <c r="H1322" s="2" t="s">
        <v>12</v>
      </c>
      <c r="I1322" s="2">
        <v>1</v>
      </c>
      <c r="J1322" s="2" t="s">
        <v>14</v>
      </c>
      <c r="K1322" s="2" t="s">
        <v>14</v>
      </c>
      <c r="L1322" s="2" t="s">
        <v>14</v>
      </c>
      <c r="M1322" s="2" t="s">
        <v>14</v>
      </c>
      <c r="N1322" s="2" t="s">
        <v>14</v>
      </c>
      <c r="O1322" s="2">
        <v>1</v>
      </c>
    </row>
    <row r="1323" spans="1:15" ht="15" customHeight="1" x14ac:dyDescent="0.25">
      <c r="A1323" s="3">
        <v>10</v>
      </c>
      <c r="B1323" s="3" t="s">
        <v>18</v>
      </c>
      <c r="C1323" s="3" t="s">
        <v>20</v>
      </c>
      <c r="D1323" s="2" t="s">
        <v>106</v>
      </c>
      <c r="E1323" s="3">
        <v>0</v>
      </c>
      <c r="F1323" s="3">
        <v>0</v>
      </c>
      <c r="G1323" s="3" t="s">
        <v>10</v>
      </c>
      <c r="H1323" s="3" t="s">
        <v>12</v>
      </c>
      <c r="I1323" s="3" t="s">
        <v>15</v>
      </c>
      <c r="J1323" s="3" t="s">
        <v>14</v>
      </c>
      <c r="K1323" s="3" t="s">
        <v>14</v>
      </c>
      <c r="L1323" s="3" t="s">
        <v>14</v>
      </c>
      <c r="M1323" s="3" t="s">
        <v>14</v>
      </c>
      <c r="N1323" s="3" t="s">
        <v>14</v>
      </c>
      <c r="O1323" s="3">
        <v>1</v>
      </c>
    </row>
    <row r="1324" spans="1:15" ht="15" customHeight="1" x14ac:dyDescent="0.25">
      <c r="A1324" s="2">
        <v>10</v>
      </c>
      <c r="B1324" s="2" t="s">
        <v>14</v>
      </c>
      <c r="C1324" s="2" t="s">
        <v>19</v>
      </c>
      <c r="D1324" s="2" t="s">
        <v>106</v>
      </c>
      <c r="E1324" s="2">
        <v>0</v>
      </c>
      <c r="F1324" s="2">
        <v>0</v>
      </c>
      <c r="G1324" s="2" t="s">
        <v>10</v>
      </c>
      <c r="H1324" s="2" t="s">
        <v>12</v>
      </c>
      <c r="I1324" s="2" t="s">
        <v>15</v>
      </c>
      <c r="J1324" s="2" t="s">
        <v>14</v>
      </c>
      <c r="K1324" s="2" t="s">
        <v>14</v>
      </c>
      <c r="L1324" s="2" t="s">
        <v>14</v>
      </c>
      <c r="M1324" s="2" t="s">
        <v>14</v>
      </c>
      <c r="N1324" s="2" t="s">
        <v>14</v>
      </c>
      <c r="O1324" s="2">
        <v>1</v>
      </c>
    </row>
    <row r="1325" spans="1:15" ht="15" customHeight="1" x14ac:dyDescent="0.25">
      <c r="A1325" s="3">
        <v>10</v>
      </c>
      <c r="B1325" s="3" t="s">
        <v>10</v>
      </c>
      <c r="C1325" s="3" t="s">
        <v>19</v>
      </c>
      <c r="D1325" s="2" t="s">
        <v>106</v>
      </c>
      <c r="E1325" s="3">
        <v>0</v>
      </c>
      <c r="F1325" s="3">
        <v>0</v>
      </c>
      <c r="G1325" s="3" t="s">
        <v>10</v>
      </c>
      <c r="H1325" s="3" t="s">
        <v>12</v>
      </c>
      <c r="I1325" s="3">
        <v>2</v>
      </c>
      <c r="J1325" s="3" t="s">
        <v>14</v>
      </c>
      <c r="K1325" s="3" t="s">
        <v>14</v>
      </c>
      <c r="L1325" s="3" t="s">
        <v>14</v>
      </c>
      <c r="M1325" s="3" t="s">
        <v>14</v>
      </c>
      <c r="N1325" s="3" t="s">
        <v>14</v>
      </c>
      <c r="O1325" s="3">
        <v>1</v>
      </c>
    </row>
    <row r="1326" spans="1:15" ht="15" customHeight="1" x14ac:dyDescent="0.25">
      <c r="A1326" s="2">
        <v>10</v>
      </c>
      <c r="B1326" s="2" t="s">
        <v>10</v>
      </c>
      <c r="C1326" s="2" t="s">
        <v>19</v>
      </c>
      <c r="D1326" s="2" t="s">
        <v>106</v>
      </c>
      <c r="E1326" s="2">
        <v>0</v>
      </c>
      <c r="F1326" s="2">
        <v>0</v>
      </c>
      <c r="G1326" s="2" t="s">
        <v>10</v>
      </c>
      <c r="H1326" s="2" t="s">
        <v>12</v>
      </c>
      <c r="I1326" s="2" t="s">
        <v>15</v>
      </c>
      <c r="J1326" s="2" t="s">
        <v>14</v>
      </c>
      <c r="K1326" s="2" t="s">
        <v>14</v>
      </c>
      <c r="L1326" s="2" t="s">
        <v>14</v>
      </c>
      <c r="M1326" s="2" t="s">
        <v>14</v>
      </c>
      <c r="N1326" s="2" t="s">
        <v>14</v>
      </c>
      <c r="O1326" s="2">
        <v>1</v>
      </c>
    </row>
    <row r="1327" spans="1:15" ht="15" customHeight="1" x14ac:dyDescent="0.25">
      <c r="A1327" s="3">
        <v>5</v>
      </c>
      <c r="B1327" s="3" t="s">
        <v>18</v>
      </c>
      <c r="C1327" s="3" t="s">
        <v>19</v>
      </c>
      <c r="D1327" s="2" t="s">
        <v>106</v>
      </c>
      <c r="E1327" s="3">
        <v>0</v>
      </c>
      <c r="F1327" s="3">
        <v>0</v>
      </c>
      <c r="G1327" s="3" t="s">
        <v>10</v>
      </c>
      <c r="H1327" s="3" t="s">
        <v>12</v>
      </c>
      <c r="I1327" s="3">
        <v>1</v>
      </c>
      <c r="J1327" s="3" t="s">
        <v>14</v>
      </c>
      <c r="K1327" s="3" t="s">
        <v>14</v>
      </c>
      <c r="L1327" s="3" t="s">
        <v>14</v>
      </c>
      <c r="M1327" s="3" t="s">
        <v>14</v>
      </c>
      <c r="N1327" s="3" t="s">
        <v>14</v>
      </c>
      <c r="O1327" s="3">
        <v>0</v>
      </c>
    </row>
    <row r="1328" spans="1:15" ht="15" customHeight="1" x14ac:dyDescent="0.25">
      <c r="A1328" s="2">
        <v>5</v>
      </c>
      <c r="B1328" s="2" t="s">
        <v>10</v>
      </c>
      <c r="C1328" s="2" t="s">
        <v>19</v>
      </c>
      <c r="D1328" s="2" t="s">
        <v>106</v>
      </c>
      <c r="E1328" s="2">
        <v>0</v>
      </c>
      <c r="F1328" s="2">
        <v>0</v>
      </c>
      <c r="G1328" s="2" t="s">
        <v>10</v>
      </c>
      <c r="H1328" s="2" t="s">
        <v>16</v>
      </c>
      <c r="I1328" s="2">
        <v>1</v>
      </c>
      <c r="J1328" s="2" t="s">
        <v>14</v>
      </c>
      <c r="K1328" s="2" t="s">
        <v>14</v>
      </c>
      <c r="L1328" s="2" t="s">
        <v>14</v>
      </c>
      <c r="M1328" s="2" t="s">
        <v>14</v>
      </c>
      <c r="N1328" s="2" t="s">
        <v>14</v>
      </c>
      <c r="O1328" s="2">
        <v>1</v>
      </c>
    </row>
    <row r="1329" spans="1:16" ht="15" customHeight="1" x14ac:dyDescent="0.25">
      <c r="A1329" s="3">
        <v>5</v>
      </c>
      <c r="B1329" s="3" t="s">
        <v>18</v>
      </c>
      <c r="C1329" s="3" t="s">
        <v>19</v>
      </c>
      <c r="D1329" s="2" t="s">
        <v>106</v>
      </c>
      <c r="E1329" s="3">
        <v>0</v>
      </c>
      <c r="F1329" s="3">
        <v>0</v>
      </c>
      <c r="G1329" s="3" t="s">
        <v>10</v>
      </c>
      <c r="H1329" s="3" t="s">
        <v>12</v>
      </c>
      <c r="I1329" s="3">
        <v>1</v>
      </c>
      <c r="J1329" s="3" t="s">
        <v>14</v>
      </c>
      <c r="K1329" s="3" t="s">
        <v>14</v>
      </c>
      <c r="L1329" s="3" t="s">
        <v>14</v>
      </c>
      <c r="M1329" s="3" t="s">
        <v>14</v>
      </c>
      <c r="N1329" s="3" t="s">
        <v>14</v>
      </c>
      <c r="O1329" s="3">
        <v>1</v>
      </c>
    </row>
    <row r="1330" spans="1:16" ht="15" customHeight="1" x14ac:dyDescent="0.25">
      <c r="A1330" s="2">
        <v>10</v>
      </c>
      <c r="B1330" s="2" t="s">
        <v>10</v>
      </c>
      <c r="C1330" s="2" t="s">
        <v>19</v>
      </c>
      <c r="D1330" s="2" t="s">
        <v>106</v>
      </c>
      <c r="E1330" s="2">
        <v>0</v>
      </c>
      <c r="F1330" s="2">
        <v>0</v>
      </c>
      <c r="G1330" s="2" t="s">
        <v>10</v>
      </c>
      <c r="H1330" s="2" t="s">
        <v>12</v>
      </c>
      <c r="I1330" s="2">
        <v>2</v>
      </c>
      <c r="J1330" s="2" t="s">
        <v>14</v>
      </c>
      <c r="K1330" s="2" t="s">
        <v>14</v>
      </c>
      <c r="L1330" s="2" t="s">
        <v>14</v>
      </c>
      <c r="M1330" s="2" t="s">
        <v>14</v>
      </c>
      <c r="N1330" s="2" t="s">
        <v>14</v>
      </c>
      <c r="O1330" s="2">
        <v>1</v>
      </c>
    </row>
    <row r="1331" spans="1:16" ht="15" customHeight="1" x14ac:dyDescent="0.25">
      <c r="A1331" s="3">
        <v>20</v>
      </c>
      <c r="B1331" s="3" t="s">
        <v>10</v>
      </c>
      <c r="C1331" s="3" t="s">
        <v>11</v>
      </c>
      <c r="D1331" s="2" t="s">
        <v>106</v>
      </c>
      <c r="E1331" s="3">
        <v>0</v>
      </c>
      <c r="F1331" s="3">
        <v>1</v>
      </c>
      <c r="G1331" s="3" t="s">
        <v>10</v>
      </c>
      <c r="H1331" s="3" t="s">
        <v>12</v>
      </c>
      <c r="I1331" s="3" t="s">
        <v>15</v>
      </c>
      <c r="J1331" s="3" t="s">
        <v>14</v>
      </c>
      <c r="K1331" s="3" t="s">
        <v>14</v>
      </c>
      <c r="L1331" s="3" t="s">
        <v>14</v>
      </c>
      <c r="M1331" s="3" t="s">
        <v>14</v>
      </c>
      <c r="N1331" s="3" t="s">
        <v>14</v>
      </c>
      <c r="O1331" s="3">
        <v>1</v>
      </c>
    </row>
    <row r="1332" spans="1:16" ht="15" customHeight="1" x14ac:dyDescent="0.25">
      <c r="A1332" s="2">
        <v>5</v>
      </c>
      <c r="B1332" s="2" t="s">
        <v>10</v>
      </c>
      <c r="C1332" s="2" t="s">
        <v>11</v>
      </c>
      <c r="D1332" s="2" t="s">
        <v>106</v>
      </c>
      <c r="E1332" s="2">
        <v>1</v>
      </c>
      <c r="F1332" s="2">
        <v>1</v>
      </c>
      <c r="G1332" s="2" t="s">
        <v>10</v>
      </c>
      <c r="H1332" s="2" t="s">
        <v>12</v>
      </c>
      <c r="I1332" s="2">
        <v>2</v>
      </c>
      <c r="J1332" s="2" t="s">
        <v>13</v>
      </c>
      <c r="K1332" s="2" t="s">
        <v>14</v>
      </c>
      <c r="L1332" s="2" t="s">
        <v>14</v>
      </c>
      <c r="M1332" s="2" t="s">
        <v>14</v>
      </c>
      <c r="N1332" s="2" t="s">
        <v>14</v>
      </c>
      <c r="O1332" s="2">
        <v>0</v>
      </c>
    </row>
    <row r="1333" spans="1:16" ht="15" customHeight="1" x14ac:dyDescent="0.25">
      <c r="A1333" s="3">
        <v>10</v>
      </c>
      <c r="B1333" s="3" t="s">
        <v>14</v>
      </c>
      <c r="C1333" s="3" t="s">
        <v>11</v>
      </c>
      <c r="D1333" s="2" t="s">
        <v>106</v>
      </c>
      <c r="E1333" s="3">
        <v>0</v>
      </c>
      <c r="F1333" s="3">
        <v>0</v>
      </c>
      <c r="G1333" s="3" t="s">
        <v>10</v>
      </c>
      <c r="H1333" s="3" t="s">
        <v>16</v>
      </c>
      <c r="I1333" s="3">
        <v>2</v>
      </c>
      <c r="J1333" s="3" t="s">
        <v>14</v>
      </c>
      <c r="K1333" s="3" t="s">
        <v>13</v>
      </c>
      <c r="L1333" s="3" t="s">
        <v>13</v>
      </c>
      <c r="M1333" s="3" t="s">
        <v>13</v>
      </c>
      <c r="N1333" s="3" t="s">
        <v>14</v>
      </c>
      <c r="O1333" s="3">
        <v>1</v>
      </c>
    </row>
    <row r="1334" spans="1:16" ht="15" customHeight="1" x14ac:dyDescent="0.25">
      <c r="A1334" s="2">
        <v>10</v>
      </c>
      <c r="B1334" s="2" t="s">
        <v>14</v>
      </c>
      <c r="C1334" s="2" t="s">
        <v>20</v>
      </c>
      <c r="D1334" s="2" t="s">
        <v>106</v>
      </c>
      <c r="E1334" s="2">
        <v>0</v>
      </c>
      <c r="F1334" s="2">
        <v>0</v>
      </c>
      <c r="G1334" s="2" t="s">
        <v>10</v>
      </c>
      <c r="H1334" s="2" t="s">
        <v>12</v>
      </c>
      <c r="I1334" s="2" t="s">
        <v>15</v>
      </c>
      <c r="J1334" s="2" t="s">
        <v>14</v>
      </c>
      <c r="K1334" s="2" t="s">
        <v>14</v>
      </c>
      <c r="L1334" s="2" t="s">
        <v>14</v>
      </c>
      <c r="M1334" s="2" t="s">
        <v>14</v>
      </c>
      <c r="N1334" s="2" t="s">
        <v>14</v>
      </c>
      <c r="O1334" s="2">
        <v>1</v>
      </c>
    </row>
    <row r="1335" spans="1:16" ht="15" customHeight="1" x14ac:dyDescent="0.25">
      <c r="A1335" s="3">
        <v>10</v>
      </c>
      <c r="B1335" s="3" t="s">
        <v>10</v>
      </c>
      <c r="C1335" s="3" t="s">
        <v>19</v>
      </c>
      <c r="D1335" s="2" t="s">
        <v>106</v>
      </c>
      <c r="E1335" s="3">
        <v>0</v>
      </c>
      <c r="F1335" s="3">
        <v>0</v>
      </c>
      <c r="G1335" s="3" t="s">
        <v>10</v>
      </c>
      <c r="H1335" s="3" t="s">
        <v>12</v>
      </c>
      <c r="I1335" s="3">
        <v>2</v>
      </c>
      <c r="J1335" s="3" t="s">
        <v>14</v>
      </c>
      <c r="K1335" s="3" t="s">
        <v>14</v>
      </c>
      <c r="L1335" s="3" t="s">
        <v>14</v>
      </c>
      <c r="M1335" s="3" t="s">
        <v>14</v>
      </c>
      <c r="N1335" s="3" t="s">
        <v>14</v>
      </c>
      <c r="O1335" s="3">
        <v>1</v>
      </c>
    </row>
    <row r="1336" spans="1:16" ht="15" customHeight="1" x14ac:dyDescent="0.25">
      <c r="A1336" s="2">
        <v>5</v>
      </c>
      <c r="B1336" s="2" t="s">
        <v>18</v>
      </c>
      <c r="C1336" s="2" t="s">
        <v>19</v>
      </c>
      <c r="D1336" s="2" t="s">
        <v>106</v>
      </c>
      <c r="E1336" s="2">
        <v>0</v>
      </c>
      <c r="F1336" s="2">
        <v>0</v>
      </c>
      <c r="G1336" s="2" t="s">
        <v>10</v>
      </c>
      <c r="H1336" s="2" t="s">
        <v>12</v>
      </c>
      <c r="I1336" s="2" t="s">
        <v>15</v>
      </c>
      <c r="J1336" s="2" t="s">
        <v>14</v>
      </c>
      <c r="K1336" s="2" t="s">
        <v>14</v>
      </c>
      <c r="L1336" s="2" t="s">
        <v>14</v>
      </c>
      <c r="M1336" s="2" t="s">
        <v>14</v>
      </c>
      <c r="N1336" s="2" t="s">
        <v>14</v>
      </c>
      <c r="O1336" s="2">
        <v>1</v>
      </c>
    </row>
    <row r="1337" spans="1:16" ht="15" customHeight="1" x14ac:dyDescent="0.25">
      <c r="A1337" s="3">
        <v>30</v>
      </c>
      <c r="B1337" s="3" t="s">
        <v>10</v>
      </c>
      <c r="C1337" s="3" t="s">
        <v>11</v>
      </c>
      <c r="D1337" s="2" t="s">
        <v>106</v>
      </c>
      <c r="E1337" s="3">
        <v>1</v>
      </c>
      <c r="F1337" s="3">
        <v>1</v>
      </c>
      <c r="G1337" s="3" t="s">
        <v>10</v>
      </c>
      <c r="H1337" s="3" t="s">
        <v>12</v>
      </c>
      <c r="I1337" s="3" t="s">
        <v>15</v>
      </c>
      <c r="J1337" s="3" t="s">
        <v>13</v>
      </c>
      <c r="K1337" s="3" t="s">
        <v>14</v>
      </c>
      <c r="L1337" s="3" t="s">
        <v>14</v>
      </c>
      <c r="M1337" s="3" t="s">
        <v>13</v>
      </c>
      <c r="N1337" s="3" t="s">
        <v>14</v>
      </c>
      <c r="O1337" s="3">
        <v>0</v>
      </c>
    </row>
    <row r="1338" spans="1:16" ht="15" customHeight="1" x14ac:dyDescent="0.25">
      <c r="A1338" s="2">
        <v>0</v>
      </c>
      <c r="B1338" s="2" t="s">
        <v>10</v>
      </c>
      <c r="C1338" s="2" t="s">
        <v>20</v>
      </c>
      <c r="D1338" s="2" t="s">
        <v>106</v>
      </c>
      <c r="E1338" s="2">
        <v>0</v>
      </c>
      <c r="F1338" s="2">
        <v>0</v>
      </c>
      <c r="G1338" s="2" t="s">
        <v>18</v>
      </c>
      <c r="H1338" s="2" t="s">
        <v>106</v>
      </c>
      <c r="I1338" s="2">
        <v>1</v>
      </c>
      <c r="J1338" s="2" t="s">
        <v>14</v>
      </c>
      <c r="K1338" s="2" t="s">
        <v>13</v>
      </c>
      <c r="L1338" s="2" t="s">
        <v>13</v>
      </c>
      <c r="M1338" s="2" t="s">
        <v>14</v>
      </c>
      <c r="N1338" s="2" t="s">
        <v>14</v>
      </c>
      <c r="O1338" s="2">
        <v>0</v>
      </c>
    </row>
    <row r="1339" spans="1:16" ht="15" customHeight="1" x14ac:dyDescent="0.25">
      <c r="A1339" s="3">
        <v>0</v>
      </c>
      <c r="B1339" s="3" t="s">
        <v>18</v>
      </c>
      <c r="C1339" s="3" t="s">
        <v>11</v>
      </c>
      <c r="D1339" s="2" t="s">
        <v>106</v>
      </c>
      <c r="E1339" s="3">
        <v>0</v>
      </c>
      <c r="F1339" s="3">
        <v>0</v>
      </c>
      <c r="G1339" s="3" t="s">
        <v>10</v>
      </c>
      <c r="H1339" s="3" t="s">
        <v>12</v>
      </c>
      <c r="I1339" s="3">
        <v>1</v>
      </c>
      <c r="J1339" s="3" t="s">
        <v>14</v>
      </c>
      <c r="K1339" s="3" t="s">
        <v>14</v>
      </c>
      <c r="L1339" s="3" t="s">
        <v>14</v>
      </c>
      <c r="M1339" s="3" t="s">
        <v>14</v>
      </c>
      <c r="N1339" s="3" t="s">
        <v>14</v>
      </c>
      <c r="O1339" s="3">
        <v>1</v>
      </c>
      <c r="P1339" s="25"/>
    </row>
    <row r="1340" spans="1:16" ht="15" customHeight="1" x14ac:dyDescent="0.25">
      <c r="A1340" s="2">
        <v>30</v>
      </c>
      <c r="B1340" s="2" t="s">
        <v>10</v>
      </c>
      <c r="C1340" s="2" t="s">
        <v>19</v>
      </c>
      <c r="D1340" s="2" t="s">
        <v>106</v>
      </c>
      <c r="E1340" s="2">
        <v>0</v>
      </c>
      <c r="F1340" s="2">
        <v>0</v>
      </c>
      <c r="G1340" s="2" t="s">
        <v>10</v>
      </c>
      <c r="H1340" s="2" t="s">
        <v>12</v>
      </c>
      <c r="I1340" s="2">
        <v>2</v>
      </c>
      <c r="J1340" s="2" t="s">
        <v>14</v>
      </c>
      <c r="K1340" s="2" t="s">
        <v>14</v>
      </c>
      <c r="L1340" s="2" t="s">
        <v>14</v>
      </c>
      <c r="M1340" s="2" t="s">
        <v>13</v>
      </c>
      <c r="N1340" s="2" t="s">
        <v>14</v>
      </c>
      <c r="O1340" s="2">
        <v>0</v>
      </c>
    </row>
    <row r="1341" spans="1:16" ht="15" customHeight="1" x14ac:dyDescent="0.25">
      <c r="A1341" s="3">
        <v>0</v>
      </c>
      <c r="B1341" s="3" t="s">
        <v>14</v>
      </c>
      <c r="C1341" s="3" t="s">
        <v>19</v>
      </c>
      <c r="D1341" s="2" t="s">
        <v>106</v>
      </c>
      <c r="E1341" s="3">
        <v>0</v>
      </c>
      <c r="F1341" s="3">
        <v>1</v>
      </c>
      <c r="G1341" s="3" t="s">
        <v>10</v>
      </c>
      <c r="H1341" s="3" t="s">
        <v>12</v>
      </c>
      <c r="I1341" s="3">
        <v>2</v>
      </c>
      <c r="J1341" s="3" t="s">
        <v>14</v>
      </c>
      <c r="K1341" s="3" t="s">
        <v>14</v>
      </c>
      <c r="L1341" s="3" t="s">
        <v>14</v>
      </c>
      <c r="M1341" s="3" t="s">
        <v>14</v>
      </c>
      <c r="N1341" s="3" t="s">
        <v>14</v>
      </c>
      <c r="O1341" s="3">
        <v>1</v>
      </c>
    </row>
    <row r="1342" spans="1:16" ht="15" customHeight="1" x14ac:dyDescent="0.25">
      <c r="A1342" s="2">
        <v>0</v>
      </c>
      <c r="B1342" s="2" t="s">
        <v>10</v>
      </c>
      <c r="C1342" s="2" t="s">
        <v>19</v>
      </c>
      <c r="D1342" s="2" t="s">
        <v>106</v>
      </c>
      <c r="E1342" s="2">
        <v>0</v>
      </c>
      <c r="F1342" s="2">
        <v>0</v>
      </c>
      <c r="G1342" s="2" t="s">
        <v>10</v>
      </c>
      <c r="H1342" s="2" t="s">
        <v>12</v>
      </c>
      <c r="I1342" s="2">
        <v>2</v>
      </c>
      <c r="J1342" s="2" t="s">
        <v>14</v>
      </c>
      <c r="K1342" s="2" t="s">
        <v>14</v>
      </c>
      <c r="L1342" s="2" t="s">
        <v>14</v>
      </c>
      <c r="M1342" s="2" t="s">
        <v>14</v>
      </c>
      <c r="N1342" s="2" t="s">
        <v>14</v>
      </c>
      <c r="O1342" s="2">
        <v>1</v>
      </c>
    </row>
    <row r="1343" spans="1:16" ht="15" customHeight="1" x14ac:dyDescent="0.25">
      <c r="A1343" s="3">
        <v>10</v>
      </c>
      <c r="B1343" s="3" t="s">
        <v>10</v>
      </c>
      <c r="C1343" s="3" t="s">
        <v>19</v>
      </c>
      <c r="D1343" s="2" t="s">
        <v>106</v>
      </c>
      <c r="E1343" s="3">
        <v>0</v>
      </c>
      <c r="F1343" s="3">
        <v>1</v>
      </c>
      <c r="G1343" s="3" t="s">
        <v>10</v>
      </c>
      <c r="H1343" s="3" t="s">
        <v>12</v>
      </c>
      <c r="I1343" s="3">
        <v>1</v>
      </c>
      <c r="J1343" s="3" t="s">
        <v>14</v>
      </c>
      <c r="K1343" s="3" t="s">
        <v>13</v>
      </c>
      <c r="L1343" s="3" t="s">
        <v>13</v>
      </c>
      <c r="M1343" s="3" t="s">
        <v>13</v>
      </c>
      <c r="N1343" s="3" t="s">
        <v>14</v>
      </c>
      <c r="O1343" s="3">
        <v>1</v>
      </c>
    </row>
    <row r="1344" spans="1:16" ht="15" customHeight="1" x14ac:dyDescent="0.25">
      <c r="A1344" s="2">
        <v>5</v>
      </c>
      <c r="B1344" s="2" t="s">
        <v>10</v>
      </c>
      <c r="C1344" s="2" t="s">
        <v>19</v>
      </c>
      <c r="D1344" s="2" t="s">
        <v>106</v>
      </c>
      <c r="E1344" s="2">
        <v>1</v>
      </c>
      <c r="F1344" s="2">
        <v>0</v>
      </c>
      <c r="G1344" s="2" t="s">
        <v>10</v>
      </c>
      <c r="H1344" s="2" t="s">
        <v>12</v>
      </c>
      <c r="I1344" s="2">
        <v>1</v>
      </c>
      <c r="J1344" s="2" t="s">
        <v>14</v>
      </c>
      <c r="K1344" s="2" t="s">
        <v>13</v>
      </c>
      <c r="L1344" s="2" t="s">
        <v>13</v>
      </c>
      <c r="M1344" s="2" t="s">
        <v>13</v>
      </c>
      <c r="N1344" s="2" t="s">
        <v>14</v>
      </c>
      <c r="O1344" s="2">
        <v>1</v>
      </c>
    </row>
    <row r="1345" spans="1:15" ht="15" customHeight="1" x14ac:dyDescent="0.25">
      <c r="A1345" s="3">
        <v>10</v>
      </c>
      <c r="B1345" s="3" t="s">
        <v>10</v>
      </c>
      <c r="C1345" s="3" t="s">
        <v>11</v>
      </c>
      <c r="D1345" s="2" t="s">
        <v>106</v>
      </c>
      <c r="E1345" s="3">
        <v>1</v>
      </c>
      <c r="F1345" s="3">
        <v>0</v>
      </c>
      <c r="G1345" s="3" t="s">
        <v>10</v>
      </c>
      <c r="H1345" s="3" t="s">
        <v>16</v>
      </c>
      <c r="I1345" s="3">
        <v>1</v>
      </c>
      <c r="J1345" s="3" t="s">
        <v>14</v>
      </c>
      <c r="K1345" s="3" t="s">
        <v>13</v>
      </c>
      <c r="L1345" s="3" t="s">
        <v>13</v>
      </c>
      <c r="M1345" s="3" t="s">
        <v>13</v>
      </c>
      <c r="N1345" s="3" t="s">
        <v>13</v>
      </c>
      <c r="O1345" s="3">
        <v>0</v>
      </c>
    </row>
    <row r="1346" spans="1:15" ht="15" customHeight="1" x14ac:dyDescent="0.25">
      <c r="A1346" s="2">
        <v>5</v>
      </c>
      <c r="B1346" s="2" t="s">
        <v>18</v>
      </c>
      <c r="C1346" s="2" t="s">
        <v>11</v>
      </c>
      <c r="D1346" s="2" t="s">
        <v>106</v>
      </c>
      <c r="E1346" s="2">
        <v>1</v>
      </c>
      <c r="F1346" s="2">
        <v>2</v>
      </c>
      <c r="G1346" s="2" t="s">
        <v>17</v>
      </c>
      <c r="H1346" s="2" t="s">
        <v>106</v>
      </c>
      <c r="I1346" s="2">
        <v>1</v>
      </c>
      <c r="J1346" s="2" t="s">
        <v>14</v>
      </c>
      <c r="K1346" s="2" t="s">
        <v>13</v>
      </c>
      <c r="L1346" s="2" t="s">
        <v>13</v>
      </c>
      <c r="M1346" s="2" t="s">
        <v>13</v>
      </c>
      <c r="N1346" s="2" t="s">
        <v>14</v>
      </c>
      <c r="O1346" s="2">
        <v>1</v>
      </c>
    </row>
    <row r="1347" spans="1:15" ht="15" customHeight="1" x14ac:dyDescent="0.25">
      <c r="A1347" s="3">
        <v>10</v>
      </c>
      <c r="B1347" s="3" t="s">
        <v>14</v>
      </c>
      <c r="C1347" s="3" t="s">
        <v>20</v>
      </c>
      <c r="D1347" s="2" t="s">
        <v>106</v>
      </c>
      <c r="E1347" s="3">
        <v>0</v>
      </c>
      <c r="F1347" s="3">
        <v>0</v>
      </c>
      <c r="G1347" s="3" t="s">
        <v>10</v>
      </c>
      <c r="H1347" s="3" t="s">
        <v>12</v>
      </c>
      <c r="I1347" s="3">
        <v>2</v>
      </c>
      <c r="J1347" s="3" t="s">
        <v>14</v>
      </c>
      <c r="K1347" s="3" t="s">
        <v>14</v>
      </c>
      <c r="L1347" s="3" t="s">
        <v>14</v>
      </c>
      <c r="M1347" s="3" t="s">
        <v>14</v>
      </c>
      <c r="N1347" s="3" t="s">
        <v>14</v>
      </c>
      <c r="O1347" s="3">
        <v>1</v>
      </c>
    </row>
    <row r="1348" spans="1:15" ht="15" customHeight="1" x14ac:dyDescent="0.25">
      <c r="A1348" s="2">
        <v>30</v>
      </c>
      <c r="B1348" s="2" t="s">
        <v>10</v>
      </c>
      <c r="C1348" s="2" t="s">
        <v>19</v>
      </c>
      <c r="D1348" s="2" t="s">
        <v>106</v>
      </c>
      <c r="E1348" s="2">
        <v>1</v>
      </c>
      <c r="F1348" s="2">
        <v>0</v>
      </c>
      <c r="G1348" s="2" t="s">
        <v>10</v>
      </c>
      <c r="H1348" s="2" t="s">
        <v>16</v>
      </c>
      <c r="I1348" s="2">
        <v>2</v>
      </c>
      <c r="J1348" s="2" t="s">
        <v>14</v>
      </c>
      <c r="K1348" s="2" t="s">
        <v>14</v>
      </c>
      <c r="L1348" s="2" t="s">
        <v>14</v>
      </c>
      <c r="M1348" s="2" t="s">
        <v>13</v>
      </c>
      <c r="N1348" s="2" t="s">
        <v>14</v>
      </c>
      <c r="O1348" s="2">
        <v>0</v>
      </c>
    </row>
    <row r="1349" spans="1:15" ht="15" customHeight="1" x14ac:dyDescent="0.25">
      <c r="A1349" s="3">
        <v>5</v>
      </c>
      <c r="B1349" s="3" t="s">
        <v>14</v>
      </c>
      <c r="C1349" s="3" t="s">
        <v>19</v>
      </c>
      <c r="D1349" s="2" t="s">
        <v>106</v>
      </c>
      <c r="E1349" s="3">
        <v>0</v>
      </c>
      <c r="F1349" s="3">
        <v>0</v>
      </c>
      <c r="G1349" s="3" t="s">
        <v>17</v>
      </c>
      <c r="H1349" s="3" t="s">
        <v>106</v>
      </c>
      <c r="I1349" s="3">
        <v>1</v>
      </c>
      <c r="J1349" s="3" t="s">
        <v>14</v>
      </c>
      <c r="K1349" s="3" t="s">
        <v>13</v>
      </c>
      <c r="L1349" s="3" t="s">
        <v>13</v>
      </c>
      <c r="M1349" s="3" t="s">
        <v>14</v>
      </c>
      <c r="N1349" s="3" t="s">
        <v>14</v>
      </c>
      <c r="O1349" s="3">
        <v>1</v>
      </c>
    </row>
    <row r="1350" spans="1:15" ht="15" customHeight="1" x14ac:dyDescent="0.25">
      <c r="A1350" s="2">
        <v>10</v>
      </c>
      <c r="B1350" s="2" t="s">
        <v>18</v>
      </c>
      <c r="C1350" s="2" t="s">
        <v>19</v>
      </c>
      <c r="D1350" s="2" t="s">
        <v>106</v>
      </c>
      <c r="E1350" s="2">
        <v>0</v>
      </c>
      <c r="F1350" s="2">
        <v>0</v>
      </c>
      <c r="G1350" s="2" t="s">
        <v>10</v>
      </c>
      <c r="H1350" s="2" t="s">
        <v>12</v>
      </c>
      <c r="I1350" s="2">
        <v>2</v>
      </c>
      <c r="J1350" s="2" t="s">
        <v>14</v>
      </c>
      <c r="K1350" s="2" t="s">
        <v>13</v>
      </c>
      <c r="L1350" s="2" t="s">
        <v>14</v>
      </c>
      <c r="M1350" s="2" t="s">
        <v>14</v>
      </c>
      <c r="N1350" s="2" t="s">
        <v>14</v>
      </c>
      <c r="O1350" s="2">
        <v>1</v>
      </c>
    </row>
    <row r="1351" spans="1:15" ht="15" customHeight="1" x14ac:dyDescent="0.25">
      <c r="A1351" s="3">
        <v>10</v>
      </c>
      <c r="B1351" s="3" t="s">
        <v>10</v>
      </c>
      <c r="C1351" s="3" t="s">
        <v>19</v>
      </c>
      <c r="D1351" s="2" t="s">
        <v>106</v>
      </c>
      <c r="E1351" s="3">
        <v>0</v>
      </c>
      <c r="F1351" s="3">
        <v>0</v>
      </c>
      <c r="G1351" s="3" t="s">
        <v>10</v>
      </c>
      <c r="H1351" s="3" t="s">
        <v>12</v>
      </c>
      <c r="I1351" s="3">
        <v>2</v>
      </c>
      <c r="J1351" s="3" t="s">
        <v>14</v>
      </c>
      <c r="K1351" s="3" t="s">
        <v>14</v>
      </c>
      <c r="L1351" s="3" t="s">
        <v>14</v>
      </c>
      <c r="M1351" s="3" t="s">
        <v>14</v>
      </c>
      <c r="N1351" s="3" t="s">
        <v>14</v>
      </c>
      <c r="O1351" s="3">
        <v>1</v>
      </c>
    </row>
    <row r="1352" spans="1:15" ht="15" customHeight="1" x14ac:dyDescent="0.25">
      <c r="A1352" s="2">
        <v>10</v>
      </c>
      <c r="B1352" s="2" t="s">
        <v>10</v>
      </c>
      <c r="C1352" s="2" t="s">
        <v>11</v>
      </c>
      <c r="D1352" s="2" t="s">
        <v>106</v>
      </c>
      <c r="E1352" s="2">
        <v>1</v>
      </c>
      <c r="F1352" s="2">
        <v>1</v>
      </c>
      <c r="G1352" s="2" t="s">
        <v>10</v>
      </c>
      <c r="H1352" s="2" t="s">
        <v>12</v>
      </c>
      <c r="I1352" s="2">
        <v>1</v>
      </c>
      <c r="J1352" s="2" t="s">
        <v>13</v>
      </c>
      <c r="K1352" s="2" t="s">
        <v>14</v>
      </c>
      <c r="L1352" s="2" t="s">
        <v>14</v>
      </c>
      <c r="M1352" s="2" t="s">
        <v>14</v>
      </c>
      <c r="N1352" s="2" t="s">
        <v>14</v>
      </c>
      <c r="O1352" s="2">
        <v>1</v>
      </c>
    </row>
    <row r="1353" spans="1:15" ht="15" customHeight="1" x14ac:dyDescent="0.25">
      <c r="A1353" s="3">
        <v>5</v>
      </c>
      <c r="B1353" s="3" t="s">
        <v>10</v>
      </c>
      <c r="C1353" s="3" t="s">
        <v>20</v>
      </c>
      <c r="D1353" s="2" t="s">
        <v>106</v>
      </c>
      <c r="E1353" s="3">
        <v>0</v>
      </c>
      <c r="F1353" s="3">
        <v>0</v>
      </c>
      <c r="G1353" s="3" t="s">
        <v>10</v>
      </c>
      <c r="H1353" s="3" t="s">
        <v>12</v>
      </c>
      <c r="I1353" s="3" t="s">
        <v>15</v>
      </c>
      <c r="J1353" s="3" t="s">
        <v>14</v>
      </c>
      <c r="K1353" s="3" t="s">
        <v>14</v>
      </c>
      <c r="L1353" s="3" t="s">
        <v>14</v>
      </c>
      <c r="M1353" s="3" t="s">
        <v>14</v>
      </c>
      <c r="N1353" s="3" t="s">
        <v>14</v>
      </c>
      <c r="O1353" s="3">
        <v>1</v>
      </c>
    </row>
    <row r="1354" spans="1:15" ht="15" customHeight="1" x14ac:dyDescent="0.25">
      <c r="A1354" s="2">
        <v>30</v>
      </c>
      <c r="B1354" s="2" t="s">
        <v>10</v>
      </c>
      <c r="C1354" s="2" t="s">
        <v>19</v>
      </c>
      <c r="D1354" s="2" t="s">
        <v>106</v>
      </c>
      <c r="E1354" s="2">
        <v>0</v>
      </c>
      <c r="F1354" s="2">
        <v>1</v>
      </c>
      <c r="G1354" s="2" t="s">
        <v>10</v>
      </c>
      <c r="H1354" s="2" t="s">
        <v>12</v>
      </c>
      <c r="I1354" s="2">
        <v>2</v>
      </c>
      <c r="J1354" s="2" t="s">
        <v>14</v>
      </c>
      <c r="K1354" s="2" t="s">
        <v>14</v>
      </c>
      <c r="L1354" s="2" t="s">
        <v>14</v>
      </c>
      <c r="M1354" s="2" t="s">
        <v>13</v>
      </c>
      <c r="N1354" s="2" t="s">
        <v>14</v>
      </c>
      <c r="O1354" s="2">
        <v>1</v>
      </c>
    </row>
    <row r="1355" spans="1:15" ht="15" customHeight="1" x14ac:dyDescent="0.25">
      <c r="A1355" s="3">
        <v>20</v>
      </c>
      <c r="B1355" s="3" t="s">
        <v>14</v>
      </c>
      <c r="C1355" s="3" t="s">
        <v>19</v>
      </c>
      <c r="D1355" s="2" t="s">
        <v>106</v>
      </c>
      <c r="E1355" s="3">
        <v>0</v>
      </c>
      <c r="F1355" s="3">
        <v>0</v>
      </c>
      <c r="G1355" s="3" t="s">
        <v>10</v>
      </c>
      <c r="H1355" s="3" t="s">
        <v>12</v>
      </c>
      <c r="I1355" s="3">
        <v>2</v>
      </c>
      <c r="J1355" s="3" t="s">
        <v>14</v>
      </c>
      <c r="K1355" s="3" t="s">
        <v>14</v>
      </c>
      <c r="L1355" s="3" t="s">
        <v>14</v>
      </c>
      <c r="M1355" s="3" t="s">
        <v>14</v>
      </c>
      <c r="N1355" s="3" t="s">
        <v>14</v>
      </c>
      <c r="O1355" s="3">
        <v>1</v>
      </c>
    </row>
    <row r="1356" spans="1:15" ht="15" customHeight="1" x14ac:dyDescent="0.25">
      <c r="A1356" s="2">
        <v>10</v>
      </c>
      <c r="B1356" s="2" t="s">
        <v>10</v>
      </c>
      <c r="C1356" s="2" t="s">
        <v>19</v>
      </c>
      <c r="D1356" s="2" t="s">
        <v>106</v>
      </c>
      <c r="E1356" s="2">
        <v>0</v>
      </c>
      <c r="F1356" s="2">
        <v>0</v>
      </c>
      <c r="G1356" s="2" t="s">
        <v>10</v>
      </c>
      <c r="H1356" s="2" t="s">
        <v>12</v>
      </c>
      <c r="I1356" s="2" t="s">
        <v>15</v>
      </c>
      <c r="J1356" s="2" t="s">
        <v>14</v>
      </c>
      <c r="K1356" s="2" t="s">
        <v>14</v>
      </c>
      <c r="L1356" s="2" t="s">
        <v>14</v>
      </c>
      <c r="M1356" s="2" t="s">
        <v>14</v>
      </c>
      <c r="N1356" s="2" t="s">
        <v>14</v>
      </c>
      <c r="O1356" s="2">
        <v>1</v>
      </c>
    </row>
    <row r="1357" spans="1:15" ht="15" customHeight="1" x14ac:dyDescent="0.25">
      <c r="A1357" s="3">
        <v>10</v>
      </c>
      <c r="B1357" s="3" t="s">
        <v>18</v>
      </c>
      <c r="C1357" s="3" t="s">
        <v>19</v>
      </c>
      <c r="D1357" s="2" t="s">
        <v>106</v>
      </c>
      <c r="E1357" s="3">
        <v>0</v>
      </c>
      <c r="F1357" s="3">
        <v>0</v>
      </c>
      <c r="G1357" s="3" t="s">
        <v>10</v>
      </c>
      <c r="H1357" s="3" t="s">
        <v>16</v>
      </c>
      <c r="I1357" s="3">
        <v>2</v>
      </c>
      <c r="J1357" s="3" t="s">
        <v>14</v>
      </c>
      <c r="K1357" s="3" t="s">
        <v>14</v>
      </c>
      <c r="L1357" s="3" t="s">
        <v>14</v>
      </c>
      <c r="M1357" s="3" t="s">
        <v>14</v>
      </c>
      <c r="N1357" s="3" t="s">
        <v>14</v>
      </c>
      <c r="O1357" s="3">
        <v>1</v>
      </c>
    </row>
    <row r="1358" spans="1:15" ht="15" customHeight="1" x14ac:dyDescent="0.25">
      <c r="A1358" s="2">
        <v>20</v>
      </c>
      <c r="B1358" s="2" t="s">
        <v>10</v>
      </c>
      <c r="C1358" s="2" t="s">
        <v>11</v>
      </c>
      <c r="D1358" s="2" t="s">
        <v>106</v>
      </c>
      <c r="E1358" s="2">
        <v>1</v>
      </c>
      <c r="F1358" s="2">
        <v>1</v>
      </c>
      <c r="G1358" s="2" t="s">
        <v>10</v>
      </c>
      <c r="H1358" s="2" t="s">
        <v>12</v>
      </c>
      <c r="I1358" s="2">
        <v>2</v>
      </c>
      <c r="J1358" s="2" t="s">
        <v>13</v>
      </c>
      <c r="K1358" s="2" t="s">
        <v>14</v>
      </c>
      <c r="L1358" s="2" t="s">
        <v>14</v>
      </c>
      <c r="M1358" s="2" t="s">
        <v>13</v>
      </c>
      <c r="N1358" s="2" t="s">
        <v>14</v>
      </c>
      <c r="O1358" s="2">
        <v>1</v>
      </c>
    </row>
    <row r="1359" spans="1:15" ht="15" customHeight="1" x14ac:dyDescent="0.25">
      <c r="A1359" s="3">
        <v>10</v>
      </c>
      <c r="B1359" s="3" t="s">
        <v>10</v>
      </c>
      <c r="C1359" s="3" t="s">
        <v>20</v>
      </c>
      <c r="D1359" s="2" t="s">
        <v>106</v>
      </c>
      <c r="E1359" s="3">
        <v>0</v>
      </c>
      <c r="F1359" s="3">
        <v>0</v>
      </c>
      <c r="G1359" s="3" t="s">
        <v>17</v>
      </c>
      <c r="H1359" s="3" t="s">
        <v>106</v>
      </c>
      <c r="I1359" s="3">
        <v>1</v>
      </c>
      <c r="J1359" s="3" t="s">
        <v>14</v>
      </c>
      <c r="K1359" s="3" t="s">
        <v>13</v>
      </c>
      <c r="L1359" s="3" t="s">
        <v>13</v>
      </c>
      <c r="M1359" s="3" t="s">
        <v>14</v>
      </c>
      <c r="N1359" s="3" t="s">
        <v>14</v>
      </c>
      <c r="O1359" s="3">
        <v>1</v>
      </c>
    </row>
    <row r="1360" spans="1:15" ht="15" customHeight="1" x14ac:dyDescent="0.25">
      <c r="A1360" s="2">
        <v>5</v>
      </c>
      <c r="B1360" s="2" t="s">
        <v>10</v>
      </c>
      <c r="C1360" s="2" t="s">
        <v>20</v>
      </c>
      <c r="D1360" s="2" t="s">
        <v>106</v>
      </c>
      <c r="E1360" s="2">
        <v>0</v>
      </c>
      <c r="F1360" s="2">
        <v>1</v>
      </c>
      <c r="G1360" s="2" t="s">
        <v>10</v>
      </c>
      <c r="H1360" s="2" t="s">
        <v>12</v>
      </c>
      <c r="I1360" s="2">
        <v>1</v>
      </c>
      <c r="J1360" s="2" t="s">
        <v>14</v>
      </c>
      <c r="K1360" s="2" t="s">
        <v>13</v>
      </c>
      <c r="L1360" s="2" t="s">
        <v>13</v>
      </c>
      <c r="M1360" s="2" t="s">
        <v>14</v>
      </c>
      <c r="N1360" s="2" t="s">
        <v>14</v>
      </c>
      <c r="O1360" s="2">
        <v>0</v>
      </c>
    </row>
    <row r="1361" spans="1:15" ht="15" customHeight="1" x14ac:dyDescent="0.25">
      <c r="A1361" s="3">
        <v>10</v>
      </c>
      <c r="B1361" s="3" t="s">
        <v>18</v>
      </c>
      <c r="C1361" s="3" t="s">
        <v>19</v>
      </c>
      <c r="D1361" s="2" t="s">
        <v>106</v>
      </c>
      <c r="E1361" s="3">
        <v>0</v>
      </c>
      <c r="F1361" s="3">
        <v>1</v>
      </c>
      <c r="G1361" s="3" t="s">
        <v>10</v>
      </c>
      <c r="H1361" s="3" t="s">
        <v>16</v>
      </c>
      <c r="I1361" s="3">
        <v>1</v>
      </c>
      <c r="J1361" s="3" t="s">
        <v>14</v>
      </c>
      <c r="K1361" s="3" t="s">
        <v>14</v>
      </c>
      <c r="L1361" s="3" t="s">
        <v>14</v>
      </c>
      <c r="M1361" s="3" t="s">
        <v>14</v>
      </c>
      <c r="N1361" s="3" t="s">
        <v>14</v>
      </c>
      <c r="O1361" s="3">
        <v>1</v>
      </c>
    </row>
    <row r="1362" spans="1:15" ht="15" customHeight="1" x14ac:dyDescent="0.25">
      <c r="A1362" s="2">
        <v>10</v>
      </c>
      <c r="B1362" s="2" t="s">
        <v>18</v>
      </c>
      <c r="C1362" s="2" t="s">
        <v>20</v>
      </c>
      <c r="D1362" s="2" t="s">
        <v>106</v>
      </c>
      <c r="E1362" s="2">
        <v>0</v>
      </c>
      <c r="F1362" s="2">
        <v>0</v>
      </c>
      <c r="G1362" s="2" t="s">
        <v>10</v>
      </c>
      <c r="H1362" s="2" t="s">
        <v>12</v>
      </c>
      <c r="I1362" s="2">
        <v>1</v>
      </c>
      <c r="J1362" s="2" t="s">
        <v>14</v>
      </c>
      <c r="K1362" s="2" t="s">
        <v>14</v>
      </c>
      <c r="L1362" s="2" t="s">
        <v>14</v>
      </c>
      <c r="M1362" s="2" t="s">
        <v>14</v>
      </c>
      <c r="N1362" s="2" t="s">
        <v>14</v>
      </c>
      <c r="O1362" s="2">
        <v>1</v>
      </c>
    </row>
    <row r="1363" spans="1:15" ht="15" customHeight="1" x14ac:dyDescent="0.25">
      <c r="A1363" s="3">
        <v>0</v>
      </c>
      <c r="B1363" s="3" t="s">
        <v>10</v>
      </c>
      <c r="C1363" s="3" t="s">
        <v>20</v>
      </c>
      <c r="D1363" s="2" t="s">
        <v>106</v>
      </c>
      <c r="E1363" s="3">
        <v>0</v>
      </c>
      <c r="F1363" s="3">
        <v>0</v>
      </c>
      <c r="G1363" s="3" t="s">
        <v>10</v>
      </c>
      <c r="H1363" s="3" t="s">
        <v>12</v>
      </c>
      <c r="I1363" s="3" t="s">
        <v>15</v>
      </c>
      <c r="J1363" s="3" t="s">
        <v>14</v>
      </c>
      <c r="K1363" s="3" t="s">
        <v>14</v>
      </c>
      <c r="L1363" s="3" t="s">
        <v>14</v>
      </c>
      <c r="M1363" s="3" t="s">
        <v>14</v>
      </c>
      <c r="N1363" s="3" t="s">
        <v>14</v>
      </c>
      <c r="O1363" s="3">
        <v>1</v>
      </c>
    </row>
    <row r="1364" spans="1:15" ht="15" customHeight="1" x14ac:dyDescent="0.25">
      <c r="A1364" s="2">
        <v>10</v>
      </c>
      <c r="B1364" s="2" t="s">
        <v>10</v>
      </c>
      <c r="C1364" s="2" t="s">
        <v>19</v>
      </c>
      <c r="D1364" s="2" t="s">
        <v>106</v>
      </c>
      <c r="E1364" s="2">
        <v>0</v>
      </c>
      <c r="F1364" s="2">
        <v>0</v>
      </c>
      <c r="G1364" s="2" t="s">
        <v>10</v>
      </c>
      <c r="H1364" s="2" t="s">
        <v>12</v>
      </c>
      <c r="I1364" s="2">
        <v>2</v>
      </c>
      <c r="J1364" s="2" t="s">
        <v>14</v>
      </c>
      <c r="K1364" s="2" t="s">
        <v>14</v>
      </c>
      <c r="L1364" s="2" t="s">
        <v>14</v>
      </c>
      <c r="M1364" s="2" t="s">
        <v>14</v>
      </c>
      <c r="N1364" s="2" t="s">
        <v>14</v>
      </c>
      <c r="O1364" s="2">
        <v>1</v>
      </c>
    </row>
    <row r="1365" spans="1:15" ht="15" customHeight="1" x14ac:dyDescent="0.25">
      <c r="A1365" s="3">
        <v>20</v>
      </c>
      <c r="B1365" s="3" t="s">
        <v>14</v>
      </c>
      <c r="C1365" s="3" t="s">
        <v>19</v>
      </c>
      <c r="D1365" s="2" t="s">
        <v>106</v>
      </c>
      <c r="E1365" s="3">
        <v>0</v>
      </c>
      <c r="F1365" s="3">
        <v>0</v>
      </c>
      <c r="G1365" s="3" t="s">
        <v>10</v>
      </c>
      <c r="H1365" s="3" t="s">
        <v>12</v>
      </c>
      <c r="I1365" s="3">
        <v>2</v>
      </c>
      <c r="J1365" s="3" t="s">
        <v>14</v>
      </c>
      <c r="K1365" s="3" t="s">
        <v>14</v>
      </c>
      <c r="L1365" s="3" t="s">
        <v>14</v>
      </c>
      <c r="M1365" s="3" t="s">
        <v>13</v>
      </c>
      <c r="N1365" s="3" t="s">
        <v>13</v>
      </c>
      <c r="O1365" s="3">
        <v>1</v>
      </c>
    </row>
    <row r="1366" spans="1:15" ht="15" customHeight="1" x14ac:dyDescent="0.25">
      <c r="A1366" s="2">
        <v>10</v>
      </c>
      <c r="B1366" s="2" t="s">
        <v>10</v>
      </c>
      <c r="C1366" s="2" t="s">
        <v>11</v>
      </c>
      <c r="D1366" s="2" t="s">
        <v>106</v>
      </c>
      <c r="E1366" s="2">
        <v>0</v>
      </c>
      <c r="F1366" s="2">
        <v>1</v>
      </c>
      <c r="G1366" s="2" t="s">
        <v>10</v>
      </c>
      <c r="H1366" s="2" t="s">
        <v>12</v>
      </c>
      <c r="I1366" s="2" t="s">
        <v>15</v>
      </c>
      <c r="J1366" s="2" t="s">
        <v>13</v>
      </c>
      <c r="K1366" s="2" t="s">
        <v>14</v>
      </c>
      <c r="L1366" s="2" t="s">
        <v>14</v>
      </c>
      <c r="M1366" s="2" t="s">
        <v>14</v>
      </c>
      <c r="N1366" s="2" t="s">
        <v>14</v>
      </c>
      <c r="O1366" s="2">
        <v>0</v>
      </c>
    </row>
    <row r="1367" spans="1:15" ht="15" customHeight="1" x14ac:dyDescent="0.25">
      <c r="A1367" s="3">
        <v>10</v>
      </c>
      <c r="B1367" s="3" t="s">
        <v>14</v>
      </c>
      <c r="C1367" s="3" t="s">
        <v>20</v>
      </c>
      <c r="D1367" s="2" t="s">
        <v>106</v>
      </c>
      <c r="E1367" s="3">
        <v>0</v>
      </c>
      <c r="F1367" s="3">
        <v>0</v>
      </c>
      <c r="G1367" s="3" t="s">
        <v>10</v>
      </c>
      <c r="H1367" s="3" t="s">
        <v>12</v>
      </c>
      <c r="I1367" s="3" t="s">
        <v>15</v>
      </c>
      <c r="J1367" s="3" t="s">
        <v>14</v>
      </c>
      <c r="K1367" s="3" t="s">
        <v>14</v>
      </c>
      <c r="L1367" s="3" t="s">
        <v>14</v>
      </c>
      <c r="M1367" s="3" t="s">
        <v>14</v>
      </c>
      <c r="N1367" s="3" t="s">
        <v>14</v>
      </c>
      <c r="O1367" s="3">
        <v>1</v>
      </c>
    </row>
    <row r="1368" spans="1:15" ht="15" customHeight="1" x14ac:dyDescent="0.25">
      <c r="A1368" s="2">
        <v>30</v>
      </c>
      <c r="B1368" s="2" t="s">
        <v>10</v>
      </c>
      <c r="C1368" s="2" t="s">
        <v>19</v>
      </c>
      <c r="D1368" s="2" t="s">
        <v>106</v>
      </c>
      <c r="E1368" s="2">
        <v>1</v>
      </c>
      <c r="F1368" s="2">
        <v>0</v>
      </c>
      <c r="G1368" s="2" t="s">
        <v>10</v>
      </c>
      <c r="H1368" s="2" t="s">
        <v>16</v>
      </c>
      <c r="I1368" s="2">
        <v>2</v>
      </c>
      <c r="J1368" s="2" t="s">
        <v>14</v>
      </c>
      <c r="K1368" s="2" t="s">
        <v>14</v>
      </c>
      <c r="L1368" s="2" t="s">
        <v>14</v>
      </c>
      <c r="M1368" s="2" t="s">
        <v>13</v>
      </c>
      <c r="N1368" s="2" t="s">
        <v>14</v>
      </c>
      <c r="O1368" s="2">
        <v>0</v>
      </c>
    </row>
    <row r="1369" spans="1:15" ht="15" customHeight="1" x14ac:dyDescent="0.25">
      <c r="A1369" s="3">
        <v>0</v>
      </c>
      <c r="B1369" s="3" t="s">
        <v>10</v>
      </c>
      <c r="C1369" s="3" t="s">
        <v>19</v>
      </c>
      <c r="D1369" s="2" t="s">
        <v>106</v>
      </c>
      <c r="E1369" s="3">
        <v>0</v>
      </c>
      <c r="F1369" s="3">
        <v>0</v>
      </c>
      <c r="G1369" s="3" t="s">
        <v>10</v>
      </c>
      <c r="H1369" s="3" t="s">
        <v>12</v>
      </c>
      <c r="I1369" s="3">
        <v>1</v>
      </c>
      <c r="J1369" s="3" t="s">
        <v>14</v>
      </c>
      <c r="K1369" s="3" t="s">
        <v>14</v>
      </c>
      <c r="L1369" s="3" t="s">
        <v>14</v>
      </c>
      <c r="M1369" s="3" t="s">
        <v>14</v>
      </c>
      <c r="N1369" s="3" t="s">
        <v>14</v>
      </c>
      <c r="O1369" s="3">
        <v>1</v>
      </c>
    </row>
    <row r="1370" spans="1:15" ht="15" customHeight="1" x14ac:dyDescent="0.25">
      <c r="A1370" s="2">
        <v>20</v>
      </c>
      <c r="B1370" s="2" t="s">
        <v>10</v>
      </c>
      <c r="C1370" s="2" t="s">
        <v>11</v>
      </c>
      <c r="D1370" s="2" t="s">
        <v>106</v>
      </c>
      <c r="E1370" s="2">
        <v>0</v>
      </c>
      <c r="F1370" s="2">
        <v>1</v>
      </c>
      <c r="G1370" s="2" t="s">
        <v>10</v>
      </c>
      <c r="H1370" s="2" t="s">
        <v>12</v>
      </c>
      <c r="I1370" s="2">
        <v>1</v>
      </c>
      <c r="J1370" s="2" t="s">
        <v>14</v>
      </c>
      <c r="K1370" s="2" t="s">
        <v>14</v>
      </c>
      <c r="L1370" s="2" t="s">
        <v>14</v>
      </c>
      <c r="M1370" s="2" t="s">
        <v>14</v>
      </c>
      <c r="N1370" s="2" t="s">
        <v>14</v>
      </c>
      <c r="O1370" s="2">
        <v>0</v>
      </c>
    </row>
    <row r="1371" spans="1:15" ht="15" customHeight="1" x14ac:dyDescent="0.25">
      <c r="A1371" s="3">
        <v>10</v>
      </c>
      <c r="B1371" s="3" t="s">
        <v>10</v>
      </c>
      <c r="C1371" s="3" t="s">
        <v>19</v>
      </c>
      <c r="D1371" s="2" t="s">
        <v>106</v>
      </c>
      <c r="E1371" s="3">
        <v>1</v>
      </c>
      <c r="F1371" s="3">
        <v>1</v>
      </c>
      <c r="G1371" s="3" t="s">
        <v>10</v>
      </c>
      <c r="H1371" s="3" t="s">
        <v>12</v>
      </c>
      <c r="I1371" s="3">
        <v>2</v>
      </c>
      <c r="J1371" s="3" t="s">
        <v>14</v>
      </c>
      <c r="K1371" s="3" t="s">
        <v>14</v>
      </c>
      <c r="L1371" s="3" t="s">
        <v>14</v>
      </c>
      <c r="M1371" s="3" t="s">
        <v>13</v>
      </c>
      <c r="N1371" s="3" t="s">
        <v>14</v>
      </c>
      <c r="O1371" s="3">
        <v>0</v>
      </c>
    </row>
    <row r="1372" spans="1:15" ht="15" customHeight="1" x14ac:dyDescent="0.25">
      <c r="A1372" s="2">
        <v>10</v>
      </c>
      <c r="B1372" s="2" t="s">
        <v>18</v>
      </c>
      <c r="C1372" s="2" t="s">
        <v>20</v>
      </c>
      <c r="D1372" s="2" t="s">
        <v>106</v>
      </c>
      <c r="E1372" s="2">
        <v>0</v>
      </c>
      <c r="F1372" s="2">
        <v>0</v>
      </c>
      <c r="G1372" s="2" t="s">
        <v>10</v>
      </c>
      <c r="H1372" s="2" t="s">
        <v>12</v>
      </c>
      <c r="I1372" s="2">
        <v>2</v>
      </c>
      <c r="J1372" s="2" t="s">
        <v>14</v>
      </c>
      <c r="K1372" s="2" t="s">
        <v>14</v>
      </c>
      <c r="L1372" s="2" t="s">
        <v>14</v>
      </c>
      <c r="M1372" s="2" t="s">
        <v>14</v>
      </c>
      <c r="N1372" s="2" t="s">
        <v>14</v>
      </c>
      <c r="O1372" s="2">
        <v>1</v>
      </c>
    </row>
    <row r="1373" spans="1:15" ht="15" customHeight="1" x14ac:dyDescent="0.25">
      <c r="A1373" s="3">
        <v>10</v>
      </c>
      <c r="B1373" s="3" t="s">
        <v>14</v>
      </c>
      <c r="C1373" s="3" t="s">
        <v>20</v>
      </c>
      <c r="D1373" s="2" t="s">
        <v>106</v>
      </c>
      <c r="E1373" s="3">
        <v>0</v>
      </c>
      <c r="F1373" s="3">
        <v>0</v>
      </c>
      <c r="G1373" s="3" t="s">
        <v>10</v>
      </c>
      <c r="H1373" s="3" t="s">
        <v>12</v>
      </c>
      <c r="I1373" s="3">
        <v>2</v>
      </c>
      <c r="J1373" s="3" t="s">
        <v>14</v>
      </c>
      <c r="K1373" s="3" t="s">
        <v>14</v>
      </c>
      <c r="L1373" s="3" t="s">
        <v>14</v>
      </c>
      <c r="M1373" s="3" t="s">
        <v>14</v>
      </c>
      <c r="N1373" s="3" t="s">
        <v>14</v>
      </c>
      <c r="O1373" s="3">
        <v>1</v>
      </c>
    </row>
    <row r="1374" spans="1:15" ht="15" customHeight="1" x14ac:dyDescent="0.25">
      <c r="A1374" s="2">
        <v>20</v>
      </c>
      <c r="B1374" s="2" t="s">
        <v>10</v>
      </c>
      <c r="C1374" s="2" t="s">
        <v>19</v>
      </c>
      <c r="D1374" s="2" t="s">
        <v>106</v>
      </c>
      <c r="E1374" s="2">
        <v>0</v>
      </c>
      <c r="F1374" s="2">
        <v>1</v>
      </c>
      <c r="G1374" s="2" t="s">
        <v>10</v>
      </c>
      <c r="H1374" s="2" t="s">
        <v>16</v>
      </c>
      <c r="I1374" s="2" t="s">
        <v>15</v>
      </c>
      <c r="J1374" s="2" t="s">
        <v>14</v>
      </c>
      <c r="K1374" s="2" t="s">
        <v>14</v>
      </c>
      <c r="L1374" s="2" t="s">
        <v>14</v>
      </c>
      <c r="M1374" s="2" t="s">
        <v>13</v>
      </c>
      <c r="N1374" s="2" t="s">
        <v>14</v>
      </c>
      <c r="O1374" s="2">
        <v>1</v>
      </c>
    </row>
    <row r="1375" spans="1:15" ht="15" customHeight="1" x14ac:dyDescent="0.25">
      <c r="A1375" s="3">
        <v>5</v>
      </c>
      <c r="B1375" s="3" t="s">
        <v>18</v>
      </c>
      <c r="C1375" s="3" t="s">
        <v>19</v>
      </c>
      <c r="D1375" s="2" t="s">
        <v>106</v>
      </c>
      <c r="E1375" s="3">
        <v>1</v>
      </c>
      <c r="F1375" s="3">
        <v>0</v>
      </c>
      <c r="G1375" s="3" t="s">
        <v>10</v>
      </c>
      <c r="H1375" s="3" t="s">
        <v>12</v>
      </c>
      <c r="I1375" s="3">
        <v>1</v>
      </c>
      <c r="J1375" s="3" t="s">
        <v>14</v>
      </c>
      <c r="K1375" s="3" t="s">
        <v>13</v>
      </c>
      <c r="L1375" s="3" t="s">
        <v>13</v>
      </c>
      <c r="M1375" s="3" t="s">
        <v>13</v>
      </c>
      <c r="N1375" s="3" t="s">
        <v>14</v>
      </c>
      <c r="O1375" s="3">
        <v>0</v>
      </c>
    </row>
    <row r="1376" spans="1:15" ht="15" customHeight="1" x14ac:dyDescent="0.25">
      <c r="A1376" s="2">
        <v>0</v>
      </c>
      <c r="B1376" s="2" t="s">
        <v>14</v>
      </c>
      <c r="C1376" s="2" t="s">
        <v>19</v>
      </c>
      <c r="D1376" s="2" t="s">
        <v>106</v>
      </c>
      <c r="E1376" s="2">
        <v>0</v>
      </c>
      <c r="F1376" s="2">
        <v>0</v>
      </c>
      <c r="G1376" s="2" t="s">
        <v>10</v>
      </c>
      <c r="H1376" s="2" t="s">
        <v>12</v>
      </c>
      <c r="I1376" s="2">
        <v>1</v>
      </c>
      <c r="J1376" s="2" t="s">
        <v>14</v>
      </c>
      <c r="K1376" s="2" t="s">
        <v>13</v>
      </c>
      <c r="L1376" s="2" t="s">
        <v>13</v>
      </c>
      <c r="M1376" s="2" t="s">
        <v>13</v>
      </c>
      <c r="N1376" s="2" t="s">
        <v>14</v>
      </c>
      <c r="O1376" s="2">
        <v>1</v>
      </c>
    </row>
    <row r="1377" spans="1:15" ht="15" customHeight="1" x14ac:dyDescent="0.25">
      <c r="A1377" s="3">
        <v>10</v>
      </c>
      <c r="B1377" s="3" t="s">
        <v>18</v>
      </c>
      <c r="C1377" s="3" t="s">
        <v>19</v>
      </c>
      <c r="D1377" s="2" t="s">
        <v>106</v>
      </c>
      <c r="E1377" s="3">
        <v>0</v>
      </c>
      <c r="F1377" s="3">
        <v>0</v>
      </c>
      <c r="G1377" s="3" t="s">
        <v>10</v>
      </c>
      <c r="H1377" s="3" t="s">
        <v>16</v>
      </c>
      <c r="I1377" s="3">
        <v>1</v>
      </c>
      <c r="J1377" s="3" t="s">
        <v>14</v>
      </c>
      <c r="K1377" s="3" t="s">
        <v>13</v>
      </c>
      <c r="L1377" s="3" t="s">
        <v>13</v>
      </c>
      <c r="M1377" s="3" t="s">
        <v>14</v>
      </c>
      <c r="N1377" s="3" t="s">
        <v>14</v>
      </c>
      <c r="O1377" s="3">
        <v>1</v>
      </c>
    </row>
    <row r="1378" spans="1:15" ht="15" customHeight="1" x14ac:dyDescent="0.25">
      <c r="A1378" s="2">
        <v>5</v>
      </c>
      <c r="B1378" s="2" t="s">
        <v>10</v>
      </c>
      <c r="C1378" s="2" t="s">
        <v>19</v>
      </c>
      <c r="D1378" s="2" t="s">
        <v>106</v>
      </c>
      <c r="E1378" s="2">
        <v>0</v>
      </c>
      <c r="F1378" s="2">
        <v>0</v>
      </c>
      <c r="G1378" s="2" t="s">
        <v>10</v>
      </c>
      <c r="H1378" s="2" t="s">
        <v>12</v>
      </c>
      <c r="I1378" s="2">
        <v>2</v>
      </c>
      <c r="J1378" s="2" t="s">
        <v>14</v>
      </c>
      <c r="K1378" s="2" t="s">
        <v>14</v>
      </c>
      <c r="L1378" s="2" t="s">
        <v>14</v>
      </c>
      <c r="M1378" s="2" t="s">
        <v>14</v>
      </c>
      <c r="N1378" s="2" t="s">
        <v>14</v>
      </c>
      <c r="O1378" s="2">
        <v>1</v>
      </c>
    </row>
    <row r="1379" spans="1:15" ht="15" customHeight="1" x14ac:dyDescent="0.25">
      <c r="A1379" s="3">
        <v>10</v>
      </c>
      <c r="B1379" s="3" t="s">
        <v>10</v>
      </c>
      <c r="C1379" s="3" t="s">
        <v>19</v>
      </c>
      <c r="D1379" s="2" t="s">
        <v>106</v>
      </c>
      <c r="E1379" s="3">
        <v>0</v>
      </c>
      <c r="F1379" s="3">
        <v>0</v>
      </c>
      <c r="G1379" s="3" t="s">
        <v>10</v>
      </c>
      <c r="H1379" s="3" t="s">
        <v>12</v>
      </c>
      <c r="I1379" s="3">
        <v>2</v>
      </c>
      <c r="J1379" s="3" t="s">
        <v>14</v>
      </c>
      <c r="K1379" s="3" t="s">
        <v>14</v>
      </c>
      <c r="L1379" s="3" t="s">
        <v>14</v>
      </c>
      <c r="M1379" s="3" t="s">
        <v>14</v>
      </c>
      <c r="N1379" s="3" t="s">
        <v>14</v>
      </c>
      <c r="O1379" s="3">
        <v>1</v>
      </c>
    </row>
    <row r="1380" spans="1:15" ht="15" customHeight="1" x14ac:dyDescent="0.25">
      <c r="A1380" s="2">
        <v>5</v>
      </c>
      <c r="B1380" s="2" t="s">
        <v>18</v>
      </c>
      <c r="C1380" s="2" t="s">
        <v>19</v>
      </c>
      <c r="D1380" s="2" t="s">
        <v>106</v>
      </c>
      <c r="E1380" s="2">
        <v>0</v>
      </c>
      <c r="F1380" s="2">
        <v>0</v>
      </c>
      <c r="G1380" s="2" t="s">
        <v>10</v>
      </c>
      <c r="H1380" s="2" t="s">
        <v>12</v>
      </c>
      <c r="I1380" s="2" t="s">
        <v>15</v>
      </c>
      <c r="J1380" s="2" t="s">
        <v>14</v>
      </c>
      <c r="K1380" s="2" t="s">
        <v>14</v>
      </c>
      <c r="L1380" s="2" t="s">
        <v>14</v>
      </c>
      <c r="M1380" s="2" t="s">
        <v>14</v>
      </c>
      <c r="N1380" s="2" t="s">
        <v>14</v>
      </c>
      <c r="O1380" s="2">
        <v>1</v>
      </c>
    </row>
    <row r="1381" spans="1:15" ht="15" customHeight="1" x14ac:dyDescent="0.25">
      <c r="A1381" s="3">
        <v>0</v>
      </c>
      <c r="B1381" s="3" t="s">
        <v>14</v>
      </c>
      <c r="C1381" s="3" t="s">
        <v>19</v>
      </c>
      <c r="D1381" s="2" t="s">
        <v>106</v>
      </c>
      <c r="E1381" s="3">
        <v>0</v>
      </c>
      <c r="F1381" s="3">
        <v>0</v>
      </c>
      <c r="G1381" s="3" t="s">
        <v>10</v>
      </c>
      <c r="H1381" s="3" t="s">
        <v>12</v>
      </c>
      <c r="I1381" s="3">
        <v>2</v>
      </c>
      <c r="J1381" s="3" t="s">
        <v>14</v>
      </c>
      <c r="K1381" s="3" t="s">
        <v>14</v>
      </c>
      <c r="L1381" s="3" t="s">
        <v>14</v>
      </c>
      <c r="M1381" s="3" t="s">
        <v>14</v>
      </c>
      <c r="N1381" s="3" t="s">
        <v>14</v>
      </c>
      <c r="O1381" s="3">
        <v>1</v>
      </c>
    </row>
    <row r="1382" spans="1:15" ht="15" customHeight="1" x14ac:dyDescent="0.25">
      <c r="A1382" s="2">
        <v>10</v>
      </c>
      <c r="B1382" s="2" t="s">
        <v>10</v>
      </c>
      <c r="C1382" s="2" t="s">
        <v>19</v>
      </c>
      <c r="D1382" s="2" t="s">
        <v>106</v>
      </c>
      <c r="E1382" s="2">
        <v>0</v>
      </c>
      <c r="F1382" s="2">
        <v>0</v>
      </c>
      <c r="G1382" s="2" t="s">
        <v>10</v>
      </c>
      <c r="H1382" s="2" t="s">
        <v>12</v>
      </c>
      <c r="I1382" s="2" t="s">
        <v>15</v>
      </c>
      <c r="J1382" s="2" t="s">
        <v>14</v>
      </c>
      <c r="K1382" s="2" t="s">
        <v>14</v>
      </c>
      <c r="L1382" s="2" t="s">
        <v>14</v>
      </c>
      <c r="M1382" s="2" t="s">
        <v>14</v>
      </c>
      <c r="N1382" s="2" t="s">
        <v>14</v>
      </c>
      <c r="O1382" s="2">
        <v>1</v>
      </c>
    </row>
    <row r="1383" spans="1:15" ht="15" customHeight="1" x14ac:dyDescent="0.25">
      <c r="A1383" s="3">
        <v>5</v>
      </c>
      <c r="B1383" s="3" t="s">
        <v>18</v>
      </c>
      <c r="C1383" s="3" t="s">
        <v>19</v>
      </c>
      <c r="D1383" s="2" t="s">
        <v>106</v>
      </c>
      <c r="E1383" s="3">
        <v>0</v>
      </c>
      <c r="F1383" s="3">
        <v>0</v>
      </c>
      <c r="G1383" s="3" t="s">
        <v>10</v>
      </c>
      <c r="H1383" s="3" t="s">
        <v>12</v>
      </c>
      <c r="I1383" s="3" t="s">
        <v>15</v>
      </c>
      <c r="J1383" s="3" t="s">
        <v>14</v>
      </c>
      <c r="K1383" s="3" t="s">
        <v>14</v>
      </c>
      <c r="L1383" s="3" t="s">
        <v>14</v>
      </c>
      <c r="M1383" s="3" t="s">
        <v>14</v>
      </c>
      <c r="N1383" s="3" t="s">
        <v>14</v>
      </c>
      <c r="O1383" s="3">
        <v>1</v>
      </c>
    </row>
    <row r="1384" spans="1:15" ht="15" customHeight="1" x14ac:dyDescent="0.25">
      <c r="A1384" s="2">
        <v>10</v>
      </c>
      <c r="B1384" s="2" t="s">
        <v>18</v>
      </c>
      <c r="C1384" s="2" t="s">
        <v>19</v>
      </c>
      <c r="D1384" s="2" t="s">
        <v>106</v>
      </c>
      <c r="E1384" s="2">
        <v>0</v>
      </c>
      <c r="F1384" s="2">
        <v>1</v>
      </c>
      <c r="G1384" s="2" t="s">
        <v>10</v>
      </c>
      <c r="H1384" s="2" t="s">
        <v>12</v>
      </c>
      <c r="I1384" s="2">
        <v>2</v>
      </c>
      <c r="J1384" s="2" t="s">
        <v>14</v>
      </c>
      <c r="K1384" s="2" t="s">
        <v>14</v>
      </c>
      <c r="L1384" s="2" t="s">
        <v>14</v>
      </c>
      <c r="M1384" s="2" t="s">
        <v>14</v>
      </c>
      <c r="N1384" s="2" t="s">
        <v>14</v>
      </c>
      <c r="O1384" s="2">
        <v>1</v>
      </c>
    </row>
    <row r="1385" spans="1:15" ht="15" customHeight="1" x14ac:dyDescent="0.25">
      <c r="A1385" s="3">
        <v>10</v>
      </c>
      <c r="B1385" s="3" t="s">
        <v>10</v>
      </c>
      <c r="C1385" s="3" t="s">
        <v>19</v>
      </c>
      <c r="D1385" s="2" t="s">
        <v>106</v>
      </c>
      <c r="E1385" s="3">
        <v>0</v>
      </c>
      <c r="F1385" s="3">
        <v>0</v>
      </c>
      <c r="G1385" s="3" t="s">
        <v>10</v>
      </c>
      <c r="H1385" s="3" t="s">
        <v>12</v>
      </c>
      <c r="I1385" s="3">
        <v>1</v>
      </c>
      <c r="J1385" s="3" t="s">
        <v>14</v>
      </c>
      <c r="K1385" s="3" t="s">
        <v>14</v>
      </c>
      <c r="L1385" s="3" t="s">
        <v>14</v>
      </c>
      <c r="M1385" s="3" t="s">
        <v>14</v>
      </c>
      <c r="N1385" s="3" t="s">
        <v>14</v>
      </c>
      <c r="O1385" s="3">
        <v>1</v>
      </c>
    </row>
    <row r="1386" spans="1:15" ht="15" customHeight="1" x14ac:dyDescent="0.25">
      <c r="A1386" s="2">
        <v>5</v>
      </c>
      <c r="B1386" s="2" t="s">
        <v>10</v>
      </c>
      <c r="C1386" s="2" t="s">
        <v>19</v>
      </c>
      <c r="D1386" s="2" t="s">
        <v>106</v>
      </c>
      <c r="E1386" s="2">
        <v>0</v>
      </c>
      <c r="F1386" s="2">
        <v>0</v>
      </c>
      <c r="G1386" s="2" t="s">
        <v>10</v>
      </c>
      <c r="H1386" s="2" t="s">
        <v>16</v>
      </c>
      <c r="I1386" s="2">
        <v>2</v>
      </c>
      <c r="J1386" s="2" t="s">
        <v>14</v>
      </c>
      <c r="K1386" s="2" t="s">
        <v>14</v>
      </c>
      <c r="L1386" s="2" t="s">
        <v>14</v>
      </c>
      <c r="M1386" s="2" t="s">
        <v>14</v>
      </c>
      <c r="N1386" s="2" t="s">
        <v>14</v>
      </c>
      <c r="O1386" s="2">
        <v>1</v>
      </c>
    </row>
    <row r="1387" spans="1:15" ht="15" customHeight="1" x14ac:dyDescent="0.25">
      <c r="A1387" s="3">
        <v>5</v>
      </c>
      <c r="B1387" s="3" t="s">
        <v>10</v>
      </c>
      <c r="C1387" s="3" t="s">
        <v>11</v>
      </c>
      <c r="D1387" s="2" t="s">
        <v>106</v>
      </c>
      <c r="E1387" s="3">
        <v>0</v>
      </c>
      <c r="F1387" s="3">
        <v>1</v>
      </c>
      <c r="G1387" s="3" t="s">
        <v>10</v>
      </c>
      <c r="H1387" s="3" t="s">
        <v>12</v>
      </c>
      <c r="I1387" s="3" t="s">
        <v>15</v>
      </c>
      <c r="J1387" s="3" t="s">
        <v>14</v>
      </c>
      <c r="K1387" s="3" t="s">
        <v>14</v>
      </c>
      <c r="L1387" s="3" t="s">
        <v>14</v>
      </c>
      <c r="M1387" s="3" t="s">
        <v>14</v>
      </c>
      <c r="N1387" s="3" t="s">
        <v>14</v>
      </c>
      <c r="O1387" s="3">
        <v>1</v>
      </c>
    </row>
    <row r="1388" spans="1:15" ht="15" customHeight="1" x14ac:dyDescent="0.25">
      <c r="A1388" s="2">
        <v>5</v>
      </c>
      <c r="B1388" s="2" t="s">
        <v>18</v>
      </c>
      <c r="C1388" s="2" t="s">
        <v>19</v>
      </c>
      <c r="D1388" s="2" t="s">
        <v>106</v>
      </c>
      <c r="E1388" s="2">
        <v>0</v>
      </c>
      <c r="F1388" s="2">
        <v>1</v>
      </c>
      <c r="G1388" s="2" t="s">
        <v>10</v>
      </c>
      <c r="H1388" s="2" t="s">
        <v>16</v>
      </c>
      <c r="I1388" s="2">
        <v>1</v>
      </c>
      <c r="J1388" s="2" t="s">
        <v>14</v>
      </c>
      <c r="K1388" s="2" t="s">
        <v>14</v>
      </c>
      <c r="L1388" s="2" t="s">
        <v>14</v>
      </c>
      <c r="M1388" s="2" t="s">
        <v>14</v>
      </c>
      <c r="N1388" s="2" t="s">
        <v>14</v>
      </c>
      <c r="O1388" s="2">
        <v>1</v>
      </c>
    </row>
    <row r="1389" spans="1:15" ht="15" customHeight="1" x14ac:dyDescent="0.25">
      <c r="A1389" s="3">
        <v>0</v>
      </c>
      <c r="B1389" s="3" t="s">
        <v>10</v>
      </c>
      <c r="C1389" s="3" t="s">
        <v>11</v>
      </c>
      <c r="D1389" s="2" t="s">
        <v>106</v>
      </c>
      <c r="E1389" s="3">
        <v>0</v>
      </c>
      <c r="F1389" s="3">
        <v>1</v>
      </c>
      <c r="G1389" s="3" t="s">
        <v>10</v>
      </c>
      <c r="H1389" s="3" t="s">
        <v>12</v>
      </c>
      <c r="I1389" s="3" t="s">
        <v>15</v>
      </c>
      <c r="J1389" s="3" t="s">
        <v>14</v>
      </c>
      <c r="K1389" s="3" t="s">
        <v>14</v>
      </c>
      <c r="L1389" s="3" t="s">
        <v>14</v>
      </c>
      <c r="M1389" s="3" t="s">
        <v>14</v>
      </c>
      <c r="N1389" s="3" t="s">
        <v>14</v>
      </c>
      <c r="O1389" s="3">
        <v>1</v>
      </c>
    </row>
    <row r="1390" spans="1:15" ht="15" customHeight="1" x14ac:dyDescent="0.25">
      <c r="A1390" s="2">
        <v>10</v>
      </c>
      <c r="B1390" s="2" t="s">
        <v>18</v>
      </c>
      <c r="C1390" s="2" t="s">
        <v>19</v>
      </c>
      <c r="D1390" s="2" t="s">
        <v>106</v>
      </c>
      <c r="E1390" s="2">
        <v>0</v>
      </c>
      <c r="F1390" s="2">
        <v>0</v>
      </c>
      <c r="G1390" s="2" t="s">
        <v>10</v>
      </c>
      <c r="H1390" s="2" t="s">
        <v>12</v>
      </c>
      <c r="I1390" s="2">
        <v>1</v>
      </c>
      <c r="J1390" s="2" t="s">
        <v>14</v>
      </c>
      <c r="K1390" s="2" t="s">
        <v>14</v>
      </c>
      <c r="L1390" s="2" t="s">
        <v>14</v>
      </c>
      <c r="M1390" s="2" t="s">
        <v>14</v>
      </c>
      <c r="N1390" s="2" t="s">
        <v>14</v>
      </c>
      <c r="O1390" s="2">
        <v>1</v>
      </c>
    </row>
    <row r="1391" spans="1:15" ht="15" customHeight="1" x14ac:dyDescent="0.25">
      <c r="A1391" s="3">
        <v>5</v>
      </c>
      <c r="B1391" s="3" t="s">
        <v>10</v>
      </c>
      <c r="C1391" s="3" t="s">
        <v>11</v>
      </c>
      <c r="D1391" s="2" t="s">
        <v>106</v>
      </c>
      <c r="E1391" s="3">
        <v>0</v>
      </c>
      <c r="F1391" s="3">
        <v>0</v>
      </c>
      <c r="G1391" s="3" t="s">
        <v>10</v>
      </c>
      <c r="H1391" s="3" t="s">
        <v>12</v>
      </c>
      <c r="I1391" s="3">
        <v>2</v>
      </c>
      <c r="J1391" s="3" t="s">
        <v>14</v>
      </c>
      <c r="K1391" s="3" t="s">
        <v>14</v>
      </c>
      <c r="L1391" s="3" t="s">
        <v>14</v>
      </c>
      <c r="M1391" s="3" t="s">
        <v>14</v>
      </c>
      <c r="N1391" s="3" t="s">
        <v>14</v>
      </c>
      <c r="O1391" s="3">
        <v>1</v>
      </c>
    </row>
    <row r="1392" spans="1:15" ht="15" customHeight="1" x14ac:dyDescent="0.25">
      <c r="A1392" s="2">
        <v>5</v>
      </c>
      <c r="B1392" s="2" t="s">
        <v>18</v>
      </c>
      <c r="C1392" s="2" t="s">
        <v>19</v>
      </c>
      <c r="D1392" s="2" t="s">
        <v>106</v>
      </c>
      <c r="E1392" s="2">
        <v>0</v>
      </c>
      <c r="F1392" s="2">
        <v>0</v>
      </c>
      <c r="G1392" s="2" t="s">
        <v>10</v>
      </c>
      <c r="H1392" s="2" t="s">
        <v>12</v>
      </c>
      <c r="I1392" s="2">
        <v>1</v>
      </c>
      <c r="J1392" s="2" t="s">
        <v>14</v>
      </c>
      <c r="K1392" s="2" t="s">
        <v>14</v>
      </c>
      <c r="L1392" s="2" t="s">
        <v>14</v>
      </c>
      <c r="M1392" s="2" t="s">
        <v>14</v>
      </c>
      <c r="N1392" s="2" t="s">
        <v>14</v>
      </c>
      <c r="O1392" s="2">
        <v>1</v>
      </c>
    </row>
    <row r="1393" spans="1:15" ht="15" customHeight="1" x14ac:dyDescent="0.25">
      <c r="A1393" s="3">
        <v>5</v>
      </c>
      <c r="B1393" s="3" t="s">
        <v>14</v>
      </c>
      <c r="C1393" s="3" t="s">
        <v>19</v>
      </c>
      <c r="D1393" s="2" t="s">
        <v>106</v>
      </c>
      <c r="E1393" s="3">
        <v>0</v>
      </c>
      <c r="F1393" s="3">
        <v>0</v>
      </c>
      <c r="G1393" s="3" t="s">
        <v>10</v>
      </c>
      <c r="H1393" s="3" t="s">
        <v>16</v>
      </c>
      <c r="I1393" s="3">
        <v>2</v>
      </c>
      <c r="J1393" s="3" t="s">
        <v>14</v>
      </c>
      <c r="K1393" s="3" t="s">
        <v>14</v>
      </c>
      <c r="L1393" s="3" t="s">
        <v>14</v>
      </c>
      <c r="M1393" s="3" t="s">
        <v>14</v>
      </c>
      <c r="N1393" s="3" t="s">
        <v>14</v>
      </c>
      <c r="O1393" s="3">
        <v>1</v>
      </c>
    </row>
    <row r="1394" spans="1:15" ht="15" customHeight="1" x14ac:dyDescent="0.25">
      <c r="A1394" s="2">
        <v>10</v>
      </c>
      <c r="B1394" s="2" t="s">
        <v>10</v>
      </c>
      <c r="C1394" s="2" t="s">
        <v>19</v>
      </c>
      <c r="D1394" s="2" t="s">
        <v>106</v>
      </c>
      <c r="E1394" s="2">
        <v>0</v>
      </c>
      <c r="F1394" s="2">
        <v>0</v>
      </c>
      <c r="G1394" s="2" t="s">
        <v>10</v>
      </c>
      <c r="H1394" s="2" t="s">
        <v>12</v>
      </c>
      <c r="I1394" s="2" t="s">
        <v>15</v>
      </c>
      <c r="J1394" s="2" t="s">
        <v>14</v>
      </c>
      <c r="K1394" s="2" t="s">
        <v>14</v>
      </c>
      <c r="L1394" s="2" t="s">
        <v>14</v>
      </c>
      <c r="M1394" s="2" t="s">
        <v>14</v>
      </c>
      <c r="N1394" s="2" t="s">
        <v>14</v>
      </c>
      <c r="O1394" s="2">
        <v>1</v>
      </c>
    </row>
    <row r="1395" spans="1:15" ht="15" customHeight="1" x14ac:dyDescent="0.25">
      <c r="A1395" s="3">
        <v>10</v>
      </c>
      <c r="B1395" s="3" t="s">
        <v>14</v>
      </c>
      <c r="C1395" s="3" t="s">
        <v>19</v>
      </c>
      <c r="D1395" s="2" t="s">
        <v>106</v>
      </c>
      <c r="E1395" s="3">
        <v>0</v>
      </c>
      <c r="F1395" s="3">
        <v>0</v>
      </c>
      <c r="G1395" s="3" t="s">
        <v>10</v>
      </c>
      <c r="H1395" s="3" t="s">
        <v>12</v>
      </c>
      <c r="I1395" s="3">
        <v>2</v>
      </c>
      <c r="J1395" s="3" t="s">
        <v>14</v>
      </c>
      <c r="K1395" s="3" t="s">
        <v>14</v>
      </c>
      <c r="L1395" s="3" t="s">
        <v>14</v>
      </c>
      <c r="M1395" s="3" t="s">
        <v>14</v>
      </c>
      <c r="N1395" s="3" t="s">
        <v>14</v>
      </c>
      <c r="O1395" s="3">
        <v>1</v>
      </c>
    </row>
    <row r="1396" spans="1:15" ht="15" customHeight="1" x14ac:dyDescent="0.25">
      <c r="A1396" s="2">
        <v>5</v>
      </c>
      <c r="B1396" s="2" t="s">
        <v>14</v>
      </c>
      <c r="C1396" s="2" t="s">
        <v>19</v>
      </c>
      <c r="D1396" s="2" t="s">
        <v>106</v>
      </c>
      <c r="E1396" s="2">
        <v>0</v>
      </c>
      <c r="F1396" s="2">
        <v>0</v>
      </c>
      <c r="G1396" s="2" t="s">
        <v>10</v>
      </c>
      <c r="H1396" s="2" t="s">
        <v>12</v>
      </c>
      <c r="I1396" s="2">
        <v>2</v>
      </c>
      <c r="J1396" s="2" t="s">
        <v>14</v>
      </c>
      <c r="K1396" s="2" t="s">
        <v>14</v>
      </c>
      <c r="L1396" s="2" t="s">
        <v>14</v>
      </c>
      <c r="M1396" s="2" t="s">
        <v>14</v>
      </c>
      <c r="N1396" s="2" t="s">
        <v>14</v>
      </c>
      <c r="O1396" s="2">
        <v>1</v>
      </c>
    </row>
    <row r="1397" spans="1:15" ht="15" customHeight="1" x14ac:dyDescent="0.25">
      <c r="A1397" s="3">
        <v>10</v>
      </c>
      <c r="B1397" s="3" t="s">
        <v>10</v>
      </c>
      <c r="C1397" s="3" t="s">
        <v>11</v>
      </c>
      <c r="D1397" s="2" t="s">
        <v>106</v>
      </c>
      <c r="E1397" s="3">
        <v>0</v>
      </c>
      <c r="F1397" s="3">
        <v>1</v>
      </c>
      <c r="G1397" s="3" t="s">
        <v>10</v>
      </c>
      <c r="H1397" s="3" t="s">
        <v>12</v>
      </c>
      <c r="I1397" s="3">
        <v>2</v>
      </c>
      <c r="J1397" s="3" t="s">
        <v>14</v>
      </c>
      <c r="K1397" s="3" t="s">
        <v>14</v>
      </c>
      <c r="L1397" s="3" t="s">
        <v>14</v>
      </c>
      <c r="M1397" s="3" t="s">
        <v>14</v>
      </c>
      <c r="N1397" s="3" t="s">
        <v>14</v>
      </c>
      <c r="O1397" s="3">
        <v>1</v>
      </c>
    </row>
    <row r="1398" spans="1:15" ht="15" customHeight="1" x14ac:dyDescent="0.25">
      <c r="A1398" s="2">
        <v>0</v>
      </c>
      <c r="B1398" s="2" t="s">
        <v>14</v>
      </c>
      <c r="C1398" s="2" t="s">
        <v>11</v>
      </c>
      <c r="D1398" s="2" t="s">
        <v>106</v>
      </c>
      <c r="E1398" s="2">
        <v>0</v>
      </c>
      <c r="F1398" s="2">
        <v>0</v>
      </c>
      <c r="G1398" s="2" t="s">
        <v>10</v>
      </c>
      <c r="H1398" s="2" t="s">
        <v>12</v>
      </c>
      <c r="I1398" s="2">
        <v>1</v>
      </c>
      <c r="J1398" s="2" t="s">
        <v>14</v>
      </c>
      <c r="K1398" s="2" t="s">
        <v>14</v>
      </c>
      <c r="L1398" s="2" t="s">
        <v>14</v>
      </c>
      <c r="M1398" s="2" t="s">
        <v>14</v>
      </c>
      <c r="N1398" s="2" t="s">
        <v>14</v>
      </c>
      <c r="O1398" s="2">
        <v>0</v>
      </c>
    </row>
    <row r="1399" spans="1:15" ht="15" customHeight="1" x14ac:dyDescent="0.25">
      <c r="A1399" s="3">
        <v>5</v>
      </c>
      <c r="B1399" s="3" t="s">
        <v>10</v>
      </c>
      <c r="C1399" s="3" t="s">
        <v>20</v>
      </c>
      <c r="D1399" s="2" t="s">
        <v>106</v>
      </c>
      <c r="E1399" s="3">
        <v>0</v>
      </c>
      <c r="F1399" s="3">
        <v>0</v>
      </c>
      <c r="G1399" s="3" t="s">
        <v>10</v>
      </c>
      <c r="H1399" s="3" t="s">
        <v>12</v>
      </c>
      <c r="I1399" s="3">
        <v>2</v>
      </c>
      <c r="J1399" s="3" t="s">
        <v>14</v>
      </c>
      <c r="K1399" s="3" t="s">
        <v>14</v>
      </c>
      <c r="L1399" s="3" t="s">
        <v>14</v>
      </c>
      <c r="M1399" s="3" t="s">
        <v>14</v>
      </c>
      <c r="N1399" s="3" t="s">
        <v>14</v>
      </c>
      <c r="O1399" s="3">
        <v>1</v>
      </c>
    </row>
    <row r="1400" spans="1:15" ht="15" customHeight="1" x14ac:dyDescent="0.25">
      <c r="A1400" s="2">
        <v>5</v>
      </c>
      <c r="B1400" s="2" t="s">
        <v>18</v>
      </c>
      <c r="C1400" s="2" t="s">
        <v>20</v>
      </c>
      <c r="D1400" s="2" t="s">
        <v>106</v>
      </c>
      <c r="E1400" s="2">
        <v>0</v>
      </c>
      <c r="F1400" s="2">
        <v>0</v>
      </c>
      <c r="G1400" s="2" t="s">
        <v>10</v>
      </c>
      <c r="H1400" s="2" t="s">
        <v>12</v>
      </c>
      <c r="I1400" s="2">
        <v>1</v>
      </c>
      <c r="J1400" s="2" t="s">
        <v>14</v>
      </c>
      <c r="K1400" s="2" t="s">
        <v>14</v>
      </c>
      <c r="L1400" s="2" t="s">
        <v>14</v>
      </c>
      <c r="M1400" s="2" t="s">
        <v>14</v>
      </c>
      <c r="N1400" s="2" t="s">
        <v>14</v>
      </c>
      <c r="O1400" s="2">
        <v>1</v>
      </c>
    </row>
    <row r="1401" spans="1:15" ht="15" customHeight="1" x14ac:dyDescent="0.25">
      <c r="A1401" s="3">
        <v>10</v>
      </c>
      <c r="B1401" s="3" t="s">
        <v>10</v>
      </c>
      <c r="C1401" s="3" t="s">
        <v>19</v>
      </c>
      <c r="D1401" s="2" t="s">
        <v>106</v>
      </c>
      <c r="E1401" s="3">
        <v>1</v>
      </c>
      <c r="F1401" s="3">
        <v>0</v>
      </c>
      <c r="G1401" s="3" t="s">
        <v>10</v>
      </c>
      <c r="H1401" s="3" t="s">
        <v>12</v>
      </c>
      <c r="I1401" s="3" t="s">
        <v>15</v>
      </c>
      <c r="J1401" s="3" t="s">
        <v>14</v>
      </c>
      <c r="K1401" s="3" t="s">
        <v>14</v>
      </c>
      <c r="L1401" s="3" t="s">
        <v>14</v>
      </c>
      <c r="M1401" s="3" t="s">
        <v>14</v>
      </c>
      <c r="N1401" s="3" t="s">
        <v>14</v>
      </c>
      <c r="O1401" s="3">
        <v>0</v>
      </c>
    </row>
    <row r="1402" spans="1:15" ht="15" customHeight="1" x14ac:dyDescent="0.25">
      <c r="A1402" s="2">
        <v>5</v>
      </c>
      <c r="B1402" s="2" t="s">
        <v>10</v>
      </c>
      <c r="C1402" s="2" t="s">
        <v>11</v>
      </c>
      <c r="D1402" s="2" t="s">
        <v>106</v>
      </c>
      <c r="E1402" s="2">
        <v>0</v>
      </c>
      <c r="F1402" s="2">
        <v>1</v>
      </c>
      <c r="G1402" s="2" t="s">
        <v>10</v>
      </c>
      <c r="H1402" s="2" t="s">
        <v>12</v>
      </c>
      <c r="I1402" s="2">
        <v>1</v>
      </c>
      <c r="J1402" s="2" t="s">
        <v>14</v>
      </c>
      <c r="K1402" s="2" t="s">
        <v>13</v>
      </c>
      <c r="L1402" s="2" t="s">
        <v>13</v>
      </c>
      <c r="M1402" s="2" t="s">
        <v>14</v>
      </c>
      <c r="N1402" s="2" t="s">
        <v>14</v>
      </c>
      <c r="O1402" s="2">
        <v>0</v>
      </c>
    </row>
    <row r="1403" spans="1:15" ht="15" customHeight="1" x14ac:dyDescent="0.25">
      <c r="A1403" s="3">
        <v>10</v>
      </c>
      <c r="B1403" s="3" t="s">
        <v>18</v>
      </c>
      <c r="C1403" s="3" t="s">
        <v>20</v>
      </c>
      <c r="D1403" s="2" t="s">
        <v>106</v>
      </c>
      <c r="E1403" s="3">
        <v>0</v>
      </c>
      <c r="F1403" s="3">
        <v>0</v>
      </c>
      <c r="G1403" s="3" t="s">
        <v>10</v>
      </c>
      <c r="H1403" s="3" t="s">
        <v>16</v>
      </c>
      <c r="I1403" s="3">
        <v>1</v>
      </c>
      <c r="J1403" s="3" t="s">
        <v>14</v>
      </c>
      <c r="K1403" s="3" t="s">
        <v>14</v>
      </c>
      <c r="L1403" s="3" t="s">
        <v>14</v>
      </c>
      <c r="M1403" s="3" t="s">
        <v>14</v>
      </c>
      <c r="N1403" s="3" t="s">
        <v>14</v>
      </c>
      <c r="O1403" s="3">
        <v>1</v>
      </c>
    </row>
    <row r="1404" spans="1:15" ht="15" customHeight="1" x14ac:dyDescent="0.25">
      <c r="A1404" s="2">
        <v>10</v>
      </c>
      <c r="B1404" s="2" t="s">
        <v>14</v>
      </c>
      <c r="C1404" s="2" t="s">
        <v>20</v>
      </c>
      <c r="D1404" s="2" t="s">
        <v>106</v>
      </c>
      <c r="E1404" s="2">
        <v>0</v>
      </c>
      <c r="F1404" s="2">
        <v>0</v>
      </c>
      <c r="G1404" s="2" t="s">
        <v>10</v>
      </c>
      <c r="H1404" s="2" t="s">
        <v>12</v>
      </c>
      <c r="I1404" s="2">
        <v>2</v>
      </c>
      <c r="J1404" s="2" t="s">
        <v>14</v>
      </c>
      <c r="K1404" s="2" t="s">
        <v>14</v>
      </c>
      <c r="L1404" s="2" t="s">
        <v>14</v>
      </c>
      <c r="M1404" s="2" t="s">
        <v>14</v>
      </c>
      <c r="N1404" s="2" t="s">
        <v>14</v>
      </c>
      <c r="O1404" s="2">
        <v>1</v>
      </c>
    </row>
    <row r="1405" spans="1:15" ht="15" customHeight="1" x14ac:dyDescent="0.25">
      <c r="A1405" s="3">
        <v>5</v>
      </c>
      <c r="B1405" s="3" t="s">
        <v>10</v>
      </c>
      <c r="C1405" s="3" t="s">
        <v>19</v>
      </c>
      <c r="D1405" s="2" t="s">
        <v>106</v>
      </c>
      <c r="E1405" s="3">
        <v>0</v>
      </c>
      <c r="F1405" s="3">
        <v>0</v>
      </c>
      <c r="G1405" s="3" t="s">
        <v>10</v>
      </c>
      <c r="H1405" s="3" t="s">
        <v>16</v>
      </c>
      <c r="I1405" s="3" t="s">
        <v>15</v>
      </c>
      <c r="J1405" s="3" t="s">
        <v>14</v>
      </c>
      <c r="K1405" s="3" t="s">
        <v>14</v>
      </c>
      <c r="L1405" s="3" t="s">
        <v>14</v>
      </c>
      <c r="M1405" s="3" t="s">
        <v>14</v>
      </c>
      <c r="N1405" s="3" t="s">
        <v>14</v>
      </c>
      <c r="O1405" s="3">
        <v>1</v>
      </c>
    </row>
    <row r="1406" spans="1:15" ht="15" customHeight="1" x14ac:dyDescent="0.25">
      <c r="A1406" s="2">
        <v>10</v>
      </c>
      <c r="B1406" s="2" t="s">
        <v>14</v>
      </c>
      <c r="C1406" s="2" t="s">
        <v>19</v>
      </c>
      <c r="D1406" s="2" t="s">
        <v>106</v>
      </c>
      <c r="E1406" s="2">
        <v>0</v>
      </c>
      <c r="F1406" s="2">
        <v>0</v>
      </c>
      <c r="G1406" s="2" t="s">
        <v>10</v>
      </c>
      <c r="H1406" s="2" t="s">
        <v>12</v>
      </c>
      <c r="I1406" s="2" t="s">
        <v>15</v>
      </c>
      <c r="J1406" s="2" t="s">
        <v>14</v>
      </c>
      <c r="K1406" s="2" t="s">
        <v>14</v>
      </c>
      <c r="L1406" s="2" t="s">
        <v>14</v>
      </c>
      <c r="M1406" s="2" t="s">
        <v>14</v>
      </c>
      <c r="N1406" s="2" t="s">
        <v>14</v>
      </c>
      <c r="O1406" s="2">
        <v>1</v>
      </c>
    </row>
    <row r="1407" spans="1:15" ht="15" customHeight="1" x14ac:dyDescent="0.25">
      <c r="A1407" s="3">
        <v>10</v>
      </c>
      <c r="B1407" s="3" t="s">
        <v>10</v>
      </c>
      <c r="C1407" s="3" t="s">
        <v>19</v>
      </c>
      <c r="D1407" s="2" t="s">
        <v>106</v>
      </c>
      <c r="E1407" s="3">
        <v>0</v>
      </c>
      <c r="F1407" s="3">
        <v>0</v>
      </c>
      <c r="G1407" s="3" t="s">
        <v>10</v>
      </c>
      <c r="H1407" s="3" t="s">
        <v>12</v>
      </c>
      <c r="I1407" s="3">
        <v>1</v>
      </c>
      <c r="J1407" s="3" t="s">
        <v>14</v>
      </c>
      <c r="K1407" s="3" t="s">
        <v>14</v>
      </c>
      <c r="L1407" s="3" t="s">
        <v>14</v>
      </c>
      <c r="M1407" s="3" t="s">
        <v>14</v>
      </c>
      <c r="N1407" s="3" t="s">
        <v>14</v>
      </c>
      <c r="O1407" s="3">
        <v>1</v>
      </c>
    </row>
    <row r="1408" spans="1:15" ht="15" customHeight="1" x14ac:dyDescent="0.25">
      <c r="A1408" s="2">
        <v>5</v>
      </c>
      <c r="B1408" s="2" t="s">
        <v>10</v>
      </c>
      <c r="C1408" s="2" t="s">
        <v>19</v>
      </c>
      <c r="D1408" s="2" t="s">
        <v>106</v>
      </c>
      <c r="E1408" s="2">
        <v>0</v>
      </c>
      <c r="F1408" s="2">
        <v>0</v>
      </c>
      <c r="G1408" s="2" t="s">
        <v>10</v>
      </c>
      <c r="H1408" s="2" t="s">
        <v>12</v>
      </c>
      <c r="I1408" s="2">
        <v>1</v>
      </c>
      <c r="J1408" s="2" t="s">
        <v>14</v>
      </c>
      <c r="K1408" s="2" t="s">
        <v>14</v>
      </c>
      <c r="L1408" s="2" t="s">
        <v>14</v>
      </c>
      <c r="M1408" s="2" t="s">
        <v>14</v>
      </c>
      <c r="N1408" s="2" t="s">
        <v>14</v>
      </c>
      <c r="O1408" s="2">
        <v>1</v>
      </c>
    </row>
    <row r="1409" spans="1:15" ht="15" customHeight="1" x14ac:dyDescent="0.25">
      <c r="A1409" s="3">
        <v>20</v>
      </c>
      <c r="B1409" s="3" t="s">
        <v>18</v>
      </c>
      <c r="C1409" s="3" t="s">
        <v>19</v>
      </c>
      <c r="D1409" s="2" t="s">
        <v>106</v>
      </c>
      <c r="E1409" s="3">
        <v>0</v>
      </c>
      <c r="F1409" s="3">
        <v>0</v>
      </c>
      <c r="G1409" s="3" t="s">
        <v>10</v>
      </c>
      <c r="H1409" s="3" t="s">
        <v>12</v>
      </c>
      <c r="I1409" s="3">
        <v>1</v>
      </c>
      <c r="J1409" s="3" t="s">
        <v>14</v>
      </c>
      <c r="K1409" s="3" t="s">
        <v>14</v>
      </c>
      <c r="L1409" s="3" t="s">
        <v>14</v>
      </c>
      <c r="M1409" s="3" t="s">
        <v>14</v>
      </c>
      <c r="N1409" s="3" t="s">
        <v>14</v>
      </c>
      <c r="O1409" s="3">
        <v>1</v>
      </c>
    </row>
    <row r="1410" spans="1:15" ht="15" customHeight="1" x14ac:dyDescent="0.25">
      <c r="A1410" s="2">
        <v>5</v>
      </c>
      <c r="B1410" s="2" t="s">
        <v>10</v>
      </c>
      <c r="C1410" s="2" t="s">
        <v>19</v>
      </c>
      <c r="D1410" s="2" t="s">
        <v>106</v>
      </c>
      <c r="E1410" s="2">
        <v>0</v>
      </c>
      <c r="F1410" s="2">
        <v>0</v>
      </c>
      <c r="G1410" s="2" t="s">
        <v>10</v>
      </c>
      <c r="H1410" s="2" t="s">
        <v>12</v>
      </c>
      <c r="I1410" s="2">
        <v>2</v>
      </c>
      <c r="J1410" s="2" t="s">
        <v>14</v>
      </c>
      <c r="K1410" s="2" t="s">
        <v>14</v>
      </c>
      <c r="L1410" s="2" t="s">
        <v>14</v>
      </c>
      <c r="M1410" s="2" t="s">
        <v>14</v>
      </c>
      <c r="N1410" s="2" t="s">
        <v>14</v>
      </c>
      <c r="O1410" s="2">
        <v>1</v>
      </c>
    </row>
    <row r="1411" spans="1:15" ht="15" customHeight="1" x14ac:dyDescent="0.25">
      <c r="A1411" s="3">
        <v>10</v>
      </c>
      <c r="B1411" s="3" t="s">
        <v>10</v>
      </c>
      <c r="C1411" s="3" t="s">
        <v>19</v>
      </c>
      <c r="D1411" s="2" t="s">
        <v>106</v>
      </c>
      <c r="E1411" s="3">
        <v>0</v>
      </c>
      <c r="F1411" s="3">
        <v>0</v>
      </c>
      <c r="G1411" s="3" t="s">
        <v>10</v>
      </c>
      <c r="H1411" s="3" t="s">
        <v>12</v>
      </c>
      <c r="I1411" s="3">
        <v>2</v>
      </c>
      <c r="J1411" s="3" t="s">
        <v>14</v>
      </c>
      <c r="K1411" s="3" t="s">
        <v>14</v>
      </c>
      <c r="L1411" s="3" t="s">
        <v>14</v>
      </c>
      <c r="M1411" s="3" t="s">
        <v>14</v>
      </c>
      <c r="N1411" s="3" t="s">
        <v>14</v>
      </c>
      <c r="O1411" s="3">
        <v>1</v>
      </c>
    </row>
    <row r="1412" spans="1:15" ht="15" customHeight="1" x14ac:dyDescent="0.25">
      <c r="A1412" s="2">
        <v>5</v>
      </c>
      <c r="B1412" s="2" t="s">
        <v>18</v>
      </c>
      <c r="C1412" s="2" t="s">
        <v>19</v>
      </c>
      <c r="D1412" s="2" t="s">
        <v>106</v>
      </c>
      <c r="E1412" s="2">
        <v>0</v>
      </c>
      <c r="F1412" s="2">
        <v>0</v>
      </c>
      <c r="G1412" s="2" t="s">
        <v>10</v>
      </c>
      <c r="H1412" s="2" t="s">
        <v>12</v>
      </c>
      <c r="I1412" s="2">
        <v>2</v>
      </c>
      <c r="J1412" s="2" t="s">
        <v>14</v>
      </c>
      <c r="K1412" s="2" t="s">
        <v>14</v>
      </c>
      <c r="L1412" s="2" t="s">
        <v>14</v>
      </c>
      <c r="M1412" s="2" t="s">
        <v>14</v>
      </c>
      <c r="N1412" s="2" t="s">
        <v>14</v>
      </c>
      <c r="O1412" s="2">
        <v>1</v>
      </c>
    </row>
    <row r="1413" spans="1:15" ht="15" customHeight="1" x14ac:dyDescent="0.25">
      <c r="A1413" s="3">
        <v>20</v>
      </c>
      <c r="B1413" s="3" t="s">
        <v>10</v>
      </c>
      <c r="C1413" s="3" t="s">
        <v>11</v>
      </c>
      <c r="D1413" s="2" t="s">
        <v>106</v>
      </c>
      <c r="E1413" s="3">
        <v>1</v>
      </c>
      <c r="F1413" s="3">
        <v>1</v>
      </c>
      <c r="G1413" s="3" t="s">
        <v>10</v>
      </c>
      <c r="H1413" s="3" t="s">
        <v>12</v>
      </c>
      <c r="I1413" s="3">
        <v>2</v>
      </c>
      <c r="J1413" s="3" t="s">
        <v>13</v>
      </c>
      <c r="K1413" s="3" t="s">
        <v>14</v>
      </c>
      <c r="L1413" s="3" t="s">
        <v>14</v>
      </c>
      <c r="M1413" s="3" t="s">
        <v>14</v>
      </c>
      <c r="N1413" s="3" t="s">
        <v>14</v>
      </c>
      <c r="O1413" s="3">
        <v>0</v>
      </c>
    </row>
    <row r="1414" spans="1:15" ht="15" customHeight="1" x14ac:dyDescent="0.25">
      <c r="A1414" s="2">
        <v>10</v>
      </c>
      <c r="B1414" s="2" t="s">
        <v>10</v>
      </c>
      <c r="C1414" s="2" t="s">
        <v>19</v>
      </c>
      <c r="D1414" s="2" t="s">
        <v>106</v>
      </c>
      <c r="E1414" s="2">
        <v>0</v>
      </c>
      <c r="F1414" s="2">
        <v>0</v>
      </c>
      <c r="G1414" s="2" t="s">
        <v>10</v>
      </c>
      <c r="H1414" s="2" t="s">
        <v>12</v>
      </c>
      <c r="I1414" s="2">
        <v>2</v>
      </c>
      <c r="J1414" s="2" t="s">
        <v>14</v>
      </c>
      <c r="K1414" s="2" t="s">
        <v>14</v>
      </c>
      <c r="L1414" s="2" t="s">
        <v>14</v>
      </c>
      <c r="M1414" s="2" t="s">
        <v>14</v>
      </c>
      <c r="N1414" s="2" t="s">
        <v>14</v>
      </c>
      <c r="O1414" s="2">
        <v>1</v>
      </c>
    </row>
    <row r="1415" spans="1:15" ht="15" customHeight="1" x14ac:dyDescent="0.25">
      <c r="A1415" s="3">
        <v>10</v>
      </c>
      <c r="B1415" s="3" t="s">
        <v>10</v>
      </c>
      <c r="C1415" s="3" t="s">
        <v>19</v>
      </c>
      <c r="D1415" s="2" t="s">
        <v>106</v>
      </c>
      <c r="E1415" s="3">
        <v>0</v>
      </c>
      <c r="F1415" s="3">
        <v>1</v>
      </c>
      <c r="G1415" s="3" t="s">
        <v>10</v>
      </c>
      <c r="H1415" s="3" t="s">
        <v>12</v>
      </c>
      <c r="I1415" s="3" t="s">
        <v>15</v>
      </c>
      <c r="J1415" s="3" t="s">
        <v>14</v>
      </c>
      <c r="K1415" s="3" t="s">
        <v>14</v>
      </c>
      <c r="L1415" s="3" t="s">
        <v>14</v>
      </c>
      <c r="M1415" s="3" t="s">
        <v>14</v>
      </c>
      <c r="N1415" s="3" t="s">
        <v>14</v>
      </c>
      <c r="O1415" s="3">
        <v>0</v>
      </c>
    </row>
    <row r="1416" spans="1:15" ht="15" customHeight="1" x14ac:dyDescent="0.25">
      <c r="A1416" s="2">
        <v>0</v>
      </c>
      <c r="B1416" s="2" t="s">
        <v>18</v>
      </c>
      <c r="C1416" s="2" t="s">
        <v>19</v>
      </c>
      <c r="D1416" s="2" t="s">
        <v>106</v>
      </c>
      <c r="E1416" s="2">
        <v>0</v>
      </c>
      <c r="F1416" s="2">
        <v>1</v>
      </c>
      <c r="G1416" s="2" t="s">
        <v>10</v>
      </c>
      <c r="H1416" s="2" t="s">
        <v>16</v>
      </c>
      <c r="I1416" s="2" t="s">
        <v>15</v>
      </c>
      <c r="J1416" s="2" t="s">
        <v>14</v>
      </c>
      <c r="K1416" s="2" t="s">
        <v>14</v>
      </c>
      <c r="L1416" s="2" t="s">
        <v>14</v>
      </c>
      <c r="M1416" s="2" t="s">
        <v>14</v>
      </c>
      <c r="N1416" s="2" t="s">
        <v>14</v>
      </c>
      <c r="O1416" s="2">
        <v>1</v>
      </c>
    </row>
    <row r="1417" spans="1:15" ht="15" customHeight="1" x14ac:dyDescent="0.25">
      <c r="A1417" s="3">
        <v>30</v>
      </c>
      <c r="B1417" s="3" t="s">
        <v>10</v>
      </c>
      <c r="C1417" s="3" t="s">
        <v>19</v>
      </c>
      <c r="D1417" s="2" t="s">
        <v>106</v>
      </c>
      <c r="E1417" s="3">
        <v>1</v>
      </c>
      <c r="F1417" s="3">
        <v>0</v>
      </c>
      <c r="G1417" s="3" t="s">
        <v>10</v>
      </c>
      <c r="H1417" s="3" t="s">
        <v>12</v>
      </c>
      <c r="I1417" s="3">
        <v>1</v>
      </c>
      <c r="J1417" s="3" t="s">
        <v>14</v>
      </c>
      <c r="K1417" s="3" t="s">
        <v>14</v>
      </c>
      <c r="L1417" s="3" t="s">
        <v>14</v>
      </c>
      <c r="M1417" s="3" t="s">
        <v>13</v>
      </c>
      <c r="N1417" s="3" t="s">
        <v>13</v>
      </c>
      <c r="O1417" s="3">
        <v>1</v>
      </c>
    </row>
    <row r="1418" spans="1:15" ht="15" customHeight="1" x14ac:dyDescent="0.25">
      <c r="A1418" s="2">
        <v>5</v>
      </c>
      <c r="B1418" s="2" t="s">
        <v>10</v>
      </c>
      <c r="C1418" s="2" t="s">
        <v>11</v>
      </c>
      <c r="D1418" s="2" t="s">
        <v>106</v>
      </c>
      <c r="E1418" s="2">
        <v>0</v>
      </c>
      <c r="F1418" s="2">
        <v>0</v>
      </c>
      <c r="G1418" s="2" t="s">
        <v>10</v>
      </c>
      <c r="H1418" s="2" t="s">
        <v>12</v>
      </c>
      <c r="I1418" s="2" t="s">
        <v>15</v>
      </c>
      <c r="J1418" s="2" t="s">
        <v>14</v>
      </c>
      <c r="K1418" s="2" t="s">
        <v>14</v>
      </c>
      <c r="L1418" s="2" t="s">
        <v>14</v>
      </c>
      <c r="M1418" s="2" t="s">
        <v>14</v>
      </c>
      <c r="N1418" s="2" t="s">
        <v>14</v>
      </c>
      <c r="O1418" s="2">
        <v>1</v>
      </c>
    </row>
    <row r="1419" spans="1:15" ht="15" customHeight="1" x14ac:dyDescent="0.25">
      <c r="A1419" s="3">
        <v>20</v>
      </c>
      <c r="B1419" s="3" t="s">
        <v>14</v>
      </c>
      <c r="C1419" s="3" t="s">
        <v>11</v>
      </c>
      <c r="D1419" s="2" t="s">
        <v>106</v>
      </c>
      <c r="E1419" s="3">
        <v>1</v>
      </c>
      <c r="F1419" s="3">
        <v>0</v>
      </c>
      <c r="G1419" s="3" t="s">
        <v>10</v>
      </c>
      <c r="H1419" s="3" t="s">
        <v>12</v>
      </c>
      <c r="I1419" s="3">
        <v>1</v>
      </c>
      <c r="J1419" s="3" t="s">
        <v>14</v>
      </c>
      <c r="K1419" s="3" t="s">
        <v>14</v>
      </c>
      <c r="L1419" s="3" t="s">
        <v>14</v>
      </c>
      <c r="M1419" s="3" t="s">
        <v>13</v>
      </c>
      <c r="N1419" s="3" t="s">
        <v>13</v>
      </c>
      <c r="O1419" s="3">
        <v>0</v>
      </c>
    </row>
    <row r="1420" spans="1:15" ht="15" customHeight="1" x14ac:dyDescent="0.25">
      <c r="A1420" s="2">
        <v>0</v>
      </c>
      <c r="B1420" s="2" t="s">
        <v>18</v>
      </c>
      <c r="C1420" s="2" t="s">
        <v>19</v>
      </c>
      <c r="D1420" s="2" t="s">
        <v>106</v>
      </c>
      <c r="E1420" s="2">
        <v>0</v>
      </c>
      <c r="F1420" s="2">
        <v>1</v>
      </c>
      <c r="G1420" s="2" t="s">
        <v>17</v>
      </c>
      <c r="H1420" s="2" t="s">
        <v>106</v>
      </c>
      <c r="I1420" s="2">
        <v>1</v>
      </c>
      <c r="J1420" s="2" t="s">
        <v>14</v>
      </c>
      <c r="K1420" s="2" t="s">
        <v>14</v>
      </c>
      <c r="L1420" s="2" t="s">
        <v>14</v>
      </c>
      <c r="M1420" s="2" t="s">
        <v>14</v>
      </c>
      <c r="N1420" s="2" t="s">
        <v>14</v>
      </c>
      <c r="O1420" s="2">
        <v>1</v>
      </c>
    </row>
    <row r="1421" spans="1:15" ht="15" customHeight="1" x14ac:dyDescent="0.25">
      <c r="A1421" s="3">
        <v>20</v>
      </c>
      <c r="B1421" s="3" t="s">
        <v>18</v>
      </c>
      <c r="C1421" s="3" t="s">
        <v>20</v>
      </c>
      <c r="D1421" s="2" t="s">
        <v>106</v>
      </c>
      <c r="E1421" s="3">
        <v>0</v>
      </c>
      <c r="F1421" s="3">
        <v>0</v>
      </c>
      <c r="G1421" s="3" t="s">
        <v>10</v>
      </c>
      <c r="H1421" s="3" t="s">
        <v>12</v>
      </c>
      <c r="I1421" s="3">
        <v>1</v>
      </c>
      <c r="J1421" s="3" t="s">
        <v>14</v>
      </c>
      <c r="K1421" s="3" t="s">
        <v>14</v>
      </c>
      <c r="L1421" s="3" t="s">
        <v>14</v>
      </c>
      <c r="M1421" s="3" t="s">
        <v>14</v>
      </c>
      <c r="N1421" s="3" t="s">
        <v>14</v>
      </c>
      <c r="O1421" s="3">
        <v>1</v>
      </c>
    </row>
    <row r="1422" spans="1:15" ht="15" customHeight="1" x14ac:dyDescent="0.25">
      <c r="A1422" s="2">
        <v>10</v>
      </c>
      <c r="B1422" s="2" t="s">
        <v>10</v>
      </c>
      <c r="C1422" s="2" t="s">
        <v>20</v>
      </c>
      <c r="D1422" s="2" t="s">
        <v>106</v>
      </c>
      <c r="E1422" s="2">
        <v>0</v>
      </c>
      <c r="F1422" s="2">
        <v>0</v>
      </c>
      <c r="G1422" s="2" t="s">
        <v>10</v>
      </c>
      <c r="H1422" s="2" t="s">
        <v>12</v>
      </c>
      <c r="I1422" s="2">
        <v>2</v>
      </c>
      <c r="J1422" s="2" t="s">
        <v>14</v>
      </c>
      <c r="K1422" s="2" t="s">
        <v>14</v>
      </c>
      <c r="L1422" s="2" t="s">
        <v>14</v>
      </c>
      <c r="M1422" s="2" t="s">
        <v>14</v>
      </c>
      <c r="N1422" s="2" t="s">
        <v>14</v>
      </c>
      <c r="O1422" s="2">
        <v>1</v>
      </c>
    </row>
    <row r="1423" spans="1:15" ht="15" customHeight="1" x14ac:dyDescent="0.25">
      <c r="A1423" s="3">
        <v>10</v>
      </c>
      <c r="B1423" s="3" t="s">
        <v>10</v>
      </c>
      <c r="C1423" s="3" t="s">
        <v>19</v>
      </c>
      <c r="D1423" s="2" t="s">
        <v>106</v>
      </c>
      <c r="E1423" s="3">
        <v>0</v>
      </c>
      <c r="F1423" s="3">
        <v>0</v>
      </c>
      <c r="G1423" s="3" t="s">
        <v>10</v>
      </c>
      <c r="H1423" s="3" t="s">
        <v>12</v>
      </c>
      <c r="I1423" s="3">
        <v>1</v>
      </c>
      <c r="J1423" s="3" t="s">
        <v>14</v>
      </c>
      <c r="K1423" s="3" t="s">
        <v>14</v>
      </c>
      <c r="L1423" s="3" t="s">
        <v>14</v>
      </c>
      <c r="M1423" s="3" t="s">
        <v>14</v>
      </c>
      <c r="N1423" s="3" t="s">
        <v>14</v>
      </c>
      <c r="O1423" s="3">
        <v>1</v>
      </c>
    </row>
    <row r="1424" spans="1:15" ht="15" customHeight="1" x14ac:dyDescent="0.25">
      <c r="A1424" s="2">
        <v>5</v>
      </c>
      <c r="B1424" s="2" t="s">
        <v>10</v>
      </c>
      <c r="C1424" s="2" t="s">
        <v>19</v>
      </c>
      <c r="D1424" s="2" t="s">
        <v>106</v>
      </c>
      <c r="E1424" s="2">
        <v>0</v>
      </c>
      <c r="F1424" s="2">
        <v>0</v>
      </c>
      <c r="G1424" s="2" t="s">
        <v>10</v>
      </c>
      <c r="H1424" s="2" t="s">
        <v>12</v>
      </c>
      <c r="I1424" s="2" t="s">
        <v>15</v>
      </c>
      <c r="J1424" s="2" t="s">
        <v>14</v>
      </c>
      <c r="K1424" s="2" t="s">
        <v>14</v>
      </c>
      <c r="L1424" s="2" t="s">
        <v>14</v>
      </c>
      <c r="M1424" s="2" t="s">
        <v>14</v>
      </c>
      <c r="N1424" s="2" t="s">
        <v>14</v>
      </c>
      <c r="O1424" s="2">
        <v>1</v>
      </c>
    </row>
    <row r="1425" spans="1:15" ht="15" customHeight="1" x14ac:dyDescent="0.25">
      <c r="A1425" s="3">
        <v>10</v>
      </c>
      <c r="B1425" s="3" t="s">
        <v>18</v>
      </c>
      <c r="C1425" s="3" t="s">
        <v>19</v>
      </c>
      <c r="D1425" s="2" t="s">
        <v>106</v>
      </c>
      <c r="E1425" s="3">
        <v>0</v>
      </c>
      <c r="F1425" s="3">
        <v>0</v>
      </c>
      <c r="G1425" s="3" t="s">
        <v>10</v>
      </c>
      <c r="H1425" s="3" t="s">
        <v>12</v>
      </c>
      <c r="I1425" s="3">
        <v>2</v>
      </c>
      <c r="J1425" s="3" t="s">
        <v>14</v>
      </c>
      <c r="K1425" s="3" t="s">
        <v>14</v>
      </c>
      <c r="L1425" s="3" t="s">
        <v>14</v>
      </c>
      <c r="M1425" s="3" t="s">
        <v>14</v>
      </c>
      <c r="N1425" s="3" t="s">
        <v>14</v>
      </c>
      <c r="O1425" s="3">
        <v>1</v>
      </c>
    </row>
    <row r="1426" spans="1:15" ht="15" customHeight="1" x14ac:dyDescent="0.25">
      <c r="A1426" s="2">
        <v>10</v>
      </c>
      <c r="B1426" s="2" t="s">
        <v>18</v>
      </c>
      <c r="C1426" s="2" t="s">
        <v>20</v>
      </c>
      <c r="D1426" s="2" t="s">
        <v>106</v>
      </c>
      <c r="E1426" s="2">
        <v>0</v>
      </c>
      <c r="F1426" s="2">
        <v>0</v>
      </c>
      <c r="G1426" s="2" t="s">
        <v>10</v>
      </c>
      <c r="H1426" s="2" t="s">
        <v>12</v>
      </c>
      <c r="I1426" s="2">
        <v>2</v>
      </c>
      <c r="J1426" s="2" t="s">
        <v>14</v>
      </c>
      <c r="K1426" s="2" t="s">
        <v>14</v>
      </c>
      <c r="L1426" s="2" t="s">
        <v>14</v>
      </c>
      <c r="M1426" s="2" t="s">
        <v>14</v>
      </c>
      <c r="N1426" s="2" t="s">
        <v>14</v>
      </c>
      <c r="O1426" s="2">
        <v>1</v>
      </c>
    </row>
    <row r="1427" spans="1:15" ht="15" customHeight="1" x14ac:dyDescent="0.25">
      <c r="A1427" s="3">
        <v>10</v>
      </c>
      <c r="B1427" s="3" t="s">
        <v>14</v>
      </c>
      <c r="C1427" s="3" t="s">
        <v>20</v>
      </c>
      <c r="D1427" s="2" t="s">
        <v>106</v>
      </c>
      <c r="E1427" s="3">
        <v>0</v>
      </c>
      <c r="F1427" s="3">
        <v>0</v>
      </c>
      <c r="G1427" s="3" t="s">
        <v>10</v>
      </c>
      <c r="H1427" s="3" t="s">
        <v>12</v>
      </c>
      <c r="I1427" s="3">
        <v>2</v>
      </c>
      <c r="J1427" s="3" t="s">
        <v>14</v>
      </c>
      <c r="K1427" s="3" t="s">
        <v>14</v>
      </c>
      <c r="L1427" s="3" t="s">
        <v>14</v>
      </c>
      <c r="M1427" s="3" t="s">
        <v>14</v>
      </c>
      <c r="N1427" s="3" t="s">
        <v>14</v>
      </c>
      <c r="O1427" s="3">
        <v>1</v>
      </c>
    </row>
    <row r="1428" spans="1:15" ht="15" customHeight="1" x14ac:dyDescent="0.25">
      <c r="A1428" s="2">
        <v>10</v>
      </c>
      <c r="B1428" s="2" t="s">
        <v>10</v>
      </c>
      <c r="C1428" s="2" t="s">
        <v>20</v>
      </c>
      <c r="D1428" s="2" t="s">
        <v>106</v>
      </c>
      <c r="E1428" s="2">
        <v>0</v>
      </c>
      <c r="F1428" s="2">
        <v>0</v>
      </c>
      <c r="G1428" s="2" t="s">
        <v>10</v>
      </c>
      <c r="H1428" s="2" t="s">
        <v>12</v>
      </c>
      <c r="I1428" s="2">
        <v>2</v>
      </c>
      <c r="J1428" s="2" t="s">
        <v>14</v>
      </c>
      <c r="K1428" s="2" t="s">
        <v>14</v>
      </c>
      <c r="L1428" s="2" t="s">
        <v>14</v>
      </c>
      <c r="M1428" s="2" t="s">
        <v>14</v>
      </c>
      <c r="N1428" s="2" t="s">
        <v>14</v>
      </c>
      <c r="O1428" s="2">
        <v>1</v>
      </c>
    </row>
    <row r="1429" spans="1:15" ht="15" customHeight="1" x14ac:dyDescent="0.25">
      <c r="A1429" s="3">
        <v>10</v>
      </c>
      <c r="B1429" s="3" t="s">
        <v>10</v>
      </c>
      <c r="C1429" s="3" t="s">
        <v>19</v>
      </c>
      <c r="D1429" s="2" t="s">
        <v>106</v>
      </c>
      <c r="E1429" s="3">
        <v>0</v>
      </c>
      <c r="F1429" s="3">
        <v>0</v>
      </c>
      <c r="G1429" s="3" t="s">
        <v>10</v>
      </c>
      <c r="H1429" s="3" t="s">
        <v>12</v>
      </c>
      <c r="I1429" s="3" t="s">
        <v>15</v>
      </c>
      <c r="J1429" s="3" t="s">
        <v>14</v>
      </c>
      <c r="K1429" s="3" t="s">
        <v>14</v>
      </c>
      <c r="L1429" s="3" t="s">
        <v>14</v>
      </c>
      <c r="M1429" s="3" t="s">
        <v>14</v>
      </c>
      <c r="N1429" s="3" t="s">
        <v>14</v>
      </c>
      <c r="O1429" s="3">
        <v>1</v>
      </c>
    </row>
    <row r="1430" spans="1:15" ht="15" customHeight="1" x14ac:dyDescent="0.25">
      <c r="A1430" s="2">
        <v>5</v>
      </c>
      <c r="B1430" s="2" t="s">
        <v>14</v>
      </c>
      <c r="C1430" s="2" t="s">
        <v>19</v>
      </c>
      <c r="D1430" s="2" t="s">
        <v>106</v>
      </c>
      <c r="E1430" s="2">
        <v>0</v>
      </c>
      <c r="F1430" s="2">
        <v>0</v>
      </c>
      <c r="G1430" s="2" t="s">
        <v>10</v>
      </c>
      <c r="H1430" s="2" t="s">
        <v>12</v>
      </c>
      <c r="I1430" s="2">
        <v>1</v>
      </c>
      <c r="J1430" s="2" t="s">
        <v>14</v>
      </c>
      <c r="K1430" s="2" t="s">
        <v>14</v>
      </c>
      <c r="L1430" s="2" t="s">
        <v>14</v>
      </c>
      <c r="M1430" s="2" t="s">
        <v>14</v>
      </c>
      <c r="N1430" s="2" t="s">
        <v>14</v>
      </c>
      <c r="O1430" s="2">
        <v>1</v>
      </c>
    </row>
    <row r="1431" spans="1:15" ht="15" customHeight="1" x14ac:dyDescent="0.25">
      <c r="A1431" s="3">
        <v>10</v>
      </c>
      <c r="B1431" s="3" t="s">
        <v>10</v>
      </c>
      <c r="C1431" s="3" t="s">
        <v>11</v>
      </c>
      <c r="D1431" s="2" t="s">
        <v>106</v>
      </c>
      <c r="E1431" s="3">
        <v>0</v>
      </c>
      <c r="F1431" s="3">
        <v>1</v>
      </c>
      <c r="G1431" s="3" t="s">
        <v>10</v>
      </c>
      <c r="H1431" s="3" t="s">
        <v>12</v>
      </c>
      <c r="I1431" s="3">
        <v>1</v>
      </c>
      <c r="J1431" s="3" t="s">
        <v>14</v>
      </c>
      <c r="K1431" s="3" t="s">
        <v>14</v>
      </c>
      <c r="L1431" s="3" t="s">
        <v>14</v>
      </c>
      <c r="M1431" s="3" t="s">
        <v>14</v>
      </c>
      <c r="N1431" s="3" t="s">
        <v>14</v>
      </c>
      <c r="O1431" s="3">
        <v>0</v>
      </c>
    </row>
    <row r="1432" spans="1:15" ht="15" customHeight="1" x14ac:dyDescent="0.25">
      <c r="A1432" s="2">
        <v>0</v>
      </c>
      <c r="B1432" s="2" t="s">
        <v>18</v>
      </c>
      <c r="C1432" s="2" t="s">
        <v>19</v>
      </c>
      <c r="D1432" s="2" t="s">
        <v>106</v>
      </c>
      <c r="E1432" s="2">
        <v>0</v>
      </c>
      <c r="F1432" s="2">
        <v>0</v>
      </c>
      <c r="G1432" s="2" t="s">
        <v>18</v>
      </c>
      <c r="H1432" s="2" t="s">
        <v>106</v>
      </c>
      <c r="I1432" s="2">
        <v>1</v>
      </c>
      <c r="J1432" s="2" t="s">
        <v>14</v>
      </c>
      <c r="K1432" s="2" t="s">
        <v>13</v>
      </c>
      <c r="L1432" s="2" t="s">
        <v>13</v>
      </c>
      <c r="M1432" s="2" t="s">
        <v>14</v>
      </c>
      <c r="N1432" s="2" t="s">
        <v>14</v>
      </c>
      <c r="O1432" s="2">
        <v>1</v>
      </c>
    </row>
    <row r="1433" spans="1:15" ht="15" customHeight="1" x14ac:dyDescent="0.25">
      <c r="A1433" s="3">
        <v>5</v>
      </c>
      <c r="B1433" s="3" t="s">
        <v>14</v>
      </c>
      <c r="C1433" s="3" t="s">
        <v>19</v>
      </c>
      <c r="D1433" s="2" t="s">
        <v>106</v>
      </c>
      <c r="E1433" s="3">
        <v>0</v>
      </c>
      <c r="F1433" s="3">
        <v>0</v>
      </c>
      <c r="G1433" s="3" t="s">
        <v>10</v>
      </c>
      <c r="H1433" s="3" t="s">
        <v>12</v>
      </c>
      <c r="I1433" s="3">
        <v>2</v>
      </c>
      <c r="J1433" s="3" t="s">
        <v>14</v>
      </c>
      <c r="K1433" s="3" t="s">
        <v>14</v>
      </c>
      <c r="L1433" s="3" t="s">
        <v>14</v>
      </c>
      <c r="M1433" s="3" t="s">
        <v>14</v>
      </c>
      <c r="N1433" s="3" t="s">
        <v>14</v>
      </c>
      <c r="O1433" s="3">
        <v>1</v>
      </c>
    </row>
    <row r="1434" spans="1:15" ht="15" customHeight="1" x14ac:dyDescent="0.25">
      <c r="A1434" s="2">
        <v>5</v>
      </c>
      <c r="B1434" s="2" t="s">
        <v>10</v>
      </c>
      <c r="C1434" s="2" t="s">
        <v>19</v>
      </c>
      <c r="D1434" s="2" t="s">
        <v>106</v>
      </c>
      <c r="E1434" s="2">
        <v>0</v>
      </c>
      <c r="F1434" s="2">
        <v>0</v>
      </c>
      <c r="G1434" s="2" t="s">
        <v>10</v>
      </c>
      <c r="H1434" s="2" t="s">
        <v>12</v>
      </c>
      <c r="I1434" s="2">
        <v>2</v>
      </c>
      <c r="J1434" s="2" t="s">
        <v>14</v>
      </c>
      <c r="K1434" s="2" t="s">
        <v>14</v>
      </c>
      <c r="L1434" s="2" t="s">
        <v>14</v>
      </c>
      <c r="M1434" s="2" t="s">
        <v>14</v>
      </c>
      <c r="N1434" s="2" t="s">
        <v>14</v>
      </c>
      <c r="O1434" s="2">
        <v>1</v>
      </c>
    </row>
    <row r="1435" spans="1:15" ht="15" customHeight="1" x14ac:dyDescent="0.25">
      <c r="A1435" s="3">
        <v>5</v>
      </c>
      <c r="B1435" s="3" t="s">
        <v>18</v>
      </c>
      <c r="C1435" s="3" t="s">
        <v>19</v>
      </c>
      <c r="D1435" s="2" t="s">
        <v>106</v>
      </c>
      <c r="E1435" s="3">
        <v>0</v>
      </c>
      <c r="F1435" s="3">
        <v>0</v>
      </c>
      <c r="G1435" s="3" t="s">
        <v>10</v>
      </c>
      <c r="H1435" s="3" t="s">
        <v>16</v>
      </c>
      <c r="I1435" s="3" t="s">
        <v>15</v>
      </c>
      <c r="J1435" s="3" t="s">
        <v>14</v>
      </c>
      <c r="K1435" s="3" t="s">
        <v>14</v>
      </c>
      <c r="L1435" s="3" t="s">
        <v>14</v>
      </c>
      <c r="M1435" s="3" t="s">
        <v>14</v>
      </c>
      <c r="N1435" s="3" t="s">
        <v>14</v>
      </c>
      <c r="O1435" s="3">
        <v>1</v>
      </c>
    </row>
    <row r="1436" spans="1:15" ht="15" customHeight="1" x14ac:dyDescent="0.25">
      <c r="A1436" s="2">
        <v>5</v>
      </c>
      <c r="B1436" s="2" t="s">
        <v>10</v>
      </c>
      <c r="C1436" s="2" t="s">
        <v>19</v>
      </c>
      <c r="D1436" s="2" t="s">
        <v>106</v>
      </c>
      <c r="E1436" s="2">
        <v>0</v>
      </c>
      <c r="F1436" s="2">
        <v>0</v>
      </c>
      <c r="G1436" s="2" t="s">
        <v>10</v>
      </c>
      <c r="H1436" s="2" t="s">
        <v>12</v>
      </c>
      <c r="I1436" s="2">
        <v>2</v>
      </c>
      <c r="J1436" s="2" t="s">
        <v>14</v>
      </c>
      <c r="K1436" s="2" t="s">
        <v>14</v>
      </c>
      <c r="L1436" s="2" t="s">
        <v>14</v>
      </c>
      <c r="M1436" s="2" t="s">
        <v>14</v>
      </c>
      <c r="N1436" s="2" t="s">
        <v>14</v>
      </c>
      <c r="O1436" s="2">
        <v>1</v>
      </c>
    </row>
    <row r="1437" spans="1:15" ht="15" customHeight="1" x14ac:dyDescent="0.25">
      <c r="A1437" s="3">
        <v>10</v>
      </c>
      <c r="B1437" s="3" t="s">
        <v>10</v>
      </c>
      <c r="C1437" s="3" t="s">
        <v>19</v>
      </c>
      <c r="D1437" s="2" t="s">
        <v>106</v>
      </c>
      <c r="E1437" s="3">
        <v>0</v>
      </c>
      <c r="F1437" s="3">
        <v>0</v>
      </c>
      <c r="G1437" s="3" t="s">
        <v>10</v>
      </c>
      <c r="H1437" s="3" t="s">
        <v>12</v>
      </c>
      <c r="I1437" s="3">
        <v>2</v>
      </c>
      <c r="J1437" s="3" t="s">
        <v>14</v>
      </c>
      <c r="K1437" s="3" t="s">
        <v>14</v>
      </c>
      <c r="L1437" s="3" t="s">
        <v>14</v>
      </c>
      <c r="M1437" s="3" t="s">
        <v>14</v>
      </c>
      <c r="N1437" s="3" t="s">
        <v>14</v>
      </c>
      <c r="O1437" s="3">
        <v>1</v>
      </c>
    </row>
    <row r="1438" spans="1:15" ht="15" customHeight="1" x14ac:dyDescent="0.25">
      <c r="A1438" s="2">
        <v>5</v>
      </c>
      <c r="B1438" s="2" t="s">
        <v>10</v>
      </c>
      <c r="C1438" s="2" t="s">
        <v>11</v>
      </c>
      <c r="D1438" s="2" t="s">
        <v>106</v>
      </c>
      <c r="E1438" s="2">
        <v>1</v>
      </c>
      <c r="F1438" s="2">
        <v>0</v>
      </c>
      <c r="G1438" s="2" t="s">
        <v>10</v>
      </c>
      <c r="H1438" s="2" t="s">
        <v>12</v>
      </c>
      <c r="I1438" s="2" t="s">
        <v>15</v>
      </c>
      <c r="J1438" s="2" t="s">
        <v>13</v>
      </c>
      <c r="K1438" s="2" t="s">
        <v>14</v>
      </c>
      <c r="L1438" s="2" t="s">
        <v>14</v>
      </c>
      <c r="M1438" s="2" t="s">
        <v>14</v>
      </c>
      <c r="N1438" s="2" t="s">
        <v>14</v>
      </c>
      <c r="O1438" s="2">
        <v>0</v>
      </c>
    </row>
    <row r="1439" spans="1:15" ht="15" customHeight="1" x14ac:dyDescent="0.25">
      <c r="A1439" s="3">
        <v>10</v>
      </c>
      <c r="B1439" s="3" t="s">
        <v>10</v>
      </c>
      <c r="C1439" s="3" t="s">
        <v>19</v>
      </c>
      <c r="D1439" s="2" t="s">
        <v>106</v>
      </c>
      <c r="E1439" s="3">
        <v>0</v>
      </c>
      <c r="F1439" s="3">
        <v>0</v>
      </c>
      <c r="G1439" s="3" t="s">
        <v>10</v>
      </c>
      <c r="H1439" s="3" t="s">
        <v>16</v>
      </c>
      <c r="I1439" s="3">
        <v>2</v>
      </c>
      <c r="J1439" s="3" t="s">
        <v>14</v>
      </c>
      <c r="K1439" s="3" t="s">
        <v>14</v>
      </c>
      <c r="L1439" s="3" t="s">
        <v>14</v>
      </c>
      <c r="M1439" s="3" t="s">
        <v>14</v>
      </c>
      <c r="N1439" s="3" t="s">
        <v>14</v>
      </c>
      <c r="O1439" s="3">
        <v>1</v>
      </c>
    </row>
    <row r="1440" spans="1:15" ht="15" customHeight="1" x14ac:dyDescent="0.25">
      <c r="A1440" s="2">
        <v>5</v>
      </c>
      <c r="B1440" s="2" t="s">
        <v>18</v>
      </c>
      <c r="C1440" s="2" t="s">
        <v>19</v>
      </c>
      <c r="D1440" s="2" t="s">
        <v>106</v>
      </c>
      <c r="E1440" s="2">
        <v>0</v>
      </c>
      <c r="F1440" s="2">
        <v>0</v>
      </c>
      <c r="G1440" s="2" t="s">
        <v>10</v>
      </c>
      <c r="H1440" s="2" t="s">
        <v>12</v>
      </c>
      <c r="I1440" s="2">
        <v>1</v>
      </c>
      <c r="J1440" s="2" t="s">
        <v>14</v>
      </c>
      <c r="K1440" s="2" t="s">
        <v>14</v>
      </c>
      <c r="L1440" s="2" t="s">
        <v>14</v>
      </c>
      <c r="M1440" s="2" t="s">
        <v>14</v>
      </c>
      <c r="N1440" s="2" t="s">
        <v>14</v>
      </c>
      <c r="O1440" s="2">
        <v>1</v>
      </c>
    </row>
    <row r="1441" spans="1:15" ht="15" customHeight="1" x14ac:dyDescent="0.25">
      <c r="A1441" s="3">
        <v>30</v>
      </c>
      <c r="B1441" s="3" t="s">
        <v>18</v>
      </c>
      <c r="C1441" s="3" t="s">
        <v>20</v>
      </c>
      <c r="D1441" s="2" t="s">
        <v>106</v>
      </c>
      <c r="E1441" s="3">
        <v>0</v>
      </c>
      <c r="F1441" s="3">
        <v>0</v>
      </c>
      <c r="G1441" s="3" t="s">
        <v>10</v>
      </c>
      <c r="H1441" s="3" t="s">
        <v>12</v>
      </c>
      <c r="I1441" s="3">
        <v>1</v>
      </c>
      <c r="J1441" s="3" t="s">
        <v>14</v>
      </c>
      <c r="K1441" s="3" t="s">
        <v>14</v>
      </c>
      <c r="L1441" s="3" t="s">
        <v>14</v>
      </c>
      <c r="M1441" s="3" t="s">
        <v>14</v>
      </c>
      <c r="N1441" s="3" t="s">
        <v>14</v>
      </c>
      <c r="O1441" s="3">
        <v>1</v>
      </c>
    </row>
    <row r="1442" spans="1:15" ht="15" customHeight="1" x14ac:dyDescent="0.25">
      <c r="A1442" s="2">
        <v>0</v>
      </c>
      <c r="B1442" s="2" t="s">
        <v>10</v>
      </c>
      <c r="C1442" s="2" t="s">
        <v>20</v>
      </c>
      <c r="D1442" s="2" t="s">
        <v>106</v>
      </c>
      <c r="E1442" s="2">
        <v>0</v>
      </c>
      <c r="F1442" s="2">
        <v>0</v>
      </c>
      <c r="G1442" s="2" t="s">
        <v>10</v>
      </c>
      <c r="H1442" s="2" t="s">
        <v>12</v>
      </c>
      <c r="I1442" s="2">
        <v>2</v>
      </c>
      <c r="J1442" s="2" t="s">
        <v>14</v>
      </c>
      <c r="K1442" s="2" t="s">
        <v>14</v>
      </c>
      <c r="L1442" s="2" t="s">
        <v>14</v>
      </c>
      <c r="M1442" s="2" t="s">
        <v>14</v>
      </c>
      <c r="N1442" s="2" t="s">
        <v>14</v>
      </c>
      <c r="O1442" s="2">
        <v>1</v>
      </c>
    </row>
    <row r="1443" spans="1:15" ht="15" customHeight="1" x14ac:dyDescent="0.25">
      <c r="A1443" s="3">
        <v>10</v>
      </c>
      <c r="B1443" s="3" t="s">
        <v>10</v>
      </c>
      <c r="C1443" s="3" t="s">
        <v>19</v>
      </c>
      <c r="D1443" s="2" t="s">
        <v>106</v>
      </c>
      <c r="E1443" s="3">
        <v>0</v>
      </c>
      <c r="F1443" s="3">
        <v>0</v>
      </c>
      <c r="G1443" s="3" t="s">
        <v>10</v>
      </c>
      <c r="H1443" s="3" t="s">
        <v>12</v>
      </c>
      <c r="I1443" s="3">
        <v>1</v>
      </c>
      <c r="J1443" s="3" t="s">
        <v>14</v>
      </c>
      <c r="K1443" s="3" t="s">
        <v>14</v>
      </c>
      <c r="L1443" s="3" t="s">
        <v>14</v>
      </c>
      <c r="M1443" s="3" t="s">
        <v>14</v>
      </c>
      <c r="N1443" s="3" t="s">
        <v>14</v>
      </c>
      <c r="O1443" s="3">
        <v>1</v>
      </c>
    </row>
    <row r="1444" spans="1:15" ht="15" customHeight="1" x14ac:dyDescent="0.25">
      <c r="A1444" s="2">
        <v>10</v>
      </c>
      <c r="B1444" s="2" t="s">
        <v>14</v>
      </c>
      <c r="C1444" s="2" t="s">
        <v>19</v>
      </c>
      <c r="D1444" s="2" t="s">
        <v>106</v>
      </c>
      <c r="E1444" s="2">
        <v>0</v>
      </c>
      <c r="F1444" s="2">
        <v>0</v>
      </c>
      <c r="G1444" s="2" t="s">
        <v>10</v>
      </c>
      <c r="H1444" s="2" t="s">
        <v>12</v>
      </c>
      <c r="I1444" s="2" t="s">
        <v>15</v>
      </c>
      <c r="J1444" s="2" t="s">
        <v>14</v>
      </c>
      <c r="K1444" s="2" t="s">
        <v>14</v>
      </c>
      <c r="L1444" s="2" t="s">
        <v>14</v>
      </c>
      <c r="M1444" s="2" t="s">
        <v>14</v>
      </c>
      <c r="N1444" s="2" t="s">
        <v>14</v>
      </c>
      <c r="O1444" s="2">
        <v>1</v>
      </c>
    </row>
    <row r="1445" spans="1:15" ht="15" customHeight="1" x14ac:dyDescent="0.25">
      <c r="A1445" s="3">
        <v>5</v>
      </c>
      <c r="B1445" s="3" t="s">
        <v>14</v>
      </c>
      <c r="C1445" s="3" t="s">
        <v>19</v>
      </c>
      <c r="D1445" s="2" t="s">
        <v>106</v>
      </c>
      <c r="E1445" s="3">
        <v>0</v>
      </c>
      <c r="F1445" s="3">
        <v>0</v>
      </c>
      <c r="G1445" s="3" t="s">
        <v>10</v>
      </c>
      <c r="H1445" s="3" t="s">
        <v>12</v>
      </c>
      <c r="I1445" s="3" t="s">
        <v>15</v>
      </c>
      <c r="J1445" s="3" t="s">
        <v>14</v>
      </c>
      <c r="K1445" s="3" t="s">
        <v>14</v>
      </c>
      <c r="L1445" s="3" t="s">
        <v>14</v>
      </c>
      <c r="M1445" s="3" t="s">
        <v>14</v>
      </c>
      <c r="N1445" s="3" t="s">
        <v>14</v>
      </c>
      <c r="O1445" s="3">
        <v>1</v>
      </c>
    </row>
    <row r="1446" spans="1:15" ht="15" customHeight="1" x14ac:dyDescent="0.25">
      <c r="A1446" s="2">
        <v>10</v>
      </c>
      <c r="B1446" s="2" t="s">
        <v>18</v>
      </c>
      <c r="C1446" s="2" t="s">
        <v>19</v>
      </c>
      <c r="D1446" s="2" t="s">
        <v>106</v>
      </c>
      <c r="E1446" s="2">
        <v>0</v>
      </c>
      <c r="F1446" s="2">
        <v>0</v>
      </c>
      <c r="G1446" s="2" t="s">
        <v>10</v>
      </c>
      <c r="H1446" s="2" t="s">
        <v>12</v>
      </c>
      <c r="I1446" s="2">
        <v>1</v>
      </c>
      <c r="J1446" s="2" t="s">
        <v>14</v>
      </c>
      <c r="K1446" s="2" t="s">
        <v>14</v>
      </c>
      <c r="L1446" s="2" t="s">
        <v>14</v>
      </c>
      <c r="M1446" s="2" t="s">
        <v>14</v>
      </c>
      <c r="N1446" s="2" t="s">
        <v>14</v>
      </c>
      <c r="O1446" s="2">
        <v>1</v>
      </c>
    </row>
    <row r="1447" spans="1:15" ht="15" customHeight="1" x14ac:dyDescent="0.25">
      <c r="A1447" s="3">
        <v>10</v>
      </c>
      <c r="B1447" s="3" t="s">
        <v>14</v>
      </c>
      <c r="C1447" s="3" t="s">
        <v>19</v>
      </c>
      <c r="D1447" s="2" t="s">
        <v>106</v>
      </c>
      <c r="E1447" s="3">
        <v>0</v>
      </c>
      <c r="F1447" s="3">
        <v>0</v>
      </c>
      <c r="G1447" s="3" t="s">
        <v>10</v>
      </c>
      <c r="H1447" s="3" t="s">
        <v>12</v>
      </c>
      <c r="I1447" s="3" t="s">
        <v>15</v>
      </c>
      <c r="J1447" s="3" t="s">
        <v>14</v>
      </c>
      <c r="K1447" s="3" t="s">
        <v>14</v>
      </c>
      <c r="L1447" s="3" t="s">
        <v>14</v>
      </c>
      <c r="M1447" s="3" t="s">
        <v>14</v>
      </c>
      <c r="N1447" s="3" t="s">
        <v>14</v>
      </c>
      <c r="O1447" s="3">
        <v>1</v>
      </c>
    </row>
    <row r="1448" spans="1:15" ht="15" customHeight="1" x14ac:dyDescent="0.25">
      <c r="A1448" s="2">
        <v>10</v>
      </c>
      <c r="B1448" s="2" t="s">
        <v>10</v>
      </c>
      <c r="C1448" s="2" t="s">
        <v>19</v>
      </c>
      <c r="D1448" s="2" t="s">
        <v>106</v>
      </c>
      <c r="E1448" s="2">
        <v>0</v>
      </c>
      <c r="F1448" s="2">
        <v>0</v>
      </c>
      <c r="G1448" s="2" t="s">
        <v>10</v>
      </c>
      <c r="H1448" s="2" t="s">
        <v>12</v>
      </c>
      <c r="I1448" s="2">
        <v>2</v>
      </c>
      <c r="J1448" s="2" t="s">
        <v>14</v>
      </c>
      <c r="K1448" s="2" t="s">
        <v>14</v>
      </c>
      <c r="L1448" s="2" t="s">
        <v>14</v>
      </c>
      <c r="M1448" s="2" t="s">
        <v>14</v>
      </c>
      <c r="N1448" s="2" t="s">
        <v>14</v>
      </c>
      <c r="O1448" s="2">
        <v>1</v>
      </c>
    </row>
    <row r="1449" spans="1:15" ht="15" customHeight="1" x14ac:dyDescent="0.25">
      <c r="A1449" s="3">
        <v>20</v>
      </c>
      <c r="B1449" s="3" t="s">
        <v>14</v>
      </c>
      <c r="C1449" s="3" t="s">
        <v>19</v>
      </c>
      <c r="D1449" s="2" t="s">
        <v>106</v>
      </c>
      <c r="E1449" s="3">
        <v>0</v>
      </c>
      <c r="F1449" s="3">
        <v>0</v>
      </c>
      <c r="G1449" s="3" t="s">
        <v>10</v>
      </c>
      <c r="H1449" s="3" t="s">
        <v>12</v>
      </c>
      <c r="I1449" s="3" t="s">
        <v>15</v>
      </c>
      <c r="J1449" s="3" t="s">
        <v>14</v>
      </c>
      <c r="K1449" s="3" t="s">
        <v>14</v>
      </c>
      <c r="L1449" s="3" t="s">
        <v>14</v>
      </c>
      <c r="M1449" s="3" t="s">
        <v>14</v>
      </c>
      <c r="N1449" s="3" t="s">
        <v>14</v>
      </c>
      <c r="O1449" s="3">
        <v>1</v>
      </c>
    </row>
    <row r="1450" spans="1:15" ht="15" customHeight="1" x14ac:dyDescent="0.25">
      <c r="A1450" s="2">
        <v>10</v>
      </c>
      <c r="B1450" s="2" t="s">
        <v>10</v>
      </c>
      <c r="C1450" s="2" t="s">
        <v>11</v>
      </c>
      <c r="D1450" s="2" t="s">
        <v>106</v>
      </c>
      <c r="E1450" s="2">
        <v>0</v>
      </c>
      <c r="F1450" s="2">
        <v>0</v>
      </c>
      <c r="G1450" s="2" t="s">
        <v>10</v>
      </c>
      <c r="H1450" s="2" t="s">
        <v>12</v>
      </c>
      <c r="I1450" s="2" t="s">
        <v>15</v>
      </c>
      <c r="J1450" s="2" t="s">
        <v>14</v>
      </c>
      <c r="K1450" s="2" t="s">
        <v>14</v>
      </c>
      <c r="L1450" s="2" t="s">
        <v>14</v>
      </c>
      <c r="M1450" s="2" t="s">
        <v>14</v>
      </c>
      <c r="N1450" s="2" t="s">
        <v>14</v>
      </c>
      <c r="O1450" s="2">
        <v>1</v>
      </c>
    </row>
    <row r="1451" spans="1:15" ht="15" customHeight="1" x14ac:dyDescent="0.25">
      <c r="A1451" s="3">
        <v>5</v>
      </c>
      <c r="B1451" s="3" t="s">
        <v>14</v>
      </c>
      <c r="C1451" s="3" t="s">
        <v>11</v>
      </c>
      <c r="D1451" s="2" t="s">
        <v>106</v>
      </c>
      <c r="E1451" s="3">
        <v>0</v>
      </c>
      <c r="F1451" s="3">
        <v>0</v>
      </c>
      <c r="G1451" s="3" t="s">
        <v>10</v>
      </c>
      <c r="H1451" s="3" t="s">
        <v>12</v>
      </c>
      <c r="I1451" s="3">
        <v>2</v>
      </c>
      <c r="J1451" s="3" t="s">
        <v>14</v>
      </c>
      <c r="K1451" s="3" t="s">
        <v>14</v>
      </c>
      <c r="L1451" s="3" t="s">
        <v>14</v>
      </c>
      <c r="M1451" s="3" t="s">
        <v>14</v>
      </c>
      <c r="N1451" s="3" t="s">
        <v>14</v>
      </c>
      <c r="O1451" s="3">
        <v>1</v>
      </c>
    </row>
    <row r="1452" spans="1:15" ht="15" customHeight="1" x14ac:dyDescent="0.25">
      <c r="A1452" s="2">
        <v>5</v>
      </c>
      <c r="B1452" s="2" t="s">
        <v>10</v>
      </c>
      <c r="C1452" s="2" t="s">
        <v>11</v>
      </c>
      <c r="D1452" s="2" t="s">
        <v>106</v>
      </c>
      <c r="E1452" s="2">
        <v>0</v>
      </c>
      <c r="F1452" s="2">
        <v>0</v>
      </c>
      <c r="G1452" s="2" t="s">
        <v>10</v>
      </c>
      <c r="H1452" s="2" t="s">
        <v>12</v>
      </c>
      <c r="I1452" s="2" t="s">
        <v>15</v>
      </c>
      <c r="J1452" s="2" t="s">
        <v>13</v>
      </c>
      <c r="K1452" s="2" t="s">
        <v>14</v>
      </c>
      <c r="L1452" s="2" t="s">
        <v>14</v>
      </c>
      <c r="M1452" s="2" t="s">
        <v>14</v>
      </c>
      <c r="N1452" s="2" t="s">
        <v>14</v>
      </c>
      <c r="O1452" s="2">
        <v>1</v>
      </c>
    </row>
    <row r="1453" spans="1:15" ht="15" customHeight="1" x14ac:dyDescent="0.25">
      <c r="A1453" s="3">
        <v>20</v>
      </c>
      <c r="B1453" s="3" t="s">
        <v>18</v>
      </c>
      <c r="C1453" s="3" t="s">
        <v>11</v>
      </c>
      <c r="D1453" s="2" t="s">
        <v>106</v>
      </c>
      <c r="E1453" s="3">
        <v>1</v>
      </c>
      <c r="F1453" s="3">
        <v>0</v>
      </c>
      <c r="G1453" s="3" t="s">
        <v>10</v>
      </c>
      <c r="H1453" s="3" t="s">
        <v>12</v>
      </c>
      <c r="I1453" s="3">
        <v>1</v>
      </c>
      <c r="J1453" s="3" t="s">
        <v>14</v>
      </c>
      <c r="K1453" s="3" t="s">
        <v>14</v>
      </c>
      <c r="L1453" s="3" t="s">
        <v>14</v>
      </c>
      <c r="M1453" s="3" t="s">
        <v>13</v>
      </c>
      <c r="N1453" s="3" t="s">
        <v>13</v>
      </c>
      <c r="O1453" s="3">
        <v>1</v>
      </c>
    </row>
    <row r="1454" spans="1:15" ht="15" customHeight="1" x14ac:dyDescent="0.25">
      <c r="A1454" s="2">
        <v>10</v>
      </c>
      <c r="B1454" s="2" t="s">
        <v>14</v>
      </c>
      <c r="C1454" s="2" t="s">
        <v>20</v>
      </c>
      <c r="D1454" s="2" t="s">
        <v>106</v>
      </c>
      <c r="E1454" s="2">
        <v>0</v>
      </c>
      <c r="F1454" s="2">
        <v>0</v>
      </c>
      <c r="G1454" s="2" t="s">
        <v>10</v>
      </c>
      <c r="H1454" s="2" t="s">
        <v>12</v>
      </c>
      <c r="I1454" s="2" t="s">
        <v>15</v>
      </c>
      <c r="J1454" s="2" t="s">
        <v>14</v>
      </c>
      <c r="K1454" s="2" t="s">
        <v>14</v>
      </c>
      <c r="L1454" s="2" t="s">
        <v>14</v>
      </c>
      <c r="M1454" s="2" t="s">
        <v>14</v>
      </c>
      <c r="N1454" s="2" t="s">
        <v>14</v>
      </c>
      <c r="O1454" s="2">
        <v>1</v>
      </c>
    </row>
    <row r="1455" spans="1:15" ht="15" customHeight="1" x14ac:dyDescent="0.25">
      <c r="A1455" s="3">
        <v>5</v>
      </c>
      <c r="B1455" s="3" t="s">
        <v>14</v>
      </c>
      <c r="C1455" s="3" t="s">
        <v>20</v>
      </c>
      <c r="D1455" s="2" t="s">
        <v>106</v>
      </c>
      <c r="E1455" s="3">
        <v>0</v>
      </c>
      <c r="F1455" s="3">
        <v>0</v>
      </c>
      <c r="G1455" s="3" t="s">
        <v>10</v>
      </c>
      <c r="H1455" s="3" t="s">
        <v>12</v>
      </c>
      <c r="I1455" s="3">
        <v>2</v>
      </c>
      <c r="J1455" s="3" t="s">
        <v>14</v>
      </c>
      <c r="K1455" s="3" t="s">
        <v>14</v>
      </c>
      <c r="L1455" s="3" t="s">
        <v>14</v>
      </c>
      <c r="M1455" s="3" t="s">
        <v>14</v>
      </c>
      <c r="N1455" s="3" t="s">
        <v>14</v>
      </c>
      <c r="O1455" s="3">
        <v>1</v>
      </c>
    </row>
    <row r="1456" spans="1:15" ht="15" customHeight="1" x14ac:dyDescent="0.25">
      <c r="A1456" s="2">
        <v>10</v>
      </c>
      <c r="B1456" s="2" t="s">
        <v>10</v>
      </c>
      <c r="C1456" s="2" t="s">
        <v>19</v>
      </c>
      <c r="D1456" s="2" t="s">
        <v>106</v>
      </c>
      <c r="E1456" s="2">
        <v>0</v>
      </c>
      <c r="F1456" s="2">
        <v>1</v>
      </c>
      <c r="G1456" s="2" t="s">
        <v>10</v>
      </c>
      <c r="H1456" s="2" t="s">
        <v>12</v>
      </c>
      <c r="I1456" s="2">
        <v>2</v>
      </c>
      <c r="J1456" s="2" t="s">
        <v>14</v>
      </c>
      <c r="K1456" s="2" t="s">
        <v>14</v>
      </c>
      <c r="L1456" s="2" t="s">
        <v>14</v>
      </c>
      <c r="M1456" s="2" t="s">
        <v>14</v>
      </c>
      <c r="N1456" s="2" t="s">
        <v>14</v>
      </c>
      <c r="O1456" s="2">
        <v>1</v>
      </c>
    </row>
    <row r="1457" spans="1:15" ht="15" customHeight="1" x14ac:dyDescent="0.25">
      <c r="A1457" s="3">
        <v>5</v>
      </c>
      <c r="B1457" s="3" t="s">
        <v>14</v>
      </c>
      <c r="C1457" s="3" t="s">
        <v>19</v>
      </c>
      <c r="D1457" s="2" t="s">
        <v>106</v>
      </c>
      <c r="E1457" s="3">
        <v>0</v>
      </c>
      <c r="F1457" s="3">
        <v>1</v>
      </c>
      <c r="G1457" s="3" t="s">
        <v>10</v>
      </c>
      <c r="H1457" s="3" t="s">
        <v>12</v>
      </c>
      <c r="I1457" s="3">
        <v>1</v>
      </c>
      <c r="J1457" s="3" t="s">
        <v>14</v>
      </c>
      <c r="K1457" s="3" t="s">
        <v>14</v>
      </c>
      <c r="L1457" s="3" t="s">
        <v>14</v>
      </c>
      <c r="M1457" s="3" t="s">
        <v>14</v>
      </c>
      <c r="N1457" s="3" t="s">
        <v>14</v>
      </c>
      <c r="O1457" s="3">
        <v>1</v>
      </c>
    </row>
    <row r="1458" spans="1:15" ht="15" customHeight="1" x14ac:dyDescent="0.25">
      <c r="A1458" s="2">
        <v>5</v>
      </c>
      <c r="B1458" s="2" t="s">
        <v>14</v>
      </c>
      <c r="C1458" s="2" t="s">
        <v>19</v>
      </c>
      <c r="D1458" s="2" t="s">
        <v>106</v>
      </c>
      <c r="E1458" s="2">
        <v>0</v>
      </c>
      <c r="F1458" s="2">
        <v>0</v>
      </c>
      <c r="G1458" s="2" t="s">
        <v>10</v>
      </c>
      <c r="H1458" s="2" t="s">
        <v>12</v>
      </c>
      <c r="I1458" s="2">
        <v>2</v>
      </c>
      <c r="J1458" s="2" t="s">
        <v>14</v>
      </c>
      <c r="K1458" s="2" t="s">
        <v>14</v>
      </c>
      <c r="L1458" s="2" t="s">
        <v>14</v>
      </c>
      <c r="M1458" s="2" t="s">
        <v>14</v>
      </c>
      <c r="N1458" s="2" t="s">
        <v>14</v>
      </c>
      <c r="O1458" s="2">
        <v>1</v>
      </c>
    </row>
    <row r="1459" spans="1:15" ht="15" customHeight="1" x14ac:dyDescent="0.25">
      <c r="A1459" s="3">
        <v>20</v>
      </c>
      <c r="B1459" s="3" t="s">
        <v>10</v>
      </c>
      <c r="C1459" s="3" t="s">
        <v>19</v>
      </c>
      <c r="D1459" s="2" t="s">
        <v>106</v>
      </c>
      <c r="E1459" s="3">
        <v>0</v>
      </c>
      <c r="F1459" s="3">
        <v>0</v>
      </c>
      <c r="G1459" s="3" t="s">
        <v>10</v>
      </c>
      <c r="H1459" s="3" t="s">
        <v>12</v>
      </c>
      <c r="I1459" s="3">
        <v>2</v>
      </c>
      <c r="J1459" s="3" t="s">
        <v>14</v>
      </c>
      <c r="K1459" s="3" t="s">
        <v>14</v>
      </c>
      <c r="L1459" s="3" t="s">
        <v>14</v>
      </c>
      <c r="M1459" s="3" t="s">
        <v>14</v>
      </c>
      <c r="N1459" s="3" t="s">
        <v>14</v>
      </c>
      <c r="O1459" s="3">
        <v>1</v>
      </c>
    </row>
    <row r="1460" spans="1:15" ht="15" customHeight="1" x14ac:dyDescent="0.25">
      <c r="A1460" s="2">
        <v>5</v>
      </c>
      <c r="B1460" s="2" t="s">
        <v>10</v>
      </c>
      <c r="C1460" s="2" t="s">
        <v>11</v>
      </c>
      <c r="D1460" s="2" t="s">
        <v>106</v>
      </c>
      <c r="E1460" s="2">
        <v>0</v>
      </c>
      <c r="F1460" s="2">
        <v>0</v>
      </c>
      <c r="G1460" s="2" t="s">
        <v>10</v>
      </c>
      <c r="H1460" s="2" t="s">
        <v>12</v>
      </c>
      <c r="I1460" s="2">
        <v>2</v>
      </c>
      <c r="J1460" s="2" t="s">
        <v>14</v>
      </c>
      <c r="K1460" s="2" t="s">
        <v>14</v>
      </c>
      <c r="L1460" s="2" t="s">
        <v>14</v>
      </c>
      <c r="M1460" s="2" t="s">
        <v>14</v>
      </c>
      <c r="N1460" s="2" t="s">
        <v>14</v>
      </c>
      <c r="O1460" s="2">
        <v>1</v>
      </c>
    </row>
    <row r="1461" spans="1:15" ht="15" customHeight="1" x14ac:dyDescent="0.25">
      <c r="A1461" s="3">
        <v>0</v>
      </c>
      <c r="B1461" s="3" t="s">
        <v>14</v>
      </c>
      <c r="C1461" s="3" t="s">
        <v>11</v>
      </c>
      <c r="D1461" s="2" t="s">
        <v>106</v>
      </c>
      <c r="E1461" s="3">
        <v>0</v>
      </c>
      <c r="F1461" s="3">
        <v>0</v>
      </c>
      <c r="G1461" s="3" t="s">
        <v>10</v>
      </c>
      <c r="H1461" s="3" t="s">
        <v>16</v>
      </c>
      <c r="I1461" s="3" t="s">
        <v>15</v>
      </c>
      <c r="J1461" s="3" t="s">
        <v>14</v>
      </c>
      <c r="K1461" s="3" t="s">
        <v>14</v>
      </c>
      <c r="L1461" s="3" t="s">
        <v>14</v>
      </c>
      <c r="M1461" s="3" t="s">
        <v>14</v>
      </c>
      <c r="N1461" s="3" t="s">
        <v>14</v>
      </c>
      <c r="O1461" s="3">
        <v>1</v>
      </c>
    </row>
    <row r="1462" spans="1:15" ht="15" customHeight="1" x14ac:dyDescent="0.25">
      <c r="A1462" s="2">
        <v>10</v>
      </c>
      <c r="B1462" s="2" t="s">
        <v>18</v>
      </c>
      <c r="C1462" s="2" t="s">
        <v>19</v>
      </c>
      <c r="D1462" s="2" t="s">
        <v>106</v>
      </c>
      <c r="E1462" s="2">
        <v>0</v>
      </c>
      <c r="F1462" s="2">
        <v>0</v>
      </c>
      <c r="G1462" s="2" t="s">
        <v>10</v>
      </c>
      <c r="H1462" s="2" t="s">
        <v>12</v>
      </c>
      <c r="I1462" s="2" t="s">
        <v>15</v>
      </c>
      <c r="J1462" s="2" t="s">
        <v>14</v>
      </c>
      <c r="K1462" s="2" t="s">
        <v>14</v>
      </c>
      <c r="L1462" s="2" t="s">
        <v>14</v>
      </c>
      <c r="M1462" s="2" t="s">
        <v>14</v>
      </c>
      <c r="N1462" s="2" t="s">
        <v>14</v>
      </c>
      <c r="O1462" s="2">
        <v>1</v>
      </c>
    </row>
    <row r="1463" spans="1:15" ht="15" customHeight="1" x14ac:dyDescent="0.25">
      <c r="A1463" s="3">
        <v>5</v>
      </c>
      <c r="B1463" s="3" t="s">
        <v>18</v>
      </c>
      <c r="C1463" s="3" t="s">
        <v>19</v>
      </c>
      <c r="D1463" s="2" t="s">
        <v>106</v>
      </c>
      <c r="E1463" s="3">
        <v>0</v>
      </c>
      <c r="F1463" s="3">
        <v>0</v>
      </c>
      <c r="G1463" s="3" t="s">
        <v>10</v>
      </c>
      <c r="H1463" s="3" t="s">
        <v>12</v>
      </c>
      <c r="I1463" s="3">
        <v>2</v>
      </c>
      <c r="J1463" s="3" t="s">
        <v>14</v>
      </c>
      <c r="K1463" s="3" t="s">
        <v>14</v>
      </c>
      <c r="L1463" s="3" t="s">
        <v>14</v>
      </c>
      <c r="M1463" s="3" t="s">
        <v>14</v>
      </c>
      <c r="N1463" s="3" t="s">
        <v>14</v>
      </c>
      <c r="O1463" s="3">
        <v>1</v>
      </c>
    </row>
    <row r="1464" spans="1:15" ht="15" customHeight="1" x14ac:dyDescent="0.25">
      <c r="A1464" s="2">
        <v>5</v>
      </c>
      <c r="B1464" s="2" t="s">
        <v>10</v>
      </c>
      <c r="C1464" s="2" t="s">
        <v>19</v>
      </c>
      <c r="D1464" s="2" t="s">
        <v>106</v>
      </c>
      <c r="E1464" s="2">
        <v>0</v>
      </c>
      <c r="F1464" s="2">
        <v>0</v>
      </c>
      <c r="G1464" s="2" t="s">
        <v>10</v>
      </c>
      <c r="H1464" s="2" t="s">
        <v>12</v>
      </c>
      <c r="I1464" s="2">
        <v>2</v>
      </c>
      <c r="J1464" s="2" t="s">
        <v>14</v>
      </c>
      <c r="K1464" s="2" t="s">
        <v>14</v>
      </c>
      <c r="L1464" s="2" t="s">
        <v>14</v>
      </c>
      <c r="M1464" s="2" t="s">
        <v>14</v>
      </c>
      <c r="N1464" s="2" t="s">
        <v>14</v>
      </c>
      <c r="O1464" s="2">
        <v>1</v>
      </c>
    </row>
    <row r="1465" spans="1:15" ht="15" customHeight="1" x14ac:dyDescent="0.25">
      <c r="A1465" s="3">
        <v>10</v>
      </c>
      <c r="B1465" s="3" t="s">
        <v>18</v>
      </c>
      <c r="C1465" s="3" t="s">
        <v>19</v>
      </c>
      <c r="D1465" s="2" t="s">
        <v>106</v>
      </c>
      <c r="E1465" s="3">
        <v>0</v>
      </c>
      <c r="F1465" s="3">
        <v>0</v>
      </c>
      <c r="G1465" s="3" t="s">
        <v>10</v>
      </c>
      <c r="H1465" s="3" t="s">
        <v>12</v>
      </c>
      <c r="I1465" s="3" t="s">
        <v>15</v>
      </c>
      <c r="J1465" s="3" t="s">
        <v>14</v>
      </c>
      <c r="K1465" s="3" t="s">
        <v>14</v>
      </c>
      <c r="L1465" s="3" t="s">
        <v>14</v>
      </c>
      <c r="M1465" s="3" t="s">
        <v>14</v>
      </c>
      <c r="N1465" s="3" t="s">
        <v>14</v>
      </c>
      <c r="O1465" s="3">
        <v>1</v>
      </c>
    </row>
    <row r="1466" spans="1:15" ht="15" customHeight="1" x14ac:dyDescent="0.25">
      <c r="A1466" s="2">
        <v>10</v>
      </c>
      <c r="B1466" s="2" t="s">
        <v>10</v>
      </c>
      <c r="C1466" s="2" t="s">
        <v>19</v>
      </c>
      <c r="D1466" s="2" t="s">
        <v>106</v>
      </c>
      <c r="E1466" s="2">
        <v>0</v>
      </c>
      <c r="F1466" s="2">
        <v>0</v>
      </c>
      <c r="G1466" s="2" t="s">
        <v>10</v>
      </c>
      <c r="H1466" s="2" t="s">
        <v>12</v>
      </c>
      <c r="I1466" s="2">
        <v>2</v>
      </c>
      <c r="J1466" s="2" t="s">
        <v>14</v>
      </c>
      <c r="K1466" s="2" t="s">
        <v>14</v>
      </c>
      <c r="L1466" s="2" t="s">
        <v>14</v>
      </c>
      <c r="M1466" s="2" t="s">
        <v>14</v>
      </c>
      <c r="N1466" s="2" t="s">
        <v>14</v>
      </c>
      <c r="O1466" s="2">
        <v>1</v>
      </c>
    </row>
    <row r="1467" spans="1:15" ht="15" customHeight="1" x14ac:dyDescent="0.25">
      <c r="A1467" s="3">
        <v>0</v>
      </c>
      <c r="B1467" s="3" t="s">
        <v>10</v>
      </c>
      <c r="C1467" s="3" t="s">
        <v>11</v>
      </c>
      <c r="D1467" s="2" t="s">
        <v>106</v>
      </c>
      <c r="E1467" s="3">
        <v>0</v>
      </c>
      <c r="F1467" s="3">
        <v>1</v>
      </c>
      <c r="G1467" s="3" t="s">
        <v>10</v>
      </c>
      <c r="H1467" s="3" t="s">
        <v>12</v>
      </c>
      <c r="I1467" s="3" t="s">
        <v>15</v>
      </c>
      <c r="J1467" s="3" t="s">
        <v>14</v>
      </c>
      <c r="K1467" s="3" t="s">
        <v>14</v>
      </c>
      <c r="L1467" s="3" t="s">
        <v>14</v>
      </c>
      <c r="M1467" s="3" t="s">
        <v>14</v>
      </c>
      <c r="N1467" s="3" t="s">
        <v>14</v>
      </c>
      <c r="O1467" s="3">
        <v>1</v>
      </c>
    </row>
    <row r="1468" spans="1:15" ht="15" customHeight="1" x14ac:dyDescent="0.25">
      <c r="A1468" s="2">
        <v>20</v>
      </c>
      <c r="B1468" s="2" t="s">
        <v>10</v>
      </c>
      <c r="C1468" s="2" t="s">
        <v>19</v>
      </c>
      <c r="D1468" s="2" t="s">
        <v>106</v>
      </c>
      <c r="E1468" s="2">
        <v>0</v>
      </c>
      <c r="F1468" s="2">
        <v>0</v>
      </c>
      <c r="G1468" s="2" t="s">
        <v>10</v>
      </c>
      <c r="H1468" s="2" t="s">
        <v>12</v>
      </c>
      <c r="I1468" s="2">
        <v>1</v>
      </c>
      <c r="J1468" s="2" t="s">
        <v>14</v>
      </c>
      <c r="K1468" s="2" t="s">
        <v>13</v>
      </c>
      <c r="L1468" s="2" t="s">
        <v>13</v>
      </c>
      <c r="M1468" s="2" t="s">
        <v>13</v>
      </c>
      <c r="N1468" s="2" t="s">
        <v>14</v>
      </c>
      <c r="O1468" s="2">
        <v>1</v>
      </c>
    </row>
    <row r="1469" spans="1:15" ht="15" customHeight="1" x14ac:dyDescent="0.25">
      <c r="A1469" s="3">
        <v>0</v>
      </c>
      <c r="B1469" s="3" t="s">
        <v>18</v>
      </c>
      <c r="C1469" s="3" t="s">
        <v>19</v>
      </c>
      <c r="D1469" s="2" t="s">
        <v>106</v>
      </c>
      <c r="E1469" s="3">
        <v>0</v>
      </c>
      <c r="F1469" s="3">
        <v>0</v>
      </c>
      <c r="G1469" s="3" t="s">
        <v>10</v>
      </c>
      <c r="H1469" s="3" t="s">
        <v>16</v>
      </c>
      <c r="I1469" s="3">
        <v>2</v>
      </c>
      <c r="J1469" s="3" t="s">
        <v>14</v>
      </c>
      <c r="K1469" s="3" t="s">
        <v>13</v>
      </c>
      <c r="L1469" s="3" t="s">
        <v>14</v>
      </c>
      <c r="M1469" s="3" t="s">
        <v>14</v>
      </c>
      <c r="N1469" s="3" t="s">
        <v>14</v>
      </c>
      <c r="O1469" s="3">
        <v>1</v>
      </c>
    </row>
    <row r="1470" spans="1:15" ht="15" customHeight="1" x14ac:dyDescent="0.25">
      <c r="A1470" s="2">
        <v>5</v>
      </c>
      <c r="B1470" s="2" t="s">
        <v>10</v>
      </c>
      <c r="C1470" s="2" t="s">
        <v>19</v>
      </c>
      <c r="D1470" s="2" t="s">
        <v>106</v>
      </c>
      <c r="E1470" s="2">
        <v>0</v>
      </c>
      <c r="F1470" s="2">
        <v>0</v>
      </c>
      <c r="G1470" s="2" t="s">
        <v>10</v>
      </c>
      <c r="H1470" s="2" t="s">
        <v>12</v>
      </c>
      <c r="I1470" s="2">
        <v>1</v>
      </c>
      <c r="J1470" s="2" t="s">
        <v>14</v>
      </c>
      <c r="K1470" s="2" t="s">
        <v>14</v>
      </c>
      <c r="L1470" s="2" t="s">
        <v>14</v>
      </c>
      <c r="M1470" s="2" t="s">
        <v>14</v>
      </c>
      <c r="N1470" s="2" t="s">
        <v>14</v>
      </c>
      <c r="O1470" s="2">
        <v>1</v>
      </c>
    </row>
    <row r="1471" spans="1:15" ht="15" customHeight="1" x14ac:dyDescent="0.25">
      <c r="A1471" s="3">
        <v>0</v>
      </c>
      <c r="B1471" s="3" t="s">
        <v>14</v>
      </c>
      <c r="C1471" s="3" t="s">
        <v>19</v>
      </c>
      <c r="D1471" s="2" t="s">
        <v>106</v>
      </c>
      <c r="E1471" s="3">
        <v>0</v>
      </c>
      <c r="F1471" s="3">
        <v>0</v>
      </c>
      <c r="G1471" s="3" t="s">
        <v>10</v>
      </c>
      <c r="H1471" s="3" t="s">
        <v>12</v>
      </c>
      <c r="I1471" s="3" t="s">
        <v>15</v>
      </c>
      <c r="J1471" s="3" t="s">
        <v>14</v>
      </c>
      <c r="K1471" s="3" t="s">
        <v>14</v>
      </c>
      <c r="L1471" s="3" t="s">
        <v>14</v>
      </c>
      <c r="M1471" s="3" t="s">
        <v>14</v>
      </c>
      <c r="N1471" s="3" t="s">
        <v>14</v>
      </c>
      <c r="O1471" s="3">
        <v>1</v>
      </c>
    </row>
    <row r="1472" spans="1:15" ht="15" customHeight="1" x14ac:dyDescent="0.25">
      <c r="A1472" s="2">
        <v>5</v>
      </c>
      <c r="B1472" s="2" t="s">
        <v>10</v>
      </c>
      <c r="C1472" s="2" t="s">
        <v>19</v>
      </c>
      <c r="D1472" s="2" t="s">
        <v>106</v>
      </c>
      <c r="E1472" s="2">
        <v>1</v>
      </c>
      <c r="F1472" s="2">
        <v>0</v>
      </c>
      <c r="G1472" s="2" t="s">
        <v>10</v>
      </c>
      <c r="H1472" s="2" t="s">
        <v>12</v>
      </c>
      <c r="I1472" s="2" t="s">
        <v>15</v>
      </c>
      <c r="J1472" s="2" t="s">
        <v>14</v>
      </c>
      <c r="K1472" s="2" t="s">
        <v>14</v>
      </c>
      <c r="L1472" s="2" t="s">
        <v>14</v>
      </c>
      <c r="M1472" s="2" t="s">
        <v>14</v>
      </c>
      <c r="N1472" s="2" t="s">
        <v>14</v>
      </c>
      <c r="O1472" s="2">
        <v>0</v>
      </c>
    </row>
    <row r="1473" spans="1:15" ht="15" customHeight="1" x14ac:dyDescent="0.25">
      <c r="A1473" s="3">
        <v>0</v>
      </c>
      <c r="B1473" s="3" t="s">
        <v>10</v>
      </c>
      <c r="C1473" s="3" t="s">
        <v>19</v>
      </c>
      <c r="D1473" s="2" t="s">
        <v>106</v>
      </c>
      <c r="E1473" s="3">
        <v>0</v>
      </c>
      <c r="F1473" s="3">
        <v>1</v>
      </c>
      <c r="G1473" s="3" t="s">
        <v>10</v>
      </c>
      <c r="H1473" s="3" t="s">
        <v>16</v>
      </c>
      <c r="I1473" s="3">
        <v>1</v>
      </c>
      <c r="J1473" s="3" t="s">
        <v>14</v>
      </c>
      <c r="K1473" s="3" t="s">
        <v>14</v>
      </c>
      <c r="L1473" s="3" t="s">
        <v>14</v>
      </c>
      <c r="M1473" s="3" t="s">
        <v>14</v>
      </c>
      <c r="N1473" s="3" t="s">
        <v>14</v>
      </c>
      <c r="O1473" s="3">
        <v>1</v>
      </c>
    </row>
    <row r="1474" spans="1:15" ht="15" customHeight="1" x14ac:dyDescent="0.25">
      <c r="A1474" s="2">
        <v>5</v>
      </c>
      <c r="B1474" s="2" t="s">
        <v>10</v>
      </c>
      <c r="C1474" s="2" t="s">
        <v>19</v>
      </c>
      <c r="D1474" s="2" t="s">
        <v>106</v>
      </c>
      <c r="E1474" s="2">
        <v>1</v>
      </c>
      <c r="F1474" s="2">
        <v>1</v>
      </c>
      <c r="G1474" s="2" t="s">
        <v>10</v>
      </c>
      <c r="H1474" s="2" t="s">
        <v>16</v>
      </c>
      <c r="I1474" s="2">
        <v>1</v>
      </c>
      <c r="J1474" s="2" t="s">
        <v>14</v>
      </c>
      <c r="K1474" s="2" t="s">
        <v>14</v>
      </c>
      <c r="L1474" s="2" t="s">
        <v>14</v>
      </c>
      <c r="M1474" s="2" t="s">
        <v>14</v>
      </c>
      <c r="N1474" s="2" t="s">
        <v>14</v>
      </c>
      <c r="O1474" s="2">
        <v>1</v>
      </c>
    </row>
    <row r="1475" spans="1:15" ht="15" customHeight="1" x14ac:dyDescent="0.25">
      <c r="A1475" s="3">
        <v>10</v>
      </c>
      <c r="B1475" s="3" t="s">
        <v>18</v>
      </c>
      <c r="C1475" s="3" t="s">
        <v>19</v>
      </c>
      <c r="D1475" s="2" t="s">
        <v>106</v>
      </c>
      <c r="E1475" s="3">
        <v>0</v>
      </c>
      <c r="F1475" s="3">
        <v>0</v>
      </c>
      <c r="G1475" s="3" t="s">
        <v>10</v>
      </c>
      <c r="H1475" s="3" t="s">
        <v>12</v>
      </c>
      <c r="I1475" s="3">
        <v>2</v>
      </c>
      <c r="J1475" s="3" t="s">
        <v>14</v>
      </c>
      <c r="K1475" s="3" t="s">
        <v>14</v>
      </c>
      <c r="L1475" s="3" t="s">
        <v>14</v>
      </c>
      <c r="M1475" s="3" t="s">
        <v>14</v>
      </c>
      <c r="N1475" s="3" t="s">
        <v>14</v>
      </c>
      <c r="O1475" s="3">
        <v>1</v>
      </c>
    </row>
    <row r="1476" spans="1:15" ht="15" customHeight="1" x14ac:dyDescent="0.25">
      <c r="A1476" s="2">
        <v>5</v>
      </c>
      <c r="B1476" s="2" t="s">
        <v>14</v>
      </c>
      <c r="C1476" s="2" t="s">
        <v>19</v>
      </c>
      <c r="D1476" s="2" t="s">
        <v>106</v>
      </c>
      <c r="E1476" s="2">
        <v>0</v>
      </c>
      <c r="F1476" s="2">
        <v>0</v>
      </c>
      <c r="G1476" s="2" t="s">
        <v>10</v>
      </c>
      <c r="H1476" s="2" t="s">
        <v>12</v>
      </c>
      <c r="I1476" s="2">
        <v>2</v>
      </c>
      <c r="J1476" s="2" t="s">
        <v>14</v>
      </c>
      <c r="K1476" s="2" t="s">
        <v>14</v>
      </c>
      <c r="L1476" s="2" t="s">
        <v>14</v>
      </c>
      <c r="M1476" s="2" t="s">
        <v>14</v>
      </c>
      <c r="N1476" s="2" t="s">
        <v>14</v>
      </c>
      <c r="O1476" s="2">
        <v>1</v>
      </c>
    </row>
    <row r="1477" spans="1:15" ht="15" customHeight="1" x14ac:dyDescent="0.25">
      <c r="A1477" s="3">
        <v>20</v>
      </c>
      <c r="B1477" s="3" t="s">
        <v>10</v>
      </c>
      <c r="C1477" s="3" t="s">
        <v>19</v>
      </c>
      <c r="D1477" s="2" t="s">
        <v>106</v>
      </c>
      <c r="E1477" s="3">
        <v>0</v>
      </c>
      <c r="F1477" s="3">
        <v>0</v>
      </c>
      <c r="G1477" s="3" t="s">
        <v>10</v>
      </c>
      <c r="H1477" s="3" t="s">
        <v>12</v>
      </c>
      <c r="I1477" s="3">
        <v>2</v>
      </c>
      <c r="J1477" s="3" t="s">
        <v>14</v>
      </c>
      <c r="K1477" s="3" t="s">
        <v>14</v>
      </c>
      <c r="L1477" s="3" t="s">
        <v>14</v>
      </c>
      <c r="M1477" s="3" t="s">
        <v>14</v>
      </c>
      <c r="N1477" s="3" t="s">
        <v>14</v>
      </c>
      <c r="O1477" s="3">
        <v>1</v>
      </c>
    </row>
    <row r="1478" spans="1:15" ht="15" customHeight="1" x14ac:dyDescent="0.25">
      <c r="A1478" s="2">
        <v>20</v>
      </c>
      <c r="B1478" s="2" t="s">
        <v>10</v>
      </c>
      <c r="C1478" s="2" t="s">
        <v>11</v>
      </c>
      <c r="D1478" s="2" t="s">
        <v>106</v>
      </c>
      <c r="E1478" s="2">
        <v>0</v>
      </c>
      <c r="F1478" s="2">
        <v>1</v>
      </c>
      <c r="G1478" s="2" t="s">
        <v>10</v>
      </c>
      <c r="H1478" s="2" t="s">
        <v>12</v>
      </c>
      <c r="I1478" s="2" t="s">
        <v>15</v>
      </c>
      <c r="J1478" s="2" t="s">
        <v>13</v>
      </c>
      <c r="K1478" s="2" t="s">
        <v>14</v>
      </c>
      <c r="L1478" s="2" t="s">
        <v>14</v>
      </c>
      <c r="M1478" s="2" t="s">
        <v>14</v>
      </c>
      <c r="N1478" s="2" t="s">
        <v>14</v>
      </c>
      <c r="O1478" s="2">
        <v>0</v>
      </c>
    </row>
    <row r="1479" spans="1:15" ht="15" customHeight="1" x14ac:dyDescent="0.25">
      <c r="A1479" s="3">
        <v>20</v>
      </c>
      <c r="B1479" s="3" t="s">
        <v>10</v>
      </c>
      <c r="C1479" s="3" t="s">
        <v>11</v>
      </c>
      <c r="D1479" s="2" t="s">
        <v>106</v>
      </c>
      <c r="E1479" s="3">
        <v>2</v>
      </c>
      <c r="F1479" s="3">
        <v>0</v>
      </c>
      <c r="G1479" s="3" t="s">
        <v>10</v>
      </c>
      <c r="H1479" s="3" t="s">
        <v>12</v>
      </c>
      <c r="I1479" s="3" t="s">
        <v>15</v>
      </c>
      <c r="J1479" s="3" t="s">
        <v>14</v>
      </c>
      <c r="K1479" s="3" t="s">
        <v>14</v>
      </c>
      <c r="L1479" s="3" t="s">
        <v>14</v>
      </c>
      <c r="M1479" s="3" t="s">
        <v>13</v>
      </c>
      <c r="N1479" s="3" t="s">
        <v>13</v>
      </c>
      <c r="O1479" s="3">
        <v>0</v>
      </c>
    </row>
    <row r="1480" spans="1:15" ht="15" customHeight="1" x14ac:dyDescent="0.25">
      <c r="A1480" s="2">
        <v>10</v>
      </c>
      <c r="B1480" s="2" t="s">
        <v>10</v>
      </c>
      <c r="C1480" s="2" t="s">
        <v>20</v>
      </c>
      <c r="D1480" s="2" t="s">
        <v>106</v>
      </c>
      <c r="E1480" s="2">
        <v>0</v>
      </c>
      <c r="F1480" s="2">
        <v>0</v>
      </c>
      <c r="G1480" s="2" t="s">
        <v>10</v>
      </c>
      <c r="H1480" s="2" t="s">
        <v>12</v>
      </c>
      <c r="I1480" s="2">
        <v>2</v>
      </c>
      <c r="J1480" s="2" t="s">
        <v>14</v>
      </c>
      <c r="K1480" s="2" t="s">
        <v>14</v>
      </c>
      <c r="L1480" s="2" t="s">
        <v>14</v>
      </c>
      <c r="M1480" s="2" t="s">
        <v>14</v>
      </c>
      <c r="N1480" s="2" t="s">
        <v>14</v>
      </c>
      <c r="O1480" s="2">
        <v>1</v>
      </c>
    </row>
    <row r="1481" spans="1:15" ht="15" customHeight="1" x14ac:dyDescent="0.25">
      <c r="A1481" s="3">
        <v>10</v>
      </c>
      <c r="B1481" s="3" t="s">
        <v>10</v>
      </c>
      <c r="C1481" s="3" t="s">
        <v>19</v>
      </c>
      <c r="D1481" s="2" t="s">
        <v>106</v>
      </c>
      <c r="E1481" s="3">
        <v>0</v>
      </c>
      <c r="F1481" s="3">
        <v>1</v>
      </c>
      <c r="G1481" s="3" t="s">
        <v>10</v>
      </c>
      <c r="H1481" s="3" t="s">
        <v>12</v>
      </c>
      <c r="I1481" s="3">
        <v>2</v>
      </c>
      <c r="J1481" s="3" t="s">
        <v>14</v>
      </c>
      <c r="K1481" s="3" t="s">
        <v>14</v>
      </c>
      <c r="L1481" s="3" t="s">
        <v>14</v>
      </c>
      <c r="M1481" s="3" t="s">
        <v>14</v>
      </c>
      <c r="N1481" s="3" t="s">
        <v>14</v>
      </c>
      <c r="O1481" s="3">
        <v>1</v>
      </c>
    </row>
    <row r="1482" spans="1:15" ht="15" customHeight="1" x14ac:dyDescent="0.25">
      <c r="A1482" s="2">
        <v>5</v>
      </c>
      <c r="B1482" s="2" t="s">
        <v>18</v>
      </c>
      <c r="C1482" s="2" t="s">
        <v>20</v>
      </c>
      <c r="D1482" s="2" t="s">
        <v>106</v>
      </c>
      <c r="E1482" s="2">
        <v>0</v>
      </c>
      <c r="F1482" s="2">
        <v>0</v>
      </c>
      <c r="G1482" s="2" t="s">
        <v>10</v>
      </c>
      <c r="H1482" s="2" t="s">
        <v>12</v>
      </c>
      <c r="I1482" s="2">
        <v>2</v>
      </c>
      <c r="J1482" s="2" t="s">
        <v>14</v>
      </c>
      <c r="K1482" s="2" t="s">
        <v>14</v>
      </c>
      <c r="L1482" s="2" t="s">
        <v>14</v>
      </c>
      <c r="M1482" s="2" t="s">
        <v>14</v>
      </c>
      <c r="N1482" s="2" t="s">
        <v>14</v>
      </c>
      <c r="O1482" s="2">
        <v>1</v>
      </c>
    </row>
    <row r="1483" spans="1:15" ht="15" customHeight="1" x14ac:dyDescent="0.25">
      <c r="A1483" s="3">
        <v>20</v>
      </c>
      <c r="B1483" s="3" t="s">
        <v>10</v>
      </c>
      <c r="C1483" s="3" t="s">
        <v>19</v>
      </c>
      <c r="D1483" s="2" t="s">
        <v>106</v>
      </c>
      <c r="E1483" s="3">
        <v>0</v>
      </c>
      <c r="F1483" s="3">
        <v>1</v>
      </c>
      <c r="G1483" s="3" t="s">
        <v>10</v>
      </c>
      <c r="H1483" s="3" t="s">
        <v>12</v>
      </c>
      <c r="I1483" s="3">
        <v>2</v>
      </c>
      <c r="J1483" s="3" t="s">
        <v>14</v>
      </c>
      <c r="K1483" s="3" t="s">
        <v>14</v>
      </c>
      <c r="L1483" s="3" t="s">
        <v>14</v>
      </c>
      <c r="M1483" s="3" t="s">
        <v>13</v>
      </c>
      <c r="N1483" s="3" t="s">
        <v>14</v>
      </c>
      <c r="O1483" s="3">
        <v>1</v>
      </c>
    </row>
    <row r="1484" spans="1:15" ht="15" customHeight="1" x14ac:dyDescent="0.25">
      <c r="A1484" s="2">
        <v>20</v>
      </c>
      <c r="B1484" s="2" t="s">
        <v>10</v>
      </c>
      <c r="C1484" s="2" t="s">
        <v>11</v>
      </c>
      <c r="D1484" s="2" t="s">
        <v>106</v>
      </c>
      <c r="E1484" s="2">
        <v>1</v>
      </c>
      <c r="F1484" s="2">
        <v>1</v>
      </c>
      <c r="G1484" s="2" t="s">
        <v>10</v>
      </c>
      <c r="H1484" s="2" t="s">
        <v>12</v>
      </c>
      <c r="I1484" s="2" t="s">
        <v>15</v>
      </c>
      <c r="J1484" s="2" t="s">
        <v>14</v>
      </c>
      <c r="K1484" s="2" t="s">
        <v>14</v>
      </c>
      <c r="L1484" s="2" t="s">
        <v>14</v>
      </c>
      <c r="M1484" s="2" t="s">
        <v>13</v>
      </c>
      <c r="N1484" s="2" t="s">
        <v>13</v>
      </c>
      <c r="O1484" s="2">
        <v>0</v>
      </c>
    </row>
    <row r="1485" spans="1:15" ht="15" customHeight="1" x14ac:dyDescent="0.25">
      <c r="A1485" s="3">
        <v>5</v>
      </c>
      <c r="B1485" s="3" t="s">
        <v>18</v>
      </c>
      <c r="C1485" s="3" t="s">
        <v>11</v>
      </c>
      <c r="D1485" s="2" t="s">
        <v>106</v>
      </c>
      <c r="E1485" s="3">
        <v>0</v>
      </c>
      <c r="F1485" s="3">
        <v>0</v>
      </c>
      <c r="G1485" s="3" t="s">
        <v>10</v>
      </c>
      <c r="H1485" s="3" t="s">
        <v>12</v>
      </c>
      <c r="I1485" s="3">
        <v>1</v>
      </c>
      <c r="J1485" s="3" t="s">
        <v>14</v>
      </c>
      <c r="K1485" s="3" t="s">
        <v>13</v>
      </c>
      <c r="L1485" s="3" t="s">
        <v>13</v>
      </c>
      <c r="M1485" s="3" t="s">
        <v>14</v>
      </c>
      <c r="N1485" s="3" t="s">
        <v>14</v>
      </c>
      <c r="O1485" s="3">
        <v>1</v>
      </c>
    </row>
    <row r="1486" spans="1:15" ht="15" customHeight="1" x14ac:dyDescent="0.25">
      <c r="A1486" s="2">
        <v>0</v>
      </c>
      <c r="B1486" s="2" t="s">
        <v>18</v>
      </c>
      <c r="C1486" s="2" t="s">
        <v>11</v>
      </c>
      <c r="D1486" s="2" t="s">
        <v>106</v>
      </c>
      <c r="E1486" s="2">
        <v>0</v>
      </c>
      <c r="F1486" s="2">
        <v>0</v>
      </c>
      <c r="G1486" s="2" t="s">
        <v>10</v>
      </c>
      <c r="H1486" s="2" t="s">
        <v>12</v>
      </c>
      <c r="I1486" s="2">
        <v>1</v>
      </c>
      <c r="J1486" s="2" t="s">
        <v>14</v>
      </c>
      <c r="K1486" s="2" t="s">
        <v>14</v>
      </c>
      <c r="L1486" s="2" t="s">
        <v>14</v>
      </c>
      <c r="M1486" s="2" t="s">
        <v>14</v>
      </c>
      <c r="N1486" s="2" t="s">
        <v>14</v>
      </c>
      <c r="O1486" s="2">
        <v>1</v>
      </c>
    </row>
    <row r="1487" spans="1:15" ht="15" customHeight="1" x14ac:dyDescent="0.25">
      <c r="A1487" s="3">
        <v>20</v>
      </c>
      <c r="B1487" s="3" t="s">
        <v>18</v>
      </c>
      <c r="C1487" s="3" t="s">
        <v>19</v>
      </c>
      <c r="D1487" s="2" t="s">
        <v>106</v>
      </c>
      <c r="E1487" s="3">
        <v>0</v>
      </c>
      <c r="F1487" s="3">
        <v>0</v>
      </c>
      <c r="G1487" s="3" t="s">
        <v>10</v>
      </c>
      <c r="H1487" s="3" t="s">
        <v>16</v>
      </c>
      <c r="I1487" s="3" t="s">
        <v>15</v>
      </c>
      <c r="J1487" s="3" t="s">
        <v>14</v>
      </c>
      <c r="K1487" s="3" t="s">
        <v>14</v>
      </c>
      <c r="L1487" s="3" t="s">
        <v>14</v>
      </c>
      <c r="M1487" s="3" t="s">
        <v>14</v>
      </c>
      <c r="N1487" s="3" t="s">
        <v>14</v>
      </c>
      <c r="O1487" s="3">
        <v>1</v>
      </c>
    </row>
    <row r="1488" spans="1:15" ht="15" customHeight="1" x14ac:dyDescent="0.25">
      <c r="A1488" s="2">
        <v>10</v>
      </c>
      <c r="B1488" s="2" t="s">
        <v>10</v>
      </c>
      <c r="C1488" s="2" t="s">
        <v>19</v>
      </c>
      <c r="D1488" s="2" t="s">
        <v>106</v>
      </c>
      <c r="E1488" s="2">
        <v>0</v>
      </c>
      <c r="F1488" s="2">
        <v>0</v>
      </c>
      <c r="G1488" s="2" t="s">
        <v>10</v>
      </c>
      <c r="H1488" s="2" t="s">
        <v>12</v>
      </c>
      <c r="I1488" s="2">
        <v>2</v>
      </c>
      <c r="J1488" s="2" t="s">
        <v>14</v>
      </c>
      <c r="K1488" s="2" t="s">
        <v>14</v>
      </c>
      <c r="L1488" s="2" t="s">
        <v>14</v>
      </c>
      <c r="M1488" s="2" t="s">
        <v>14</v>
      </c>
      <c r="N1488" s="2" t="s">
        <v>14</v>
      </c>
      <c r="O1488" s="2">
        <v>1</v>
      </c>
    </row>
    <row r="1489" spans="1:15" ht="15" customHeight="1" x14ac:dyDescent="0.25">
      <c r="A1489" s="3">
        <v>30</v>
      </c>
      <c r="B1489" s="3" t="s">
        <v>10</v>
      </c>
      <c r="C1489" s="3" t="s">
        <v>11</v>
      </c>
      <c r="D1489" s="2" t="s">
        <v>106</v>
      </c>
      <c r="E1489" s="3">
        <v>1</v>
      </c>
      <c r="F1489" s="3">
        <v>1</v>
      </c>
      <c r="G1489" s="3" t="s">
        <v>10</v>
      </c>
      <c r="H1489" s="3" t="s">
        <v>12</v>
      </c>
      <c r="I1489" s="3" t="s">
        <v>15</v>
      </c>
      <c r="J1489" s="3" t="s">
        <v>14</v>
      </c>
      <c r="K1489" s="3" t="s">
        <v>14</v>
      </c>
      <c r="L1489" s="3" t="s">
        <v>14</v>
      </c>
      <c r="M1489" s="3" t="s">
        <v>13</v>
      </c>
      <c r="N1489" s="3" t="s">
        <v>14</v>
      </c>
      <c r="O1489" s="3">
        <v>0</v>
      </c>
    </row>
    <row r="1490" spans="1:15" ht="15" customHeight="1" x14ac:dyDescent="0.25">
      <c r="A1490" s="2">
        <v>10</v>
      </c>
      <c r="B1490" s="2" t="s">
        <v>18</v>
      </c>
      <c r="C1490" s="2" t="s">
        <v>20</v>
      </c>
      <c r="D1490" s="2" t="s">
        <v>106</v>
      </c>
      <c r="E1490" s="2">
        <v>0</v>
      </c>
      <c r="F1490" s="2">
        <v>0</v>
      </c>
      <c r="G1490" s="2" t="s">
        <v>10</v>
      </c>
      <c r="H1490" s="2" t="s">
        <v>12</v>
      </c>
      <c r="I1490" s="2">
        <v>2</v>
      </c>
      <c r="J1490" s="2" t="s">
        <v>14</v>
      </c>
      <c r="K1490" s="2" t="s">
        <v>13</v>
      </c>
      <c r="L1490" s="2" t="s">
        <v>14</v>
      </c>
      <c r="M1490" s="2" t="s">
        <v>13</v>
      </c>
      <c r="N1490" s="2" t="s">
        <v>14</v>
      </c>
      <c r="O1490" s="2">
        <v>0</v>
      </c>
    </row>
    <row r="1491" spans="1:15" ht="15" customHeight="1" x14ac:dyDescent="0.25">
      <c r="A1491" s="3">
        <v>10</v>
      </c>
      <c r="B1491" s="3" t="s">
        <v>14</v>
      </c>
      <c r="C1491" s="3" t="s">
        <v>20</v>
      </c>
      <c r="D1491" s="2" t="s">
        <v>106</v>
      </c>
      <c r="E1491" s="3">
        <v>0</v>
      </c>
      <c r="F1491" s="3">
        <v>0</v>
      </c>
      <c r="G1491" s="3" t="s">
        <v>10</v>
      </c>
      <c r="H1491" s="3" t="s">
        <v>16</v>
      </c>
      <c r="I1491" s="3" t="s">
        <v>15</v>
      </c>
      <c r="J1491" s="3" t="s">
        <v>14</v>
      </c>
      <c r="K1491" s="3" t="s">
        <v>14</v>
      </c>
      <c r="L1491" s="3" t="s">
        <v>14</v>
      </c>
      <c r="M1491" s="3" t="s">
        <v>14</v>
      </c>
      <c r="N1491" s="3" t="s">
        <v>14</v>
      </c>
      <c r="O1491" s="3">
        <v>1</v>
      </c>
    </row>
    <row r="1492" spans="1:15" ht="15" customHeight="1" x14ac:dyDescent="0.25">
      <c r="A1492" s="2">
        <v>10</v>
      </c>
      <c r="B1492" s="2" t="s">
        <v>10</v>
      </c>
      <c r="C1492" s="2" t="s">
        <v>20</v>
      </c>
      <c r="D1492" s="2" t="s">
        <v>106</v>
      </c>
      <c r="E1492" s="2">
        <v>0</v>
      </c>
      <c r="F1492" s="2">
        <v>0</v>
      </c>
      <c r="G1492" s="2" t="s">
        <v>10</v>
      </c>
      <c r="H1492" s="2" t="s">
        <v>12</v>
      </c>
      <c r="I1492" s="2">
        <v>2</v>
      </c>
      <c r="J1492" s="2" t="s">
        <v>14</v>
      </c>
      <c r="K1492" s="2" t="s">
        <v>14</v>
      </c>
      <c r="L1492" s="2" t="s">
        <v>14</v>
      </c>
      <c r="M1492" s="2" t="s">
        <v>14</v>
      </c>
      <c r="N1492" s="2" t="s">
        <v>14</v>
      </c>
      <c r="O1492" s="2">
        <v>1</v>
      </c>
    </row>
    <row r="1493" spans="1:15" ht="15" customHeight="1" x14ac:dyDescent="0.25">
      <c r="A1493" s="3">
        <v>10</v>
      </c>
      <c r="B1493" s="3" t="s">
        <v>10</v>
      </c>
      <c r="C1493" s="3" t="s">
        <v>19</v>
      </c>
      <c r="D1493" s="2" t="s">
        <v>106</v>
      </c>
      <c r="E1493" s="3">
        <v>0</v>
      </c>
      <c r="F1493" s="3">
        <v>1</v>
      </c>
      <c r="G1493" s="3" t="s">
        <v>10</v>
      </c>
      <c r="H1493" s="3" t="s">
        <v>12</v>
      </c>
      <c r="I1493" s="3">
        <v>2</v>
      </c>
      <c r="J1493" s="3" t="s">
        <v>14</v>
      </c>
      <c r="K1493" s="3" t="s">
        <v>14</v>
      </c>
      <c r="L1493" s="3" t="s">
        <v>14</v>
      </c>
      <c r="M1493" s="3" t="s">
        <v>14</v>
      </c>
      <c r="N1493" s="3" t="s">
        <v>14</v>
      </c>
      <c r="O1493" s="3">
        <v>1</v>
      </c>
    </row>
    <row r="1494" spans="1:15" ht="15" customHeight="1" x14ac:dyDescent="0.25">
      <c r="A1494" s="2">
        <v>5</v>
      </c>
      <c r="B1494" s="2" t="s">
        <v>18</v>
      </c>
      <c r="C1494" s="2" t="s">
        <v>19</v>
      </c>
      <c r="D1494" s="2" t="s">
        <v>106</v>
      </c>
      <c r="E1494" s="2">
        <v>0</v>
      </c>
      <c r="F1494" s="2">
        <v>1</v>
      </c>
      <c r="G1494" s="2" t="s">
        <v>10</v>
      </c>
      <c r="H1494" s="2" t="s">
        <v>12</v>
      </c>
      <c r="I1494" s="2">
        <v>1</v>
      </c>
      <c r="J1494" s="2" t="s">
        <v>14</v>
      </c>
      <c r="K1494" s="2" t="s">
        <v>14</v>
      </c>
      <c r="L1494" s="2" t="s">
        <v>14</v>
      </c>
      <c r="M1494" s="2" t="s">
        <v>14</v>
      </c>
      <c r="N1494" s="2" t="s">
        <v>14</v>
      </c>
      <c r="O1494" s="2">
        <v>1</v>
      </c>
    </row>
    <row r="1495" spans="1:15" ht="15" customHeight="1" x14ac:dyDescent="0.25">
      <c r="A1495" s="3">
        <v>0</v>
      </c>
      <c r="B1495" s="3" t="s">
        <v>18</v>
      </c>
      <c r="C1495" s="3" t="s">
        <v>19</v>
      </c>
      <c r="D1495" s="2" t="s">
        <v>106</v>
      </c>
      <c r="E1495" s="3">
        <v>0</v>
      </c>
      <c r="F1495" s="3">
        <v>1</v>
      </c>
      <c r="G1495" s="3" t="s">
        <v>10</v>
      </c>
      <c r="H1495" s="3" t="s">
        <v>12</v>
      </c>
      <c r="I1495" s="3" t="s">
        <v>15</v>
      </c>
      <c r="J1495" s="3" t="s">
        <v>14</v>
      </c>
      <c r="K1495" s="3" t="s">
        <v>14</v>
      </c>
      <c r="L1495" s="3" t="s">
        <v>14</v>
      </c>
      <c r="M1495" s="3" t="s">
        <v>14</v>
      </c>
      <c r="N1495" s="3" t="s">
        <v>14</v>
      </c>
      <c r="O1495" s="3">
        <v>1</v>
      </c>
    </row>
    <row r="1496" spans="1:15" ht="15" customHeight="1" x14ac:dyDescent="0.25">
      <c r="A1496" s="2">
        <v>5</v>
      </c>
      <c r="B1496" s="2" t="s">
        <v>14</v>
      </c>
      <c r="C1496" s="2" t="s">
        <v>19</v>
      </c>
      <c r="D1496" s="2" t="s">
        <v>106</v>
      </c>
      <c r="E1496" s="2">
        <v>0</v>
      </c>
      <c r="F1496" s="2">
        <v>0</v>
      </c>
      <c r="G1496" s="2" t="s">
        <v>10</v>
      </c>
      <c r="H1496" s="2" t="s">
        <v>12</v>
      </c>
      <c r="I1496" s="2">
        <v>1</v>
      </c>
      <c r="J1496" s="2" t="s">
        <v>14</v>
      </c>
      <c r="K1496" s="2" t="s">
        <v>14</v>
      </c>
      <c r="L1496" s="2" t="s">
        <v>14</v>
      </c>
      <c r="M1496" s="2" t="s">
        <v>14</v>
      </c>
      <c r="N1496" s="2" t="s">
        <v>14</v>
      </c>
      <c r="O1496" s="2">
        <v>0</v>
      </c>
    </row>
    <row r="1497" spans="1:15" ht="15" customHeight="1" x14ac:dyDescent="0.25">
      <c r="A1497" s="3">
        <v>10</v>
      </c>
      <c r="B1497" s="3" t="s">
        <v>18</v>
      </c>
      <c r="C1497" s="3" t="s">
        <v>19</v>
      </c>
      <c r="D1497" s="2" t="s">
        <v>106</v>
      </c>
      <c r="E1497" s="3">
        <v>0</v>
      </c>
      <c r="F1497" s="3">
        <v>0</v>
      </c>
      <c r="G1497" s="3" t="s">
        <v>10</v>
      </c>
      <c r="H1497" s="3" t="s">
        <v>12</v>
      </c>
      <c r="I1497" s="3">
        <v>2</v>
      </c>
      <c r="J1497" s="3" t="s">
        <v>14</v>
      </c>
      <c r="K1497" s="3" t="s">
        <v>14</v>
      </c>
      <c r="L1497" s="3" t="s">
        <v>14</v>
      </c>
      <c r="M1497" s="3" t="s">
        <v>14</v>
      </c>
      <c r="N1497" s="3" t="s">
        <v>14</v>
      </c>
      <c r="O1497" s="3">
        <v>1</v>
      </c>
    </row>
    <row r="1498" spans="1:15" ht="15" customHeight="1" x14ac:dyDescent="0.25">
      <c r="A1498" s="2">
        <v>10</v>
      </c>
      <c r="B1498" s="2" t="s">
        <v>14</v>
      </c>
      <c r="C1498" s="2" t="s">
        <v>19</v>
      </c>
      <c r="D1498" s="2" t="s">
        <v>106</v>
      </c>
      <c r="E1498" s="2">
        <v>0</v>
      </c>
      <c r="F1498" s="2">
        <v>0</v>
      </c>
      <c r="G1498" s="2" t="s">
        <v>10</v>
      </c>
      <c r="H1498" s="2" t="s">
        <v>12</v>
      </c>
      <c r="I1498" s="2">
        <v>2</v>
      </c>
      <c r="J1498" s="2" t="s">
        <v>14</v>
      </c>
      <c r="K1498" s="2" t="s">
        <v>14</v>
      </c>
      <c r="L1498" s="2" t="s">
        <v>14</v>
      </c>
      <c r="M1498" s="2" t="s">
        <v>14</v>
      </c>
      <c r="N1498" s="2" t="s">
        <v>14</v>
      </c>
      <c r="O1498" s="2">
        <v>1</v>
      </c>
    </row>
    <row r="1499" spans="1:15" ht="15" customHeight="1" x14ac:dyDescent="0.25">
      <c r="A1499" s="3">
        <v>5</v>
      </c>
      <c r="B1499" s="3" t="s">
        <v>10</v>
      </c>
      <c r="C1499" s="3" t="s">
        <v>19</v>
      </c>
      <c r="D1499" s="2" t="s">
        <v>106</v>
      </c>
      <c r="E1499" s="3">
        <v>0</v>
      </c>
      <c r="F1499" s="3">
        <v>0</v>
      </c>
      <c r="G1499" s="3" t="s">
        <v>10</v>
      </c>
      <c r="H1499" s="3" t="s">
        <v>12</v>
      </c>
      <c r="I1499" s="3" t="s">
        <v>15</v>
      </c>
      <c r="J1499" s="3" t="s">
        <v>14</v>
      </c>
      <c r="K1499" s="3" t="s">
        <v>14</v>
      </c>
      <c r="L1499" s="3" t="s">
        <v>14</v>
      </c>
      <c r="M1499" s="3" t="s">
        <v>14</v>
      </c>
      <c r="N1499" s="3" t="s">
        <v>14</v>
      </c>
      <c r="O1499" s="3">
        <v>1</v>
      </c>
    </row>
    <row r="1500" spans="1:15" ht="15" customHeight="1" x14ac:dyDescent="0.25">
      <c r="A1500" s="2">
        <v>5</v>
      </c>
      <c r="B1500" s="2" t="s">
        <v>18</v>
      </c>
      <c r="C1500" s="2" t="s">
        <v>19</v>
      </c>
      <c r="D1500" s="2" t="s">
        <v>106</v>
      </c>
      <c r="E1500" s="2">
        <v>0</v>
      </c>
      <c r="F1500" s="2">
        <v>0</v>
      </c>
      <c r="G1500" s="2" t="s">
        <v>10</v>
      </c>
      <c r="H1500" s="2" t="s">
        <v>12</v>
      </c>
      <c r="I1500" s="2">
        <v>2</v>
      </c>
      <c r="J1500" s="2" t="s">
        <v>14</v>
      </c>
      <c r="K1500" s="2" t="s">
        <v>14</v>
      </c>
      <c r="L1500" s="2" t="s">
        <v>14</v>
      </c>
      <c r="M1500" s="2" t="s">
        <v>14</v>
      </c>
      <c r="N1500" s="2" t="s">
        <v>14</v>
      </c>
      <c r="O1500" s="2">
        <v>1</v>
      </c>
    </row>
    <row r="1501" spans="1:15" ht="15" customHeight="1" x14ac:dyDescent="0.25">
      <c r="A1501" s="3">
        <v>10</v>
      </c>
      <c r="B1501" s="3" t="s">
        <v>14</v>
      </c>
      <c r="C1501" s="3" t="s">
        <v>20</v>
      </c>
      <c r="D1501" s="2" t="s">
        <v>106</v>
      </c>
      <c r="E1501" s="3">
        <v>0</v>
      </c>
      <c r="F1501" s="3">
        <v>0</v>
      </c>
      <c r="G1501" s="3" t="s">
        <v>10</v>
      </c>
      <c r="H1501" s="3" t="s">
        <v>16</v>
      </c>
      <c r="I1501" s="3">
        <v>2</v>
      </c>
      <c r="J1501" s="3" t="s">
        <v>14</v>
      </c>
      <c r="K1501" s="3" t="s">
        <v>14</v>
      </c>
      <c r="L1501" s="3" t="s">
        <v>14</v>
      </c>
      <c r="M1501" s="3" t="s">
        <v>14</v>
      </c>
      <c r="N1501" s="3" t="s">
        <v>14</v>
      </c>
      <c r="O1501" s="3">
        <v>1</v>
      </c>
    </row>
    <row r="1502" spans="1:15" ht="15" customHeight="1" x14ac:dyDescent="0.25">
      <c r="A1502" s="2">
        <v>10</v>
      </c>
      <c r="B1502" s="2" t="s">
        <v>14</v>
      </c>
      <c r="C1502" s="2" t="s">
        <v>20</v>
      </c>
      <c r="D1502" s="2" t="s">
        <v>106</v>
      </c>
      <c r="E1502" s="2">
        <v>0</v>
      </c>
      <c r="F1502" s="2">
        <v>0</v>
      </c>
      <c r="G1502" s="2" t="s">
        <v>10</v>
      </c>
      <c r="H1502" s="2" t="s">
        <v>12</v>
      </c>
      <c r="I1502" s="2" t="s">
        <v>15</v>
      </c>
      <c r="J1502" s="2" t="s">
        <v>14</v>
      </c>
      <c r="K1502" s="2" t="s">
        <v>14</v>
      </c>
      <c r="L1502" s="2" t="s">
        <v>14</v>
      </c>
      <c r="M1502" s="2" t="s">
        <v>14</v>
      </c>
      <c r="N1502" s="2" t="s">
        <v>14</v>
      </c>
      <c r="O1502" s="2">
        <v>1</v>
      </c>
    </row>
    <row r="1503" spans="1:15" ht="15" customHeight="1" x14ac:dyDescent="0.25">
      <c r="A1503" s="3">
        <v>20</v>
      </c>
      <c r="B1503" s="3" t="s">
        <v>10</v>
      </c>
      <c r="C1503" s="3" t="s">
        <v>11</v>
      </c>
      <c r="D1503" s="2" t="s">
        <v>106</v>
      </c>
      <c r="E1503" s="3">
        <v>0</v>
      </c>
      <c r="F1503" s="3">
        <v>0</v>
      </c>
      <c r="G1503" s="3" t="s">
        <v>10</v>
      </c>
      <c r="H1503" s="3" t="s">
        <v>16</v>
      </c>
      <c r="I1503" s="3" t="s">
        <v>15</v>
      </c>
      <c r="J1503" s="3" t="s">
        <v>14</v>
      </c>
      <c r="K1503" s="3" t="s">
        <v>14</v>
      </c>
      <c r="L1503" s="3" t="s">
        <v>14</v>
      </c>
      <c r="M1503" s="3" t="s">
        <v>14</v>
      </c>
      <c r="N1503" s="3" t="s">
        <v>14</v>
      </c>
      <c r="O1503" s="3">
        <v>1</v>
      </c>
    </row>
    <row r="1504" spans="1:15" ht="15" customHeight="1" x14ac:dyDescent="0.25">
      <c r="A1504" s="2">
        <v>10</v>
      </c>
      <c r="B1504" s="2" t="s">
        <v>14</v>
      </c>
      <c r="C1504" s="2" t="s">
        <v>11</v>
      </c>
      <c r="D1504" s="2" t="s">
        <v>106</v>
      </c>
      <c r="E1504" s="2">
        <v>0</v>
      </c>
      <c r="F1504" s="2">
        <v>0</v>
      </c>
      <c r="G1504" s="2" t="s">
        <v>10</v>
      </c>
      <c r="H1504" s="2" t="s">
        <v>12</v>
      </c>
      <c r="I1504" s="2" t="s">
        <v>15</v>
      </c>
      <c r="J1504" s="2" t="s">
        <v>14</v>
      </c>
      <c r="K1504" s="2" t="s">
        <v>14</v>
      </c>
      <c r="L1504" s="2" t="s">
        <v>14</v>
      </c>
      <c r="M1504" s="2" t="s">
        <v>14</v>
      </c>
      <c r="N1504" s="2" t="s">
        <v>14</v>
      </c>
      <c r="O1504" s="2">
        <v>1</v>
      </c>
    </row>
    <row r="1505" spans="1:15" ht="15" customHeight="1" x14ac:dyDescent="0.25">
      <c r="A1505" s="3">
        <v>10</v>
      </c>
      <c r="B1505" s="3" t="s">
        <v>18</v>
      </c>
      <c r="C1505" s="3" t="s">
        <v>19</v>
      </c>
      <c r="D1505" s="2" t="s">
        <v>106</v>
      </c>
      <c r="E1505" s="3">
        <v>0</v>
      </c>
      <c r="F1505" s="3">
        <v>0</v>
      </c>
      <c r="G1505" s="3" t="s">
        <v>10</v>
      </c>
      <c r="H1505" s="3" t="s">
        <v>12</v>
      </c>
      <c r="I1505" s="3">
        <v>1</v>
      </c>
      <c r="J1505" s="3" t="s">
        <v>14</v>
      </c>
      <c r="K1505" s="3" t="s">
        <v>14</v>
      </c>
      <c r="L1505" s="3" t="s">
        <v>14</v>
      </c>
      <c r="M1505" s="3" t="s">
        <v>14</v>
      </c>
      <c r="N1505" s="3" t="s">
        <v>14</v>
      </c>
      <c r="O1505" s="3">
        <v>1</v>
      </c>
    </row>
    <row r="1506" spans="1:15" ht="15" customHeight="1" x14ac:dyDescent="0.25">
      <c r="A1506" s="2">
        <v>20</v>
      </c>
      <c r="B1506" s="2" t="s">
        <v>18</v>
      </c>
      <c r="C1506" s="2" t="s">
        <v>19</v>
      </c>
      <c r="D1506" s="2" t="s">
        <v>106</v>
      </c>
      <c r="E1506" s="2">
        <v>0</v>
      </c>
      <c r="F1506" s="2">
        <v>0</v>
      </c>
      <c r="G1506" s="2" t="s">
        <v>10</v>
      </c>
      <c r="H1506" s="2" t="s">
        <v>12</v>
      </c>
      <c r="I1506" s="2">
        <v>2</v>
      </c>
      <c r="J1506" s="2" t="s">
        <v>14</v>
      </c>
      <c r="K1506" s="2" t="s">
        <v>14</v>
      </c>
      <c r="L1506" s="2" t="s">
        <v>14</v>
      </c>
      <c r="M1506" s="2" t="s">
        <v>14</v>
      </c>
      <c r="N1506" s="2" t="s">
        <v>14</v>
      </c>
      <c r="O1506" s="2">
        <v>1</v>
      </c>
    </row>
    <row r="1507" spans="1:15" ht="15" customHeight="1" x14ac:dyDescent="0.25">
      <c r="A1507" s="3">
        <v>10</v>
      </c>
      <c r="B1507" s="3" t="s">
        <v>10</v>
      </c>
      <c r="C1507" s="3" t="s">
        <v>19</v>
      </c>
      <c r="D1507" s="2" t="s">
        <v>106</v>
      </c>
      <c r="E1507" s="3">
        <v>0</v>
      </c>
      <c r="F1507" s="3">
        <v>0</v>
      </c>
      <c r="G1507" s="3" t="s">
        <v>10</v>
      </c>
      <c r="H1507" s="3" t="s">
        <v>12</v>
      </c>
      <c r="I1507" s="3" t="s">
        <v>15</v>
      </c>
      <c r="J1507" s="3" t="s">
        <v>14</v>
      </c>
      <c r="K1507" s="3" t="s">
        <v>14</v>
      </c>
      <c r="L1507" s="3" t="s">
        <v>14</v>
      </c>
      <c r="M1507" s="3" t="s">
        <v>14</v>
      </c>
      <c r="N1507" s="3" t="s">
        <v>14</v>
      </c>
      <c r="O1507" s="3">
        <v>1</v>
      </c>
    </row>
    <row r="1508" spans="1:15" ht="15" customHeight="1" x14ac:dyDescent="0.25">
      <c r="A1508" s="2">
        <v>5</v>
      </c>
      <c r="B1508" s="2" t="s">
        <v>18</v>
      </c>
      <c r="C1508" s="2" t="s">
        <v>19</v>
      </c>
      <c r="D1508" s="2" t="s">
        <v>106</v>
      </c>
      <c r="E1508" s="2">
        <v>0</v>
      </c>
      <c r="F1508" s="2">
        <v>0</v>
      </c>
      <c r="G1508" s="2" t="s">
        <v>10</v>
      </c>
      <c r="H1508" s="2" t="s">
        <v>12</v>
      </c>
      <c r="I1508" s="2">
        <v>1</v>
      </c>
      <c r="J1508" s="2" t="s">
        <v>14</v>
      </c>
      <c r="K1508" s="2" t="s">
        <v>14</v>
      </c>
      <c r="L1508" s="2" t="s">
        <v>14</v>
      </c>
      <c r="M1508" s="2" t="s">
        <v>14</v>
      </c>
      <c r="N1508" s="2" t="s">
        <v>14</v>
      </c>
      <c r="O1508" s="2">
        <v>1</v>
      </c>
    </row>
    <row r="1509" spans="1:15" ht="15" customHeight="1" x14ac:dyDescent="0.25">
      <c r="A1509" s="3">
        <v>10</v>
      </c>
      <c r="B1509" s="3" t="s">
        <v>10</v>
      </c>
      <c r="C1509" s="3" t="s">
        <v>19</v>
      </c>
      <c r="D1509" s="2" t="s">
        <v>106</v>
      </c>
      <c r="E1509" s="3">
        <v>0</v>
      </c>
      <c r="F1509" s="3">
        <v>0</v>
      </c>
      <c r="G1509" s="3" t="s">
        <v>10</v>
      </c>
      <c r="H1509" s="3" t="s">
        <v>12</v>
      </c>
      <c r="I1509" s="3">
        <v>2</v>
      </c>
      <c r="J1509" s="3" t="s">
        <v>14</v>
      </c>
      <c r="K1509" s="3" t="s">
        <v>14</v>
      </c>
      <c r="L1509" s="3" t="s">
        <v>14</v>
      </c>
      <c r="M1509" s="3" t="s">
        <v>14</v>
      </c>
      <c r="N1509" s="3" t="s">
        <v>14</v>
      </c>
      <c r="O1509" s="3">
        <v>1</v>
      </c>
    </row>
    <row r="1510" spans="1:15" ht="15" customHeight="1" x14ac:dyDescent="0.25">
      <c r="A1510" s="2">
        <v>10</v>
      </c>
      <c r="B1510" s="2" t="s">
        <v>18</v>
      </c>
      <c r="C1510" s="2" t="s">
        <v>19</v>
      </c>
      <c r="D1510" s="2" t="s">
        <v>106</v>
      </c>
      <c r="E1510" s="2">
        <v>0</v>
      </c>
      <c r="F1510" s="2">
        <v>0</v>
      </c>
      <c r="G1510" s="2" t="s">
        <v>10</v>
      </c>
      <c r="H1510" s="2" t="s">
        <v>16</v>
      </c>
      <c r="I1510" s="2">
        <v>2</v>
      </c>
      <c r="J1510" s="2" t="s">
        <v>14</v>
      </c>
      <c r="K1510" s="2" t="s">
        <v>14</v>
      </c>
      <c r="L1510" s="2" t="s">
        <v>14</v>
      </c>
      <c r="M1510" s="2" t="s">
        <v>14</v>
      </c>
      <c r="N1510" s="2" t="s">
        <v>14</v>
      </c>
      <c r="O1510" s="2">
        <v>1</v>
      </c>
    </row>
    <row r="1511" spans="1:15" ht="15" customHeight="1" x14ac:dyDescent="0.25">
      <c r="A1511" s="3">
        <v>5</v>
      </c>
      <c r="B1511" s="3" t="s">
        <v>14</v>
      </c>
      <c r="C1511" s="3" t="s">
        <v>19</v>
      </c>
      <c r="D1511" s="2" t="s">
        <v>106</v>
      </c>
      <c r="E1511" s="3">
        <v>0</v>
      </c>
      <c r="F1511" s="3">
        <v>0</v>
      </c>
      <c r="G1511" s="3" t="s">
        <v>10</v>
      </c>
      <c r="H1511" s="3" t="s">
        <v>12</v>
      </c>
      <c r="I1511" s="3" t="s">
        <v>15</v>
      </c>
      <c r="J1511" s="3" t="s">
        <v>14</v>
      </c>
      <c r="K1511" s="3" t="s">
        <v>14</v>
      </c>
      <c r="L1511" s="3" t="s">
        <v>14</v>
      </c>
      <c r="M1511" s="3" t="s">
        <v>14</v>
      </c>
      <c r="N1511" s="3" t="s">
        <v>14</v>
      </c>
      <c r="O1511" s="3">
        <v>1</v>
      </c>
    </row>
    <row r="1512" spans="1:15" ht="15" customHeight="1" x14ac:dyDescent="0.25">
      <c r="A1512" s="2">
        <v>5</v>
      </c>
      <c r="B1512" s="2" t="s">
        <v>14</v>
      </c>
      <c r="C1512" s="2" t="s">
        <v>19</v>
      </c>
      <c r="D1512" s="2" t="s">
        <v>106</v>
      </c>
      <c r="E1512" s="2">
        <v>0</v>
      </c>
      <c r="F1512" s="2">
        <v>1</v>
      </c>
      <c r="G1512" s="2" t="s">
        <v>10</v>
      </c>
      <c r="H1512" s="2" t="s">
        <v>12</v>
      </c>
      <c r="I1512" s="2">
        <v>1</v>
      </c>
      <c r="J1512" s="2" t="s">
        <v>14</v>
      </c>
      <c r="K1512" s="2" t="s">
        <v>14</v>
      </c>
      <c r="L1512" s="2" t="s">
        <v>14</v>
      </c>
      <c r="M1512" s="2" t="s">
        <v>14</v>
      </c>
      <c r="N1512" s="2" t="s">
        <v>14</v>
      </c>
      <c r="O1512" s="2">
        <v>1</v>
      </c>
    </row>
    <row r="1513" spans="1:15" ht="15" customHeight="1" x14ac:dyDescent="0.25">
      <c r="A1513" s="3">
        <v>10</v>
      </c>
      <c r="B1513" s="3" t="s">
        <v>14</v>
      </c>
      <c r="C1513" s="3" t="s">
        <v>19</v>
      </c>
      <c r="D1513" s="2" t="s">
        <v>106</v>
      </c>
      <c r="E1513" s="3">
        <v>0</v>
      </c>
      <c r="F1513" s="3">
        <v>0</v>
      </c>
      <c r="G1513" s="3" t="s">
        <v>10</v>
      </c>
      <c r="H1513" s="3" t="s">
        <v>12</v>
      </c>
      <c r="I1513" s="3" t="s">
        <v>15</v>
      </c>
      <c r="J1513" s="3" t="s">
        <v>14</v>
      </c>
      <c r="K1513" s="3" t="s">
        <v>14</v>
      </c>
      <c r="L1513" s="3" t="s">
        <v>14</v>
      </c>
      <c r="M1513" s="3" t="s">
        <v>14</v>
      </c>
      <c r="N1513" s="3" t="s">
        <v>14</v>
      </c>
      <c r="O1513" s="3">
        <v>1</v>
      </c>
    </row>
    <row r="1514" spans="1:15" ht="15" customHeight="1" x14ac:dyDescent="0.25">
      <c r="A1514" s="2">
        <v>10</v>
      </c>
      <c r="B1514" s="2" t="s">
        <v>10</v>
      </c>
      <c r="C1514" s="2" t="s">
        <v>11</v>
      </c>
      <c r="D1514" s="2" t="s">
        <v>106</v>
      </c>
      <c r="E1514" s="2">
        <v>0</v>
      </c>
      <c r="F1514" s="2">
        <v>0</v>
      </c>
      <c r="G1514" s="2" t="s">
        <v>10</v>
      </c>
      <c r="H1514" s="2" t="s">
        <v>16</v>
      </c>
      <c r="I1514" s="2">
        <v>2</v>
      </c>
      <c r="J1514" s="2" t="s">
        <v>14</v>
      </c>
      <c r="K1514" s="2" t="s">
        <v>14</v>
      </c>
      <c r="L1514" s="2" t="s">
        <v>14</v>
      </c>
      <c r="M1514" s="2" t="s">
        <v>14</v>
      </c>
      <c r="N1514" s="2" t="s">
        <v>14</v>
      </c>
      <c r="O1514" s="2">
        <v>1</v>
      </c>
    </row>
    <row r="1515" spans="1:15" ht="15" customHeight="1" x14ac:dyDescent="0.25">
      <c r="A1515" s="3">
        <v>20</v>
      </c>
      <c r="B1515" s="3" t="s">
        <v>10</v>
      </c>
      <c r="C1515" s="3" t="s">
        <v>11</v>
      </c>
      <c r="D1515" s="2" t="s">
        <v>106</v>
      </c>
      <c r="E1515" s="3">
        <v>1</v>
      </c>
      <c r="F1515" s="3">
        <v>0</v>
      </c>
      <c r="G1515" s="3" t="s">
        <v>10</v>
      </c>
      <c r="H1515" s="3" t="s">
        <v>12</v>
      </c>
      <c r="I1515" s="3" t="s">
        <v>15</v>
      </c>
      <c r="J1515" s="3" t="s">
        <v>14</v>
      </c>
      <c r="K1515" s="3" t="s">
        <v>14</v>
      </c>
      <c r="L1515" s="3" t="s">
        <v>14</v>
      </c>
      <c r="M1515" s="3" t="s">
        <v>13</v>
      </c>
      <c r="N1515" s="3" t="s">
        <v>13</v>
      </c>
      <c r="O1515" s="3">
        <v>0</v>
      </c>
    </row>
    <row r="1516" spans="1:15" ht="15" customHeight="1" x14ac:dyDescent="0.25">
      <c r="A1516" s="2">
        <v>5</v>
      </c>
      <c r="B1516" s="2" t="s">
        <v>14</v>
      </c>
      <c r="C1516" s="2" t="s">
        <v>19</v>
      </c>
      <c r="D1516" s="2" t="s">
        <v>106</v>
      </c>
      <c r="E1516" s="2">
        <v>0</v>
      </c>
      <c r="F1516" s="2">
        <v>0</v>
      </c>
      <c r="G1516" s="2" t="s">
        <v>10</v>
      </c>
      <c r="H1516" s="2" t="s">
        <v>12</v>
      </c>
      <c r="I1516" s="2" t="s">
        <v>15</v>
      </c>
      <c r="J1516" s="2" t="s">
        <v>14</v>
      </c>
      <c r="K1516" s="2" t="s">
        <v>14</v>
      </c>
      <c r="L1516" s="2" t="s">
        <v>14</v>
      </c>
      <c r="M1516" s="2" t="s">
        <v>14</v>
      </c>
      <c r="N1516" s="2" t="s">
        <v>14</v>
      </c>
      <c r="O1516" s="2">
        <v>1</v>
      </c>
    </row>
    <row r="1517" spans="1:15" ht="15" customHeight="1" x14ac:dyDescent="0.25">
      <c r="A1517" s="3">
        <v>10</v>
      </c>
      <c r="B1517" s="3" t="s">
        <v>10</v>
      </c>
      <c r="C1517" s="3" t="s">
        <v>11</v>
      </c>
      <c r="D1517" s="2" t="s">
        <v>106</v>
      </c>
      <c r="E1517" s="3">
        <v>0</v>
      </c>
      <c r="F1517" s="3">
        <v>0</v>
      </c>
      <c r="G1517" s="3" t="s">
        <v>10</v>
      </c>
      <c r="H1517" s="3" t="s">
        <v>12</v>
      </c>
      <c r="I1517" s="3" t="s">
        <v>15</v>
      </c>
      <c r="J1517" s="3" t="s">
        <v>14</v>
      </c>
      <c r="K1517" s="3" t="s">
        <v>14</v>
      </c>
      <c r="L1517" s="3" t="s">
        <v>14</v>
      </c>
      <c r="M1517" s="3" t="s">
        <v>14</v>
      </c>
      <c r="N1517" s="3" t="s">
        <v>14</v>
      </c>
      <c r="O1517" s="3">
        <v>1</v>
      </c>
    </row>
    <row r="1518" spans="1:15" ht="15" customHeight="1" x14ac:dyDescent="0.25">
      <c r="A1518" s="2">
        <v>5</v>
      </c>
      <c r="B1518" s="2" t="s">
        <v>10</v>
      </c>
      <c r="C1518" s="2" t="s">
        <v>11</v>
      </c>
      <c r="D1518" s="2" t="s">
        <v>106</v>
      </c>
      <c r="E1518" s="2">
        <v>1</v>
      </c>
      <c r="F1518" s="2">
        <v>1</v>
      </c>
      <c r="G1518" s="2" t="s">
        <v>10</v>
      </c>
      <c r="H1518" s="2" t="s">
        <v>12</v>
      </c>
      <c r="I1518" s="2" t="s">
        <v>15</v>
      </c>
      <c r="J1518" s="2" t="s">
        <v>13</v>
      </c>
      <c r="K1518" s="2" t="s">
        <v>14</v>
      </c>
      <c r="L1518" s="2" t="s">
        <v>14</v>
      </c>
      <c r="M1518" s="2" t="s">
        <v>14</v>
      </c>
      <c r="N1518" s="2" t="s">
        <v>14</v>
      </c>
      <c r="O1518" s="2">
        <v>0</v>
      </c>
    </row>
    <row r="1519" spans="1:15" ht="15" customHeight="1" x14ac:dyDescent="0.25">
      <c r="A1519" s="3">
        <v>0</v>
      </c>
      <c r="B1519" s="3" t="s">
        <v>10</v>
      </c>
      <c r="C1519" s="3" t="s">
        <v>20</v>
      </c>
      <c r="D1519" s="2" t="s">
        <v>106</v>
      </c>
      <c r="E1519" s="3">
        <v>0</v>
      </c>
      <c r="F1519" s="3">
        <v>1</v>
      </c>
      <c r="G1519" s="3" t="s">
        <v>10</v>
      </c>
      <c r="H1519" s="3" t="s">
        <v>12</v>
      </c>
      <c r="I1519" s="3">
        <v>1</v>
      </c>
      <c r="J1519" s="3" t="s">
        <v>14</v>
      </c>
      <c r="K1519" s="3" t="s">
        <v>14</v>
      </c>
      <c r="L1519" s="3" t="s">
        <v>14</v>
      </c>
      <c r="M1519" s="3" t="s">
        <v>14</v>
      </c>
      <c r="N1519" s="3" t="s">
        <v>14</v>
      </c>
      <c r="O1519" s="3">
        <v>1</v>
      </c>
    </row>
    <row r="1520" spans="1:15" ht="15" customHeight="1" x14ac:dyDescent="0.25">
      <c r="A1520" s="2">
        <v>10</v>
      </c>
      <c r="B1520" s="2" t="s">
        <v>18</v>
      </c>
      <c r="C1520" s="2" t="s">
        <v>19</v>
      </c>
      <c r="D1520" s="2" t="s">
        <v>106</v>
      </c>
      <c r="E1520" s="2">
        <v>0</v>
      </c>
      <c r="F1520" s="2">
        <v>0</v>
      </c>
      <c r="G1520" s="2" t="s">
        <v>10</v>
      </c>
      <c r="H1520" s="2" t="s">
        <v>12</v>
      </c>
      <c r="I1520" s="2" t="s">
        <v>15</v>
      </c>
      <c r="J1520" s="2" t="s">
        <v>14</v>
      </c>
      <c r="K1520" s="2" t="s">
        <v>14</v>
      </c>
      <c r="L1520" s="2" t="s">
        <v>14</v>
      </c>
      <c r="M1520" s="2" t="s">
        <v>14</v>
      </c>
      <c r="N1520" s="2" t="s">
        <v>14</v>
      </c>
      <c r="O1520" s="2">
        <v>1</v>
      </c>
    </row>
    <row r="1521" spans="1:15" ht="15" customHeight="1" x14ac:dyDescent="0.25">
      <c r="A1521" s="3">
        <v>10</v>
      </c>
      <c r="B1521" s="3" t="s">
        <v>14</v>
      </c>
      <c r="C1521" s="3" t="s">
        <v>19</v>
      </c>
      <c r="D1521" s="2" t="s">
        <v>106</v>
      </c>
      <c r="E1521" s="3">
        <v>0</v>
      </c>
      <c r="F1521" s="3">
        <v>0</v>
      </c>
      <c r="G1521" s="3" t="s">
        <v>10</v>
      </c>
      <c r="H1521" s="3" t="s">
        <v>12</v>
      </c>
      <c r="I1521" s="3">
        <v>1</v>
      </c>
      <c r="J1521" s="3" t="s">
        <v>14</v>
      </c>
      <c r="K1521" s="3" t="s">
        <v>14</v>
      </c>
      <c r="L1521" s="3" t="s">
        <v>14</v>
      </c>
      <c r="M1521" s="3" t="s">
        <v>14</v>
      </c>
      <c r="N1521" s="3" t="s">
        <v>14</v>
      </c>
      <c r="O1521" s="3">
        <v>1</v>
      </c>
    </row>
    <row r="1522" spans="1:15" ht="15" customHeight="1" x14ac:dyDescent="0.25">
      <c r="A1522" s="2">
        <v>10</v>
      </c>
      <c r="B1522" s="2" t="s">
        <v>10</v>
      </c>
      <c r="C1522" s="2" t="s">
        <v>11</v>
      </c>
      <c r="D1522" s="2" t="s">
        <v>106</v>
      </c>
      <c r="E1522" s="2">
        <v>0</v>
      </c>
      <c r="F1522" s="2">
        <v>0</v>
      </c>
      <c r="G1522" s="2" t="s">
        <v>10</v>
      </c>
      <c r="H1522" s="2" t="s">
        <v>16</v>
      </c>
      <c r="I1522" s="2" t="s">
        <v>15</v>
      </c>
      <c r="J1522" s="2" t="s">
        <v>14</v>
      </c>
      <c r="K1522" s="2" t="s">
        <v>14</v>
      </c>
      <c r="L1522" s="2" t="s">
        <v>14</v>
      </c>
      <c r="M1522" s="2" t="s">
        <v>14</v>
      </c>
      <c r="N1522" s="2" t="s">
        <v>14</v>
      </c>
      <c r="O1522" s="2">
        <v>1</v>
      </c>
    </row>
    <row r="1523" spans="1:15" ht="15" customHeight="1" x14ac:dyDescent="0.25">
      <c r="A1523" s="3">
        <v>20</v>
      </c>
      <c r="B1523" s="3" t="s">
        <v>10</v>
      </c>
      <c r="C1523" s="3" t="s">
        <v>11</v>
      </c>
      <c r="D1523" s="2" t="s">
        <v>106</v>
      </c>
      <c r="E1523" s="3">
        <v>1</v>
      </c>
      <c r="F1523" s="3">
        <v>1</v>
      </c>
      <c r="G1523" s="3" t="s">
        <v>10</v>
      </c>
      <c r="H1523" s="3" t="s">
        <v>12</v>
      </c>
      <c r="I1523" s="3" t="s">
        <v>15</v>
      </c>
      <c r="J1523" s="3" t="s">
        <v>14</v>
      </c>
      <c r="K1523" s="3" t="s">
        <v>14</v>
      </c>
      <c r="L1523" s="3" t="s">
        <v>14</v>
      </c>
      <c r="M1523" s="3" t="s">
        <v>13</v>
      </c>
      <c r="N1523" s="3" t="s">
        <v>13</v>
      </c>
      <c r="O1523" s="3">
        <v>0</v>
      </c>
    </row>
    <row r="1524" spans="1:15" ht="15" customHeight="1" x14ac:dyDescent="0.25">
      <c r="A1524" s="2">
        <v>0</v>
      </c>
      <c r="B1524" s="2" t="s">
        <v>14</v>
      </c>
      <c r="C1524" s="2" t="s">
        <v>11</v>
      </c>
      <c r="D1524" s="2" t="s">
        <v>106</v>
      </c>
      <c r="E1524" s="2">
        <v>0</v>
      </c>
      <c r="F1524" s="2">
        <v>0</v>
      </c>
      <c r="G1524" s="2" t="s">
        <v>10</v>
      </c>
      <c r="H1524" s="2" t="s">
        <v>12</v>
      </c>
      <c r="I1524" s="2">
        <v>2</v>
      </c>
      <c r="J1524" s="2" t="s">
        <v>14</v>
      </c>
      <c r="K1524" s="2" t="s">
        <v>14</v>
      </c>
      <c r="L1524" s="2" t="s">
        <v>14</v>
      </c>
      <c r="M1524" s="2" t="s">
        <v>14</v>
      </c>
      <c r="N1524" s="2" t="s">
        <v>14</v>
      </c>
      <c r="O1524" s="2">
        <v>1</v>
      </c>
    </row>
    <row r="1525" spans="1:15" ht="15" customHeight="1" x14ac:dyDescent="0.25">
      <c r="A1525" s="3">
        <v>5</v>
      </c>
      <c r="B1525" s="3" t="s">
        <v>10</v>
      </c>
      <c r="C1525" s="3" t="s">
        <v>11</v>
      </c>
      <c r="D1525" s="2" t="s">
        <v>106</v>
      </c>
      <c r="E1525" s="3">
        <v>0</v>
      </c>
      <c r="F1525" s="3">
        <v>1</v>
      </c>
      <c r="G1525" s="3" t="s">
        <v>10</v>
      </c>
      <c r="H1525" s="3" t="s">
        <v>16</v>
      </c>
      <c r="I1525" s="3" t="s">
        <v>15</v>
      </c>
      <c r="J1525" s="3" t="s">
        <v>13</v>
      </c>
      <c r="K1525" s="3" t="s">
        <v>14</v>
      </c>
      <c r="L1525" s="3" t="s">
        <v>14</v>
      </c>
      <c r="M1525" s="3" t="s">
        <v>14</v>
      </c>
      <c r="N1525" s="3" t="s">
        <v>14</v>
      </c>
      <c r="O1525" s="3">
        <v>0</v>
      </c>
    </row>
    <row r="1526" spans="1:15" ht="15" customHeight="1" x14ac:dyDescent="0.25">
      <c r="A1526" s="2">
        <v>10</v>
      </c>
      <c r="B1526" s="2" t="s">
        <v>18</v>
      </c>
      <c r="C1526" s="2" t="s">
        <v>19</v>
      </c>
      <c r="D1526" s="2" t="s">
        <v>106</v>
      </c>
      <c r="E1526" s="2">
        <v>0</v>
      </c>
      <c r="F1526" s="2">
        <v>1</v>
      </c>
      <c r="G1526" s="2" t="s">
        <v>10</v>
      </c>
      <c r="H1526" s="2" t="s">
        <v>12</v>
      </c>
      <c r="I1526" s="2">
        <v>2</v>
      </c>
      <c r="J1526" s="2" t="s">
        <v>14</v>
      </c>
      <c r="K1526" s="2" t="s">
        <v>13</v>
      </c>
      <c r="L1526" s="2" t="s">
        <v>13</v>
      </c>
      <c r="M1526" s="2" t="s">
        <v>13</v>
      </c>
      <c r="N1526" s="2" t="s">
        <v>14</v>
      </c>
      <c r="O1526" s="2">
        <v>1</v>
      </c>
    </row>
    <row r="1527" spans="1:15" ht="15" customHeight="1" x14ac:dyDescent="0.25">
      <c r="A1527" s="3">
        <v>10</v>
      </c>
      <c r="B1527" s="3" t="s">
        <v>10</v>
      </c>
      <c r="C1527" s="3" t="s">
        <v>19</v>
      </c>
      <c r="D1527" s="2" t="s">
        <v>106</v>
      </c>
      <c r="E1527" s="3">
        <v>1</v>
      </c>
      <c r="F1527" s="3">
        <v>0</v>
      </c>
      <c r="G1527" s="3" t="s">
        <v>10</v>
      </c>
      <c r="H1527" s="3" t="s">
        <v>16</v>
      </c>
      <c r="I1527" s="3">
        <v>1</v>
      </c>
      <c r="J1527" s="3" t="s">
        <v>14</v>
      </c>
      <c r="K1527" s="3" t="s">
        <v>13</v>
      </c>
      <c r="L1527" s="3" t="s">
        <v>13</v>
      </c>
      <c r="M1527" s="3" t="s">
        <v>13</v>
      </c>
      <c r="N1527" s="3" t="s">
        <v>14</v>
      </c>
      <c r="O1527" s="3">
        <v>0</v>
      </c>
    </row>
    <row r="1528" spans="1:15" ht="15" customHeight="1" x14ac:dyDescent="0.25">
      <c r="A1528" s="2">
        <v>5</v>
      </c>
      <c r="B1528" s="2" t="s">
        <v>14</v>
      </c>
      <c r="C1528" s="2" t="s">
        <v>19</v>
      </c>
      <c r="D1528" s="2" t="s">
        <v>106</v>
      </c>
      <c r="E1528" s="2">
        <v>0</v>
      </c>
      <c r="F1528" s="2">
        <v>0</v>
      </c>
      <c r="G1528" s="2" t="s">
        <v>10</v>
      </c>
      <c r="H1528" s="2" t="s">
        <v>12</v>
      </c>
      <c r="I1528" s="2">
        <v>2</v>
      </c>
      <c r="J1528" s="2" t="s">
        <v>14</v>
      </c>
      <c r="K1528" s="2" t="s">
        <v>14</v>
      </c>
      <c r="L1528" s="2" t="s">
        <v>14</v>
      </c>
      <c r="M1528" s="2" t="s">
        <v>14</v>
      </c>
      <c r="N1528" s="2" t="s">
        <v>14</v>
      </c>
      <c r="O1528" s="2">
        <v>1</v>
      </c>
    </row>
    <row r="1529" spans="1:15" ht="15" customHeight="1" x14ac:dyDescent="0.25">
      <c r="A1529" s="3">
        <v>10</v>
      </c>
      <c r="B1529" s="3" t="s">
        <v>10</v>
      </c>
      <c r="C1529" s="3" t="s">
        <v>11</v>
      </c>
      <c r="D1529" s="2" t="s">
        <v>106</v>
      </c>
      <c r="E1529" s="3">
        <v>0</v>
      </c>
      <c r="F1529" s="3">
        <v>1</v>
      </c>
      <c r="G1529" s="3" t="s">
        <v>10</v>
      </c>
      <c r="H1529" s="3" t="s">
        <v>12</v>
      </c>
      <c r="I1529" s="3">
        <v>2</v>
      </c>
      <c r="J1529" s="3" t="s">
        <v>14</v>
      </c>
      <c r="K1529" s="3" t="s">
        <v>14</v>
      </c>
      <c r="L1529" s="3" t="s">
        <v>14</v>
      </c>
      <c r="M1529" s="3" t="s">
        <v>14</v>
      </c>
      <c r="N1529" s="3" t="s">
        <v>14</v>
      </c>
      <c r="O1529" s="3">
        <v>1</v>
      </c>
    </row>
    <row r="1530" spans="1:15" ht="15" customHeight="1" x14ac:dyDescent="0.25">
      <c r="A1530" s="2">
        <v>20</v>
      </c>
      <c r="B1530" s="2" t="s">
        <v>10</v>
      </c>
      <c r="C1530" s="2" t="s">
        <v>11</v>
      </c>
      <c r="D1530" s="2" t="s">
        <v>106</v>
      </c>
      <c r="E1530" s="2">
        <v>1</v>
      </c>
      <c r="F1530" s="2">
        <v>1</v>
      </c>
      <c r="G1530" s="2" t="s">
        <v>10</v>
      </c>
      <c r="H1530" s="2" t="s">
        <v>12</v>
      </c>
      <c r="I1530" s="2" t="s">
        <v>15</v>
      </c>
      <c r="J1530" s="2" t="s">
        <v>14</v>
      </c>
      <c r="K1530" s="2" t="s">
        <v>14</v>
      </c>
      <c r="L1530" s="2" t="s">
        <v>14</v>
      </c>
      <c r="M1530" s="2" t="s">
        <v>13</v>
      </c>
      <c r="N1530" s="2" t="s">
        <v>13</v>
      </c>
      <c r="O1530" s="2">
        <v>1</v>
      </c>
    </row>
    <row r="1531" spans="1:15" ht="15" customHeight="1" x14ac:dyDescent="0.25">
      <c r="A1531" s="3">
        <v>5</v>
      </c>
      <c r="B1531" s="3" t="s">
        <v>14</v>
      </c>
      <c r="C1531" s="3" t="s">
        <v>19</v>
      </c>
      <c r="D1531" s="2" t="s">
        <v>106</v>
      </c>
      <c r="E1531" s="3">
        <v>0</v>
      </c>
      <c r="F1531" s="3">
        <v>0</v>
      </c>
      <c r="G1531" s="3" t="s">
        <v>10</v>
      </c>
      <c r="H1531" s="3" t="s">
        <v>12</v>
      </c>
      <c r="I1531" s="3">
        <v>1</v>
      </c>
      <c r="J1531" s="3" t="s">
        <v>14</v>
      </c>
      <c r="K1531" s="3" t="s">
        <v>14</v>
      </c>
      <c r="L1531" s="3" t="s">
        <v>14</v>
      </c>
      <c r="M1531" s="3" t="s">
        <v>14</v>
      </c>
      <c r="N1531" s="3" t="s">
        <v>14</v>
      </c>
      <c r="O1531" s="3">
        <v>1</v>
      </c>
    </row>
    <row r="1532" spans="1:15" ht="15" customHeight="1" x14ac:dyDescent="0.25">
      <c r="A1532" s="2">
        <v>10</v>
      </c>
      <c r="B1532" s="2" t="s">
        <v>10</v>
      </c>
      <c r="C1532" s="2" t="s">
        <v>19</v>
      </c>
      <c r="D1532" s="2" t="s">
        <v>106</v>
      </c>
      <c r="E1532" s="2">
        <v>0</v>
      </c>
      <c r="F1532" s="2">
        <v>0</v>
      </c>
      <c r="G1532" s="2" t="s">
        <v>10</v>
      </c>
      <c r="H1532" s="2" t="s">
        <v>12</v>
      </c>
      <c r="I1532" s="2">
        <v>2</v>
      </c>
      <c r="J1532" s="2" t="s">
        <v>14</v>
      </c>
      <c r="K1532" s="2" t="s">
        <v>14</v>
      </c>
      <c r="L1532" s="2" t="s">
        <v>14</v>
      </c>
      <c r="M1532" s="2" t="s">
        <v>14</v>
      </c>
      <c r="N1532" s="2" t="s">
        <v>14</v>
      </c>
      <c r="O1532" s="2">
        <v>1</v>
      </c>
    </row>
    <row r="1533" spans="1:15" ht="15" customHeight="1" x14ac:dyDescent="0.25">
      <c r="A1533" s="3">
        <v>5</v>
      </c>
      <c r="B1533" s="3" t="s">
        <v>18</v>
      </c>
      <c r="C1533" s="3" t="s">
        <v>19</v>
      </c>
      <c r="D1533" s="2" t="s">
        <v>106</v>
      </c>
      <c r="E1533" s="3">
        <v>0</v>
      </c>
      <c r="F1533" s="3">
        <v>0</v>
      </c>
      <c r="G1533" s="3" t="s">
        <v>10</v>
      </c>
      <c r="H1533" s="3" t="s">
        <v>12</v>
      </c>
      <c r="I1533" s="3">
        <v>2</v>
      </c>
      <c r="J1533" s="3" t="s">
        <v>14</v>
      </c>
      <c r="K1533" s="3" t="s">
        <v>14</v>
      </c>
      <c r="L1533" s="3" t="s">
        <v>14</v>
      </c>
      <c r="M1533" s="3" t="s">
        <v>14</v>
      </c>
      <c r="N1533" s="3" t="s">
        <v>14</v>
      </c>
      <c r="O1533" s="3">
        <v>1</v>
      </c>
    </row>
    <row r="1534" spans="1:15" ht="15" customHeight="1" x14ac:dyDescent="0.25">
      <c r="A1534" s="2">
        <v>10</v>
      </c>
      <c r="B1534" s="2" t="s">
        <v>10</v>
      </c>
      <c r="C1534" s="2" t="s">
        <v>19</v>
      </c>
      <c r="D1534" s="2" t="s">
        <v>106</v>
      </c>
      <c r="E1534" s="2">
        <v>0</v>
      </c>
      <c r="F1534" s="2">
        <v>0</v>
      </c>
      <c r="G1534" s="2" t="s">
        <v>10</v>
      </c>
      <c r="H1534" s="2" t="s">
        <v>12</v>
      </c>
      <c r="I1534" s="2" t="s">
        <v>15</v>
      </c>
      <c r="J1534" s="2" t="s">
        <v>14</v>
      </c>
      <c r="K1534" s="2" t="s">
        <v>14</v>
      </c>
      <c r="L1534" s="2" t="s">
        <v>14</v>
      </c>
      <c r="M1534" s="2" t="s">
        <v>14</v>
      </c>
      <c r="N1534" s="2" t="s">
        <v>14</v>
      </c>
      <c r="O1534" s="2">
        <v>1</v>
      </c>
    </row>
    <row r="1535" spans="1:15" ht="15" customHeight="1" x14ac:dyDescent="0.25">
      <c r="A1535" s="3">
        <v>10</v>
      </c>
      <c r="B1535" s="3" t="s">
        <v>18</v>
      </c>
      <c r="C1535" s="3" t="s">
        <v>19</v>
      </c>
      <c r="D1535" s="2" t="s">
        <v>106</v>
      </c>
      <c r="E1535" s="3">
        <v>0</v>
      </c>
      <c r="F1535" s="3">
        <v>0</v>
      </c>
      <c r="G1535" s="3" t="s">
        <v>10</v>
      </c>
      <c r="H1535" s="3" t="s">
        <v>12</v>
      </c>
      <c r="I1535" s="3">
        <v>2</v>
      </c>
      <c r="J1535" s="3" t="s">
        <v>14</v>
      </c>
      <c r="K1535" s="3" t="s">
        <v>14</v>
      </c>
      <c r="L1535" s="3" t="s">
        <v>14</v>
      </c>
      <c r="M1535" s="3" t="s">
        <v>14</v>
      </c>
      <c r="N1535" s="3" t="s">
        <v>14</v>
      </c>
      <c r="O1535" s="3">
        <v>1</v>
      </c>
    </row>
    <row r="1536" spans="1:15" ht="15" customHeight="1" x14ac:dyDescent="0.25">
      <c r="A1536" s="2">
        <v>10</v>
      </c>
      <c r="B1536" s="2" t="s">
        <v>10</v>
      </c>
      <c r="C1536" s="2" t="s">
        <v>19</v>
      </c>
      <c r="D1536" s="2" t="s">
        <v>106</v>
      </c>
      <c r="E1536" s="2">
        <v>0</v>
      </c>
      <c r="F1536" s="2">
        <v>0</v>
      </c>
      <c r="G1536" s="2" t="s">
        <v>10</v>
      </c>
      <c r="H1536" s="2" t="s">
        <v>12</v>
      </c>
      <c r="I1536" s="2">
        <v>2</v>
      </c>
      <c r="J1536" s="2" t="s">
        <v>14</v>
      </c>
      <c r="K1536" s="2" t="s">
        <v>14</v>
      </c>
      <c r="L1536" s="2" t="s">
        <v>14</v>
      </c>
      <c r="M1536" s="2" t="s">
        <v>14</v>
      </c>
      <c r="N1536" s="2" t="s">
        <v>14</v>
      </c>
      <c r="O1536" s="2">
        <v>1</v>
      </c>
    </row>
    <row r="1537" spans="1:15" ht="15" customHeight="1" x14ac:dyDescent="0.25">
      <c r="A1537" s="3">
        <v>10</v>
      </c>
      <c r="B1537" s="3" t="s">
        <v>14</v>
      </c>
      <c r="C1537" s="3" t="s">
        <v>11</v>
      </c>
      <c r="D1537" s="2" t="s">
        <v>106</v>
      </c>
      <c r="E1537" s="3">
        <v>0</v>
      </c>
      <c r="F1537" s="3">
        <v>1</v>
      </c>
      <c r="G1537" s="3" t="s">
        <v>10</v>
      </c>
      <c r="H1537" s="3" t="s">
        <v>12</v>
      </c>
      <c r="I1537" s="3">
        <v>2</v>
      </c>
      <c r="J1537" s="3" t="s">
        <v>14</v>
      </c>
      <c r="K1537" s="3" t="s">
        <v>14</v>
      </c>
      <c r="L1537" s="3" t="s">
        <v>14</v>
      </c>
      <c r="M1537" s="3" t="s">
        <v>14</v>
      </c>
      <c r="N1537" s="3" t="s">
        <v>14</v>
      </c>
      <c r="O1537" s="3">
        <v>1</v>
      </c>
    </row>
    <row r="1538" spans="1:15" ht="15" customHeight="1" x14ac:dyDescent="0.25">
      <c r="A1538" s="2">
        <v>10</v>
      </c>
      <c r="B1538" s="2" t="s">
        <v>10</v>
      </c>
      <c r="C1538" s="2" t="s">
        <v>11</v>
      </c>
      <c r="D1538" s="2" t="s">
        <v>106</v>
      </c>
      <c r="E1538" s="2">
        <v>1</v>
      </c>
      <c r="F1538" s="2">
        <v>2</v>
      </c>
      <c r="G1538" s="2" t="s">
        <v>10</v>
      </c>
      <c r="H1538" s="2" t="s">
        <v>12</v>
      </c>
      <c r="I1538" s="2" t="s">
        <v>15</v>
      </c>
      <c r="J1538" s="2" t="s">
        <v>13</v>
      </c>
      <c r="K1538" s="2" t="s">
        <v>14</v>
      </c>
      <c r="L1538" s="2" t="s">
        <v>14</v>
      </c>
      <c r="M1538" s="2" t="s">
        <v>14</v>
      </c>
      <c r="N1538" s="2" t="s">
        <v>14</v>
      </c>
      <c r="O1538" s="2">
        <v>0</v>
      </c>
    </row>
    <row r="1539" spans="1:15" ht="15" customHeight="1" x14ac:dyDescent="0.25">
      <c r="A1539" s="3">
        <v>10</v>
      </c>
      <c r="B1539" s="3" t="s">
        <v>10</v>
      </c>
      <c r="C1539" s="3" t="s">
        <v>19</v>
      </c>
      <c r="D1539" s="2" t="s">
        <v>106</v>
      </c>
      <c r="E1539" s="3">
        <v>0</v>
      </c>
      <c r="F1539" s="3">
        <v>0</v>
      </c>
      <c r="G1539" s="3" t="s">
        <v>10</v>
      </c>
      <c r="H1539" s="3" t="s">
        <v>12</v>
      </c>
      <c r="I1539" s="3">
        <v>2</v>
      </c>
      <c r="J1539" s="3" t="s">
        <v>14</v>
      </c>
      <c r="K1539" s="3" t="s">
        <v>13</v>
      </c>
      <c r="L1539" s="3" t="s">
        <v>14</v>
      </c>
      <c r="M1539" s="3" t="s">
        <v>14</v>
      </c>
      <c r="N1539" s="3" t="s">
        <v>14</v>
      </c>
      <c r="O1539" s="3">
        <v>1</v>
      </c>
    </row>
    <row r="1540" spans="1:15" ht="15" customHeight="1" x14ac:dyDescent="0.25">
      <c r="A1540" s="2">
        <v>20</v>
      </c>
      <c r="B1540" s="2" t="s">
        <v>10</v>
      </c>
      <c r="C1540" s="2" t="s">
        <v>11</v>
      </c>
      <c r="D1540" s="2" t="s">
        <v>106</v>
      </c>
      <c r="E1540" s="2">
        <v>0</v>
      </c>
      <c r="F1540" s="2">
        <v>0</v>
      </c>
      <c r="G1540" s="2" t="s">
        <v>10</v>
      </c>
      <c r="H1540" s="2" t="s">
        <v>12</v>
      </c>
      <c r="I1540" s="2" t="s">
        <v>15</v>
      </c>
      <c r="J1540" s="2" t="s">
        <v>14</v>
      </c>
      <c r="K1540" s="2" t="s">
        <v>14</v>
      </c>
      <c r="L1540" s="2" t="s">
        <v>14</v>
      </c>
      <c r="M1540" s="2" t="s">
        <v>14</v>
      </c>
      <c r="N1540" s="2" t="s">
        <v>14</v>
      </c>
      <c r="O1540" s="2">
        <v>1</v>
      </c>
    </row>
    <row r="1541" spans="1:15" ht="15" customHeight="1" x14ac:dyDescent="0.25">
      <c r="A1541" s="3">
        <v>5</v>
      </c>
      <c r="B1541" s="3" t="s">
        <v>18</v>
      </c>
      <c r="C1541" s="3" t="s">
        <v>19</v>
      </c>
      <c r="D1541" s="2" t="s">
        <v>106</v>
      </c>
      <c r="E1541" s="3">
        <v>0</v>
      </c>
      <c r="F1541" s="3">
        <v>0</v>
      </c>
      <c r="G1541" s="3" t="s">
        <v>10</v>
      </c>
      <c r="H1541" s="3" t="s">
        <v>12</v>
      </c>
      <c r="I1541" s="3">
        <v>2</v>
      </c>
      <c r="J1541" s="3" t="s">
        <v>14</v>
      </c>
      <c r="K1541" s="3" t="s">
        <v>14</v>
      </c>
      <c r="L1541" s="3" t="s">
        <v>14</v>
      </c>
      <c r="M1541" s="3" t="s">
        <v>14</v>
      </c>
      <c r="N1541" s="3" t="s">
        <v>14</v>
      </c>
      <c r="O1541" s="3">
        <v>1</v>
      </c>
    </row>
    <row r="1542" spans="1:15" ht="15" customHeight="1" x14ac:dyDescent="0.25">
      <c r="A1542" s="2">
        <v>10</v>
      </c>
      <c r="B1542" s="2" t="s">
        <v>10</v>
      </c>
      <c r="C1542" s="2" t="s">
        <v>11</v>
      </c>
      <c r="D1542" s="2" t="s">
        <v>106</v>
      </c>
      <c r="E1542" s="2">
        <v>1</v>
      </c>
      <c r="F1542" s="2">
        <v>0</v>
      </c>
      <c r="G1542" s="2" t="s">
        <v>10</v>
      </c>
      <c r="H1542" s="2" t="s">
        <v>12</v>
      </c>
      <c r="I1542" s="2" t="s">
        <v>15</v>
      </c>
      <c r="J1542" s="2" t="s">
        <v>14</v>
      </c>
      <c r="K1542" s="2" t="s">
        <v>14</v>
      </c>
      <c r="L1542" s="2" t="s">
        <v>14</v>
      </c>
      <c r="M1542" s="2" t="s">
        <v>14</v>
      </c>
      <c r="N1542" s="2" t="s">
        <v>14</v>
      </c>
      <c r="O1542" s="2">
        <v>1</v>
      </c>
    </row>
    <row r="1543" spans="1:15" ht="15" customHeight="1" x14ac:dyDescent="0.25">
      <c r="A1543" s="3">
        <v>5</v>
      </c>
      <c r="B1543" s="3" t="s">
        <v>18</v>
      </c>
      <c r="C1543" s="3" t="s">
        <v>11</v>
      </c>
      <c r="D1543" s="2" t="s">
        <v>106</v>
      </c>
      <c r="E1543" s="3">
        <v>1</v>
      </c>
      <c r="F1543" s="3">
        <v>0</v>
      </c>
      <c r="G1543" s="3" t="s">
        <v>10</v>
      </c>
      <c r="H1543" s="3" t="s">
        <v>12</v>
      </c>
      <c r="I1543" s="3">
        <v>1</v>
      </c>
      <c r="J1543" s="3" t="s">
        <v>14</v>
      </c>
      <c r="K1543" s="3" t="s">
        <v>14</v>
      </c>
      <c r="L1543" s="3" t="s">
        <v>14</v>
      </c>
      <c r="M1543" s="3" t="s">
        <v>14</v>
      </c>
      <c r="N1543" s="3" t="s">
        <v>14</v>
      </c>
      <c r="O1543" s="3">
        <v>0</v>
      </c>
    </row>
    <row r="1544" spans="1:15" ht="15" customHeight="1" x14ac:dyDescent="0.25">
      <c r="A1544" s="2">
        <v>5</v>
      </c>
      <c r="B1544" s="2" t="s">
        <v>14</v>
      </c>
      <c r="C1544" s="2" t="s">
        <v>20</v>
      </c>
      <c r="D1544" s="2" t="s">
        <v>106</v>
      </c>
      <c r="E1544" s="2">
        <v>0</v>
      </c>
      <c r="F1544" s="2">
        <v>0</v>
      </c>
      <c r="G1544" s="2" t="s">
        <v>10</v>
      </c>
      <c r="H1544" s="2" t="s">
        <v>16</v>
      </c>
      <c r="I1544" s="2">
        <v>1</v>
      </c>
      <c r="J1544" s="2" t="s">
        <v>14</v>
      </c>
      <c r="K1544" s="2" t="s">
        <v>14</v>
      </c>
      <c r="L1544" s="2" t="s">
        <v>14</v>
      </c>
      <c r="M1544" s="2" t="s">
        <v>14</v>
      </c>
      <c r="N1544" s="2" t="s">
        <v>14</v>
      </c>
      <c r="O1544" s="2">
        <v>1</v>
      </c>
    </row>
    <row r="1545" spans="1:15" ht="15" customHeight="1" x14ac:dyDescent="0.25">
      <c r="A1545" s="3">
        <v>10</v>
      </c>
      <c r="B1545" s="3" t="s">
        <v>14</v>
      </c>
      <c r="C1545" s="3" t="s">
        <v>19</v>
      </c>
      <c r="D1545" s="2" t="s">
        <v>106</v>
      </c>
      <c r="E1545" s="3">
        <v>0</v>
      </c>
      <c r="F1545" s="3">
        <v>0</v>
      </c>
      <c r="G1545" s="3" t="s">
        <v>10</v>
      </c>
      <c r="H1545" s="3" t="s">
        <v>12</v>
      </c>
      <c r="I1545" s="3" t="s">
        <v>15</v>
      </c>
      <c r="J1545" s="3" t="s">
        <v>14</v>
      </c>
      <c r="K1545" s="3" t="s">
        <v>14</v>
      </c>
      <c r="L1545" s="3" t="s">
        <v>14</v>
      </c>
      <c r="M1545" s="3" t="s">
        <v>14</v>
      </c>
      <c r="N1545" s="3" t="s">
        <v>14</v>
      </c>
      <c r="O1545" s="3">
        <v>1</v>
      </c>
    </row>
    <row r="1546" spans="1:15" ht="15" customHeight="1" x14ac:dyDescent="0.25">
      <c r="A1546" s="2">
        <v>10</v>
      </c>
      <c r="B1546" s="2" t="s">
        <v>18</v>
      </c>
      <c r="C1546" s="2" t="s">
        <v>19</v>
      </c>
      <c r="D1546" s="2" t="s">
        <v>106</v>
      </c>
      <c r="E1546" s="2">
        <v>0</v>
      </c>
      <c r="F1546" s="2">
        <v>0</v>
      </c>
      <c r="G1546" s="2" t="s">
        <v>10</v>
      </c>
      <c r="H1546" s="2" t="s">
        <v>12</v>
      </c>
      <c r="I1546" s="2">
        <v>2</v>
      </c>
      <c r="J1546" s="2" t="s">
        <v>14</v>
      </c>
      <c r="K1546" s="2" t="s">
        <v>14</v>
      </c>
      <c r="L1546" s="2" t="s">
        <v>14</v>
      </c>
      <c r="M1546" s="2" t="s">
        <v>14</v>
      </c>
      <c r="N1546" s="2" t="s">
        <v>14</v>
      </c>
      <c r="O1546" s="2">
        <v>1</v>
      </c>
    </row>
    <row r="1547" spans="1:15" ht="15" customHeight="1" x14ac:dyDescent="0.25">
      <c r="A1547" s="3">
        <v>20</v>
      </c>
      <c r="B1547" s="3" t="s">
        <v>10</v>
      </c>
      <c r="C1547" s="3" t="s">
        <v>19</v>
      </c>
      <c r="D1547" s="2" t="s">
        <v>106</v>
      </c>
      <c r="E1547" s="3">
        <v>0</v>
      </c>
      <c r="F1547" s="3">
        <v>1</v>
      </c>
      <c r="G1547" s="3" t="s">
        <v>10</v>
      </c>
      <c r="H1547" s="3" t="s">
        <v>12</v>
      </c>
      <c r="I1547" s="3">
        <v>1</v>
      </c>
      <c r="J1547" s="3" t="s">
        <v>14</v>
      </c>
      <c r="K1547" s="3" t="s">
        <v>14</v>
      </c>
      <c r="L1547" s="3" t="s">
        <v>14</v>
      </c>
      <c r="M1547" s="3" t="s">
        <v>13</v>
      </c>
      <c r="N1547" s="3" t="s">
        <v>14</v>
      </c>
      <c r="O1547" s="3">
        <v>0</v>
      </c>
    </row>
    <row r="1548" spans="1:15" ht="15" customHeight="1" x14ac:dyDescent="0.25">
      <c r="A1548" s="2">
        <v>0</v>
      </c>
      <c r="B1548" s="2" t="s">
        <v>10</v>
      </c>
      <c r="C1548" s="2" t="s">
        <v>19</v>
      </c>
      <c r="D1548" s="2" t="s">
        <v>106</v>
      </c>
      <c r="E1548" s="2">
        <v>0</v>
      </c>
      <c r="F1548" s="2">
        <v>0</v>
      </c>
      <c r="G1548" s="2" t="s">
        <v>10</v>
      </c>
      <c r="H1548" s="2" t="s">
        <v>12</v>
      </c>
      <c r="I1548" s="2" t="s">
        <v>15</v>
      </c>
      <c r="J1548" s="2" t="s">
        <v>14</v>
      </c>
      <c r="K1548" s="2" t="s">
        <v>13</v>
      </c>
      <c r="L1548" s="2" t="s">
        <v>14</v>
      </c>
      <c r="M1548" s="2" t="s">
        <v>14</v>
      </c>
      <c r="N1548" s="2" t="s">
        <v>14</v>
      </c>
      <c r="O1548" s="2">
        <v>1</v>
      </c>
    </row>
    <row r="1549" spans="1:15" ht="15" customHeight="1" x14ac:dyDescent="0.25">
      <c r="A1549" s="3">
        <v>10</v>
      </c>
      <c r="B1549" s="3" t="s">
        <v>10</v>
      </c>
      <c r="C1549" s="3" t="s">
        <v>19</v>
      </c>
      <c r="D1549" s="2" t="s">
        <v>106</v>
      </c>
      <c r="E1549" s="3">
        <v>0</v>
      </c>
      <c r="F1549" s="3">
        <v>0</v>
      </c>
      <c r="G1549" s="3" t="s">
        <v>10</v>
      </c>
      <c r="H1549" s="3" t="s">
        <v>12</v>
      </c>
      <c r="I1549" s="3" t="s">
        <v>15</v>
      </c>
      <c r="J1549" s="3" t="s">
        <v>14</v>
      </c>
      <c r="K1549" s="3" t="s">
        <v>14</v>
      </c>
      <c r="L1549" s="3" t="s">
        <v>14</v>
      </c>
      <c r="M1549" s="3" t="s">
        <v>14</v>
      </c>
      <c r="N1549" s="3" t="s">
        <v>14</v>
      </c>
      <c r="O1549" s="3">
        <v>1</v>
      </c>
    </row>
    <row r="1550" spans="1:15" ht="15" customHeight="1" x14ac:dyDescent="0.25">
      <c r="A1550" s="2">
        <v>10</v>
      </c>
      <c r="B1550" s="2" t="s">
        <v>18</v>
      </c>
      <c r="C1550" s="2" t="s">
        <v>19</v>
      </c>
      <c r="D1550" s="2" t="s">
        <v>106</v>
      </c>
      <c r="E1550" s="2">
        <v>0</v>
      </c>
      <c r="F1550" s="2">
        <v>0</v>
      </c>
      <c r="G1550" s="2" t="s">
        <v>10</v>
      </c>
      <c r="H1550" s="2" t="s">
        <v>12</v>
      </c>
      <c r="I1550" s="2">
        <v>1</v>
      </c>
      <c r="J1550" s="2" t="s">
        <v>14</v>
      </c>
      <c r="K1550" s="2" t="s">
        <v>14</v>
      </c>
      <c r="L1550" s="2" t="s">
        <v>14</v>
      </c>
      <c r="M1550" s="2" t="s">
        <v>14</v>
      </c>
      <c r="N1550" s="2" t="s">
        <v>14</v>
      </c>
      <c r="O1550" s="2">
        <v>1</v>
      </c>
    </row>
    <row r="1551" spans="1:15" ht="15" customHeight="1" x14ac:dyDescent="0.25">
      <c r="A1551" s="3">
        <v>10</v>
      </c>
      <c r="B1551" s="3" t="s">
        <v>10</v>
      </c>
      <c r="C1551" s="3" t="s">
        <v>11</v>
      </c>
      <c r="D1551" s="2" t="s">
        <v>106</v>
      </c>
      <c r="E1551" s="3">
        <v>1</v>
      </c>
      <c r="F1551" s="3">
        <v>1</v>
      </c>
      <c r="G1551" s="3" t="s">
        <v>10</v>
      </c>
      <c r="H1551" s="3" t="s">
        <v>12</v>
      </c>
      <c r="I1551" s="3">
        <v>2</v>
      </c>
      <c r="J1551" s="3" t="s">
        <v>13</v>
      </c>
      <c r="K1551" s="3" t="s">
        <v>14</v>
      </c>
      <c r="L1551" s="3" t="s">
        <v>14</v>
      </c>
      <c r="M1551" s="3" t="s">
        <v>14</v>
      </c>
      <c r="N1551" s="3" t="s">
        <v>14</v>
      </c>
      <c r="O1551" s="3">
        <v>0</v>
      </c>
    </row>
    <row r="1552" spans="1:15" ht="15" customHeight="1" x14ac:dyDescent="0.25">
      <c r="A1552" s="2">
        <v>20</v>
      </c>
      <c r="B1552" s="2" t="s">
        <v>14</v>
      </c>
      <c r="C1552" s="2" t="s">
        <v>19</v>
      </c>
      <c r="D1552" s="2" t="s">
        <v>106</v>
      </c>
      <c r="E1552" s="2">
        <v>0</v>
      </c>
      <c r="F1552" s="2">
        <v>0</v>
      </c>
      <c r="G1552" s="2" t="s">
        <v>10</v>
      </c>
      <c r="H1552" s="2" t="s">
        <v>12</v>
      </c>
      <c r="I1552" s="2" t="s">
        <v>15</v>
      </c>
      <c r="J1552" s="2" t="s">
        <v>14</v>
      </c>
      <c r="K1552" s="2" t="s">
        <v>14</v>
      </c>
      <c r="L1552" s="2" t="s">
        <v>14</v>
      </c>
      <c r="M1552" s="2" t="s">
        <v>14</v>
      </c>
      <c r="N1552" s="2" t="s">
        <v>14</v>
      </c>
      <c r="O1552" s="2">
        <v>1</v>
      </c>
    </row>
    <row r="1553" spans="1:16" ht="15" customHeight="1" x14ac:dyDescent="0.25">
      <c r="A1553" s="3">
        <v>10</v>
      </c>
      <c r="B1553" s="3" t="s">
        <v>10</v>
      </c>
      <c r="C1553" s="3" t="s">
        <v>11</v>
      </c>
      <c r="D1553" s="2" t="s">
        <v>106</v>
      </c>
      <c r="E1553" s="3">
        <v>0</v>
      </c>
      <c r="F1553" s="3">
        <v>0</v>
      </c>
      <c r="G1553" s="3" t="s">
        <v>10</v>
      </c>
      <c r="H1553" s="3" t="s">
        <v>12</v>
      </c>
      <c r="I1553" s="3" t="s">
        <v>15</v>
      </c>
      <c r="J1553" s="3" t="s">
        <v>14</v>
      </c>
      <c r="K1553" s="3" t="s">
        <v>14</v>
      </c>
      <c r="L1553" s="3" t="s">
        <v>14</v>
      </c>
      <c r="M1553" s="3" t="s">
        <v>14</v>
      </c>
      <c r="N1553" s="3" t="s">
        <v>14</v>
      </c>
      <c r="O1553" s="3">
        <v>1</v>
      </c>
    </row>
    <row r="1554" spans="1:16" ht="15" customHeight="1" x14ac:dyDescent="0.25">
      <c r="A1554" s="2">
        <v>10</v>
      </c>
      <c r="B1554" s="2" t="s">
        <v>14</v>
      </c>
      <c r="C1554" s="2" t="s">
        <v>11</v>
      </c>
      <c r="D1554" s="2" t="s">
        <v>106</v>
      </c>
      <c r="E1554" s="2">
        <v>0</v>
      </c>
      <c r="F1554" s="2">
        <v>1</v>
      </c>
      <c r="G1554" s="2" t="s">
        <v>10</v>
      </c>
      <c r="H1554" s="2" t="s">
        <v>16</v>
      </c>
      <c r="I1554" s="2" t="s">
        <v>15</v>
      </c>
      <c r="J1554" s="2" t="s">
        <v>14</v>
      </c>
      <c r="K1554" s="2" t="s">
        <v>14</v>
      </c>
      <c r="L1554" s="2" t="s">
        <v>14</v>
      </c>
      <c r="M1554" s="2" t="s">
        <v>14</v>
      </c>
      <c r="N1554" s="2" t="s">
        <v>14</v>
      </c>
      <c r="O1554" s="2">
        <v>1</v>
      </c>
    </row>
    <row r="1555" spans="1:16" ht="15" customHeight="1" x14ac:dyDescent="0.25">
      <c r="A1555" s="3">
        <v>5</v>
      </c>
      <c r="B1555" s="3" t="s">
        <v>10</v>
      </c>
      <c r="C1555" s="3" t="s">
        <v>11</v>
      </c>
      <c r="D1555" s="2" t="s">
        <v>106</v>
      </c>
      <c r="E1555" s="3">
        <v>0</v>
      </c>
      <c r="F1555" s="3">
        <v>1</v>
      </c>
      <c r="G1555" s="3" t="s">
        <v>10</v>
      </c>
      <c r="H1555" s="3" t="s">
        <v>12</v>
      </c>
      <c r="I1555" s="3">
        <v>2</v>
      </c>
      <c r="J1555" s="3" t="s">
        <v>13</v>
      </c>
      <c r="K1555" s="3" t="s">
        <v>14</v>
      </c>
      <c r="L1555" s="3" t="s">
        <v>13</v>
      </c>
      <c r="M1555" s="3" t="s">
        <v>14</v>
      </c>
      <c r="N1555" s="3" t="s">
        <v>14</v>
      </c>
      <c r="O1555" s="3">
        <v>0</v>
      </c>
    </row>
    <row r="1556" spans="1:16" ht="15" customHeight="1" x14ac:dyDescent="0.25">
      <c r="A1556" s="2">
        <v>5</v>
      </c>
      <c r="B1556" s="2" t="s">
        <v>18</v>
      </c>
      <c r="C1556" s="2" t="s">
        <v>11</v>
      </c>
      <c r="D1556" s="2" t="s">
        <v>106</v>
      </c>
      <c r="E1556" s="2">
        <v>0</v>
      </c>
      <c r="F1556" s="2">
        <v>0</v>
      </c>
      <c r="G1556" s="2" t="s">
        <v>10</v>
      </c>
      <c r="H1556" s="2" t="s">
        <v>16</v>
      </c>
      <c r="I1556" s="2">
        <v>1</v>
      </c>
      <c r="J1556" s="2" t="s">
        <v>14</v>
      </c>
      <c r="K1556" s="2" t="s">
        <v>14</v>
      </c>
      <c r="L1556" s="2" t="s">
        <v>14</v>
      </c>
      <c r="M1556" s="2" t="s">
        <v>14</v>
      </c>
      <c r="N1556" s="2" t="s">
        <v>14</v>
      </c>
      <c r="O1556" s="2">
        <v>1</v>
      </c>
    </row>
    <row r="1557" spans="1:16" ht="15" customHeight="1" x14ac:dyDescent="0.25">
      <c r="A1557" s="3">
        <v>10</v>
      </c>
      <c r="B1557" s="3" t="s">
        <v>14</v>
      </c>
      <c r="C1557" s="3" t="s">
        <v>11</v>
      </c>
      <c r="D1557" s="2" t="s">
        <v>106</v>
      </c>
      <c r="E1557" s="3">
        <v>0</v>
      </c>
      <c r="F1557" s="3">
        <v>2</v>
      </c>
      <c r="G1557" s="3" t="s">
        <v>10</v>
      </c>
      <c r="H1557" s="3" t="s">
        <v>12</v>
      </c>
      <c r="I1557" s="3">
        <v>2</v>
      </c>
      <c r="J1557" s="3" t="s">
        <v>14</v>
      </c>
      <c r="K1557" s="3" t="s">
        <v>14</v>
      </c>
      <c r="L1557" s="3" t="s">
        <v>14</v>
      </c>
      <c r="M1557" s="3" t="s">
        <v>13</v>
      </c>
      <c r="N1557" s="3" t="s">
        <v>13</v>
      </c>
      <c r="O1557" s="3">
        <v>1</v>
      </c>
      <c r="P1557" s="25"/>
    </row>
    <row r="1558" spans="1:16" ht="15" customHeight="1" x14ac:dyDescent="0.25">
      <c r="A1558" s="2">
        <v>0</v>
      </c>
      <c r="B1558" s="2" t="s">
        <v>14</v>
      </c>
      <c r="C1558" s="2" t="s">
        <v>19</v>
      </c>
      <c r="D1558" s="2" t="s">
        <v>106</v>
      </c>
      <c r="E1558" s="2">
        <v>0</v>
      </c>
      <c r="F1558" s="2">
        <v>1</v>
      </c>
      <c r="G1558" s="2" t="s">
        <v>10</v>
      </c>
      <c r="H1558" s="2" t="s">
        <v>16</v>
      </c>
      <c r="I1558" s="2" t="s">
        <v>15</v>
      </c>
      <c r="J1558" s="2" t="s">
        <v>14</v>
      </c>
      <c r="K1558" s="2" t="s">
        <v>14</v>
      </c>
      <c r="L1558" s="2" t="s">
        <v>14</v>
      </c>
      <c r="M1558" s="2" t="s">
        <v>14</v>
      </c>
      <c r="N1558" s="2" t="s">
        <v>14</v>
      </c>
      <c r="O1558" s="2">
        <v>1</v>
      </c>
    </row>
    <row r="1559" spans="1:16" ht="15" customHeight="1" x14ac:dyDescent="0.25">
      <c r="A1559" s="3">
        <v>5</v>
      </c>
      <c r="B1559" s="3" t="s">
        <v>10</v>
      </c>
      <c r="C1559" s="3" t="s">
        <v>20</v>
      </c>
      <c r="D1559" s="2" t="s">
        <v>106</v>
      </c>
      <c r="E1559" s="3">
        <v>0</v>
      </c>
      <c r="F1559" s="3">
        <v>0</v>
      </c>
      <c r="G1559" s="3" t="s">
        <v>17</v>
      </c>
      <c r="H1559" s="3" t="s">
        <v>106</v>
      </c>
      <c r="I1559" s="3">
        <v>1</v>
      </c>
      <c r="J1559" s="3" t="s">
        <v>14</v>
      </c>
      <c r="K1559" s="3" t="s">
        <v>13</v>
      </c>
      <c r="L1559" s="3" t="s">
        <v>13</v>
      </c>
      <c r="M1559" s="3" t="s">
        <v>13</v>
      </c>
      <c r="N1559" s="3" t="s">
        <v>14</v>
      </c>
      <c r="O1559" s="3">
        <v>1</v>
      </c>
    </row>
    <row r="1560" spans="1:16" ht="15" customHeight="1" x14ac:dyDescent="0.25">
      <c r="A1560" s="2">
        <v>10</v>
      </c>
      <c r="B1560" s="2" t="s">
        <v>18</v>
      </c>
      <c r="C1560" s="2" t="s">
        <v>19</v>
      </c>
      <c r="D1560" s="2" t="s">
        <v>106</v>
      </c>
      <c r="E1560" s="2">
        <v>0</v>
      </c>
      <c r="F1560" s="2">
        <v>0</v>
      </c>
      <c r="G1560" s="2" t="s">
        <v>10</v>
      </c>
      <c r="H1560" s="2" t="s">
        <v>12</v>
      </c>
      <c r="I1560" s="2" t="s">
        <v>15</v>
      </c>
      <c r="J1560" s="2" t="s">
        <v>14</v>
      </c>
      <c r="K1560" s="2" t="s">
        <v>14</v>
      </c>
      <c r="L1560" s="2" t="s">
        <v>14</v>
      </c>
      <c r="M1560" s="2" t="s">
        <v>14</v>
      </c>
      <c r="N1560" s="2" t="s">
        <v>14</v>
      </c>
      <c r="O1560" s="2">
        <v>1</v>
      </c>
    </row>
    <row r="1561" spans="1:16" ht="15" customHeight="1" x14ac:dyDescent="0.25">
      <c r="A1561" s="3">
        <v>10</v>
      </c>
      <c r="B1561" s="3" t="s">
        <v>10</v>
      </c>
      <c r="C1561" s="3" t="s">
        <v>19</v>
      </c>
      <c r="D1561" s="2" t="s">
        <v>106</v>
      </c>
      <c r="E1561" s="3">
        <v>0</v>
      </c>
      <c r="F1561" s="3">
        <v>0</v>
      </c>
      <c r="G1561" s="3" t="s">
        <v>10</v>
      </c>
      <c r="H1561" s="3" t="s">
        <v>12</v>
      </c>
      <c r="I1561" s="3">
        <v>1</v>
      </c>
      <c r="J1561" s="3" t="s">
        <v>14</v>
      </c>
      <c r="K1561" s="3" t="s">
        <v>14</v>
      </c>
      <c r="L1561" s="3" t="s">
        <v>14</v>
      </c>
      <c r="M1561" s="3" t="s">
        <v>14</v>
      </c>
      <c r="N1561" s="3" t="s">
        <v>14</v>
      </c>
      <c r="O1561" s="3">
        <v>1</v>
      </c>
    </row>
    <row r="1562" spans="1:16" ht="15" customHeight="1" x14ac:dyDescent="0.25">
      <c r="A1562" s="2">
        <v>5</v>
      </c>
      <c r="B1562" s="2" t="s">
        <v>14</v>
      </c>
      <c r="C1562" s="2" t="s">
        <v>19</v>
      </c>
      <c r="D1562" s="2" t="s">
        <v>106</v>
      </c>
      <c r="E1562" s="2">
        <v>0</v>
      </c>
      <c r="F1562" s="2">
        <v>0</v>
      </c>
      <c r="G1562" s="2" t="s">
        <v>10</v>
      </c>
      <c r="H1562" s="2" t="s">
        <v>12</v>
      </c>
      <c r="I1562" s="2">
        <v>2</v>
      </c>
      <c r="J1562" s="2" t="s">
        <v>14</v>
      </c>
      <c r="K1562" s="2" t="s">
        <v>14</v>
      </c>
      <c r="L1562" s="2" t="s">
        <v>14</v>
      </c>
      <c r="M1562" s="2" t="s">
        <v>14</v>
      </c>
      <c r="N1562" s="2" t="s">
        <v>14</v>
      </c>
      <c r="O1562" s="2">
        <v>1</v>
      </c>
    </row>
    <row r="1563" spans="1:16" ht="15" customHeight="1" x14ac:dyDescent="0.25">
      <c r="A1563" s="3">
        <v>5</v>
      </c>
      <c r="B1563" s="3" t="s">
        <v>18</v>
      </c>
      <c r="C1563" s="3" t="s">
        <v>19</v>
      </c>
      <c r="D1563" s="2" t="s">
        <v>106</v>
      </c>
      <c r="E1563" s="3">
        <v>0</v>
      </c>
      <c r="F1563" s="3">
        <v>0</v>
      </c>
      <c r="G1563" s="3" t="s">
        <v>10</v>
      </c>
      <c r="H1563" s="3" t="s">
        <v>12</v>
      </c>
      <c r="I1563" s="3">
        <v>2</v>
      </c>
      <c r="J1563" s="3" t="s">
        <v>14</v>
      </c>
      <c r="K1563" s="3" t="s">
        <v>14</v>
      </c>
      <c r="L1563" s="3" t="s">
        <v>14</v>
      </c>
      <c r="M1563" s="3" t="s">
        <v>14</v>
      </c>
      <c r="N1563" s="3" t="s">
        <v>14</v>
      </c>
      <c r="O1563" s="3">
        <v>1</v>
      </c>
    </row>
    <row r="1564" spans="1:16" ht="15" customHeight="1" x14ac:dyDescent="0.25">
      <c r="A1564" s="2">
        <v>5</v>
      </c>
      <c r="B1564" s="2" t="s">
        <v>10</v>
      </c>
      <c r="C1564" s="2" t="s">
        <v>19</v>
      </c>
      <c r="D1564" s="2" t="s">
        <v>106</v>
      </c>
      <c r="E1564" s="2">
        <v>0</v>
      </c>
      <c r="F1564" s="2">
        <v>0</v>
      </c>
      <c r="G1564" s="2" t="s">
        <v>10</v>
      </c>
      <c r="H1564" s="2" t="s">
        <v>12</v>
      </c>
      <c r="I1564" s="2">
        <v>2</v>
      </c>
      <c r="J1564" s="2" t="s">
        <v>14</v>
      </c>
      <c r="K1564" s="2" t="s">
        <v>14</v>
      </c>
      <c r="L1564" s="2" t="s">
        <v>14</v>
      </c>
      <c r="M1564" s="2" t="s">
        <v>14</v>
      </c>
      <c r="N1564" s="2" t="s">
        <v>14</v>
      </c>
      <c r="O1564" s="2">
        <v>1</v>
      </c>
    </row>
    <row r="1565" spans="1:16" ht="15" customHeight="1" x14ac:dyDescent="0.25">
      <c r="A1565" s="3">
        <v>10</v>
      </c>
      <c r="B1565" s="3" t="s">
        <v>18</v>
      </c>
      <c r="C1565" s="3" t="s">
        <v>19</v>
      </c>
      <c r="D1565" s="2" t="s">
        <v>106</v>
      </c>
      <c r="E1565" s="3">
        <v>0</v>
      </c>
      <c r="F1565" s="3">
        <v>0</v>
      </c>
      <c r="G1565" s="3" t="s">
        <v>10</v>
      </c>
      <c r="H1565" s="3" t="s">
        <v>12</v>
      </c>
      <c r="I1565" s="3" t="s">
        <v>15</v>
      </c>
      <c r="J1565" s="3" t="s">
        <v>14</v>
      </c>
      <c r="K1565" s="3" t="s">
        <v>14</v>
      </c>
      <c r="L1565" s="3" t="s">
        <v>14</v>
      </c>
      <c r="M1565" s="3" t="s">
        <v>14</v>
      </c>
      <c r="N1565" s="3" t="s">
        <v>14</v>
      </c>
      <c r="O1565" s="3">
        <v>1</v>
      </c>
    </row>
    <row r="1566" spans="1:16" ht="15" customHeight="1" x14ac:dyDescent="0.25">
      <c r="A1566" s="2">
        <v>10</v>
      </c>
      <c r="B1566" s="2" t="s">
        <v>10</v>
      </c>
      <c r="C1566" s="2" t="s">
        <v>19</v>
      </c>
      <c r="D1566" s="2" t="s">
        <v>106</v>
      </c>
      <c r="E1566" s="2">
        <v>0</v>
      </c>
      <c r="F1566" s="2">
        <v>0</v>
      </c>
      <c r="G1566" s="2" t="s">
        <v>10</v>
      </c>
      <c r="H1566" s="2" t="s">
        <v>12</v>
      </c>
      <c r="I1566" s="2">
        <v>2</v>
      </c>
      <c r="J1566" s="2" t="s">
        <v>14</v>
      </c>
      <c r="K1566" s="2" t="s">
        <v>14</v>
      </c>
      <c r="L1566" s="2" t="s">
        <v>14</v>
      </c>
      <c r="M1566" s="2" t="s">
        <v>14</v>
      </c>
      <c r="N1566" s="2" t="s">
        <v>14</v>
      </c>
      <c r="O1566" s="2">
        <v>1</v>
      </c>
    </row>
    <row r="1567" spans="1:16" ht="15" customHeight="1" x14ac:dyDescent="0.25">
      <c r="A1567" s="3">
        <v>5</v>
      </c>
      <c r="B1567" s="3" t="s">
        <v>10</v>
      </c>
      <c r="C1567" s="3" t="s">
        <v>11</v>
      </c>
      <c r="D1567" s="2" t="s">
        <v>106</v>
      </c>
      <c r="E1567" s="3">
        <v>0</v>
      </c>
      <c r="F1567" s="3">
        <v>0</v>
      </c>
      <c r="G1567" s="3" t="s">
        <v>10</v>
      </c>
      <c r="H1567" s="3" t="s">
        <v>12</v>
      </c>
      <c r="I1567" s="3">
        <v>2</v>
      </c>
      <c r="J1567" s="3" t="s">
        <v>14</v>
      </c>
      <c r="K1567" s="3" t="s">
        <v>14</v>
      </c>
      <c r="L1567" s="3" t="s">
        <v>14</v>
      </c>
      <c r="M1567" s="3" t="s">
        <v>14</v>
      </c>
      <c r="N1567" s="3" t="s">
        <v>14</v>
      </c>
      <c r="O1567" s="3">
        <v>1</v>
      </c>
    </row>
    <row r="1568" spans="1:16" ht="15" customHeight="1" x14ac:dyDescent="0.25">
      <c r="A1568" s="2">
        <v>10</v>
      </c>
      <c r="B1568" s="2" t="s">
        <v>14</v>
      </c>
      <c r="C1568" s="2" t="s">
        <v>11</v>
      </c>
      <c r="D1568" s="2" t="s">
        <v>106</v>
      </c>
      <c r="E1568" s="2">
        <v>0</v>
      </c>
      <c r="F1568" s="2">
        <v>0</v>
      </c>
      <c r="G1568" s="2" t="s">
        <v>10</v>
      </c>
      <c r="H1568" s="2" t="s">
        <v>12</v>
      </c>
      <c r="I1568" s="2" t="s">
        <v>15</v>
      </c>
      <c r="J1568" s="2" t="s">
        <v>14</v>
      </c>
      <c r="K1568" s="2" t="s">
        <v>14</v>
      </c>
      <c r="L1568" s="2" t="s">
        <v>14</v>
      </c>
      <c r="M1568" s="2" t="s">
        <v>14</v>
      </c>
      <c r="N1568" s="2" t="s">
        <v>14</v>
      </c>
      <c r="O1568" s="2">
        <v>1</v>
      </c>
    </row>
    <row r="1569" spans="1:15" ht="15" customHeight="1" x14ac:dyDescent="0.25">
      <c r="A1569" s="3">
        <v>5</v>
      </c>
      <c r="B1569" s="3" t="s">
        <v>10</v>
      </c>
      <c r="C1569" s="3" t="s">
        <v>11</v>
      </c>
      <c r="D1569" s="2" t="s">
        <v>106</v>
      </c>
      <c r="E1569" s="3">
        <v>0</v>
      </c>
      <c r="F1569" s="3">
        <v>1</v>
      </c>
      <c r="G1569" s="3" t="s">
        <v>10</v>
      </c>
      <c r="H1569" s="3" t="s">
        <v>12</v>
      </c>
      <c r="I1569" s="3" t="s">
        <v>15</v>
      </c>
      <c r="J1569" s="3" t="s">
        <v>14</v>
      </c>
      <c r="K1569" s="3" t="s">
        <v>14</v>
      </c>
      <c r="L1569" s="3" t="s">
        <v>14</v>
      </c>
      <c r="M1569" s="3" t="s">
        <v>14</v>
      </c>
      <c r="N1569" s="3" t="s">
        <v>14</v>
      </c>
      <c r="O1569" s="3">
        <v>1</v>
      </c>
    </row>
    <row r="1570" spans="1:15" ht="15" customHeight="1" x14ac:dyDescent="0.25">
      <c r="A1570" s="2">
        <v>10</v>
      </c>
      <c r="B1570" s="2" t="s">
        <v>10</v>
      </c>
      <c r="C1570" s="2" t="s">
        <v>19</v>
      </c>
      <c r="D1570" s="2" t="s">
        <v>106</v>
      </c>
      <c r="E1570" s="2">
        <v>0</v>
      </c>
      <c r="F1570" s="2">
        <v>0</v>
      </c>
      <c r="G1570" s="2" t="s">
        <v>10</v>
      </c>
      <c r="H1570" s="2" t="s">
        <v>12</v>
      </c>
      <c r="I1570" s="2">
        <v>2</v>
      </c>
      <c r="J1570" s="2" t="s">
        <v>14</v>
      </c>
      <c r="K1570" s="2" t="s">
        <v>14</v>
      </c>
      <c r="L1570" s="2" t="s">
        <v>14</v>
      </c>
      <c r="M1570" s="2" t="s">
        <v>14</v>
      </c>
      <c r="N1570" s="2" t="s">
        <v>14</v>
      </c>
      <c r="O1570" s="2">
        <v>1</v>
      </c>
    </row>
    <row r="1571" spans="1:15" ht="15" customHeight="1" x14ac:dyDescent="0.25">
      <c r="A1571" s="3">
        <v>20</v>
      </c>
      <c r="B1571" s="3" t="s">
        <v>10</v>
      </c>
      <c r="C1571" s="3" t="s">
        <v>11</v>
      </c>
      <c r="D1571" s="2" t="s">
        <v>106</v>
      </c>
      <c r="E1571" s="3">
        <v>1</v>
      </c>
      <c r="F1571" s="3">
        <v>0</v>
      </c>
      <c r="G1571" s="3" t="s">
        <v>10</v>
      </c>
      <c r="H1571" s="3" t="s">
        <v>12</v>
      </c>
      <c r="I1571" s="3" t="s">
        <v>15</v>
      </c>
      <c r="J1571" s="3" t="s">
        <v>13</v>
      </c>
      <c r="K1571" s="3" t="s">
        <v>14</v>
      </c>
      <c r="L1571" s="3" t="s">
        <v>14</v>
      </c>
      <c r="M1571" s="3" t="s">
        <v>13</v>
      </c>
      <c r="N1571" s="3" t="s">
        <v>14</v>
      </c>
      <c r="O1571" s="3">
        <v>0</v>
      </c>
    </row>
    <row r="1572" spans="1:15" ht="15" customHeight="1" x14ac:dyDescent="0.25">
      <c r="A1572" s="2">
        <v>0</v>
      </c>
      <c r="B1572" s="2" t="s">
        <v>10</v>
      </c>
      <c r="C1572" s="2" t="s">
        <v>20</v>
      </c>
      <c r="D1572" s="2" t="s">
        <v>106</v>
      </c>
      <c r="E1572" s="2">
        <v>0</v>
      </c>
      <c r="F1572" s="2">
        <v>0</v>
      </c>
      <c r="G1572" s="2" t="s">
        <v>17</v>
      </c>
      <c r="H1572" s="2" t="s">
        <v>106</v>
      </c>
      <c r="I1572" s="2">
        <v>1</v>
      </c>
      <c r="J1572" s="2" t="s">
        <v>14</v>
      </c>
      <c r="K1572" s="2" t="s">
        <v>13</v>
      </c>
      <c r="L1572" s="2" t="s">
        <v>13</v>
      </c>
      <c r="M1572" s="2" t="s">
        <v>13</v>
      </c>
      <c r="N1572" s="2" t="s">
        <v>14</v>
      </c>
      <c r="O1572" s="2">
        <v>0</v>
      </c>
    </row>
    <row r="1573" spans="1:15" ht="15" customHeight="1" x14ac:dyDescent="0.25">
      <c r="A1573" s="3">
        <v>0</v>
      </c>
      <c r="B1573" s="3" t="s">
        <v>10</v>
      </c>
      <c r="C1573" s="3" t="s">
        <v>20</v>
      </c>
      <c r="D1573" s="2" t="s">
        <v>106</v>
      </c>
      <c r="E1573" s="3">
        <v>0</v>
      </c>
      <c r="F1573" s="3">
        <v>0</v>
      </c>
      <c r="G1573" s="3" t="s">
        <v>10</v>
      </c>
      <c r="H1573" s="3" t="s">
        <v>12</v>
      </c>
      <c r="I1573" s="3">
        <v>1</v>
      </c>
      <c r="J1573" s="3" t="s">
        <v>14</v>
      </c>
      <c r="K1573" s="3" t="s">
        <v>14</v>
      </c>
      <c r="L1573" s="3" t="s">
        <v>14</v>
      </c>
      <c r="M1573" s="3" t="s">
        <v>14</v>
      </c>
      <c r="N1573" s="3" t="s">
        <v>14</v>
      </c>
      <c r="O1573" s="3">
        <v>1</v>
      </c>
    </row>
    <row r="1574" spans="1:15" ht="15" customHeight="1" x14ac:dyDescent="0.25">
      <c r="A1574" s="2">
        <v>5</v>
      </c>
      <c r="B1574" s="2" t="s">
        <v>18</v>
      </c>
      <c r="C1574" s="2" t="s">
        <v>20</v>
      </c>
      <c r="D1574" s="2" t="s">
        <v>106</v>
      </c>
      <c r="E1574" s="2">
        <v>0</v>
      </c>
      <c r="F1574" s="2">
        <v>1</v>
      </c>
      <c r="G1574" s="2" t="s">
        <v>10</v>
      </c>
      <c r="H1574" s="2" t="s">
        <v>12</v>
      </c>
      <c r="I1574" s="2">
        <v>1</v>
      </c>
      <c r="J1574" s="2" t="s">
        <v>14</v>
      </c>
      <c r="K1574" s="2" t="s">
        <v>14</v>
      </c>
      <c r="L1574" s="2" t="s">
        <v>14</v>
      </c>
      <c r="M1574" s="2" t="s">
        <v>14</v>
      </c>
      <c r="N1574" s="2" t="s">
        <v>14</v>
      </c>
      <c r="O1574" s="2">
        <v>1</v>
      </c>
    </row>
    <row r="1575" spans="1:15" ht="15" customHeight="1" x14ac:dyDescent="0.25">
      <c r="A1575" s="3">
        <v>10</v>
      </c>
      <c r="B1575" s="3" t="s">
        <v>10</v>
      </c>
      <c r="C1575" s="3" t="s">
        <v>19</v>
      </c>
      <c r="D1575" s="2" t="s">
        <v>106</v>
      </c>
      <c r="E1575" s="3">
        <v>0</v>
      </c>
      <c r="F1575" s="3">
        <v>0</v>
      </c>
      <c r="G1575" s="3" t="s">
        <v>10</v>
      </c>
      <c r="H1575" s="3" t="s">
        <v>12</v>
      </c>
      <c r="I1575" s="3">
        <v>1</v>
      </c>
      <c r="J1575" s="3" t="s">
        <v>14</v>
      </c>
      <c r="K1575" s="3" t="s">
        <v>14</v>
      </c>
      <c r="L1575" s="3" t="s">
        <v>14</v>
      </c>
      <c r="M1575" s="3" t="s">
        <v>14</v>
      </c>
      <c r="N1575" s="3" t="s">
        <v>14</v>
      </c>
      <c r="O1575" s="3">
        <v>1</v>
      </c>
    </row>
    <row r="1576" spans="1:15" ht="15" customHeight="1" x14ac:dyDescent="0.25">
      <c r="A1576" s="2">
        <v>5</v>
      </c>
      <c r="B1576" s="2" t="s">
        <v>18</v>
      </c>
      <c r="C1576" s="2" t="s">
        <v>19</v>
      </c>
      <c r="D1576" s="2" t="s">
        <v>106</v>
      </c>
      <c r="E1576" s="2">
        <v>0</v>
      </c>
      <c r="F1576" s="2">
        <v>0</v>
      </c>
      <c r="G1576" s="2" t="s">
        <v>10</v>
      </c>
      <c r="H1576" s="2" t="s">
        <v>12</v>
      </c>
      <c r="I1576" s="2" t="s">
        <v>15</v>
      </c>
      <c r="J1576" s="2" t="s">
        <v>14</v>
      </c>
      <c r="K1576" s="2" t="s">
        <v>14</v>
      </c>
      <c r="L1576" s="2" t="s">
        <v>14</v>
      </c>
      <c r="M1576" s="2" t="s">
        <v>14</v>
      </c>
      <c r="N1576" s="2" t="s">
        <v>14</v>
      </c>
      <c r="O1576" s="2">
        <v>1</v>
      </c>
    </row>
    <row r="1577" spans="1:15" ht="15" customHeight="1" x14ac:dyDescent="0.25">
      <c r="A1577" s="3">
        <v>5</v>
      </c>
      <c r="B1577" s="3" t="s">
        <v>10</v>
      </c>
      <c r="C1577" s="3" t="s">
        <v>19</v>
      </c>
      <c r="D1577" s="2" t="s">
        <v>106</v>
      </c>
      <c r="E1577" s="3">
        <v>0</v>
      </c>
      <c r="F1577" s="3">
        <v>0</v>
      </c>
      <c r="G1577" s="3" t="s">
        <v>10</v>
      </c>
      <c r="H1577" s="3" t="s">
        <v>12</v>
      </c>
      <c r="I1577" s="3">
        <v>1</v>
      </c>
      <c r="J1577" s="3" t="s">
        <v>14</v>
      </c>
      <c r="K1577" s="3" t="s">
        <v>14</v>
      </c>
      <c r="L1577" s="3" t="s">
        <v>14</v>
      </c>
      <c r="M1577" s="3" t="s">
        <v>14</v>
      </c>
      <c r="N1577" s="3" t="s">
        <v>14</v>
      </c>
      <c r="O1577" s="3">
        <v>1</v>
      </c>
    </row>
    <row r="1578" spans="1:15" ht="15" customHeight="1" x14ac:dyDescent="0.25">
      <c r="A1578" s="2">
        <v>10</v>
      </c>
      <c r="B1578" s="2" t="s">
        <v>10</v>
      </c>
      <c r="C1578" s="2" t="s">
        <v>19</v>
      </c>
      <c r="D1578" s="2" t="s">
        <v>106</v>
      </c>
      <c r="E1578" s="2">
        <v>0</v>
      </c>
      <c r="F1578" s="2">
        <v>0</v>
      </c>
      <c r="G1578" s="2" t="s">
        <v>10</v>
      </c>
      <c r="H1578" s="2" t="s">
        <v>12</v>
      </c>
      <c r="I1578" s="2" t="s">
        <v>15</v>
      </c>
      <c r="J1578" s="2" t="s">
        <v>14</v>
      </c>
      <c r="K1578" s="2" t="s">
        <v>14</v>
      </c>
      <c r="L1578" s="2" t="s">
        <v>14</v>
      </c>
      <c r="M1578" s="2" t="s">
        <v>14</v>
      </c>
      <c r="N1578" s="2" t="s">
        <v>14</v>
      </c>
      <c r="O1578" s="2">
        <v>1</v>
      </c>
    </row>
    <row r="1579" spans="1:15" ht="15" customHeight="1" x14ac:dyDescent="0.25">
      <c r="A1579" s="3">
        <v>10</v>
      </c>
      <c r="B1579" s="3" t="s">
        <v>10</v>
      </c>
      <c r="C1579" s="3" t="s">
        <v>19</v>
      </c>
      <c r="D1579" s="2" t="s">
        <v>106</v>
      </c>
      <c r="E1579" s="3">
        <v>1</v>
      </c>
      <c r="F1579" s="3">
        <v>2</v>
      </c>
      <c r="G1579" s="3" t="s">
        <v>10</v>
      </c>
      <c r="H1579" s="3" t="s">
        <v>12</v>
      </c>
      <c r="I1579" s="3">
        <v>2</v>
      </c>
      <c r="J1579" s="3" t="s">
        <v>14</v>
      </c>
      <c r="K1579" s="3" t="s">
        <v>14</v>
      </c>
      <c r="L1579" s="3" t="s">
        <v>14</v>
      </c>
      <c r="M1579" s="3" t="s">
        <v>13</v>
      </c>
      <c r="N1579" s="3" t="s">
        <v>14</v>
      </c>
      <c r="O1579" s="3">
        <v>0</v>
      </c>
    </row>
    <row r="1580" spans="1:15" ht="15" customHeight="1" x14ac:dyDescent="0.25">
      <c r="A1580" s="2">
        <v>10</v>
      </c>
      <c r="B1580" s="2" t="s">
        <v>10</v>
      </c>
      <c r="C1580" s="2" t="s">
        <v>19</v>
      </c>
      <c r="D1580" s="2" t="s">
        <v>106</v>
      </c>
      <c r="E1580" s="2">
        <v>0</v>
      </c>
      <c r="F1580" s="2">
        <v>0</v>
      </c>
      <c r="G1580" s="2" t="s">
        <v>10</v>
      </c>
      <c r="H1580" s="2" t="s">
        <v>12</v>
      </c>
      <c r="I1580" s="2">
        <v>2</v>
      </c>
      <c r="J1580" s="2" t="s">
        <v>14</v>
      </c>
      <c r="K1580" s="2" t="s">
        <v>14</v>
      </c>
      <c r="L1580" s="2" t="s">
        <v>14</v>
      </c>
      <c r="M1580" s="2" t="s">
        <v>14</v>
      </c>
      <c r="N1580" s="2" t="s">
        <v>14</v>
      </c>
      <c r="O1580" s="2">
        <v>1</v>
      </c>
    </row>
    <row r="1581" spans="1:15" ht="15" customHeight="1" x14ac:dyDescent="0.25">
      <c r="A1581" s="3">
        <v>10</v>
      </c>
      <c r="B1581" s="3" t="s">
        <v>14</v>
      </c>
      <c r="C1581" s="3" t="s">
        <v>20</v>
      </c>
      <c r="D1581" s="2" t="s">
        <v>106</v>
      </c>
      <c r="E1581" s="3">
        <v>0</v>
      </c>
      <c r="F1581" s="3">
        <v>0</v>
      </c>
      <c r="G1581" s="3" t="s">
        <v>10</v>
      </c>
      <c r="H1581" s="3" t="s">
        <v>12</v>
      </c>
      <c r="I1581" s="3">
        <v>2</v>
      </c>
      <c r="J1581" s="3" t="s">
        <v>14</v>
      </c>
      <c r="K1581" s="3" t="s">
        <v>14</v>
      </c>
      <c r="L1581" s="3" t="s">
        <v>14</v>
      </c>
      <c r="M1581" s="3" t="s">
        <v>14</v>
      </c>
      <c r="N1581" s="3" t="s">
        <v>14</v>
      </c>
      <c r="O1581" s="3">
        <v>1</v>
      </c>
    </row>
    <row r="1582" spans="1:15" ht="15" customHeight="1" x14ac:dyDescent="0.25">
      <c r="A1582" s="2">
        <v>20</v>
      </c>
      <c r="B1582" s="2" t="s">
        <v>10</v>
      </c>
      <c r="C1582" s="2" t="s">
        <v>19</v>
      </c>
      <c r="D1582" s="2" t="s">
        <v>106</v>
      </c>
      <c r="E1582" s="2">
        <v>0</v>
      </c>
      <c r="F1582" s="2">
        <v>0</v>
      </c>
      <c r="G1582" s="2" t="s">
        <v>10</v>
      </c>
      <c r="H1582" s="2" t="s">
        <v>12</v>
      </c>
      <c r="I1582" s="2" t="s">
        <v>15</v>
      </c>
      <c r="J1582" s="2" t="s">
        <v>14</v>
      </c>
      <c r="K1582" s="2" t="s">
        <v>14</v>
      </c>
      <c r="L1582" s="2" t="s">
        <v>14</v>
      </c>
      <c r="M1582" s="2" t="s">
        <v>14</v>
      </c>
      <c r="N1582" s="2" t="s">
        <v>14</v>
      </c>
      <c r="O1582" s="2">
        <v>1</v>
      </c>
    </row>
    <row r="1583" spans="1:15" ht="15" customHeight="1" x14ac:dyDescent="0.25">
      <c r="A1583" s="3">
        <v>20</v>
      </c>
      <c r="B1583" s="3" t="s">
        <v>14</v>
      </c>
      <c r="C1583" s="3" t="s">
        <v>11</v>
      </c>
      <c r="D1583" s="2" t="s">
        <v>106</v>
      </c>
      <c r="E1583" s="3">
        <v>1</v>
      </c>
      <c r="F1583" s="3">
        <v>1</v>
      </c>
      <c r="G1583" s="3" t="s">
        <v>10</v>
      </c>
      <c r="H1583" s="3" t="s">
        <v>12</v>
      </c>
      <c r="I1583" s="3">
        <v>2</v>
      </c>
      <c r="J1583" s="3" t="s">
        <v>14</v>
      </c>
      <c r="K1583" s="3" t="s">
        <v>14</v>
      </c>
      <c r="L1583" s="3" t="s">
        <v>14</v>
      </c>
      <c r="M1583" s="3" t="s">
        <v>13</v>
      </c>
      <c r="N1583" s="3" t="s">
        <v>13</v>
      </c>
      <c r="O1583" s="3">
        <v>0</v>
      </c>
    </row>
    <row r="1584" spans="1:15" ht="15" customHeight="1" x14ac:dyDescent="0.25">
      <c r="A1584" s="2">
        <v>5</v>
      </c>
      <c r="B1584" s="2" t="s">
        <v>18</v>
      </c>
      <c r="C1584" s="2" t="s">
        <v>19</v>
      </c>
      <c r="D1584" s="2" t="s">
        <v>106</v>
      </c>
      <c r="E1584" s="2">
        <v>0</v>
      </c>
      <c r="F1584" s="2">
        <v>0</v>
      </c>
      <c r="G1584" s="2" t="s">
        <v>10</v>
      </c>
      <c r="H1584" s="2" t="s">
        <v>12</v>
      </c>
      <c r="I1584" s="2" t="s">
        <v>15</v>
      </c>
      <c r="J1584" s="2" t="s">
        <v>14</v>
      </c>
      <c r="K1584" s="2" t="s">
        <v>14</v>
      </c>
      <c r="L1584" s="2" t="s">
        <v>14</v>
      </c>
      <c r="M1584" s="2" t="s">
        <v>14</v>
      </c>
      <c r="N1584" s="2" t="s">
        <v>14</v>
      </c>
      <c r="O1584" s="2">
        <v>1</v>
      </c>
    </row>
    <row r="1585" spans="1:15" ht="15" customHeight="1" x14ac:dyDescent="0.25">
      <c r="A1585" s="3">
        <v>20</v>
      </c>
      <c r="B1585" s="3" t="s">
        <v>10</v>
      </c>
      <c r="C1585" s="3" t="s">
        <v>19</v>
      </c>
      <c r="D1585" s="2" t="s">
        <v>106</v>
      </c>
      <c r="E1585" s="3">
        <v>0</v>
      </c>
      <c r="F1585" s="3">
        <v>0</v>
      </c>
      <c r="G1585" s="3" t="s">
        <v>10</v>
      </c>
      <c r="H1585" s="3" t="s">
        <v>12</v>
      </c>
      <c r="I1585" s="3">
        <v>2</v>
      </c>
      <c r="J1585" s="3" t="s">
        <v>14</v>
      </c>
      <c r="K1585" s="3" t="s">
        <v>14</v>
      </c>
      <c r="L1585" s="3" t="s">
        <v>14</v>
      </c>
      <c r="M1585" s="3" t="s">
        <v>14</v>
      </c>
      <c r="N1585" s="3" t="s">
        <v>14</v>
      </c>
      <c r="O1585" s="3">
        <v>1</v>
      </c>
    </row>
    <row r="1586" spans="1:15" ht="15" customHeight="1" x14ac:dyDescent="0.25">
      <c r="A1586" s="2">
        <v>10</v>
      </c>
      <c r="B1586" s="2" t="s">
        <v>10</v>
      </c>
      <c r="C1586" s="2" t="s">
        <v>19</v>
      </c>
      <c r="D1586" s="2" t="s">
        <v>106</v>
      </c>
      <c r="E1586" s="2">
        <v>0</v>
      </c>
      <c r="F1586" s="2">
        <v>0</v>
      </c>
      <c r="G1586" s="2" t="s">
        <v>10</v>
      </c>
      <c r="H1586" s="2" t="s">
        <v>16</v>
      </c>
      <c r="I1586" s="2" t="s">
        <v>15</v>
      </c>
      <c r="J1586" s="2" t="s">
        <v>14</v>
      </c>
      <c r="K1586" s="2" t="s">
        <v>14</v>
      </c>
      <c r="L1586" s="2" t="s">
        <v>14</v>
      </c>
      <c r="M1586" s="2" t="s">
        <v>14</v>
      </c>
      <c r="N1586" s="2" t="s">
        <v>14</v>
      </c>
      <c r="O1586" s="2">
        <v>1</v>
      </c>
    </row>
    <row r="1587" spans="1:15" ht="15" customHeight="1" x14ac:dyDescent="0.25">
      <c r="A1587" s="3">
        <v>5</v>
      </c>
      <c r="B1587" s="3" t="s">
        <v>18</v>
      </c>
      <c r="C1587" s="3" t="s">
        <v>19</v>
      </c>
      <c r="D1587" s="2" t="s">
        <v>106</v>
      </c>
      <c r="E1587" s="3">
        <v>0</v>
      </c>
      <c r="F1587" s="3">
        <v>0</v>
      </c>
      <c r="G1587" s="3" t="s">
        <v>10</v>
      </c>
      <c r="H1587" s="3" t="s">
        <v>12</v>
      </c>
      <c r="I1587" s="3" t="s">
        <v>15</v>
      </c>
      <c r="J1587" s="3" t="s">
        <v>14</v>
      </c>
      <c r="K1587" s="3" t="s">
        <v>14</v>
      </c>
      <c r="L1587" s="3" t="s">
        <v>14</v>
      </c>
      <c r="M1587" s="3" t="s">
        <v>14</v>
      </c>
      <c r="N1587" s="3" t="s">
        <v>14</v>
      </c>
      <c r="O1587" s="3">
        <v>1</v>
      </c>
    </row>
    <row r="1588" spans="1:15" ht="15" customHeight="1" x14ac:dyDescent="0.25">
      <c r="A1588" s="2">
        <v>5</v>
      </c>
      <c r="B1588" s="2" t="s">
        <v>10</v>
      </c>
      <c r="C1588" s="2" t="s">
        <v>19</v>
      </c>
      <c r="D1588" s="2" t="s">
        <v>106</v>
      </c>
      <c r="E1588" s="2">
        <v>0</v>
      </c>
      <c r="F1588" s="2">
        <v>0</v>
      </c>
      <c r="G1588" s="2" t="s">
        <v>10</v>
      </c>
      <c r="H1588" s="2" t="s">
        <v>12</v>
      </c>
      <c r="I1588" s="2">
        <v>2</v>
      </c>
      <c r="J1588" s="2" t="s">
        <v>14</v>
      </c>
      <c r="K1588" s="2" t="s">
        <v>14</v>
      </c>
      <c r="L1588" s="2" t="s">
        <v>14</v>
      </c>
      <c r="M1588" s="2" t="s">
        <v>14</v>
      </c>
      <c r="N1588" s="2" t="s">
        <v>14</v>
      </c>
      <c r="O1588" s="2">
        <v>1</v>
      </c>
    </row>
    <row r="1589" spans="1:15" ht="15" customHeight="1" x14ac:dyDescent="0.25">
      <c r="A1589" s="3">
        <v>10</v>
      </c>
      <c r="B1589" s="3" t="s">
        <v>10</v>
      </c>
      <c r="C1589" s="3" t="s">
        <v>11</v>
      </c>
      <c r="D1589" s="2" t="s">
        <v>106</v>
      </c>
      <c r="E1589" s="3">
        <v>0</v>
      </c>
      <c r="F1589" s="3">
        <v>0</v>
      </c>
      <c r="G1589" s="3" t="s">
        <v>10</v>
      </c>
      <c r="H1589" s="3" t="s">
        <v>12</v>
      </c>
      <c r="I1589" s="3">
        <v>1</v>
      </c>
      <c r="J1589" s="3" t="s">
        <v>14</v>
      </c>
      <c r="K1589" s="3" t="s">
        <v>14</v>
      </c>
      <c r="L1589" s="3" t="s">
        <v>14</v>
      </c>
      <c r="M1589" s="3" t="s">
        <v>14</v>
      </c>
      <c r="N1589" s="3" t="s">
        <v>14</v>
      </c>
      <c r="O1589" s="3">
        <v>1</v>
      </c>
    </row>
    <row r="1590" spans="1:15" ht="15" customHeight="1" x14ac:dyDescent="0.25">
      <c r="A1590" s="2">
        <v>20</v>
      </c>
      <c r="B1590" s="2" t="s">
        <v>10</v>
      </c>
      <c r="C1590" s="2" t="s">
        <v>11</v>
      </c>
      <c r="D1590" s="2" t="s">
        <v>106</v>
      </c>
      <c r="E1590" s="2">
        <v>1</v>
      </c>
      <c r="F1590" s="2">
        <v>1</v>
      </c>
      <c r="G1590" s="2" t="s">
        <v>10</v>
      </c>
      <c r="H1590" s="2" t="s">
        <v>12</v>
      </c>
      <c r="I1590" s="2" t="s">
        <v>15</v>
      </c>
      <c r="J1590" s="2" t="s">
        <v>14</v>
      </c>
      <c r="K1590" s="2" t="s">
        <v>14</v>
      </c>
      <c r="L1590" s="2" t="s">
        <v>14</v>
      </c>
      <c r="M1590" s="2" t="s">
        <v>13</v>
      </c>
      <c r="N1590" s="2" t="s">
        <v>13</v>
      </c>
      <c r="O1590" s="2">
        <v>0</v>
      </c>
    </row>
    <row r="1591" spans="1:15" ht="15" customHeight="1" x14ac:dyDescent="0.25">
      <c r="A1591" s="3">
        <v>20</v>
      </c>
      <c r="B1591" s="3" t="s">
        <v>18</v>
      </c>
      <c r="C1591" s="3" t="s">
        <v>20</v>
      </c>
      <c r="D1591" s="2" t="s">
        <v>106</v>
      </c>
      <c r="E1591" s="3">
        <v>0</v>
      </c>
      <c r="F1591" s="3">
        <v>0</v>
      </c>
      <c r="G1591" s="3" t="s">
        <v>10</v>
      </c>
      <c r="H1591" s="3" t="s">
        <v>12</v>
      </c>
      <c r="I1591" s="3">
        <v>1</v>
      </c>
      <c r="J1591" s="3" t="s">
        <v>14</v>
      </c>
      <c r="K1591" s="3" t="s">
        <v>13</v>
      </c>
      <c r="L1591" s="3" t="s">
        <v>13</v>
      </c>
      <c r="M1591" s="3" t="s">
        <v>13</v>
      </c>
      <c r="N1591" s="3" t="s">
        <v>14</v>
      </c>
      <c r="O1591" s="3">
        <v>1</v>
      </c>
    </row>
    <row r="1592" spans="1:15" ht="15" customHeight="1" x14ac:dyDescent="0.25">
      <c r="A1592" s="2">
        <v>10</v>
      </c>
      <c r="B1592" s="2" t="s">
        <v>10</v>
      </c>
      <c r="C1592" s="2" t="s">
        <v>20</v>
      </c>
      <c r="D1592" s="2" t="s">
        <v>106</v>
      </c>
      <c r="E1592" s="2">
        <v>0</v>
      </c>
      <c r="F1592" s="2">
        <v>0</v>
      </c>
      <c r="G1592" s="2" t="s">
        <v>10</v>
      </c>
      <c r="H1592" s="2" t="s">
        <v>12</v>
      </c>
      <c r="I1592" s="2">
        <v>2</v>
      </c>
      <c r="J1592" s="2" t="s">
        <v>14</v>
      </c>
      <c r="K1592" s="2" t="s">
        <v>14</v>
      </c>
      <c r="L1592" s="2" t="s">
        <v>14</v>
      </c>
      <c r="M1592" s="2" t="s">
        <v>14</v>
      </c>
      <c r="N1592" s="2" t="s">
        <v>14</v>
      </c>
      <c r="O1592" s="2">
        <v>1</v>
      </c>
    </row>
    <row r="1593" spans="1:15" ht="15" customHeight="1" x14ac:dyDescent="0.25">
      <c r="A1593" s="3">
        <v>10</v>
      </c>
      <c r="B1593" s="3" t="s">
        <v>10</v>
      </c>
      <c r="C1593" s="3" t="s">
        <v>19</v>
      </c>
      <c r="D1593" s="2" t="s">
        <v>106</v>
      </c>
      <c r="E1593" s="3">
        <v>0</v>
      </c>
      <c r="F1593" s="3">
        <v>0</v>
      </c>
      <c r="G1593" s="3" t="s">
        <v>10</v>
      </c>
      <c r="H1593" s="3" t="s">
        <v>12</v>
      </c>
      <c r="I1593" s="3" t="s">
        <v>15</v>
      </c>
      <c r="J1593" s="3" t="s">
        <v>14</v>
      </c>
      <c r="K1593" s="3" t="s">
        <v>14</v>
      </c>
      <c r="L1593" s="3" t="s">
        <v>14</v>
      </c>
      <c r="M1593" s="3" t="s">
        <v>14</v>
      </c>
      <c r="N1593" s="3" t="s">
        <v>14</v>
      </c>
      <c r="O1593" s="3">
        <v>1</v>
      </c>
    </row>
    <row r="1594" spans="1:15" ht="15" customHeight="1" x14ac:dyDescent="0.25">
      <c r="A1594" s="2">
        <v>10</v>
      </c>
      <c r="B1594" s="2" t="s">
        <v>18</v>
      </c>
      <c r="C1594" s="2" t="s">
        <v>19</v>
      </c>
      <c r="D1594" s="2" t="s">
        <v>106</v>
      </c>
      <c r="E1594" s="2">
        <v>0</v>
      </c>
      <c r="F1594" s="2">
        <v>0</v>
      </c>
      <c r="G1594" s="2" t="s">
        <v>10</v>
      </c>
      <c r="H1594" s="2" t="s">
        <v>12</v>
      </c>
      <c r="I1594" s="2" t="s">
        <v>15</v>
      </c>
      <c r="J1594" s="2" t="s">
        <v>14</v>
      </c>
      <c r="K1594" s="2" t="s">
        <v>14</v>
      </c>
      <c r="L1594" s="2" t="s">
        <v>14</v>
      </c>
      <c r="M1594" s="2" t="s">
        <v>14</v>
      </c>
      <c r="N1594" s="2" t="s">
        <v>14</v>
      </c>
      <c r="O1594" s="2">
        <v>1</v>
      </c>
    </row>
    <row r="1595" spans="1:15" ht="15" customHeight="1" x14ac:dyDescent="0.25">
      <c r="A1595" s="3">
        <v>10</v>
      </c>
      <c r="B1595" s="3" t="s">
        <v>10</v>
      </c>
      <c r="C1595" s="3" t="s">
        <v>19</v>
      </c>
      <c r="D1595" s="2" t="s">
        <v>106</v>
      </c>
      <c r="E1595" s="3">
        <v>0</v>
      </c>
      <c r="F1595" s="3">
        <v>0</v>
      </c>
      <c r="G1595" s="3" t="s">
        <v>10</v>
      </c>
      <c r="H1595" s="3" t="s">
        <v>12</v>
      </c>
      <c r="I1595" s="3">
        <v>2</v>
      </c>
      <c r="J1595" s="3" t="s">
        <v>14</v>
      </c>
      <c r="K1595" s="3" t="s">
        <v>14</v>
      </c>
      <c r="L1595" s="3" t="s">
        <v>14</v>
      </c>
      <c r="M1595" s="3" t="s">
        <v>14</v>
      </c>
      <c r="N1595" s="3" t="s">
        <v>14</v>
      </c>
      <c r="O1595" s="3">
        <v>1</v>
      </c>
    </row>
    <row r="1596" spans="1:15" ht="15" customHeight="1" x14ac:dyDescent="0.25">
      <c r="A1596" s="2">
        <v>10</v>
      </c>
      <c r="B1596" s="2" t="s">
        <v>10</v>
      </c>
      <c r="C1596" s="2" t="s">
        <v>11</v>
      </c>
      <c r="D1596" s="2" t="s">
        <v>106</v>
      </c>
      <c r="E1596" s="2">
        <v>0</v>
      </c>
      <c r="F1596" s="2">
        <v>0</v>
      </c>
      <c r="G1596" s="2" t="s">
        <v>10</v>
      </c>
      <c r="H1596" s="2" t="s">
        <v>12</v>
      </c>
      <c r="I1596" s="2">
        <v>1</v>
      </c>
      <c r="J1596" s="2" t="s">
        <v>14</v>
      </c>
      <c r="K1596" s="2" t="s">
        <v>14</v>
      </c>
      <c r="L1596" s="2" t="s">
        <v>14</v>
      </c>
      <c r="M1596" s="2" t="s">
        <v>14</v>
      </c>
      <c r="N1596" s="2" t="s">
        <v>14</v>
      </c>
      <c r="O1596" s="2">
        <v>1</v>
      </c>
    </row>
    <row r="1597" spans="1:15" ht="15" customHeight="1" x14ac:dyDescent="0.25">
      <c r="A1597" s="3">
        <v>5</v>
      </c>
      <c r="B1597" s="3" t="s">
        <v>18</v>
      </c>
      <c r="C1597" s="3" t="s">
        <v>11</v>
      </c>
      <c r="D1597" s="2" t="s">
        <v>106</v>
      </c>
      <c r="E1597" s="3">
        <v>0</v>
      </c>
      <c r="F1597" s="3">
        <v>0</v>
      </c>
      <c r="G1597" s="3" t="s">
        <v>10</v>
      </c>
      <c r="H1597" s="3" t="s">
        <v>12</v>
      </c>
      <c r="I1597" s="3" t="s">
        <v>15</v>
      </c>
      <c r="J1597" s="3" t="s">
        <v>14</v>
      </c>
      <c r="K1597" s="3" t="s">
        <v>14</v>
      </c>
      <c r="L1597" s="3" t="s">
        <v>14</v>
      </c>
      <c r="M1597" s="3" t="s">
        <v>14</v>
      </c>
      <c r="N1597" s="3" t="s">
        <v>14</v>
      </c>
      <c r="O1597" s="3">
        <v>1</v>
      </c>
    </row>
    <row r="1598" spans="1:15" ht="15" customHeight="1" x14ac:dyDescent="0.25">
      <c r="A1598" s="2">
        <v>10</v>
      </c>
      <c r="B1598" s="2" t="s">
        <v>10</v>
      </c>
      <c r="C1598" s="2" t="s">
        <v>11</v>
      </c>
      <c r="D1598" s="2" t="s">
        <v>106</v>
      </c>
      <c r="E1598" s="2">
        <v>0</v>
      </c>
      <c r="F1598" s="2">
        <v>0</v>
      </c>
      <c r="G1598" s="2" t="s">
        <v>10</v>
      </c>
      <c r="H1598" s="2" t="s">
        <v>12</v>
      </c>
      <c r="I1598" s="2" t="s">
        <v>15</v>
      </c>
      <c r="J1598" s="2" t="s">
        <v>14</v>
      </c>
      <c r="K1598" s="2" t="s">
        <v>14</v>
      </c>
      <c r="L1598" s="2" t="s">
        <v>14</v>
      </c>
      <c r="M1598" s="2" t="s">
        <v>14</v>
      </c>
      <c r="N1598" s="2" t="s">
        <v>14</v>
      </c>
      <c r="O1598" s="2">
        <v>1</v>
      </c>
    </row>
    <row r="1599" spans="1:15" ht="15" customHeight="1" x14ac:dyDescent="0.25">
      <c r="A1599" s="3">
        <v>20</v>
      </c>
      <c r="B1599" s="3" t="s">
        <v>14</v>
      </c>
      <c r="C1599" s="3" t="s">
        <v>11</v>
      </c>
      <c r="D1599" s="2" t="s">
        <v>106</v>
      </c>
      <c r="E1599" s="3">
        <v>2</v>
      </c>
      <c r="F1599" s="3">
        <v>1</v>
      </c>
      <c r="G1599" s="3" t="s">
        <v>10</v>
      </c>
      <c r="H1599" s="3" t="s">
        <v>12</v>
      </c>
      <c r="I1599" s="3">
        <v>2</v>
      </c>
      <c r="J1599" s="3" t="s">
        <v>14</v>
      </c>
      <c r="K1599" s="3" t="s">
        <v>14</v>
      </c>
      <c r="L1599" s="3" t="s">
        <v>14</v>
      </c>
      <c r="M1599" s="3" t="s">
        <v>13</v>
      </c>
      <c r="N1599" s="3" t="s">
        <v>13</v>
      </c>
      <c r="O1599" s="3">
        <v>0</v>
      </c>
    </row>
    <row r="1600" spans="1:15" ht="15" customHeight="1" x14ac:dyDescent="0.25">
      <c r="A1600" s="2">
        <v>5</v>
      </c>
      <c r="B1600" s="2" t="s">
        <v>10</v>
      </c>
      <c r="C1600" s="2" t="s">
        <v>11</v>
      </c>
      <c r="D1600" s="2" t="s">
        <v>106</v>
      </c>
      <c r="E1600" s="2">
        <v>0</v>
      </c>
      <c r="F1600" s="2">
        <v>1</v>
      </c>
      <c r="G1600" s="2" t="s">
        <v>17</v>
      </c>
      <c r="H1600" s="2" t="s">
        <v>106</v>
      </c>
      <c r="I1600" s="2">
        <v>1</v>
      </c>
      <c r="J1600" s="2" t="s">
        <v>14</v>
      </c>
      <c r="K1600" s="2" t="s">
        <v>13</v>
      </c>
      <c r="L1600" s="2" t="s">
        <v>13</v>
      </c>
      <c r="M1600" s="2" t="s">
        <v>13</v>
      </c>
      <c r="N1600" s="2" t="s">
        <v>14</v>
      </c>
      <c r="O1600" s="2">
        <v>1</v>
      </c>
    </row>
    <row r="1601" spans="1:16" ht="15" customHeight="1" x14ac:dyDescent="0.25">
      <c r="A1601" s="3">
        <v>20</v>
      </c>
      <c r="B1601" s="3" t="s">
        <v>10</v>
      </c>
      <c r="C1601" s="3" t="s">
        <v>11</v>
      </c>
      <c r="D1601" s="2" t="s">
        <v>106</v>
      </c>
      <c r="E1601" s="3">
        <v>1</v>
      </c>
      <c r="F1601" s="3">
        <v>0</v>
      </c>
      <c r="G1601" s="3" t="s">
        <v>10</v>
      </c>
      <c r="H1601" s="3" t="s">
        <v>12</v>
      </c>
      <c r="I1601" s="3">
        <v>1</v>
      </c>
      <c r="J1601" s="3" t="s">
        <v>14</v>
      </c>
      <c r="K1601" s="3" t="s">
        <v>13</v>
      </c>
      <c r="L1601" s="3" t="s">
        <v>13</v>
      </c>
      <c r="M1601" s="3" t="s">
        <v>13</v>
      </c>
      <c r="N1601" s="3" t="s">
        <v>13</v>
      </c>
      <c r="O1601" s="3">
        <v>0</v>
      </c>
    </row>
    <row r="1602" spans="1:16" ht="15" customHeight="1" x14ac:dyDescent="0.25">
      <c r="A1602" s="2">
        <v>10</v>
      </c>
      <c r="B1602" s="2" t="s">
        <v>14</v>
      </c>
      <c r="C1602" s="2" t="s">
        <v>20</v>
      </c>
      <c r="D1602" s="2" t="s">
        <v>106</v>
      </c>
      <c r="E1602" s="2">
        <v>0</v>
      </c>
      <c r="F1602" s="2">
        <v>0</v>
      </c>
      <c r="G1602" s="2" t="s">
        <v>17</v>
      </c>
      <c r="H1602" s="2" t="s">
        <v>106</v>
      </c>
      <c r="I1602" s="2">
        <v>1</v>
      </c>
      <c r="J1602" s="2" t="s">
        <v>14</v>
      </c>
      <c r="K1602" s="2" t="s">
        <v>13</v>
      </c>
      <c r="L1602" s="2" t="s">
        <v>13</v>
      </c>
      <c r="M1602" s="2" t="s">
        <v>14</v>
      </c>
      <c r="N1602" s="2" t="s">
        <v>14</v>
      </c>
      <c r="O1602" s="2">
        <v>1</v>
      </c>
    </row>
    <row r="1603" spans="1:16" ht="15" customHeight="1" x14ac:dyDescent="0.25">
      <c r="A1603" s="3">
        <v>20</v>
      </c>
      <c r="B1603" s="3" t="s">
        <v>10</v>
      </c>
      <c r="C1603" s="3" t="s">
        <v>19</v>
      </c>
      <c r="D1603" s="2" t="s">
        <v>106</v>
      </c>
      <c r="E1603" s="3">
        <v>0</v>
      </c>
      <c r="F1603" s="3">
        <v>0</v>
      </c>
      <c r="G1603" s="3" t="s">
        <v>10</v>
      </c>
      <c r="H1603" s="3" t="s">
        <v>12</v>
      </c>
      <c r="I1603" s="3">
        <v>2</v>
      </c>
      <c r="J1603" s="3" t="s">
        <v>14</v>
      </c>
      <c r="K1603" s="3" t="s">
        <v>14</v>
      </c>
      <c r="L1603" s="3" t="s">
        <v>14</v>
      </c>
      <c r="M1603" s="3" t="s">
        <v>14</v>
      </c>
      <c r="N1603" s="3" t="s">
        <v>14</v>
      </c>
      <c r="O1603" s="3">
        <v>1</v>
      </c>
    </row>
    <row r="1604" spans="1:16" ht="15" customHeight="1" x14ac:dyDescent="0.25">
      <c r="A1604" s="2">
        <v>10</v>
      </c>
      <c r="B1604" s="2" t="s">
        <v>10</v>
      </c>
      <c r="C1604" s="2" t="s">
        <v>11</v>
      </c>
      <c r="D1604" s="2" t="s">
        <v>106</v>
      </c>
      <c r="E1604" s="2">
        <v>0</v>
      </c>
      <c r="F1604" s="2">
        <v>0</v>
      </c>
      <c r="G1604" s="2" t="s">
        <v>10</v>
      </c>
      <c r="H1604" s="2" t="s">
        <v>12</v>
      </c>
      <c r="I1604" s="2">
        <v>2</v>
      </c>
      <c r="J1604" s="2" t="s">
        <v>14</v>
      </c>
      <c r="K1604" s="2" t="s">
        <v>14</v>
      </c>
      <c r="L1604" s="2" t="s">
        <v>14</v>
      </c>
      <c r="M1604" s="2" t="s">
        <v>14</v>
      </c>
      <c r="N1604" s="2" t="s">
        <v>14</v>
      </c>
      <c r="O1604" s="2">
        <v>1</v>
      </c>
    </row>
    <row r="1605" spans="1:16" ht="15" customHeight="1" x14ac:dyDescent="0.25">
      <c r="A1605" s="3">
        <v>20</v>
      </c>
      <c r="B1605" s="3" t="s">
        <v>14</v>
      </c>
      <c r="C1605" s="3" t="s">
        <v>11</v>
      </c>
      <c r="D1605" s="2" t="s">
        <v>106</v>
      </c>
      <c r="E1605" s="3">
        <v>0</v>
      </c>
      <c r="F1605" s="3">
        <v>1</v>
      </c>
      <c r="G1605" s="3" t="s">
        <v>10</v>
      </c>
      <c r="H1605" s="3" t="s">
        <v>12</v>
      </c>
      <c r="I1605" s="3">
        <v>1</v>
      </c>
      <c r="J1605" s="3" t="s">
        <v>14</v>
      </c>
      <c r="K1605" s="3" t="s">
        <v>14</v>
      </c>
      <c r="L1605" s="3" t="s">
        <v>14</v>
      </c>
      <c r="M1605" s="3" t="s">
        <v>13</v>
      </c>
      <c r="N1605" s="3" t="s">
        <v>13</v>
      </c>
      <c r="O1605" s="3">
        <v>0</v>
      </c>
    </row>
    <row r="1606" spans="1:16" ht="15" customHeight="1" x14ac:dyDescent="0.25">
      <c r="A1606" s="2">
        <v>10</v>
      </c>
      <c r="B1606" s="2" t="s">
        <v>10</v>
      </c>
      <c r="C1606" s="2" t="s">
        <v>11</v>
      </c>
      <c r="D1606" s="2" t="s">
        <v>106</v>
      </c>
      <c r="E1606" s="2">
        <v>0</v>
      </c>
      <c r="F1606" s="2">
        <v>0</v>
      </c>
      <c r="G1606" s="2" t="s">
        <v>10</v>
      </c>
      <c r="H1606" s="2" t="s">
        <v>16</v>
      </c>
      <c r="I1606" s="2">
        <v>2</v>
      </c>
      <c r="J1606" s="2" t="s">
        <v>14</v>
      </c>
      <c r="K1606" s="2" t="s">
        <v>14</v>
      </c>
      <c r="L1606" s="2" t="s">
        <v>14</v>
      </c>
      <c r="M1606" s="2" t="s">
        <v>14</v>
      </c>
      <c r="N1606" s="2" t="s">
        <v>14</v>
      </c>
      <c r="O1606" s="2">
        <v>1</v>
      </c>
    </row>
    <row r="1607" spans="1:16" ht="15" customHeight="1" x14ac:dyDescent="0.25">
      <c r="A1607" s="3">
        <v>10</v>
      </c>
      <c r="B1607" s="3" t="s">
        <v>10</v>
      </c>
      <c r="C1607" s="3" t="s">
        <v>11</v>
      </c>
      <c r="D1607" s="2" t="s">
        <v>106</v>
      </c>
      <c r="E1607" s="3">
        <v>0</v>
      </c>
      <c r="F1607" s="3">
        <v>1</v>
      </c>
      <c r="G1607" s="3" t="s">
        <v>10</v>
      </c>
      <c r="H1607" s="3" t="s">
        <v>12</v>
      </c>
      <c r="I1607" s="3">
        <v>1</v>
      </c>
      <c r="J1607" s="3" t="s">
        <v>13</v>
      </c>
      <c r="K1607" s="3" t="s">
        <v>14</v>
      </c>
      <c r="L1607" s="3" t="s">
        <v>14</v>
      </c>
      <c r="M1607" s="3" t="s">
        <v>14</v>
      </c>
      <c r="N1607" s="3" t="s">
        <v>14</v>
      </c>
      <c r="O1607" s="3">
        <v>0</v>
      </c>
    </row>
    <row r="1608" spans="1:16" ht="15" customHeight="1" x14ac:dyDescent="0.25">
      <c r="A1608" s="2">
        <v>10</v>
      </c>
      <c r="B1608" s="2" t="s">
        <v>14</v>
      </c>
      <c r="C1608" s="2" t="s">
        <v>19</v>
      </c>
      <c r="D1608" s="2" t="s">
        <v>106</v>
      </c>
      <c r="E1608" s="2">
        <v>0</v>
      </c>
      <c r="F1608" s="2">
        <v>0</v>
      </c>
      <c r="G1608" s="2" t="s">
        <v>10</v>
      </c>
      <c r="H1608" s="2" t="s">
        <v>12</v>
      </c>
      <c r="I1608" s="2">
        <v>1</v>
      </c>
      <c r="J1608" s="2" t="s">
        <v>14</v>
      </c>
      <c r="K1608" s="2" t="s">
        <v>13</v>
      </c>
      <c r="L1608" s="2" t="s">
        <v>13</v>
      </c>
      <c r="M1608" s="2" t="s">
        <v>13</v>
      </c>
      <c r="N1608" s="2" t="s">
        <v>14</v>
      </c>
      <c r="O1608" s="2">
        <v>1</v>
      </c>
    </row>
    <row r="1609" spans="1:16" ht="15" customHeight="1" x14ac:dyDescent="0.25">
      <c r="A1609" s="3">
        <v>30</v>
      </c>
      <c r="B1609" s="3" t="s">
        <v>10</v>
      </c>
      <c r="C1609" s="3" t="s">
        <v>11</v>
      </c>
      <c r="D1609" s="2" t="s">
        <v>106</v>
      </c>
      <c r="E1609" s="3">
        <v>1</v>
      </c>
      <c r="F1609" s="3">
        <v>0</v>
      </c>
      <c r="G1609" s="3" t="s">
        <v>10</v>
      </c>
      <c r="H1609" s="3" t="s">
        <v>12</v>
      </c>
      <c r="I1609" s="3" t="s">
        <v>15</v>
      </c>
      <c r="J1609" s="3" t="s">
        <v>14</v>
      </c>
      <c r="K1609" s="3" t="s">
        <v>14</v>
      </c>
      <c r="L1609" s="3" t="s">
        <v>14</v>
      </c>
      <c r="M1609" s="3" t="s">
        <v>13</v>
      </c>
      <c r="N1609" s="3" t="s">
        <v>13</v>
      </c>
      <c r="O1609" s="3">
        <v>0</v>
      </c>
    </row>
    <row r="1610" spans="1:16" ht="15" customHeight="1" x14ac:dyDescent="0.25">
      <c r="A1610" s="2">
        <v>10</v>
      </c>
      <c r="B1610" s="2" t="s">
        <v>10</v>
      </c>
      <c r="C1610" s="2" t="s">
        <v>19</v>
      </c>
      <c r="D1610" s="2" t="s">
        <v>106</v>
      </c>
      <c r="E1610" s="2">
        <v>0</v>
      </c>
      <c r="F1610" s="2">
        <v>0</v>
      </c>
      <c r="G1610" s="2" t="s">
        <v>17</v>
      </c>
      <c r="H1610" s="2" t="s">
        <v>106</v>
      </c>
      <c r="I1610" s="2">
        <v>1</v>
      </c>
      <c r="J1610" s="2" t="s">
        <v>14</v>
      </c>
      <c r="K1610" s="2" t="s">
        <v>13</v>
      </c>
      <c r="L1610" s="2" t="s">
        <v>13</v>
      </c>
      <c r="M1610" s="2" t="s">
        <v>13</v>
      </c>
      <c r="N1610" s="2" t="s">
        <v>14</v>
      </c>
      <c r="O1610" s="2">
        <v>1</v>
      </c>
    </row>
    <row r="1611" spans="1:16" ht="15" customHeight="1" x14ac:dyDescent="0.25">
      <c r="A1611" s="3">
        <v>5</v>
      </c>
      <c r="B1611" s="3" t="s">
        <v>10</v>
      </c>
      <c r="C1611" s="3" t="s">
        <v>19</v>
      </c>
      <c r="D1611" s="2" t="s">
        <v>106</v>
      </c>
      <c r="E1611" s="3">
        <v>0</v>
      </c>
      <c r="F1611" s="3">
        <v>0</v>
      </c>
      <c r="G1611" s="3" t="s">
        <v>10</v>
      </c>
      <c r="H1611" s="3" t="s">
        <v>12</v>
      </c>
      <c r="I1611" s="3">
        <v>2</v>
      </c>
      <c r="J1611" s="3" t="s">
        <v>14</v>
      </c>
      <c r="K1611" s="3" t="s">
        <v>13</v>
      </c>
      <c r="L1611" s="3" t="s">
        <v>14</v>
      </c>
      <c r="M1611" s="3" t="s">
        <v>14</v>
      </c>
      <c r="N1611" s="3" t="s">
        <v>14</v>
      </c>
      <c r="O1611" s="3">
        <v>1</v>
      </c>
    </row>
    <row r="1612" spans="1:16" ht="15" customHeight="1" x14ac:dyDescent="0.25">
      <c r="A1612" s="2">
        <v>5</v>
      </c>
      <c r="B1612" s="2" t="s">
        <v>10</v>
      </c>
      <c r="C1612" s="2" t="s">
        <v>19</v>
      </c>
      <c r="D1612" s="2" t="s">
        <v>106</v>
      </c>
      <c r="E1612" s="2">
        <v>0</v>
      </c>
      <c r="F1612" s="2">
        <v>1</v>
      </c>
      <c r="G1612" s="2" t="s">
        <v>10</v>
      </c>
      <c r="H1612" s="2" t="s">
        <v>12</v>
      </c>
      <c r="I1612" s="2">
        <v>1</v>
      </c>
      <c r="J1612" s="2" t="s">
        <v>14</v>
      </c>
      <c r="K1612" s="2" t="s">
        <v>14</v>
      </c>
      <c r="L1612" s="2" t="s">
        <v>14</v>
      </c>
      <c r="M1612" s="2" t="s">
        <v>14</v>
      </c>
      <c r="N1612" s="2" t="s">
        <v>14</v>
      </c>
      <c r="O1612" s="2">
        <v>0</v>
      </c>
    </row>
    <row r="1613" spans="1:16" ht="15" customHeight="1" x14ac:dyDescent="0.25">
      <c r="A1613" s="3">
        <v>10</v>
      </c>
      <c r="B1613" s="3" t="s">
        <v>14</v>
      </c>
      <c r="C1613" s="3" t="s">
        <v>19</v>
      </c>
      <c r="D1613" s="2" t="s">
        <v>106</v>
      </c>
      <c r="E1613" s="3">
        <v>0</v>
      </c>
      <c r="F1613" s="3">
        <v>0</v>
      </c>
      <c r="G1613" s="3" t="s">
        <v>10</v>
      </c>
      <c r="H1613" s="3" t="s">
        <v>12</v>
      </c>
      <c r="I1613" s="3" t="s">
        <v>15</v>
      </c>
      <c r="J1613" s="3" t="s">
        <v>14</v>
      </c>
      <c r="K1613" s="3" t="s">
        <v>14</v>
      </c>
      <c r="L1613" s="3" t="s">
        <v>14</v>
      </c>
      <c r="M1613" s="3" t="s">
        <v>14</v>
      </c>
      <c r="N1613" s="3" t="s">
        <v>14</v>
      </c>
      <c r="O1613" s="3">
        <v>1</v>
      </c>
      <c r="P1613" t="s">
        <v>107</v>
      </c>
    </row>
    <row r="1614" spans="1:16" ht="15" customHeight="1" x14ac:dyDescent="0.25">
      <c r="A1614" s="2">
        <v>5</v>
      </c>
      <c r="B1614" s="2" t="s">
        <v>14</v>
      </c>
      <c r="C1614" s="2" t="s">
        <v>19</v>
      </c>
      <c r="D1614" s="2" t="s">
        <v>106</v>
      </c>
      <c r="E1614" s="2">
        <v>0</v>
      </c>
      <c r="F1614" s="2">
        <v>0</v>
      </c>
      <c r="G1614" s="2" t="s">
        <v>10</v>
      </c>
      <c r="H1614" s="2" t="s">
        <v>12</v>
      </c>
      <c r="I1614" s="2" t="s">
        <v>15</v>
      </c>
      <c r="J1614" s="2" t="s">
        <v>14</v>
      </c>
      <c r="K1614" s="2" t="s">
        <v>14</v>
      </c>
      <c r="L1614" s="2" t="s">
        <v>14</v>
      </c>
      <c r="M1614" s="2" t="s">
        <v>14</v>
      </c>
      <c r="N1614" s="2" t="s">
        <v>14</v>
      </c>
      <c r="O1614" s="2">
        <v>1</v>
      </c>
    </row>
    <row r="1615" spans="1:16" ht="15" customHeight="1" x14ac:dyDescent="0.25">
      <c r="A1615" s="3">
        <v>30</v>
      </c>
      <c r="B1615" s="3" t="s">
        <v>10</v>
      </c>
      <c r="C1615" s="3" t="s">
        <v>11</v>
      </c>
      <c r="D1615" s="2" t="s">
        <v>106</v>
      </c>
      <c r="E1615" s="3">
        <v>1</v>
      </c>
      <c r="F1615" s="3">
        <v>0</v>
      </c>
      <c r="G1615" s="3" t="s">
        <v>10</v>
      </c>
      <c r="H1615" s="3" t="s">
        <v>12</v>
      </c>
      <c r="I1615" s="3">
        <v>2</v>
      </c>
      <c r="J1615" s="3" t="s">
        <v>13</v>
      </c>
      <c r="K1615" s="3" t="s">
        <v>14</v>
      </c>
      <c r="L1615" s="3" t="s">
        <v>14</v>
      </c>
      <c r="M1615" s="3" t="s">
        <v>13</v>
      </c>
      <c r="N1615" s="3" t="s">
        <v>14</v>
      </c>
      <c r="O1615" s="3">
        <v>0</v>
      </c>
    </row>
    <row r="1616" spans="1:16" ht="15" customHeight="1" x14ac:dyDescent="0.25">
      <c r="A1616" s="2">
        <v>10</v>
      </c>
      <c r="B1616" s="2" t="s">
        <v>10</v>
      </c>
      <c r="C1616" s="2" t="s">
        <v>19</v>
      </c>
      <c r="D1616" s="2" t="s">
        <v>106</v>
      </c>
      <c r="E1616" s="2">
        <v>0</v>
      </c>
      <c r="F1616" s="2">
        <v>0</v>
      </c>
      <c r="G1616" s="2" t="s">
        <v>17</v>
      </c>
      <c r="H1616" s="2" t="s">
        <v>106</v>
      </c>
      <c r="I1616" s="2">
        <v>1</v>
      </c>
      <c r="J1616" s="2" t="s">
        <v>14</v>
      </c>
      <c r="K1616" s="2" t="s">
        <v>13</v>
      </c>
      <c r="L1616" s="2" t="s">
        <v>13</v>
      </c>
      <c r="M1616" s="2" t="s">
        <v>13</v>
      </c>
      <c r="N1616" s="2" t="s">
        <v>14</v>
      </c>
      <c r="O1616" s="2">
        <v>1</v>
      </c>
    </row>
    <row r="1617" spans="1:15" ht="15" customHeight="1" x14ac:dyDescent="0.25">
      <c r="A1617" s="3">
        <v>0</v>
      </c>
      <c r="B1617" s="3" t="s">
        <v>18</v>
      </c>
      <c r="C1617" s="3" t="s">
        <v>19</v>
      </c>
      <c r="D1617" s="2" t="s">
        <v>106</v>
      </c>
      <c r="E1617" s="3">
        <v>0</v>
      </c>
      <c r="F1617" s="3">
        <v>0</v>
      </c>
      <c r="G1617" s="3" t="s">
        <v>10</v>
      </c>
      <c r="H1617" s="3" t="s">
        <v>12</v>
      </c>
      <c r="I1617" s="3">
        <v>1</v>
      </c>
      <c r="J1617" s="3" t="s">
        <v>14</v>
      </c>
      <c r="K1617" s="3" t="s">
        <v>13</v>
      </c>
      <c r="L1617" s="3" t="s">
        <v>13</v>
      </c>
      <c r="M1617" s="3" t="s">
        <v>14</v>
      </c>
      <c r="N1617" s="3" t="s">
        <v>14</v>
      </c>
      <c r="O1617" s="3">
        <v>1</v>
      </c>
    </row>
    <row r="1618" spans="1:15" ht="15" customHeight="1" x14ac:dyDescent="0.25">
      <c r="A1618" s="2">
        <v>5</v>
      </c>
      <c r="B1618" s="2" t="s">
        <v>18</v>
      </c>
      <c r="C1618" s="2" t="s">
        <v>19</v>
      </c>
      <c r="D1618" s="2" t="s">
        <v>106</v>
      </c>
      <c r="E1618" s="2">
        <v>0</v>
      </c>
      <c r="F1618" s="2">
        <v>0</v>
      </c>
      <c r="G1618" s="2" t="s">
        <v>10</v>
      </c>
      <c r="H1618" s="2" t="s">
        <v>16</v>
      </c>
      <c r="I1618" s="2">
        <v>2</v>
      </c>
      <c r="J1618" s="2" t="s">
        <v>14</v>
      </c>
      <c r="K1618" s="2" t="s">
        <v>14</v>
      </c>
      <c r="L1618" s="2" t="s">
        <v>14</v>
      </c>
      <c r="M1618" s="2" t="s">
        <v>14</v>
      </c>
      <c r="N1618" s="2" t="s">
        <v>14</v>
      </c>
      <c r="O1618" s="2">
        <v>1</v>
      </c>
    </row>
    <row r="1619" spans="1:15" ht="15" customHeight="1" x14ac:dyDescent="0.25">
      <c r="A1619" s="3">
        <v>0</v>
      </c>
      <c r="B1619" s="3" t="s">
        <v>14</v>
      </c>
      <c r="C1619" s="3" t="s">
        <v>19</v>
      </c>
      <c r="D1619" s="2" t="s">
        <v>106</v>
      </c>
      <c r="E1619" s="3">
        <v>0</v>
      </c>
      <c r="F1619" s="3">
        <v>1</v>
      </c>
      <c r="G1619" s="3" t="s">
        <v>10</v>
      </c>
      <c r="H1619" s="3" t="s">
        <v>12</v>
      </c>
      <c r="I1619" s="3">
        <v>1</v>
      </c>
      <c r="J1619" s="3" t="s">
        <v>14</v>
      </c>
      <c r="K1619" s="3" t="s">
        <v>14</v>
      </c>
      <c r="L1619" s="3" t="s">
        <v>14</v>
      </c>
      <c r="M1619" s="3" t="s">
        <v>14</v>
      </c>
      <c r="N1619" s="3" t="s">
        <v>14</v>
      </c>
      <c r="O1619" s="3">
        <v>1</v>
      </c>
    </row>
    <row r="1620" spans="1:15" ht="15" customHeight="1" x14ac:dyDescent="0.25">
      <c r="A1620" s="2">
        <v>10</v>
      </c>
      <c r="B1620" s="2" t="s">
        <v>18</v>
      </c>
      <c r="C1620" s="2" t="s">
        <v>19</v>
      </c>
      <c r="D1620" s="2" t="s">
        <v>106</v>
      </c>
      <c r="E1620" s="2">
        <v>0</v>
      </c>
      <c r="F1620" s="2">
        <v>0</v>
      </c>
      <c r="G1620" s="2" t="s">
        <v>10</v>
      </c>
      <c r="H1620" s="2" t="s">
        <v>12</v>
      </c>
      <c r="I1620" s="2" t="s">
        <v>15</v>
      </c>
      <c r="J1620" s="2" t="s">
        <v>14</v>
      </c>
      <c r="K1620" s="2" t="s">
        <v>14</v>
      </c>
      <c r="L1620" s="2" t="s">
        <v>14</v>
      </c>
      <c r="M1620" s="2" t="s">
        <v>14</v>
      </c>
      <c r="N1620" s="2" t="s">
        <v>14</v>
      </c>
      <c r="O1620" s="2">
        <v>1</v>
      </c>
    </row>
    <row r="1621" spans="1:15" ht="15" customHeight="1" x14ac:dyDescent="0.25">
      <c r="A1621" s="3">
        <v>10</v>
      </c>
      <c r="B1621" s="3" t="s">
        <v>10</v>
      </c>
      <c r="C1621" s="3" t="s">
        <v>19</v>
      </c>
      <c r="D1621" s="2" t="s">
        <v>106</v>
      </c>
      <c r="E1621" s="3">
        <v>0</v>
      </c>
      <c r="F1621" s="3">
        <v>0</v>
      </c>
      <c r="G1621" s="3" t="s">
        <v>10</v>
      </c>
      <c r="H1621" s="3" t="s">
        <v>12</v>
      </c>
      <c r="I1621" s="3" t="s">
        <v>15</v>
      </c>
      <c r="J1621" s="3" t="s">
        <v>14</v>
      </c>
      <c r="K1621" s="3" t="s">
        <v>14</v>
      </c>
      <c r="L1621" s="3" t="s">
        <v>14</v>
      </c>
      <c r="M1621" s="3" t="s">
        <v>14</v>
      </c>
      <c r="N1621" s="3" t="s">
        <v>14</v>
      </c>
      <c r="O1621" s="3">
        <v>1</v>
      </c>
    </row>
    <row r="1622" spans="1:15" ht="15" customHeight="1" x14ac:dyDescent="0.25">
      <c r="A1622" s="2">
        <v>0</v>
      </c>
      <c r="B1622" s="2" t="s">
        <v>10</v>
      </c>
      <c r="C1622" s="2" t="s">
        <v>11</v>
      </c>
      <c r="D1622" s="2" t="s">
        <v>106</v>
      </c>
      <c r="E1622" s="2">
        <v>0</v>
      </c>
      <c r="F1622" s="2">
        <v>0</v>
      </c>
      <c r="G1622" s="2" t="s">
        <v>10</v>
      </c>
      <c r="H1622" s="2" t="s">
        <v>12</v>
      </c>
      <c r="I1622" s="2" t="s">
        <v>15</v>
      </c>
      <c r="J1622" s="2" t="s">
        <v>14</v>
      </c>
      <c r="K1622" s="2" t="s">
        <v>14</v>
      </c>
      <c r="L1622" s="2" t="s">
        <v>14</v>
      </c>
      <c r="M1622" s="2" t="s">
        <v>14</v>
      </c>
      <c r="N1622" s="2" t="s">
        <v>14</v>
      </c>
      <c r="O1622" s="2">
        <v>1</v>
      </c>
    </row>
    <row r="1623" spans="1:15" ht="15" customHeight="1" x14ac:dyDescent="0.25">
      <c r="A1623" s="3">
        <v>0</v>
      </c>
      <c r="B1623" s="3" t="s">
        <v>14</v>
      </c>
      <c r="C1623" s="3" t="s">
        <v>20</v>
      </c>
      <c r="D1623" s="2" t="s">
        <v>106</v>
      </c>
      <c r="E1623" s="3">
        <v>0</v>
      </c>
      <c r="F1623" s="3">
        <v>1</v>
      </c>
      <c r="G1623" s="3" t="s">
        <v>10</v>
      </c>
      <c r="H1623" s="3" t="s">
        <v>12</v>
      </c>
      <c r="I1623" s="3">
        <v>2</v>
      </c>
      <c r="J1623" s="3" t="s">
        <v>14</v>
      </c>
      <c r="K1623" s="3" t="s">
        <v>13</v>
      </c>
      <c r="L1623" s="3" t="s">
        <v>14</v>
      </c>
      <c r="M1623" s="3" t="s">
        <v>14</v>
      </c>
      <c r="N1623" s="3" t="s">
        <v>14</v>
      </c>
      <c r="O1623" s="3">
        <v>1</v>
      </c>
    </row>
    <row r="1624" spans="1:15" ht="15" customHeight="1" x14ac:dyDescent="0.25">
      <c r="A1624" s="2">
        <v>5</v>
      </c>
      <c r="B1624" s="2" t="s">
        <v>18</v>
      </c>
      <c r="C1624" s="2" t="s">
        <v>20</v>
      </c>
      <c r="D1624" s="2" t="s">
        <v>106</v>
      </c>
      <c r="E1624" s="2">
        <v>0</v>
      </c>
      <c r="F1624" s="2">
        <v>0</v>
      </c>
      <c r="G1624" s="2" t="s">
        <v>10</v>
      </c>
      <c r="H1624" s="2" t="s">
        <v>12</v>
      </c>
      <c r="I1624" s="2">
        <v>2</v>
      </c>
      <c r="J1624" s="2" t="s">
        <v>14</v>
      </c>
      <c r="K1624" s="2" t="s">
        <v>14</v>
      </c>
      <c r="L1624" s="2" t="s">
        <v>14</v>
      </c>
      <c r="M1624" s="2" t="s">
        <v>14</v>
      </c>
      <c r="N1624" s="2" t="s">
        <v>14</v>
      </c>
      <c r="O1624" s="2">
        <v>1</v>
      </c>
    </row>
    <row r="1625" spans="1:15" ht="15" customHeight="1" x14ac:dyDescent="0.25">
      <c r="A1625" s="3">
        <v>20</v>
      </c>
      <c r="B1625" s="3" t="s">
        <v>10</v>
      </c>
      <c r="C1625" s="3" t="s">
        <v>19</v>
      </c>
      <c r="D1625" s="2" t="s">
        <v>106</v>
      </c>
      <c r="E1625" s="3">
        <v>0</v>
      </c>
      <c r="F1625" s="3">
        <v>0</v>
      </c>
      <c r="G1625" s="3" t="s">
        <v>10</v>
      </c>
      <c r="H1625" s="3" t="s">
        <v>16</v>
      </c>
      <c r="I1625" s="3">
        <v>1</v>
      </c>
      <c r="J1625" s="3" t="s">
        <v>14</v>
      </c>
      <c r="K1625" s="3" t="s">
        <v>14</v>
      </c>
      <c r="L1625" s="3" t="s">
        <v>14</v>
      </c>
      <c r="M1625" s="3" t="s">
        <v>13</v>
      </c>
      <c r="N1625" s="3" t="s">
        <v>14</v>
      </c>
      <c r="O1625" s="3">
        <v>0</v>
      </c>
    </row>
    <row r="1626" spans="1:15" ht="15" customHeight="1" x14ac:dyDescent="0.25">
      <c r="A1626" s="2">
        <v>5</v>
      </c>
      <c r="B1626" s="2" t="s">
        <v>18</v>
      </c>
      <c r="C1626" s="2" t="s">
        <v>19</v>
      </c>
      <c r="D1626" s="2" t="s">
        <v>106</v>
      </c>
      <c r="E1626" s="2">
        <v>0</v>
      </c>
      <c r="F1626" s="2">
        <v>0</v>
      </c>
      <c r="G1626" s="2" t="s">
        <v>10</v>
      </c>
      <c r="H1626" s="2" t="s">
        <v>12</v>
      </c>
      <c r="I1626" s="2">
        <v>2</v>
      </c>
      <c r="J1626" s="2" t="s">
        <v>14</v>
      </c>
      <c r="K1626" s="2" t="s">
        <v>14</v>
      </c>
      <c r="L1626" s="2" t="s">
        <v>14</v>
      </c>
      <c r="M1626" s="2" t="s">
        <v>14</v>
      </c>
      <c r="N1626" s="2" t="s">
        <v>14</v>
      </c>
      <c r="O1626" s="2">
        <v>1</v>
      </c>
    </row>
    <row r="1627" spans="1:15" ht="15" customHeight="1" x14ac:dyDescent="0.25">
      <c r="A1627" s="3">
        <v>10</v>
      </c>
      <c r="B1627" s="3" t="s">
        <v>10</v>
      </c>
      <c r="C1627" s="3" t="s">
        <v>19</v>
      </c>
      <c r="D1627" s="2" t="s">
        <v>106</v>
      </c>
      <c r="E1627" s="3">
        <v>0</v>
      </c>
      <c r="F1627" s="3">
        <v>0</v>
      </c>
      <c r="G1627" s="3" t="s">
        <v>10</v>
      </c>
      <c r="H1627" s="3" t="s">
        <v>12</v>
      </c>
      <c r="I1627" s="3">
        <v>2</v>
      </c>
      <c r="J1627" s="3" t="s">
        <v>14</v>
      </c>
      <c r="K1627" s="3" t="s">
        <v>14</v>
      </c>
      <c r="L1627" s="3" t="s">
        <v>14</v>
      </c>
      <c r="M1627" s="3" t="s">
        <v>14</v>
      </c>
      <c r="N1627" s="3" t="s">
        <v>14</v>
      </c>
      <c r="O1627" s="3">
        <v>1</v>
      </c>
    </row>
    <row r="1628" spans="1:15" ht="15" customHeight="1" x14ac:dyDescent="0.25">
      <c r="A1628" s="2">
        <v>10</v>
      </c>
      <c r="B1628" s="2" t="s">
        <v>18</v>
      </c>
      <c r="C1628" s="2" t="s">
        <v>19</v>
      </c>
      <c r="D1628" s="2" t="s">
        <v>106</v>
      </c>
      <c r="E1628" s="2">
        <v>0</v>
      </c>
      <c r="F1628" s="2">
        <v>0</v>
      </c>
      <c r="G1628" s="2" t="s">
        <v>10</v>
      </c>
      <c r="H1628" s="2" t="s">
        <v>12</v>
      </c>
      <c r="I1628" s="2" t="s">
        <v>15</v>
      </c>
      <c r="J1628" s="2" t="s">
        <v>14</v>
      </c>
      <c r="K1628" s="2" t="s">
        <v>14</v>
      </c>
      <c r="L1628" s="2" t="s">
        <v>14</v>
      </c>
      <c r="M1628" s="2" t="s">
        <v>14</v>
      </c>
      <c r="N1628" s="2" t="s">
        <v>14</v>
      </c>
      <c r="O1628" s="2">
        <v>1</v>
      </c>
    </row>
    <row r="1629" spans="1:15" ht="15" customHeight="1" x14ac:dyDescent="0.25">
      <c r="A1629" s="3">
        <v>30</v>
      </c>
      <c r="B1629" s="3" t="s">
        <v>10</v>
      </c>
      <c r="C1629" s="3" t="s">
        <v>11</v>
      </c>
      <c r="D1629" s="2" t="s">
        <v>106</v>
      </c>
      <c r="E1629" s="3">
        <v>1</v>
      </c>
      <c r="F1629" s="3">
        <v>0</v>
      </c>
      <c r="G1629" s="3" t="s">
        <v>10</v>
      </c>
      <c r="H1629" s="3" t="s">
        <v>12</v>
      </c>
      <c r="I1629" s="3" t="s">
        <v>15</v>
      </c>
      <c r="J1629" s="3" t="s">
        <v>14</v>
      </c>
      <c r="K1629" s="3" t="s">
        <v>14</v>
      </c>
      <c r="L1629" s="3" t="s">
        <v>14</v>
      </c>
      <c r="M1629" s="3" t="s">
        <v>13</v>
      </c>
      <c r="N1629" s="3" t="s">
        <v>14</v>
      </c>
      <c r="O1629" s="3">
        <v>0</v>
      </c>
    </row>
    <row r="1630" spans="1:15" ht="15" customHeight="1" x14ac:dyDescent="0.25">
      <c r="A1630" s="2">
        <v>0</v>
      </c>
      <c r="B1630" s="2" t="s">
        <v>18</v>
      </c>
      <c r="C1630" s="2" t="s">
        <v>19</v>
      </c>
      <c r="D1630" s="2" t="s">
        <v>106</v>
      </c>
      <c r="E1630" s="2">
        <v>0</v>
      </c>
      <c r="F1630" s="2">
        <v>1</v>
      </c>
      <c r="G1630" s="2" t="s">
        <v>10</v>
      </c>
      <c r="H1630" s="2" t="s">
        <v>12</v>
      </c>
      <c r="I1630" s="2">
        <v>1</v>
      </c>
      <c r="J1630" s="2" t="s">
        <v>14</v>
      </c>
      <c r="K1630" s="2" t="s">
        <v>14</v>
      </c>
      <c r="L1630" s="2" t="s">
        <v>14</v>
      </c>
      <c r="M1630" s="2" t="s">
        <v>14</v>
      </c>
      <c r="N1630" s="2" t="s">
        <v>14</v>
      </c>
      <c r="O1630" s="2">
        <v>1</v>
      </c>
    </row>
    <row r="1631" spans="1:15" ht="15" customHeight="1" x14ac:dyDescent="0.25">
      <c r="A1631" s="2">
        <v>20</v>
      </c>
      <c r="B1631" s="3" t="s">
        <v>18</v>
      </c>
      <c r="C1631" s="3" t="s">
        <v>20</v>
      </c>
      <c r="D1631" s="2" t="s">
        <v>106</v>
      </c>
      <c r="E1631" s="3">
        <v>1</v>
      </c>
      <c r="F1631" s="3">
        <v>0</v>
      </c>
      <c r="G1631" s="3" t="s">
        <v>10</v>
      </c>
      <c r="H1631" s="3" t="s">
        <v>12</v>
      </c>
      <c r="I1631" s="3">
        <v>1</v>
      </c>
      <c r="J1631" s="3" t="s">
        <v>14</v>
      </c>
      <c r="K1631" s="3" t="s">
        <v>14</v>
      </c>
      <c r="L1631" s="3" t="s">
        <v>14</v>
      </c>
      <c r="M1631" s="3" t="s">
        <v>14</v>
      </c>
      <c r="N1631" s="3" t="s">
        <v>14</v>
      </c>
      <c r="O1631" s="3">
        <v>1</v>
      </c>
    </row>
    <row r="1632" spans="1:15" ht="15" customHeight="1" x14ac:dyDescent="0.25">
      <c r="A1632" s="24">
        <v>0</v>
      </c>
      <c r="B1632" s="2" t="s">
        <v>10</v>
      </c>
      <c r="C1632" s="2" t="s">
        <v>19</v>
      </c>
      <c r="D1632" s="2" t="s">
        <v>106</v>
      </c>
      <c r="E1632" s="2">
        <v>0</v>
      </c>
      <c r="F1632" s="2">
        <v>0</v>
      </c>
      <c r="G1632" s="2" t="s">
        <v>10</v>
      </c>
      <c r="H1632" s="2" t="s">
        <v>12</v>
      </c>
      <c r="I1632" s="2" t="s">
        <v>15</v>
      </c>
      <c r="J1632" s="2" t="s">
        <v>14</v>
      </c>
      <c r="K1632" s="2" t="s">
        <v>14</v>
      </c>
      <c r="L1632" s="2" t="s">
        <v>14</v>
      </c>
      <c r="M1632" s="2" t="s">
        <v>14</v>
      </c>
      <c r="N1632" s="2" t="s">
        <v>14</v>
      </c>
      <c r="O1632" s="2">
        <v>1</v>
      </c>
    </row>
    <row r="1633" spans="1:15" ht="15" customHeight="1" x14ac:dyDescent="0.25">
      <c r="A1633" s="3">
        <v>10</v>
      </c>
      <c r="B1633" s="3" t="s">
        <v>10</v>
      </c>
      <c r="C1633" s="3" t="s">
        <v>19</v>
      </c>
      <c r="D1633" s="2" t="s">
        <v>106</v>
      </c>
      <c r="E1633" s="3">
        <v>0</v>
      </c>
      <c r="F1633" s="3">
        <v>0</v>
      </c>
      <c r="G1633" s="3" t="s">
        <v>10</v>
      </c>
      <c r="H1633" s="3" t="s">
        <v>12</v>
      </c>
      <c r="I1633" s="3" t="s">
        <v>15</v>
      </c>
      <c r="J1633" s="3" t="s">
        <v>14</v>
      </c>
      <c r="K1633" s="3" t="s">
        <v>14</v>
      </c>
      <c r="L1633" s="3" t="s">
        <v>14</v>
      </c>
      <c r="M1633" s="3" t="s">
        <v>14</v>
      </c>
      <c r="N1633" s="3" t="s">
        <v>14</v>
      </c>
      <c r="O1633" s="3">
        <v>1</v>
      </c>
    </row>
    <row r="1634" spans="1:15" ht="15" customHeight="1" x14ac:dyDescent="0.25">
      <c r="A1634" s="2">
        <v>5</v>
      </c>
      <c r="B1634" s="2" t="s">
        <v>18</v>
      </c>
      <c r="C1634" s="2" t="s">
        <v>19</v>
      </c>
      <c r="D1634" s="2" t="s">
        <v>106</v>
      </c>
      <c r="E1634" s="2">
        <v>0</v>
      </c>
      <c r="F1634" s="2">
        <v>0</v>
      </c>
      <c r="G1634" s="2" t="s">
        <v>10</v>
      </c>
      <c r="H1634" s="2" t="s">
        <v>12</v>
      </c>
      <c r="I1634" s="2" t="s">
        <v>15</v>
      </c>
      <c r="J1634" s="2" t="s">
        <v>14</v>
      </c>
      <c r="K1634" s="2" t="s">
        <v>14</v>
      </c>
      <c r="L1634" s="2" t="s">
        <v>14</v>
      </c>
      <c r="M1634" s="2" t="s">
        <v>14</v>
      </c>
      <c r="N1634" s="2" t="s">
        <v>14</v>
      </c>
      <c r="O1634" s="2">
        <v>1</v>
      </c>
    </row>
    <row r="1635" spans="1:15" ht="15" customHeight="1" x14ac:dyDescent="0.25">
      <c r="A1635" s="3">
        <v>10</v>
      </c>
      <c r="B1635" s="3" t="s">
        <v>10</v>
      </c>
      <c r="C1635" s="3" t="s">
        <v>19</v>
      </c>
      <c r="D1635" s="2" t="s">
        <v>106</v>
      </c>
      <c r="E1635" s="3">
        <v>0</v>
      </c>
      <c r="F1635" s="3">
        <v>0</v>
      </c>
      <c r="G1635" s="3" t="s">
        <v>10</v>
      </c>
      <c r="H1635" s="3" t="s">
        <v>12</v>
      </c>
      <c r="I1635" s="3" t="s">
        <v>15</v>
      </c>
      <c r="J1635" s="3" t="s">
        <v>14</v>
      </c>
      <c r="K1635" s="3" t="s">
        <v>14</v>
      </c>
      <c r="L1635" s="3" t="s">
        <v>14</v>
      </c>
      <c r="M1635" s="3" t="s">
        <v>14</v>
      </c>
      <c r="N1635" s="3" t="s">
        <v>14</v>
      </c>
      <c r="O1635" s="3">
        <v>1</v>
      </c>
    </row>
    <row r="1636" spans="1:15" ht="15" customHeight="1" x14ac:dyDescent="0.25">
      <c r="A1636" s="2">
        <v>5</v>
      </c>
      <c r="B1636" s="2" t="s">
        <v>18</v>
      </c>
      <c r="C1636" s="2" t="s">
        <v>20</v>
      </c>
      <c r="D1636" s="2" t="s">
        <v>106</v>
      </c>
      <c r="E1636" s="2">
        <v>0</v>
      </c>
      <c r="F1636" s="2">
        <v>0</v>
      </c>
      <c r="G1636" s="2" t="s">
        <v>10</v>
      </c>
      <c r="H1636" s="2" t="s">
        <v>16</v>
      </c>
      <c r="I1636" s="2">
        <v>2</v>
      </c>
      <c r="J1636" s="2" t="s">
        <v>14</v>
      </c>
      <c r="K1636" s="2" t="s">
        <v>14</v>
      </c>
      <c r="L1636" s="2" t="s">
        <v>14</v>
      </c>
      <c r="M1636" s="2" t="s">
        <v>14</v>
      </c>
      <c r="N1636" s="2" t="s">
        <v>14</v>
      </c>
      <c r="O1636" s="2">
        <v>1</v>
      </c>
    </row>
    <row r="1637" spans="1:15" ht="15" customHeight="1" x14ac:dyDescent="0.25">
      <c r="A1637" s="3">
        <v>5</v>
      </c>
      <c r="B1637" s="3" t="s">
        <v>10</v>
      </c>
      <c r="C1637" s="3" t="s">
        <v>19</v>
      </c>
      <c r="D1637" s="2" t="s">
        <v>106</v>
      </c>
      <c r="E1637" s="3">
        <v>0</v>
      </c>
      <c r="F1637" s="3">
        <v>0</v>
      </c>
      <c r="G1637" s="3" t="s">
        <v>10</v>
      </c>
      <c r="H1637" s="3" t="s">
        <v>12</v>
      </c>
      <c r="I1637" s="3">
        <v>2</v>
      </c>
      <c r="J1637" s="3" t="s">
        <v>14</v>
      </c>
      <c r="K1637" s="3" t="s">
        <v>14</v>
      </c>
      <c r="L1637" s="3" t="s">
        <v>14</v>
      </c>
      <c r="M1637" s="3" t="s">
        <v>14</v>
      </c>
      <c r="N1637" s="3" t="s">
        <v>14</v>
      </c>
      <c r="O1637" s="3">
        <v>1</v>
      </c>
    </row>
    <row r="1638" spans="1:15" ht="15" customHeight="1" x14ac:dyDescent="0.25">
      <c r="A1638" s="2">
        <v>10</v>
      </c>
      <c r="B1638" s="2" t="s">
        <v>10</v>
      </c>
      <c r="C1638" s="2" t="s">
        <v>19</v>
      </c>
      <c r="D1638" s="2" t="s">
        <v>106</v>
      </c>
      <c r="E1638" s="2">
        <v>0</v>
      </c>
      <c r="F1638" s="2">
        <v>2</v>
      </c>
      <c r="G1638" s="2" t="s">
        <v>10</v>
      </c>
      <c r="H1638" s="2" t="s">
        <v>12</v>
      </c>
      <c r="I1638" s="2">
        <v>2</v>
      </c>
      <c r="J1638" s="2" t="s">
        <v>14</v>
      </c>
      <c r="K1638" s="2" t="s">
        <v>14</v>
      </c>
      <c r="L1638" s="2" t="s">
        <v>14</v>
      </c>
      <c r="M1638" s="2" t="s">
        <v>14</v>
      </c>
      <c r="N1638" s="2" t="s">
        <v>14</v>
      </c>
      <c r="O1638" s="2">
        <v>1</v>
      </c>
    </row>
    <row r="1639" spans="1:15" ht="15" customHeight="1" x14ac:dyDescent="0.25">
      <c r="A1639" s="3">
        <v>10</v>
      </c>
      <c r="B1639" s="3" t="s">
        <v>10</v>
      </c>
      <c r="C1639" s="3" t="s">
        <v>11</v>
      </c>
      <c r="D1639" s="2" t="s">
        <v>106</v>
      </c>
      <c r="E1639" s="3">
        <v>0</v>
      </c>
      <c r="F1639" s="3">
        <v>0</v>
      </c>
      <c r="G1639" s="3" t="s">
        <v>10</v>
      </c>
      <c r="H1639" s="3" t="s">
        <v>12</v>
      </c>
      <c r="I1639" s="3" t="s">
        <v>15</v>
      </c>
      <c r="J1639" s="3" t="s">
        <v>13</v>
      </c>
      <c r="K1639" s="3" t="s">
        <v>14</v>
      </c>
      <c r="L1639" s="3" t="s">
        <v>14</v>
      </c>
      <c r="M1639" s="3" t="s">
        <v>14</v>
      </c>
      <c r="N1639" s="3" t="s">
        <v>14</v>
      </c>
      <c r="O1639" s="3">
        <v>1</v>
      </c>
    </row>
    <row r="1640" spans="1:15" ht="15" customHeight="1" x14ac:dyDescent="0.25">
      <c r="A1640" s="2">
        <v>5</v>
      </c>
      <c r="B1640" s="2" t="s">
        <v>18</v>
      </c>
      <c r="C1640" s="2" t="s">
        <v>11</v>
      </c>
      <c r="D1640" s="2" t="s">
        <v>106</v>
      </c>
      <c r="E1640" s="2">
        <v>0</v>
      </c>
      <c r="F1640" s="2">
        <v>0</v>
      </c>
      <c r="G1640" s="2" t="s">
        <v>10</v>
      </c>
      <c r="H1640" s="2" t="s">
        <v>16</v>
      </c>
      <c r="I1640" s="2" t="s">
        <v>15</v>
      </c>
      <c r="J1640" s="2" t="s">
        <v>14</v>
      </c>
      <c r="K1640" s="2" t="s">
        <v>14</v>
      </c>
      <c r="L1640" s="2" t="s">
        <v>14</v>
      </c>
      <c r="M1640" s="2" t="s">
        <v>14</v>
      </c>
      <c r="N1640" s="2" t="s">
        <v>14</v>
      </c>
      <c r="O1640" s="2">
        <v>1</v>
      </c>
    </row>
    <row r="1641" spans="1:15" ht="15" customHeight="1" x14ac:dyDescent="0.25">
      <c r="A1641" s="3">
        <v>10</v>
      </c>
      <c r="B1641" s="3" t="s">
        <v>18</v>
      </c>
      <c r="C1641" s="3" t="s">
        <v>19</v>
      </c>
      <c r="D1641" s="2" t="s">
        <v>106</v>
      </c>
      <c r="E1641" s="3">
        <v>0</v>
      </c>
      <c r="F1641" s="3">
        <v>0</v>
      </c>
      <c r="G1641" s="3" t="s">
        <v>10</v>
      </c>
      <c r="H1641" s="3" t="s">
        <v>12</v>
      </c>
      <c r="I1641" s="3" t="s">
        <v>15</v>
      </c>
      <c r="J1641" s="3" t="s">
        <v>14</v>
      </c>
      <c r="K1641" s="3" t="s">
        <v>14</v>
      </c>
      <c r="L1641" s="3" t="s">
        <v>14</v>
      </c>
      <c r="M1641" s="3" t="s">
        <v>14</v>
      </c>
      <c r="N1641" s="3" t="s">
        <v>14</v>
      </c>
      <c r="O1641" s="3">
        <v>1</v>
      </c>
    </row>
    <row r="1642" spans="1:15" ht="15" customHeight="1" x14ac:dyDescent="0.25">
      <c r="A1642" s="2">
        <v>20</v>
      </c>
      <c r="B1642" s="2" t="s">
        <v>14</v>
      </c>
      <c r="C1642" s="2" t="s">
        <v>19</v>
      </c>
      <c r="D1642" s="2" t="s">
        <v>106</v>
      </c>
      <c r="E1642" s="2">
        <v>0</v>
      </c>
      <c r="F1642" s="2">
        <v>0</v>
      </c>
      <c r="G1642" s="2" t="s">
        <v>10</v>
      </c>
      <c r="H1642" s="2" t="s">
        <v>12</v>
      </c>
      <c r="I1642" s="2">
        <v>2</v>
      </c>
      <c r="J1642" s="2" t="s">
        <v>14</v>
      </c>
      <c r="K1642" s="2" t="s">
        <v>14</v>
      </c>
      <c r="L1642" s="2" t="s">
        <v>14</v>
      </c>
      <c r="M1642" s="2" t="s">
        <v>14</v>
      </c>
      <c r="N1642" s="2" t="s">
        <v>14</v>
      </c>
      <c r="O1642" s="2">
        <v>1</v>
      </c>
    </row>
    <row r="1643" spans="1:15" ht="15" customHeight="1" x14ac:dyDescent="0.25">
      <c r="A1643" s="3">
        <v>5</v>
      </c>
      <c r="B1643" s="3" t="s">
        <v>10</v>
      </c>
      <c r="C1643" s="3" t="s">
        <v>19</v>
      </c>
      <c r="D1643" s="2" t="s">
        <v>106</v>
      </c>
      <c r="E1643" s="3">
        <v>0</v>
      </c>
      <c r="F1643" s="3">
        <v>0</v>
      </c>
      <c r="G1643" s="3" t="s">
        <v>10</v>
      </c>
      <c r="H1643" s="3" t="s">
        <v>16</v>
      </c>
      <c r="I1643" s="3">
        <v>2</v>
      </c>
      <c r="J1643" s="3" t="s">
        <v>14</v>
      </c>
      <c r="K1643" s="3" t="s">
        <v>14</v>
      </c>
      <c r="L1643" s="3" t="s">
        <v>14</v>
      </c>
      <c r="M1643" s="3" t="s">
        <v>14</v>
      </c>
      <c r="N1643" s="3" t="s">
        <v>14</v>
      </c>
      <c r="O1643" s="3">
        <v>1</v>
      </c>
    </row>
    <row r="1644" spans="1:15" ht="15" customHeight="1" x14ac:dyDescent="0.25">
      <c r="A1644" s="2">
        <v>5</v>
      </c>
      <c r="B1644" s="2" t="s">
        <v>10</v>
      </c>
      <c r="C1644" s="2" t="s">
        <v>11</v>
      </c>
      <c r="D1644" s="2" t="s">
        <v>106</v>
      </c>
      <c r="E1644" s="2">
        <v>0</v>
      </c>
      <c r="F1644" s="2">
        <v>0</v>
      </c>
      <c r="G1644" s="2" t="s">
        <v>10</v>
      </c>
      <c r="H1644" s="2" t="s">
        <v>12</v>
      </c>
      <c r="I1644" s="2">
        <v>1</v>
      </c>
      <c r="J1644" s="2" t="s">
        <v>14</v>
      </c>
      <c r="K1644" s="2" t="s">
        <v>14</v>
      </c>
      <c r="L1644" s="2" t="s">
        <v>14</v>
      </c>
      <c r="M1644" s="2" t="s">
        <v>14</v>
      </c>
      <c r="N1644" s="2" t="s">
        <v>14</v>
      </c>
      <c r="O1644" s="2">
        <v>1</v>
      </c>
    </row>
    <row r="1645" spans="1:15" ht="15" customHeight="1" x14ac:dyDescent="0.25">
      <c r="A1645" s="3">
        <v>10</v>
      </c>
      <c r="B1645" s="3" t="s">
        <v>18</v>
      </c>
      <c r="C1645" s="3" t="s">
        <v>19</v>
      </c>
      <c r="D1645" s="2" t="s">
        <v>106</v>
      </c>
      <c r="E1645" s="3">
        <v>0</v>
      </c>
      <c r="F1645" s="3">
        <v>0</v>
      </c>
      <c r="G1645" s="3" t="s">
        <v>10</v>
      </c>
      <c r="H1645" s="3" t="s">
        <v>16</v>
      </c>
      <c r="I1645" s="3" t="s">
        <v>15</v>
      </c>
      <c r="J1645" s="3" t="s">
        <v>14</v>
      </c>
      <c r="K1645" s="3" t="s">
        <v>14</v>
      </c>
      <c r="L1645" s="3" t="s">
        <v>14</v>
      </c>
      <c r="M1645" s="3" t="s">
        <v>14</v>
      </c>
      <c r="N1645" s="3" t="s">
        <v>14</v>
      </c>
      <c r="O1645" s="3">
        <v>1</v>
      </c>
    </row>
    <row r="1646" spans="1:15" ht="15" customHeight="1" x14ac:dyDescent="0.25">
      <c r="A1646" s="2">
        <v>10</v>
      </c>
      <c r="B1646" s="2" t="s">
        <v>10</v>
      </c>
      <c r="C1646" s="2" t="s">
        <v>11</v>
      </c>
      <c r="D1646" s="2" t="s">
        <v>106</v>
      </c>
      <c r="E1646" s="2">
        <v>0</v>
      </c>
      <c r="F1646" s="2">
        <v>0</v>
      </c>
      <c r="G1646" s="2" t="s">
        <v>10</v>
      </c>
      <c r="H1646" s="2" t="s">
        <v>12</v>
      </c>
      <c r="I1646" s="2">
        <v>2</v>
      </c>
      <c r="J1646" s="2" t="s">
        <v>14</v>
      </c>
      <c r="K1646" s="2" t="s">
        <v>14</v>
      </c>
      <c r="L1646" s="2" t="s">
        <v>14</v>
      </c>
      <c r="M1646" s="2" t="s">
        <v>14</v>
      </c>
      <c r="N1646" s="2" t="s">
        <v>14</v>
      </c>
      <c r="O1646" s="2">
        <v>1</v>
      </c>
    </row>
    <row r="1647" spans="1:15" ht="15" customHeight="1" x14ac:dyDescent="0.25">
      <c r="A1647" s="3">
        <v>10</v>
      </c>
      <c r="B1647" s="3" t="s">
        <v>18</v>
      </c>
      <c r="C1647" s="3" t="s">
        <v>19</v>
      </c>
      <c r="D1647" s="2" t="s">
        <v>106</v>
      </c>
      <c r="E1647" s="3">
        <v>0</v>
      </c>
      <c r="F1647" s="3">
        <v>0</v>
      </c>
      <c r="G1647" s="3" t="s">
        <v>10</v>
      </c>
      <c r="H1647" s="3" t="s">
        <v>12</v>
      </c>
      <c r="I1647" s="3">
        <v>2</v>
      </c>
      <c r="J1647" s="3" t="s">
        <v>14</v>
      </c>
      <c r="K1647" s="3" t="s">
        <v>14</v>
      </c>
      <c r="L1647" s="3" t="s">
        <v>14</v>
      </c>
      <c r="M1647" s="3" t="s">
        <v>14</v>
      </c>
      <c r="N1647" s="3" t="s">
        <v>14</v>
      </c>
      <c r="O1647" s="3">
        <v>1</v>
      </c>
    </row>
    <row r="1648" spans="1:15" ht="15" customHeight="1" x14ac:dyDescent="0.25">
      <c r="A1648" s="2">
        <v>5</v>
      </c>
      <c r="B1648" s="2" t="s">
        <v>10</v>
      </c>
      <c r="C1648" s="2" t="s">
        <v>19</v>
      </c>
      <c r="D1648" s="2" t="s">
        <v>106</v>
      </c>
      <c r="E1648" s="2">
        <v>0</v>
      </c>
      <c r="F1648" s="2">
        <v>0</v>
      </c>
      <c r="G1648" s="2" t="s">
        <v>10</v>
      </c>
      <c r="H1648" s="2" t="s">
        <v>12</v>
      </c>
      <c r="I1648" s="2">
        <v>2</v>
      </c>
      <c r="J1648" s="2" t="s">
        <v>14</v>
      </c>
      <c r="K1648" s="2" t="s">
        <v>14</v>
      </c>
      <c r="L1648" s="2" t="s">
        <v>14</v>
      </c>
      <c r="M1648" s="2" t="s">
        <v>14</v>
      </c>
      <c r="N1648" s="2" t="s">
        <v>14</v>
      </c>
      <c r="O1648" s="2">
        <v>1</v>
      </c>
    </row>
    <row r="1649" spans="1:15" ht="15" customHeight="1" x14ac:dyDescent="0.25">
      <c r="A1649" s="3">
        <v>10</v>
      </c>
      <c r="B1649" s="3" t="s">
        <v>14</v>
      </c>
      <c r="C1649" s="3" t="s">
        <v>19</v>
      </c>
      <c r="D1649" s="2" t="s">
        <v>106</v>
      </c>
      <c r="E1649" s="3">
        <v>0</v>
      </c>
      <c r="F1649" s="3">
        <v>0</v>
      </c>
      <c r="G1649" s="3" t="s">
        <v>10</v>
      </c>
      <c r="H1649" s="3" t="s">
        <v>12</v>
      </c>
      <c r="I1649" s="3">
        <v>2</v>
      </c>
      <c r="J1649" s="3" t="s">
        <v>14</v>
      </c>
      <c r="K1649" s="3" t="s">
        <v>14</v>
      </c>
      <c r="L1649" s="3" t="s">
        <v>14</v>
      </c>
      <c r="M1649" s="3" t="s">
        <v>14</v>
      </c>
      <c r="N1649" s="3" t="s">
        <v>14</v>
      </c>
      <c r="O1649" s="3">
        <v>1</v>
      </c>
    </row>
    <row r="1650" spans="1:15" ht="15" customHeight="1" x14ac:dyDescent="0.25">
      <c r="A1650" s="2">
        <v>5</v>
      </c>
      <c r="B1650" s="2" t="s">
        <v>18</v>
      </c>
      <c r="C1650" s="2" t="s">
        <v>19</v>
      </c>
      <c r="D1650" s="2" t="s">
        <v>106</v>
      </c>
      <c r="E1650" s="2">
        <v>0</v>
      </c>
      <c r="F1650" s="2">
        <v>0</v>
      </c>
      <c r="G1650" s="2" t="s">
        <v>10</v>
      </c>
      <c r="H1650" s="2" t="s">
        <v>12</v>
      </c>
      <c r="I1650" s="2">
        <v>1</v>
      </c>
      <c r="J1650" s="2" t="s">
        <v>14</v>
      </c>
      <c r="K1650" s="2" t="s">
        <v>14</v>
      </c>
      <c r="L1650" s="2" t="s">
        <v>14</v>
      </c>
      <c r="M1650" s="2" t="s">
        <v>14</v>
      </c>
      <c r="N1650" s="2" t="s">
        <v>14</v>
      </c>
      <c r="O1650" s="2">
        <v>1</v>
      </c>
    </row>
    <row r="1651" spans="1:15" ht="15" customHeight="1" x14ac:dyDescent="0.25">
      <c r="A1651" s="3">
        <v>5</v>
      </c>
      <c r="B1651" s="3" t="s">
        <v>14</v>
      </c>
      <c r="C1651" s="3" t="s">
        <v>19</v>
      </c>
      <c r="D1651" s="2" t="s">
        <v>106</v>
      </c>
      <c r="E1651" s="3">
        <v>0</v>
      </c>
      <c r="F1651" s="3">
        <v>0</v>
      </c>
      <c r="G1651" s="3" t="s">
        <v>10</v>
      </c>
      <c r="H1651" s="3" t="s">
        <v>12</v>
      </c>
      <c r="I1651" s="3">
        <v>2</v>
      </c>
      <c r="J1651" s="3" t="s">
        <v>14</v>
      </c>
      <c r="K1651" s="3" t="s">
        <v>14</v>
      </c>
      <c r="L1651" s="3" t="s">
        <v>14</v>
      </c>
      <c r="M1651" s="3" t="s">
        <v>14</v>
      </c>
      <c r="N1651" s="3" t="s">
        <v>14</v>
      </c>
      <c r="O1651" s="3">
        <v>1</v>
      </c>
    </row>
    <row r="1652" spans="1:15" ht="15" customHeight="1" x14ac:dyDescent="0.25">
      <c r="A1652" s="2">
        <v>5</v>
      </c>
      <c r="B1652" s="2" t="s">
        <v>10</v>
      </c>
      <c r="C1652" s="2" t="s">
        <v>19</v>
      </c>
      <c r="D1652" s="2" t="s">
        <v>106</v>
      </c>
      <c r="E1652" s="2">
        <v>0</v>
      </c>
      <c r="F1652" s="2">
        <v>0</v>
      </c>
      <c r="G1652" s="2" t="s">
        <v>10</v>
      </c>
      <c r="H1652" s="2" t="s">
        <v>12</v>
      </c>
      <c r="I1652" s="2">
        <v>2</v>
      </c>
      <c r="J1652" s="2" t="s">
        <v>14</v>
      </c>
      <c r="K1652" s="2" t="s">
        <v>14</v>
      </c>
      <c r="L1652" s="2" t="s">
        <v>14</v>
      </c>
      <c r="M1652" s="2" t="s">
        <v>14</v>
      </c>
      <c r="N1652" s="2" t="s">
        <v>14</v>
      </c>
      <c r="O1652" s="2">
        <v>1</v>
      </c>
    </row>
    <row r="1653" spans="1:15" ht="15" customHeight="1" x14ac:dyDescent="0.25">
      <c r="A1653" s="3">
        <v>10</v>
      </c>
      <c r="B1653" s="3" t="s">
        <v>18</v>
      </c>
      <c r="C1653" s="3" t="s">
        <v>19</v>
      </c>
      <c r="D1653" s="2" t="s">
        <v>106</v>
      </c>
      <c r="E1653" s="3">
        <v>0</v>
      </c>
      <c r="F1653" s="3">
        <v>0</v>
      </c>
      <c r="G1653" s="3" t="s">
        <v>10</v>
      </c>
      <c r="H1653" s="3" t="s">
        <v>12</v>
      </c>
      <c r="I1653" s="3" t="s">
        <v>15</v>
      </c>
      <c r="J1653" s="3" t="s">
        <v>14</v>
      </c>
      <c r="K1653" s="3" t="s">
        <v>14</v>
      </c>
      <c r="L1653" s="3" t="s">
        <v>14</v>
      </c>
      <c r="M1653" s="3" t="s">
        <v>14</v>
      </c>
      <c r="N1653" s="3" t="s">
        <v>14</v>
      </c>
      <c r="O1653" s="3">
        <v>1</v>
      </c>
    </row>
    <row r="1654" spans="1:15" ht="15" customHeight="1" x14ac:dyDescent="0.25">
      <c r="A1654" s="2">
        <v>10</v>
      </c>
      <c r="B1654" s="2" t="s">
        <v>10</v>
      </c>
      <c r="C1654" s="2" t="s">
        <v>19</v>
      </c>
      <c r="D1654" s="2" t="s">
        <v>106</v>
      </c>
      <c r="E1654" s="2">
        <v>1</v>
      </c>
      <c r="F1654" s="2">
        <v>2</v>
      </c>
      <c r="G1654" s="2" t="s">
        <v>10</v>
      </c>
      <c r="H1654" s="2" t="s">
        <v>12</v>
      </c>
      <c r="I1654" s="2">
        <v>2</v>
      </c>
      <c r="J1654" s="2" t="s">
        <v>14</v>
      </c>
      <c r="K1654" s="2" t="s">
        <v>14</v>
      </c>
      <c r="L1654" s="2" t="s">
        <v>14</v>
      </c>
      <c r="M1654" s="2" t="s">
        <v>14</v>
      </c>
      <c r="N1654" s="2" t="s">
        <v>14</v>
      </c>
      <c r="O1654" s="2">
        <v>0</v>
      </c>
    </row>
    <row r="1655" spans="1:15" ht="15" customHeight="1" x14ac:dyDescent="0.25">
      <c r="A1655" s="3">
        <v>10</v>
      </c>
      <c r="B1655" s="3" t="s">
        <v>10</v>
      </c>
      <c r="C1655" s="3" t="s">
        <v>11</v>
      </c>
      <c r="D1655" s="2" t="s">
        <v>106</v>
      </c>
      <c r="E1655" s="3">
        <v>1</v>
      </c>
      <c r="F1655" s="3">
        <v>0</v>
      </c>
      <c r="G1655" s="3" t="s">
        <v>10</v>
      </c>
      <c r="H1655" s="3" t="s">
        <v>12</v>
      </c>
      <c r="I1655" s="3" t="s">
        <v>15</v>
      </c>
      <c r="J1655" s="3" t="s">
        <v>13</v>
      </c>
      <c r="K1655" s="3" t="s">
        <v>14</v>
      </c>
      <c r="L1655" s="3" t="s">
        <v>14</v>
      </c>
      <c r="M1655" s="3" t="s">
        <v>14</v>
      </c>
      <c r="N1655" s="3" t="s">
        <v>14</v>
      </c>
      <c r="O1655" s="3">
        <v>0</v>
      </c>
    </row>
    <row r="1656" spans="1:15" ht="15" customHeight="1" x14ac:dyDescent="0.25">
      <c r="A1656" s="2">
        <v>20</v>
      </c>
      <c r="B1656" s="2" t="s">
        <v>10</v>
      </c>
      <c r="C1656" s="2" t="s">
        <v>19</v>
      </c>
      <c r="D1656" s="2" t="s">
        <v>106</v>
      </c>
      <c r="E1656" s="2">
        <v>0</v>
      </c>
      <c r="F1656" s="2">
        <v>0</v>
      </c>
      <c r="G1656" s="2" t="s">
        <v>10</v>
      </c>
      <c r="H1656" s="2" t="s">
        <v>16</v>
      </c>
      <c r="I1656" s="2">
        <v>1</v>
      </c>
      <c r="J1656" s="2" t="s">
        <v>14</v>
      </c>
      <c r="K1656" s="2" t="s">
        <v>14</v>
      </c>
      <c r="L1656" s="2" t="s">
        <v>14</v>
      </c>
      <c r="M1656" s="2" t="s">
        <v>13</v>
      </c>
      <c r="N1656" s="2" t="s">
        <v>14</v>
      </c>
      <c r="O1656" s="2">
        <v>1</v>
      </c>
    </row>
    <row r="1657" spans="1:15" ht="15" customHeight="1" x14ac:dyDescent="0.25">
      <c r="A1657" s="3">
        <v>5</v>
      </c>
      <c r="B1657" s="3" t="s">
        <v>10</v>
      </c>
      <c r="C1657" s="3" t="s">
        <v>19</v>
      </c>
      <c r="D1657" s="2" t="s">
        <v>106</v>
      </c>
      <c r="E1657" s="3">
        <v>0</v>
      </c>
      <c r="F1657" s="3">
        <v>1</v>
      </c>
      <c r="G1657" s="3" t="s">
        <v>10</v>
      </c>
      <c r="H1657" s="3" t="s">
        <v>12</v>
      </c>
      <c r="I1657" s="3">
        <v>2</v>
      </c>
      <c r="J1657" s="3" t="s">
        <v>14</v>
      </c>
      <c r="K1657" s="3" t="s">
        <v>13</v>
      </c>
      <c r="L1657" s="3" t="s">
        <v>13</v>
      </c>
      <c r="M1657" s="3" t="s">
        <v>13</v>
      </c>
      <c r="N1657" s="3" t="s">
        <v>14</v>
      </c>
      <c r="O1657" s="3">
        <v>1</v>
      </c>
    </row>
    <row r="1658" spans="1:15" ht="15" customHeight="1" x14ac:dyDescent="0.25">
      <c r="A1658" s="2">
        <v>0</v>
      </c>
      <c r="B1658" s="2" t="s">
        <v>14</v>
      </c>
      <c r="C1658" s="2" t="s">
        <v>19</v>
      </c>
      <c r="D1658" s="2" t="s">
        <v>106</v>
      </c>
      <c r="E1658" s="2">
        <v>0</v>
      </c>
      <c r="F1658" s="2">
        <v>0</v>
      </c>
      <c r="G1658" s="2" t="s">
        <v>17</v>
      </c>
      <c r="H1658" s="2" t="s">
        <v>106</v>
      </c>
      <c r="I1658" s="2">
        <v>1</v>
      </c>
      <c r="J1658" s="2" t="s">
        <v>14</v>
      </c>
      <c r="K1658" s="2" t="s">
        <v>13</v>
      </c>
      <c r="L1658" s="2" t="s">
        <v>13</v>
      </c>
      <c r="M1658" s="2" t="s">
        <v>13</v>
      </c>
      <c r="N1658" s="2" t="s">
        <v>14</v>
      </c>
      <c r="O1658" s="2">
        <v>1</v>
      </c>
    </row>
    <row r="1659" spans="1:15" ht="15" customHeight="1" x14ac:dyDescent="0.25">
      <c r="A1659" s="3">
        <v>10</v>
      </c>
      <c r="B1659" s="3" t="s">
        <v>18</v>
      </c>
      <c r="C1659" s="3" t="s">
        <v>19</v>
      </c>
      <c r="D1659" s="2" t="s">
        <v>106</v>
      </c>
      <c r="E1659" s="3">
        <v>0</v>
      </c>
      <c r="F1659" s="3">
        <v>0</v>
      </c>
      <c r="G1659" s="3" t="s">
        <v>10</v>
      </c>
      <c r="H1659" s="3" t="s">
        <v>12</v>
      </c>
      <c r="I1659" s="3" t="s">
        <v>15</v>
      </c>
      <c r="J1659" s="3" t="s">
        <v>14</v>
      </c>
      <c r="K1659" s="3" t="s">
        <v>14</v>
      </c>
      <c r="L1659" s="3" t="s">
        <v>14</v>
      </c>
      <c r="M1659" s="3" t="s">
        <v>14</v>
      </c>
      <c r="N1659" s="3" t="s">
        <v>14</v>
      </c>
      <c r="O1659" s="3">
        <v>1</v>
      </c>
    </row>
    <row r="1660" spans="1:15" ht="15" customHeight="1" x14ac:dyDescent="0.25">
      <c r="A1660" s="2">
        <v>5</v>
      </c>
      <c r="B1660" s="2" t="s">
        <v>10</v>
      </c>
      <c r="C1660" s="2" t="s">
        <v>19</v>
      </c>
      <c r="D1660" s="2" t="s">
        <v>106</v>
      </c>
      <c r="E1660" s="2">
        <v>0</v>
      </c>
      <c r="F1660" s="2">
        <v>0</v>
      </c>
      <c r="G1660" s="2" t="s">
        <v>10</v>
      </c>
      <c r="H1660" s="2" t="s">
        <v>12</v>
      </c>
      <c r="I1660" s="2">
        <v>2</v>
      </c>
      <c r="J1660" s="2" t="s">
        <v>14</v>
      </c>
      <c r="K1660" s="2" t="s">
        <v>14</v>
      </c>
      <c r="L1660" s="2" t="s">
        <v>14</v>
      </c>
      <c r="M1660" s="2" t="s">
        <v>14</v>
      </c>
      <c r="N1660" s="2" t="s">
        <v>14</v>
      </c>
      <c r="O1660" s="2">
        <v>1</v>
      </c>
    </row>
    <row r="1661" spans="1:15" ht="15" customHeight="1" x14ac:dyDescent="0.25">
      <c r="A1661" s="3">
        <v>10</v>
      </c>
      <c r="B1661" s="3" t="s">
        <v>10</v>
      </c>
      <c r="C1661" s="3" t="s">
        <v>19</v>
      </c>
      <c r="D1661" s="2" t="s">
        <v>106</v>
      </c>
      <c r="E1661" s="3">
        <v>0</v>
      </c>
      <c r="F1661" s="3">
        <v>0</v>
      </c>
      <c r="G1661" s="3" t="s">
        <v>10</v>
      </c>
      <c r="H1661" s="3" t="s">
        <v>12</v>
      </c>
      <c r="I1661" s="3">
        <v>2</v>
      </c>
      <c r="J1661" s="3" t="s">
        <v>14</v>
      </c>
      <c r="K1661" s="3" t="s">
        <v>14</v>
      </c>
      <c r="L1661" s="3" t="s">
        <v>14</v>
      </c>
      <c r="M1661" s="3" t="s">
        <v>14</v>
      </c>
      <c r="N1661" s="3" t="s">
        <v>14</v>
      </c>
      <c r="O1661" s="3">
        <v>1</v>
      </c>
    </row>
    <row r="1662" spans="1:15" ht="15" customHeight="1" x14ac:dyDescent="0.25">
      <c r="A1662" s="2">
        <v>10</v>
      </c>
      <c r="B1662" s="2" t="s">
        <v>18</v>
      </c>
      <c r="C1662" s="2" t="s">
        <v>19</v>
      </c>
      <c r="D1662" s="2" t="s">
        <v>106</v>
      </c>
      <c r="E1662" s="2">
        <v>0</v>
      </c>
      <c r="F1662" s="2">
        <v>0</v>
      </c>
      <c r="G1662" s="2" t="s">
        <v>10</v>
      </c>
      <c r="H1662" s="2" t="s">
        <v>12</v>
      </c>
      <c r="I1662" s="2" t="s">
        <v>15</v>
      </c>
      <c r="J1662" s="2" t="s">
        <v>14</v>
      </c>
      <c r="K1662" s="2" t="s">
        <v>14</v>
      </c>
      <c r="L1662" s="2" t="s">
        <v>14</v>
      </c>
      <c r="M1662" s="2" t="s">
        <v>14</v>
      </c>
      <c r="N1662" s="2" t="s">
        <v>14</v>
      </c>
      <c r="O1662" s="2">
        <v>1</v>
      </c>
    </row>
    <row r="1663" spans="1:15" ht="15" customHeight="1" x14ac:dyDescent="0.25">
      <c r="A1663" s="3">
        <v>10</v>
      </c>
      <c r="B1663" s="3" t="s">
        <v>14</v>
      </c>
      <c r="C1663" s="3" t="s">
        <v>19</v>
      </c>
      <c r="D1663" s="2" t="s">
        <v>106</v>
      </c>
      <c r="E1663" s="3">
        <v>0</v>
      </c>
      <c r="F1663" s="3">
        <v>0</v>
      </c>
      <c r="G1663" s="3" t="s">
        <v>10</v>
      </c>
      <c r="H1663" s="3" t="s">
        <v>12</v>
      </c>
      <c r="I1663" s="3">
        <v>2</v>
      </c>
      <c r="J1663" s="3" t="s">
        <v>14</v>
      </c>
      <c r="K1663" s="3" t="s">
        <v>14</v>
      </c>
      <c r="L1663" s="3" t="s">
        <v>14</v>
      </c>
      <c r="M1663" s="3" t="s">
        <v>14</v>
      </c>
      <c r="N1663" s="3" t="s">
        <v>14</v>
      </c>
      <c r="O1663" s="3">
        <v>1</v>
      </c>
    </row>
    <row r="1664" spans="1:15" ht="15" customHeight="1" x14ac:dyDescent="0.25">
      <c r="A1664" s="2">
        <v>20</v>
      </c>
      <c r="B1664" s="2" t="s">
        <v>10</v>
      </c>
      <c r="C1664" s="2" t="s">
        <v>11</v>
      </c>
      <c r="D1664" s="2" t="s">
        <v>106</v>
      </c>
      <c r="E1664" s="2">
        <v>0</v>
      </c>
      <c r="F1664" s="2">
        <v>0</v>
      </c>
      <c r="G1664" s="2" t="s">
        <v>10</v>
      </c>
      <c r="H1664" s="2" t="s">
        <v>12</v>
      </c>
      <c r="I1664" s="2">
        <v>2</v>
      </c>
      <c r="J1664" s="2" t="s">
        <v>14</v>
      </c>
      <c r="K1664" s="2" t="s">
        <v>14</v>
      </c>
      <c r="L1664" s="2" t="s">
        <v>14</v>
      </c>
      <c r="M1664" s="2" t="s">
        <v>14</v>
      </c>
      <c r="N1664" s="2" t="s">
        <v>14</v>
      </c>
      <c r="O1664" s="2">
        <v>1</v>
      </c>
    </row>
    <row r="1665" spans="1:15" ht="15" customHeight="1" x14ac:dyDescent="0.25">
      <c r="A1665" s="3">
        <v>5</v>
      </c>
      <c r="B1665" s="3" t="s">
        <v>18</v>
      </c>
      <c r="C1665" s="3" t="s">
        <v>11</v>
      </c>
      <c r="D1665" s="2" t="s">
        <v>106</v>
      </c>
      <c r="E1665" s="3">
        <v>0</v>
      </c>
      <c r="F1665" s="3">
        <v>1</v>
      </c>
      <c r="G1665" s="3" t="s">
        <v>10</v>
      </c>
      <c r="H1665" s="3" t="s">
        <v>12</v>
      </c>
      <c r="I1665" s="3" t="s">
        <v>15</v>
      </c>
      <c r="J1665" s="3" t="s">
        <v>14</v>
      </c>
      <c r="K1665" s="3" t="s">
        <v>14</v>
      </c>
      <c r="L1665" s="3" t="s">
        <v>14</v>
      </c>
      <c r="M1665" s="3" t="s">
        <v>14</v>
      </c>
      <c r="N1665" s="3" t="s">
        <v>14</v>
      </c>
      <c r="O1665" s="3">
        <v>1</v>
      </c>
    </row>
    <row r="1666" spans="1:15" ht="15" customHeight="1" x14ac:dyDescent="0.25">
      <c r="A1666" s="2">
        <v>5</v>
      </c>
      <c r="B1666" s="2" t="s">
        <v>10</v>
      </c>
      <c r="C1666" s="2" t="s">
        <v>11</v>
      </c>
      <c r="D1666" s="2" t="s">
        <v>106</v>
      </c>
      <c r="E1666" s="2">
        <v>0</v>
      </c>
      <c r="F1666" s="2">
        <v>2</v>
      </c>
      <c r="G1666" s="2" t="s">
        <v>10</v>
      </c>
      <c r="H1666" s="2" t="s">
        <v>12</v>
      </c>
      <c r="I1666" s="2">
        <v>1</v>
      </c>
      <c r="J1666" s="2" t="s">
        <v>14</v>
      </c>
      <c r="K1666" s="2" t="s">
        <v>14</v>
      </c>
      <c r="L1666" s="2" t="s">
        <v>14</v>
      </c>
      <c r="M1666" s="2" t="s">
        <v>14</v>
      </c>
      <c r="N1666" s="2" t="s">
        <v>14</v>
      </c>
      <c r="O1666" s="2">
        <v>1</v>
      </c>
    </row>
    <row r="1667" spans="1:15" ht="15" customHeight="1" x14ac:dyDescent="0.25">
      <c r="A1667" s="3">
        <v>5</v>
      </c>
      <c r="B1667" s="3" t="s">
        <v>14</v>
      </c>
      <c r="C1667" s="3" t="s">
        <v>11</v>
      </c>
      <c r="D1667" s="2" t="s">
        <v>106</v>
      </c>
      <c r="E1667" s="3">
        <v>2</v>
      </c>
      <c r="F1667" s="3">
        <v>0</v>
      </c>
      <c r="G1667" s="3" t="s">
        <v>10</v>
      </c>
      <c r="H1667" s="3" t="s">
        <v>12</v>
      </c>
      <c r="I1667" s="3">
        <v>2</v>
      </c>
      <c r="J1667" s="3" t="s">
        <v>14</v>
      </c>
      <c r="K1667" s="3" t="s">
        <v>14</v>
      </c>
      <c r="L1667" s="3" t="s">
        <v>14</v>
      </c>
      <c r="M1667" s="3" t="s">
        <v>14</v>
      </c>
      <c r="N1667" s="3" t="s">
        <v>14</v>
      </c>
      <c r="O1667" s="3">
        <v>0</v>
      </c>
    </row>
    <row r="1668" spans="1:15" ht="15" customHeight="1" x14ac:dyDescent="0.25">
      <c r="A1668" s="2">
        <v>20</v>
      </c>
      <c r="B1668" s="2" t="s">
        <v>14</v>
      </c>
      <c r="C1668" s="2" t="s">
        <v>11</v>
      </c>
      <c r="D1668" s="2" t="s">
        <v>106</v>
      </c>
      <c r="E1668" s="2">
        <v>0</v>
      </c>
      <c r="F1668" s="2">
        <v>0</v>
      </c>
      <c r="G1668" s="2" t="s">
        <v>10</v>
      </c>
      <c r="H1668" s="2" t="s">
        <v>12</v>
      </c>
      <c r="I1668" s="2">
        <v>1</v>
      </c>
      <c r="J1668" s="2" t="s">
        <v>14</v>
      </c>
      <c r="K1668" s="2" t="s">
        <v>13</v>
      </c>
      <c r="L1668" s="2" t="s">
        <v>13</v>
      </c>
      <c r="M1668" s="2" t="s">
        <v>13</v>
      </c>
      <c r="N1668" s="2" t="s">
        <v>14</v>
      </c>
      <c r="O1668" s="2">
        <v>1</v>
      </c>
    </row>
    <row r="1669" spans="1:15" ht="15" customHeight="1" x14ac:dyDescent="0.25">
      <c r="A1669" s="3">
        <v>10</v>
      </c>
      <c r="B1669" s="3" t="s">
        <v>18</v>
      </c>
      <c r="C1669" s="3" t="s">
        <v>11</v>
      </c>
      <c r="D1669" s="2" t="s">
        <v>106</v>
      </c>
      <c r="E1669" s="3">
        <v>0</v>
      </c>
      <c r="F1669" s="3">
        <v>0</v>
      </c>
      <c r="G1669" s="3" t="s">
        <v>10</v>
      </c>
      <c r="H1669" s="3" t="s">
        <v>12</v>
      </c>
      <c r="I1669" s="3" t="s">
        <v>15</v>
      </c>
      <c r="J1669" s="3" t="s">
        <v>14</v>
      </c>
      <c r="K1669" s="3" t="s">
        <v>14</v>
      </c>
      <c r="L1669" s="3" t="s">
        <v>14</v>
      </c>
      <c r="M1669" s="3" t="s">
        <v>14</v>
      </c>
      <c r="N1669" s="3" t="s">
        <v>14</v>
      </c>
      <c r="O1669" s="3">
        <v>1</v>
      </c>
    </row>
    <row r="1670" spans="1:15" ht="15" customHeight="1" x14ac:dyDescent="0.25">
      <c r="A1670" s="2">
        <v>20</v>
      </c>
      <c r="B1670" s="2" t="s">
        <v>10</v>
      </c>
      <c r="C1670" s="2" t="s">
        <v>11</v>
      </c>
      <c r="D1670" s="2" t="s">
        <v>106</v>
      </c>
      <c r="E1670" s="2">
        <v>1</v>
      </c>
      <c r="F1670" s="2">
        <v>1</v>
      </c>
      <c r="G1670" s="2" t="s">
        <v>10</v>
      </c>
      <c r="H1670" s="2" t="s">
        <v>12</v>
      </c>
      <c r="I1670" s="2">
        <v>2</v>
      </c>
      <c r="J1670" s="2" t="s">
        <v>14</v>
      </c>
      <c r="K1670" s="2" t="s">
        <v>14</v>
      </c>
      <c r="L1670" s="2" t="s">
        <v>14</v>
      </c>
      <c r="M1670" s="2" t="s">
        <v>13</v>
      </c>
      <c r="N1670" s="2" t="s">
        <v>13</v>
      </c>
      <c r="O1670" s="2">
        <v>0</v>
      </c>
    </row>
    <row r="1671" spans="1:15" ht="15" customHeight="1" x14ac:dyDescent="0.25">
      <c r="A1671" s="3">
        <v>10</v>
      </c>
      <c r="B1671" s="3" t="s">
        <v>10</v>
      </c>
      <c r="C1671" s="3" t="s">
        <v>11</v>
      </c>
      <c r="D1671" s="2" t="s">
        <v>106</v>
      </c>
      <c r="E1671" s="3">
        <v>0</v>
      </c>
      <c r="F1671" s="3">
        <v>0</v>
      </c>
      <c r="G1671" s="3" t="s">
        <v>10</v>
      </c>
      <c r="H1671" s="3" t="s">
        <v>12</v>
      </c>
      <c r="I1671" s="3">
        <v>2</v>
      </c>
      <c r="J1671" s="3" t="s">
        <v>14</v>
      </c>
      <c r="K1671" s="3" t="s">
        <v>13</v>
      </c>
      <c r="L1671" s="3" t="s">
        <v>14</v>
      </c>
      <c r="M1671" s="3" t="s">
        <v>14</v>
      </c>
      <c r="N1671" s="3" t="s">
        <v>14</v>
      </c>
      <c r="O1671" s="3">
        <v>1</v>
      </c>
    </row>
    <row r="1672" spans="1:15" ht="15" customHeight="1" x14ac:dyDescent="0.25">
      <c r="A1672" s="2">
        <v>10</v>
      </c>
      <c r="B1672" s="2" t="s">
        <v>10</v>
      </c>
      <c r="C1672" s="2" t="s">
        <v>11</v>
      </c>
      <c r="D1672" s="2" t="s">
        <v>106</v>
      </c>
      <c r="E1672" s="2">
        <v>1</v>
      </c>
      <c r="F1672" s="2">
        <v>1</v>
      </c>
      <c r="G1672" s="2" t="s">
        <v>10</v>
      </c>
      <c r="H1672" s="2" t="s">
        <v>12</v>
      </c>
      <c r="I1672" s="2">
        <v>2</v>
      </c>
      <c r="J1672" s="2" t="s">
        <v>14</v>
      </c>
      <c r="K1672" s="2" t="s">
        <v>14</v>
      </c>
      <c r="L1672" s="2" t="s">
        <v>14</v>
      </c>
      <c r="M1672" s="2" t="s">
        <v>14</v>
      </c>
      <c r="N1672" s="2" t="s">
        <v>14</v>
      </c>
      <c r="O1672" s="2">
        <v>0</v>
      </c>
    </row>
    <row r="1673" spans="1:15" ht="15" customHeight="1" x14ac:dyDescent="0.25">
      <c r="A1673" s="3">
        <v>10</v>
      </c>
      <c r="B1673" s="3" t="s">
        <v>10</v>
      </c>
      <c r="C1673" s="3" t="s">
        <v>20</v>
      </c>
      <c r="D1673" s="2" t="s">
        <v>106</v>
      </c>
      <c r="E1673" s="3">
        <v>0</v>
      </c>
      <c r="F1673" s="3">
        <v>0</v>
      </c>
      <c r="G1673" s="3" t="s">
        <v>10</v>
      </c>
      <c r="H1673" s="3" t="s">
        <v>12</v>
      </c>
      <c r="I1673" s="3">
        <v>1</v>
      </c>
      <c r="J1673" s="3" t="s">
        <v>14</v>
      </c>
      <c r="K1673" s="3" t="s">
        <v>14</v>
      </c>
      <c r="L1673" s="3" t="s">
        <v>14</v>
      </c>
      <c r="M1673" s="3" t="s">
        <v>14</v>
      </c>
      <c r="N1673" s="3" t="s">
        <v>14</v>
      </c>
      <c r="O1673" s="3">
        <v>1</v>
      </c>
    </row>
    <row r="1674" spans="1:15" ht="15" customHeight="1" x14ac:dyDescent="0.25">
      <c r="A1674" s="2">
        <v>20</v>
      </c>
      <c r="B1674" s="2" t="s">
        <v>10</v>
      </c>
      <c r="C1674" s="2" t="s">
        <v>11</v>
      </c>
      <c r="D1674" s="2" t="s">
        <v>106</v>
      </c>
      <c r="E1674" s="2">
        <v>0</v>
      </c>
      <c r="F1674" s="2">
        <v>0</v>
      </c>
      <c r="G1674" s="2" t="s">
        <v>10</v>
      </c>
      <c r="H1674" s="2" t="s">
        <v>12</v>
      </c>
      <c r="I1674" s="2">
        <v>2</v>
      </c>
      <c r="J1674" s="2" t="s">
        <v>14</v>
      </c>
      <c r="K1674" s="2" t="s">
        <v>14</v>
      </c>
      <c r="L1674" s="2" t="s">
        <v>14</v>
      </c>
      <c r="M1674" s="2" t="s">
        <v>14</v>
      </c>
      <c r="N1674" s="2" t="s">
        <v>14</v>
      </c>
      <c r="O1674" s="2">
        <v>1</v>
      </c>
    </row>
    <row r="1675" spans="1:15" ht="15" customHeight="1" x14ac:dyDescent="0.25">
      <c r="A1675" s="3">
        <v>20</v>
      </c>
      <c r="B1675" s="3" t="s">
        <v>10</v>
      </c>
      <c r="C1675" s="3" t="s">
        <v>11</v>
      </c>
      <c r="D1675" s="2" t="s">
        <v>106</v>
      </c>
      <c r="E1675" s="3">
        <v>0</v>
      </c>
      <c r="F1675" s="3">
        <v>1</v>
      </c>
      <c r="G1675" s="3" t="s">
        <v>10</v>
      </c>
      <c r="H1675" s="3" t="s">
        <v>12</v>
      </c>
      <c r="I1675" s="3" t="s">
        <v>15</v>
      </c>
      <c r="J1675" s="3" t="s">
        <v>14</v>
      </c>
      <c r="K1675" s="3" t="s">
        <v>14</v>
      </c>
      <c r="L1675" s="3" t="s">
        <v>14</v>
      </c>
      <c r="M1675" s="3" t="s">
        <v>13</v>
      </c>
      <c r="N1675" s="3" t="s">
        <v>13</v>
      </c>
      <c r="O1675" s="3">
        <v>0</v>
      </c>
    </row>
    <row r="1676" spans="1:15" ht="15" customHeight="1" x14ac:dyDescent="0.25">
      <c r="A1676" s="2">
        <v>20</v>
      </c>
      <c r="B1676" s="2" t="s">
        <v>14</v>
      </c>
      <c r="C1676" s="2" t="s">
        <v>20</v>
      </c>
      <c r="D1676" s="2" t="s">
        <v>106</v>
      </c>
      <c r="E1676" s="2">
        <v>0</v>
      </c>
      <c r="F1676" s="2">
        <v>0</v>
      </c>
      <c r="G1676" s="2" t="s">
        <v>10</v>
      </c>
      <c r="H1676" s="2" t="s">
        <v>12</v>
      </c>
      <c r="I1676" s="2" t="s">
        <v>15</v>
      </c>
      <c r="J1676" s="2" t="s">
        <v>14</v>
      </c>
      <c r="K1676" s="2" t="s">
        <v>14</v>
      </c>
      <c r="L1676" s="2" t="s">
        <v>14</v>
      </c>
      <c r="M1676" s="2" t="s">
        <v>13</v>
      </c>
      <c r="N1676" s="2" t="s">
        <v>13</v>
      </c>
      <c r="O1676" s="2">
        <v>1</v>
      </c>
    </row>
    <row r="1677" spans="1:15" ht="15" customHeight="1" x14ac:dyDescent="0.25">
      <c r="A1677" s="3">
        <v>10</v>
      </c>
      <c r="B1677" s="3" t="s">
        <v>10</v>
      </c>
      <c r="C1677" s="3" t="s">
        <v>19</v>
      </c>
      <c r="D1677" s="2" t="s">
        <v>106</v>
      </c>
      <c r="E1677" s="3">
        <v>0</v>
      </c>
      <c r="F1677" s="3">
        <v>0</v>
      </c>
      <c r="G1677" s="3" t="s">
        <v>10</v>
      </c>
      <c r="H1677" s="3" t="s">
        <v>12</v>
      </c>
      <c r="I1677" s="3" t="s">
        <v>15</v>
      </c>
      <c r="J1677" s="3" t="s">
        <v>14</v>
      </c>
      <c r="K1677" s="3" t="s">
        <v>14</v>
      </c>
      <c r="L1677" s="3" t="s">
        <v>14</v>
      </c>
      <c r="M1677" s="3" t="s">
        <v>14</v>
      </c>
      <c r="N1677" s="3" t="s">
        <v>14</v>
      </c>
      <c r="O1677" s="3">
        <v>1</v>
      </c>
    </row>
    <row r="1678" spans="1:15" ht="15" customHeight="1" x14ac:dyDescent="0.25">
      <c r="A1678" s="2">
        <v>10</v>
      </c>
      <c r="B1678" s="2" t="s">
        <v>10</v>
      </c>
      <c r="C1678" s="2" t="s">
        <v>19</v>
      </c>
      <c r="D1678" s="2" t="s">
        <v>106</v>
      </c>
      <c r="E1678" s="2">
        <v>0</v>
      </c>
      <c r="F1678" s="2">
        <v>0</v>
      </c>
      <c r="G1678" s="2" t="s">
        <v>10</v>
      </c>
      <c r="H1678" s="2" t="s">
        <v>12</v>
      </c>
      <c r="I1678" s="2" t="s">
        <v>15</v>
      </c>
      <c r="J1678" s="2" t="s">
        <v>14</v>
      </c>
      <c r="K1678" s="2" t="s">
        <v>14</v>
      </c>
      <c r="L1678" s="2" t="s">
        <v>14</v>
      </c>
      <c r="M1678" s="2" t="s">
        <v>14</v>
      </c>
      <c r="N1678" s="2" t="s">
        <v>14</v>
      </c>
      <c r="O1678" s="2">
        <v>1</v>
      </c>
    </row>
    <row r="1679" spans="1:15" ht="15" customHeight="1" x14ac:dyDescent="0.25">
      <c r="A1679" s="3">
        <v>10</v>
      </c>
      <c r="B1679" s="3" t="s">
        <v>18</v>
      </c>
      <c r="C1679" s="3" t="s">
        <v>19</v>
      </c>
      <c r="D1679" s="2" t="s">
        <v>106</v>
      </c>
      <c r="E1679" s="3">
        <v>0</v>
      </c>
      <c r="F1679" s="3">
        <v>0</v>
      </c>
      <c r="G1679" s="3" t="s">
        <v>10</v>
      </c>
      <c r="H1679" s="3" t="s">
        <v>16</v>
      </c>
      <c r="I1679" s="3">
        <v>2</v>
      </c>
      <c r="J1679" s="3" t="s">
        <v>14</v>
      </c>
      <c r="K1679" s="3" t="s">
        <v>14</v>
      </c>
      <c r="L1679" s="3" t="s">
        <v>14</v>
      </c>
      <c r="M1679" s="3" t="s">
        <v>14</v>
      </c>
      <c r="N1679" s="3" t="s">
        <v>14</v>
      </c>
      <c r="O1679" s="3">
        <v>1</v>
      </c>
    </row>
    <row r="1680" spans="1:15" ht="15" customHeight="1" x14ac:dyDescent="0.25">
      <c r="A1680" s="2">
        <v>5</v>
      </c>
      <c r="B1680" s="2" t="s">
        <v>14</v>
      </c>
      <c r="C1680" s="2" t="s">
        <v>19</v>
      </c>
      <c r="D1680" s="2" t="s">
        <v>106</v>
      </c>
      <c r="E1680" s="2">
        <v>0</v>
      </c>
      <c r="F1680" s="2">
        <v>0</v>
      </c>
      <c r="G1680" s="2" t="s">
        <v>10</v>
      </c>
      <c r="H1680" s="2" t="s">
        <v>12</v>
      </c>
      <c r="I1680" s="2">
        <v>2</v>
      </c>
      <c r="J1680" s="2" t="s">
        <v>14</v>
      </c>
      <c r="K1680" s="2" t="s">
        <v>14</v>
      </c>
      <c r="L1680" s="2" t="s">
        <v>14</v>
      </c>
      <c r="M1680" s="2" t="s">
        <v>14</v>
      </c>
      <c r="N1680" s="2" t="s">
        <v>14</v>
      </c>
      <c r="O1680" s="2">
        <v>1</v>
      </c>
    </row>
    <row r="1681" spans="1:15" ht="15" customHeight="1" x14ac:dyDescent="0.25">
      <c r="A1681" s="3">
        <v>10</v>
      </c>
      <c r="B1681" s="3" t="s">
        <v>14</v>
      </c>
      <c r="C1681" s="3" t="s">
        <v>19</v>
      </c>
      <c r="D1681" s="2" t="s">
        <v>106</v>
      </c>
      <c r="E1681" s="3">
        <v>0</v>
      </c>
      <c r="F1681" s="3">
        <v>0</v>
      </c>
      <c r="G1681" s="3" t="s">
        <v>10</v>
      </c>
      <c r="H1681" s="3" t="s">
        <v>16</v>
      </c>
      <c r="I1681" s="3">
        <v>2</v>
      </c>
      <c r="J1681" s="3" t="s">
        <v>14</v>
      </c>
      <c r="K1681" s="3" t="s">
        <v>14</v>
      </c>
      <c r="L1681" s="3" t="s">
        <v>14</v>
      </c>
      <c r="M1681" s="3" t="s">
        <v>14</v>
      </c>
      <c r="N1681" s="3" t="s">
        <v>14</v>
      </c>
      <c r="O1681" s="3">
        <v>1</v>
      </c>
    </row>
    <row r="1682" spans="1:15" ht="15" customHeight="1" x14ac:dyDescent="0.25">
      <c r="A1682" s="2">
        <v>10</v>
      </c>
      <c r="B1682" s="2" t="s">
        <v>10</v>
      </c>
      <c r="C1682" s="2" t="s">
        <v>19</v>
      </c>
      <c r="D1682" s="2" t="s">
        <v>106</v>
      </c>
      <c r="E1682" s="2">
        <v>0</v>
      </c>
      <c r="F1682" s="2">
        <v>0</v>
      </c>
      <c r="G1682" s="2" t="s">
        <v>10</v>
      </c>
      <c r="H1682" s="2" t="s">
        <v>12</v>
      </c>
      <c r="I1682" s="2">
        <v>2</v>
      </c>
      <c r="J1682" s="2" t="s">
        <v>14</v>
      </c>
      <c r="K1682" s="2" t="s">
        <v>14</v>
      </c>
      <c r="L1682" s="2" t="s">
        <v>14</v>
      </c>
      <c r="M1682" s="2" t="s">
        <v>14</v>
      </c>
      <c r="N1682" s="2" t="s">
        <v>14</v>
      </c>
      <c r="O1682" s="2">
        <v>1</v>
      </c>
    </row>
    <row r="1683" spans="1:15" ht="15" customHeight="1" x14ac:dyDescent="0.25">
      <c r="A1683" s="3">
        <v>10</v>
      </c>
      <c r="B1683" s="3" t="s">
        <v>10</v>
      </c>
      <c r="C1683" s="3" t="s">
        <v>19</v>
      </c>
      <c r="D1683" s="2" t="s">
        <v>106</v>
      </c>
      <c r="E1683" s="3">
        <v>0</v>
      </c>
      <c r="F1683" s="3">
        <v>0</v>
      </c>
      <c r="G1683" s="3" t="s">
        <v>10</v>
      </c>
      <c r="H1683" s="3" t="s">
        <v>12</v>
      </c>
      <c r="I1683" s="3" t="s">
        <v>15</v>
      </c>
      <c r="J1683" s="3" t="s">
        <v>14</v>
      </c>
      <c r="K1683" s="3" t="s">
        <v>14</v>
      </c>
      <c r="L1683" s="3" t="s">
        <v>14</v>
      </c>
      <c r="M1683" s="3" t="s">
        <v>14</v>
      </c>
      <c r="N1683" s="3" t="s">
        <v>14</v>
      </c>
      <c r="O1683" s="3">
        <v>1</v>
      </c>
    </row>
    <row r="1684" spans="1:15" ht="15" customHeight="1" x14ac:dyDescent="0.25">
      <c r="A1684" s="2">
        <v>5</v>
      </c>
      <c r="B1684" s="2" t="s">
        <v>14</v>
      </c>
      <c r="C1684" s="2" t="s">
        <v>19</v>
      </c>
      <c r="D1684" s="2" t="s">
        <v>106</v>
      </c>
      <c r="E1684" s="2">
        <v>0</v>
      </c>
      <c r="F1684" s="2">
        <v>0</v>
      </c>
      <c r="G1684" s="2" t="s">
        <v>10</v>
      </c>
      <c r="H1684" s="2" t="s">
        <v>12</v>
      </c>
      <c r="I1684" s="2">
        <v>2</v>
      </c>
      <c r="J1684" s="2" t="s">
        <v>14</v>
      </c>
      <c r="K1684" s="2" t="s">
        <v>14</v>
      </c>
      <c r="L1684" s="2" t="s">
        <v>14</v>
      </c>
      <c r="M1684" s="2" t="s">
        <v>14</v>
      </c>
      <c r="N1684" s="2" t="s">
        <v>14</v>
      </c>
      <c r="O1684" s="2">
        <v>1</v>
      </c>
    </row>
    <row r="1685" spans="1:15" ht="15" customHeight="1" x14ac:dyDescent="0.25">
      <c r="A1685" s="3">
        <v>10</v>
      </c>
      <c r="B1685" s="3" t="s">
        <v>10</v>
      </c>
      <c r="C1685" s="3" t="s">
        <v>19</v>
      </c>
      <c r="D1685" s="2" t="s">
        <v>106</v>
      </c>
      <c r="E1685" s="3">
        <v>0</v>
      </c>
      <c r="F1685" s="3">
        <v>0</v>
      </c>
      <c r="G1685" s="3" t="s">
        <v>10</v>
      </c>
      <c r="H1685" s="3" t="s">
        <v>12</v>
      </c>
      <c r="I1685" s="3" t="s">
        <v>15</v>
      </c>
      <c r="J1685" s="3" t="s">
        <v>14</v>
      </c>
      <c r="K1685" s="3" t="s">
        <v>14</v>
      </c>
      <c r="L1685" s="3" t="s">
        <v>14</v>
      </c>
      <c r="M1685" s="3" t="s">
        <v>14</v>
      </c>
      <c r="N1685" s="3" t="s">
        <v>14</v>
      </c>
      <c r="O1685" s="3">
        <v>1</v>
      </c>
    </row>
    <row r="1686" spans="1:15" ht="15" customHeight="1" x14ac:dyDescent="0.25">
      <c r="A1686" s="2">
        <v>5</v>
      </c>
      <c r="B1686" s="2" t="s">
        <v>18</v>
      </c>
      <c r="C1686" s="2" t="s">
        <v>19</v>
      </c>
      <c r="D1686" s="2" t="s">
        <v>106</v>
      </c>
      <c r="E1686" s="2">
        <v>0</v>
      </c>
      <c r="F1686" s="2">
        <v>0</v>
      </c>
      <c r="G1686" s="2" t="s">
        <v>10</v>
      </c>
      <c r="H1686" s="2" t="s">
        <v>12</v>
      </c>
      <c r="I1686" s="2">
        <v>1</v>
      </c>
      <c r="J1686" s="2" t="s">
        <v>14</v>
      </c>
      <c r="K1686" s="2" t="s">
        <v>13</v>
      </c>
      <c r="L1686" s="2" t="s">
        <v>13</v>
      </c>
      <c r="M1686" s="2" t="s">
        <v>14</v>
      </c>
      <c r="N1686" s="2" t="s">
        <v>14</v>
      </c>
      <c r="O1686" s="2">
        <v>0</v>
      </c>
    </row>
    <row r="1687" spans="1:15" ht="15" customHeight="1" x14ac:dyDescent="0.25">
      <c r="A1687" s="3">
        <v>5</v>
      </c>
      <c r="B1687" s="3" t="s">
        <v>10</v>
      </c>
      <c r="C1687" s="3" t="s">
        <v>19</v>
      </c>
      <c r="D1687" s="2" t="s">
        <v>106</v>
      </c>
      <c r="E1687" s="3">
        <v>1</v>
      </c>
      <c r="F1687" s="3">
        <v>1</v>
      </c>
      <c r="G1687" s="3" t="s">
        <v>10</v>
      </c>
      <c r="H1687" s="3" t="s">
        <v>12</v>
      </c>
      <c r="I1687" s="3" t="s">
        <v>15</v>
      </c>
      <c r="J1687" s="3" t="s">
        <v>14</v>
      </c>
      <c r="K1687" s="3" t="s">
        <v>14</v>
      </c>
      <c r="L1687" s="3" t="s">
        <v>14</v>
      </c>
      <c r="M1687" s="3" t="s">
        <v>14</v>
      </c>
      <c r="N1687" s="3" t="s">
        <v>14</v>
      </c>
      <c r="O1687" s="3">
        <v>0</v>
      </c>
    </row>
    <row r="1688" spans="1:15" ht="15" customHeight="1" x14ac:dyDescent="0.25">
      <c r="A1688" s="2">
        <v>10</v>
      </c>
      <c r="B1688" s="2" t="s">
        <v>14</v>
      </c>
      <c r="C1688" s="2" t="s">
        <v>20</v>
      </c>
      <c r="D1688" s="2" t="s">
        <v>106</v>
      </c>
      <c r="E1688" s="2">
        <v>0</v>
      </c>
      <c r="F1688" s="2">
        <v>0</v>
      </c>
      <c r="G1688" s="2" t="s">
        <v>10</v>
      </c>
      <c r="H1688" s="2" t="s">
        <v>12</v>
      </c>
      <c r="I1688" s="2">
        <v>2</v>
      </c>
      <c r="J1688" s="2" t="s">
        <v>14</v>
      </c>
      <c r="K1688" s="2" t="s">
        <v>14</v>
      </c>
      <c r="L1688" s="2" t="s">
        <v>14</v>
      </c>
      <c r="M1688" s="2" t="s">
        <v>14</v>
      </c>
      <c r="N1688" s="2" t="s">
        <v>14</v>
      </c>
      <c r="O1688" s="2">
        <v>1</v>
      </c>
    </row>
    <row r="1689" spans="1:15" ht="15" customHeight="1" x14ac:dyDescent="0.25">
      <c r="A1689" s="3">
        <v>10</v>
      </c>
      <c r="B1689" s="3" t="s">
        <v>10</v>
      </c>
      <c r="C1689" s="3" t="s">
        <v>19</v>
      </c>
      <c r="D1689" s="2" t="s">
        <v>106</v>
      </c>
      <c r="E1689" s="3">
        <v>0</v>
      </c>
      <c r="F1689" s="3">
        <v>1</v>
      </c>
      <c r="G1689" s="3" t="s">
        <v>17</v>
      </c>
      <c r="H1689" s="3" t="s">
        <v>106</v>
      </c>
      <c r="I1689" s="3">
        <v>1</v>
      </c>
      <c r="J1689" s="3" t="s">
        <v>14</v>
      </c>
      <c r="K1689" s="3" t="s">
        <v>13</v>
      </c>
      <c r="L1689" s="3" t="s">
        <v>13</v>
      </c>
      <c r="M1689" s="3" t="s">
        <v>13</v>
      </c>
      <c r="N1689" s="3" t="s">
        <v>14</v>
      </c>
      <c r="O1689" s="3">
        <v>0</v>
      </c>
    </row>
    <row r="1690" spans="1:15" ht="15" customHeight="1" x14ac:dyDescent="0.25">
      <c r="A1690" s="2">
        <v>10</v>
      </c>
      <c r="B1690" s="2" t="s">
        <v>10</v>
      </c>
      <c r="C1690" s="2" t="s">
        <v>19</v>
      </c>
      <c r="D1690" s="2" t="s">
        <v>106</v>
      </c>
      <c r="E1690" s="2">
        <v>0</v>
      </c>
      <c r="F1690" s="2">
        <v>1</v>
      </c>
      <c r="G1690" s="2" t="s">
        <v>17</v>
      </c>
      <c r="H1690" s="2" t="s">
        <v>106</v>
      </c>
      <c r="I1690" s="2">
        <v>1</v>
      </c>
      <c r="J1690" s="2" t="s">
        <v>14</v>
      </c>
      <c r="K1690" s="2" t="s">
        <v>13</v>
      </c>
      <c r="L1690" s="2" t="s">
        <v>13</v>
      </c>
      <c r="M1690" s="2" t="s">
        <v>13</v>
      </c>
      <c r="N1690" s="2" t="s">
        <v>14</v>
      </c>
      <c r="O1690" s="2">
        <v>1</v>
      </c>
    </row>
    <row r="1691" spans="1:15" ht="15" customHeight="1" x14ac:dyDescent="0.25">
      <c r="A1691" s="3">
        <v>10</v>
      </c>
      <c r="B1691" s="3" t="s">
        <v>18</v>
      </c>
      <c r="C1691" s="3" t="s">
        <v>19</v>
      </c>
      <c r="D1691" s="2" t="s">
        <v>106</v>
      </c>
      <c r="E1691" s="3">
        <v>0</v>
      </c>
      <c r="F1691" s="3">
        <v>1</v>
      </c>
      <c r="G1691" s="3" t="s">
        <v>10</v>
      </c>
      <c r="H1691" s="3" t="s">
        <v>12</v>
      </c>
      <c r="I1691" s="3">
        <v>1</v>
      </c>
      <c r="J1691" s="3" t="s">
        <v>14</v>
      </c>
      <c r="K1691" s="3" t="s">
        <v>13</v>
      </c>
      <c r="L1691" s="3" t="s">
        <v>13</v>
      </c>
      <c r="M1691" s="3" t="s">
        <v>13</v>
      </c>
      <c r="N1691" s="3" t="s">
        <v>14</v>
      </c>
      <c r="O1691" s="3">
        <v>1</v>
      </c>
    </row>
    <row r="1692" spans="1:15" ht="15" customHeight="1" x14ac:dyDescent="0.25">
      <c r="A1692" s="2">
        <v>20</v>
      </c>
      <c r="B1692" s="2" t="s">
        <v>10</v>
      </c>
      <c r="C1692" s="2" t="s">
        <v>19</v>
      </c>
      <c r="D1692" s="2" t="s">
        <v>106</v>
      </c>
      <c r="E1692" s="2">
        <v>0</v>
      </c>
      <c r="F1692" s="2">
        <v>0</v>
      </c>
      <c r="G1692" s="2" t="s">
        <v>10</v>
      </c>
      <c r="H1692" s="2" t="s">
        <v>12</v>
      </c>
      <c r="I1692" s="2">
        <v>2</v>
      </c>
      <c r="J1692" s="2" t="s">
        <v>14</v>
      </c>
      <c r="K1692" s="2" t="s">
        <v>13</v>
      </c>
      <c r="L1692" s="2" t="s">
        <v>14</v>
      </c>
      <c r="M1692" s="2" t="s">
        <v>14</v>
      </c>
      <c r="N1692" s="2" t="s">
        <v>14</v>
      </c>
      <c r="O1692" s="2">
        <v>0</v>
      </c>
    </row>
    <row r="1693" spans="1:15" ht="15" customHeight="1" x14ac:dyDescent="0.25">
      <c r="A1693" s="3">
        <v>10</v>
      </c>
      <c r="B1693" s="3" t="s">
        <v>18</v>
      </c>
      <c r="C1693" s="3" t="s">
        <v>19</v>
      </c>
      <c r="D1693" s="2" t="s">
        <v>106</v>
      </c>
      <c r="E1693" s="3">
        <v>0</v>
      </c>
      <c r="F1693" s="3">
        <v>2</v>
      </c>
      <c r="G1693" s="3" t="s">
        <v>10</v>
      </c>
      <c r="H1693" s="3" t="s">
        <v>12</v>
      </c>
      <c r="I1693" s="3" t="s">
        <v>15</v>
      </c>
      <c r="J1693" s="3" t="s">
        <v>14</v>
      </c>
      <c r="K1693" s="3" t="s">
        <v>13</v>
      </c>
      <c r="L1693" s="3" t="s">
        <v>14</v>
      </c>
      <c r="M1693" s="3" t="s">
        <v>14</v>
      </c>
      <c r="N1693" s="3" t="s">
        <v>14</v>
      </c>
      <c r="O1693" s="3">
        <v>1</v>
      </c>
    </row>
    <row r="1694" spans="1:15" ht="15" customHeight="1" x14ac:dyDescent="0.25">
      <c r="A1694" s="2">
        <v>5</v>
      </c>
      <c r="B1694" s="2" t="s">
        <v>14</v>
      </c>
      <c r="C1694" s="2" t="s">
        <v>19</v>
      </c>
      <c r="D1694" s="2" t="s">
        <v>106</v>
      </c>
      <c r="E1694" s="2">
        <v>0</v>
      </c>
      <c r="F1694" s="2">
        <v>0</v>
      </c>
      <c r="G1694" s="2" t="s">
        <v>10</v>
      </c>
      <c r="H1694" s="2" t="s">
        <v>12</v>
      </c>
      <c r="I1694" s="2" t="s">
        <v>15</v>
      </c>
      <c r="J1694" s="2" t="s">
        <v>14</v>
      </c>
      <c r="K1694" s="2" t="s">
        <v>14</v>
      </c>
      <c r="L1694" s="2" t="s">
        <v>14</v>
      </c>
      <c r="M1694" s="2" t="s">
        <v>14</v>
      </c>
      <c r="N1694" s="2" t="s">
        <v>14</v>
      </c>
      <c r="O1694" s="2">
        <v>1</v>
      </c>
    </row>
    <row r="1695" spans="1:15" ht="15" customHeight="1" x14ac:dyDescent="0.25">
      <c r="A1695" s="3">
        <v>10</v>
      </c>
      <c r="B1695" s="3" t="s">
        <v>10</v>
      </c>
      <c r="C1695" s="3" t="s">
        <v>19</v>
      </c>
      <c r="D1695" s="2" t="s">
        <v>106</v>
      </c>
      <c r="E1695" s="3">
        <v>0</v>
      </c>
      <c r="F1695" s="3">
        <v>0</v>
      </c>
      <c r="G1695" s="3" t="s">
        <v>10</v>
      </c>
      <c r="H1695" s="3" t="s">
        <v>12</v>
      </c>
      <c r="I1695" s="3">
        <v>2</v>
      </c>
      <c r="J1695" s="3" t="s">
        <v>14</v>
      </c>
      <c r="K1695" s="3" t="s">
        <v>14</v>
      </c>
      <c r="L1695" s="3" t="s">
        <v>14</v>
      </c>
      <c r="M1695" s="3" t="s">
        <v>14</v>
      </c>
      <c r="N1695" s="3" t="s">
        <v>14</v>
      </c>
      <c r="O1695" s="3">
        <v>1</v>
      </c>
    </row>
    <row r="1696" spans="1:15" ht="15" customHeight="1" x14ac:dyDescent="0.25">
      <c r="A1696" s="2">
        <v>10</v>
      </c>
      <c r="B1696" s="2" t="s">
        <v>14</v>
      </c>
      <c r="C1696" s="2" t="s">
        <v>19</v>
      </c>
      <c r="D1696" s="2" t="s">
        <v>106</v>
      </c>
      <c r="E1696" s="2">
        <v>0</v>
      </c>
      <c r="F1696" s="2">
        <v>0</v>
      </c>
      <c r="G1696" s="2" t="s">
        <v>10</v>
      </c>
      <c r="H1696" s="2" t="s">
        <v>12</v>
      </c>
      <c r="I1696" s="2" t="s">
        <v>15</v>
      </c>
      <c r="J1696" s="2" t="s">
        <v>14</v>
      </c>
      <c r="K1696" s="2" t="s">
        <v>14</v>
      </c>
      <c r="L1696" s="2" t="s">
        <v>14</v>
      </c>
      <c r="M1696" s="2" t="s">
        <v>14</v>
      </c>
      <c r="N1696" s="2" t="s">
        <v>14</v>
      </c>
      <c r="O1696" s="2">
        <v>1</v>
      </c>
    </row>
    <row r="1697" spans="1:16" ht="15" customHeight="1" x14ac:dyDescent="0.25">
      <c r="A1697" s="3">
        <v>10</v>
      </c>
      <c r="B1697" s="3" t="s">
        <v>14</v>
      </c>
      <c r="C1697" s="3" t="s">
        <v>19</v>
      </c>
      <c r="D1697" s="2" t="s">
        <v>106</v>
      </c>
      <c r="E1697" s="3">
        <v>0</v>
      </c>
      <c r="F1697" s="3">
        <v>0</v>
      </c>
      <c r="G1697" s="3" t="s">
        <v>10</v>
      </c>
      <c r="H1697" s="3" t="s">
        <v>12</v>
      </c>
      <c r="I1697" s="3" t="s">
        <v>15</v>
      </c>
      <c r="J1697" s="3" t="s">
        <v>14</v>
      </c>
      <c r="K1697" s="3" t="s">
        <v>14</v>
      </c>
      <c r="L1697" s="3" t="s">
        <v>14</v>
      </c>
      <c r="M1697" s="3" t="s">
        <v>14</v>
      </c>
      <c r="N1697" s="3" t="s">
        <v>14</v>
      </c>
      <c r="O1697" s="3">
        <v>1</v>
      </c>
    </row>
    <row r="1698" spans="1:16" ht="15" customHeight="1" x14ac:dyDescent="0.25">
      <c r="A1698" s="2">
        <v>10</v>
      </c>
      <c r="B1698" s="2" t="s">
        <v>18</v>
      </c>
      <c r="C1698" s="2" t="s">
        <v>20</v>
      </c>
      <c r="D1698" s="2" t="s">
        <v>106</v>
      </c>
      <c r="E1698" s="2">
        <v>0</v>
      </c>
      <c r="F1698" s="2">
        <v>0</v>
      </c>
      <c r="G1698" s="2" t="s">
        <v>10</v>
      </c>
      <c r="H1698" s="2" t="s">
        <v>12</v>
      </c>
      <c r="I1698" s="2" t="s">
        <v>15</v>
      </c>
      <c r="J1698" s="2" t="s">
        <v>14</v>
      </c>
      <c r="K1698" s="2" t="s">
        <v>14</v>
      </c>
      <c r="L1698" s="2" t="s">
        <v>14</v>
      </c>
      <c r="M1698" s="2" t="s">
        <v>14</v>
      </c>
      <c r="N1698" s="2" t="s">
        <v>14</v>
      </c>
      <c r="O1698" s="2">
        <v>1</v>
      </c>
    </row>
    <row r="1699" spans="1:16" ht="15" customHeight="1" x14ac:dyDescent="0.25">
      <c r="A1699" s="3">
        <v>5</v>
      </c>
      <c r="B1699" s="3" t="s">
        <v>18</v>
      </c>
      <c r="C1699" s="3" t="s">
        <v>20</v>
      </c>
      <c r="D1699" s="2" t="s">
        <v>106</v>
      </c>
      <c r="E1699" s="3">
        <v>0</v>
      </c>
      <c r="F1699" s="3">
        <v>0</v>
      </c>
      <c r="G1699" s="3" t="s">
        <v>10</v>
      </c>
      <c r="H1699" s="3" t="s">
        <v>12</v>
      </c>
      <c r="I1699" s="3">
        <v>2</v>
      </c>
      <c r="J1699" s="3" t="s">
        <v>14</v>
      </c>
      <c r="K1699" s="3" t="s">
        <v>14</v>
      </c>
      <c r="L1699" s="3" t="s">
        <v>14</v>
      </c>
      <c r="M1699" s="3" t="s">
        <v>14</v>
      </c>
      <c r="N1699" s="3" t="s">
        <v>14</v>
      </c>
      <c r="O1699" s="3">
        <v>1</v>
      </c>
    </row>
    <row r="1700" spans="1:16" ht="15" customHeight="1" x14ac:dyDescent="0.25">
      <c r="A1700" s="2">
        <v>20</v>
      </c>
      <c r="B1700" s="2" t="s">
        <v>10</v>
      </c>
      <c r="C1700" s="2" t="s">
        <v>19</v>
      </c>
      <c r="D1700" s="2" t="s">
        <v>106</v>
      </c>
      <c r="E1700" s="2">
        <v>0</v>
      </c>
      <c r="F1700" s="2">
        <v>2</v>
      </c>
      <c r="G1700" s="2" t="s">
        <v>10</v>
      </c>
      <c r="H1700" s="2" t="s">
        <v>12</v>
      </c>
      <c r="I1700" s="2">
        <v>2</v>
      </c>
      <c r="J1700" s="2" t="s">
        <v>13</v>
      </c>
      <c r="K1700" s="2" t="s">
        <v>13</v>
      </c>
      <c r="L1700" s="2" t="s">
        <v>14</v>
      </c>
      <c r="M1700" s="2" t="s">
        <v>14</v>
      </c>
      <c r="N1700" s="2" t="s">
        <v>14</v>
      </c>
      <c r="O1700" s="2">
        <v>1</v>
      </c>
    </row>
    <row r="1701" spans="1:16" ht="15" customHeight="1" x14ac:dyDescent="0.25">
      <c r="A1701" s="3">
        <v>5</v>
      </c>
      <c r="B1701" s="3" t="s">
        <v>10</v>
      </c>
      <c r="C1701" s="3" t="s">
        <v>11</v>
      </c>
      <c r="D1701" s="2" t="s">
        <v>106</v>
      </c>
      <c r="E1701" s="3">
        <v>0</v>
      </c>
      <c r="F1701" s="3">
        <v>0</v>
      </c>
      <c r="G1701" s="3" t="s">
        <v>10</v>
      </c>
      <c r="H1701" s="3" t="s">
        <v>12</v>
      </c>
      <c r="I1701" s="3" t="s">
        <v>15</v>
      </c>
      <c r="J1701" s="3" t="s">
        <v>14</v>
      </c>
      <c r="K1701" s="3" t="s">
        <v>14</v>
      </c>
      <c r="L1701" s="3" t="s">
        <v>14</v>
      </c>
      <c r="M1701" s="3" t="s">
        <v>14</v>
      </c>
      <c r="N1701" s="3" t="s">
        <v>14</v>
      </c>
      <c r="O1701" s="3">
        <v>1</v>
      </c>
      <c r="P1701" s="25" t="s">
        <v>108</v>
      </c>
    </row>
    <row r="1702" spans="1:16" ht="15" customHeight="1" x14ac:dyDescent="0.25">
      <c r="A1702" s="2">
        <v>10</v>
      </c>
      <c r="B1702" s="2" t="s">
        <v>14</v>
      </c>
      <c r="C1702" s="2" t="s">
        <v>19</v>
      </c>
      <c r="D1702" s="2" t="s">
        <v>106</v>
      </c>
      <c r="E1702" s="2">
        <v>0</v>
      </c>
      <c r="F1702" s="2">
        <v>1</v>
      </c>
      <c r="G1702" s="2" t="s">
        <v>10</v>
      </c>
      <c r="H1702" s="2" t="s">
        <v>16</v>
      </c>
      <c r="I1702" s="2">
        <v>1</v>
      </c>
      <c r="J1702" s="2" t="s">
        <v>14</v>
      </c>
      <c r="K1702" s="2" t="s">
        <v>14</v>
      </c>
      <c r="L1702" s="2" t="s">
        <v>14</v>
      </c>
      <c r="M1702" s="2" t="s">
        <v>14</v>
      </c>
      <c r="N1702" s="2" t="s">
        <v>14</v>
      </c>
      <c r="O1702" s="2">
        <v>0</v>
      </c>
    </row>
    <row r="1703" spans="1:16" ht="15" customHeight="1" x14ac:dyDescent="0.25">
      <c r="A1703" s="3">
        <v>10</v>
      </c>
      <c r="B1703" s="3" t="s">
        <v>18</v>
      </c>
      <c r="C1703" s="3" t="s">
        <v>19</v>
      </c>
      <c r="D1703" s="2" t="s">
        <v>106</v>
      </c>
      <c r="E1703" s="3">
        <v>0</v>
      </c>
      <c r="F1703" s="3">
        <v>0</v>
      </c>
      <c r="G1703" s="3" t="s">
        <v>10</v>
      </c>
      <c r="H1703" s="3" t="s">
        <v>16</v>
      </c>
      <c r="I1703" s="3" t="s">
        <v>15</v>
      </c>
      <c r="J1703" s="3" t="s">
        <v>14</v>
      </c>
      <c r="K1703" s="3" t="s">
        <v>14</v>
      </c>
      <c r="L1703" s="3" t="s">
        <v>14</v>
      </c>
      <c r="M1703" s="3" t="s">
        <v>14</v>
      </c>
      <c r="N1703" s="3" t="s">
        <v>14</v>
      </c>
      <c r="O1703" s="3">
        <v>1</v>
      </c>
    </row>
    <row r="1704" spans="1:16" ht="15" customHeight="1" x14ac:dyDescent="0.25">
      <c r="A1704" s="2">
        <v>5</v>
      </c>
      <c r="B1704" s="2" t="s">
        <v>10</v>
      </c>
      <c r="C1704" s="2" t="s">
        <v>19</v>
      </c>
      <c r="D1704" s="2" t="s">
        <v>106</v>
      </c>
      <c r="E1704" s="2">
        <v>0</v>
      </c>
      <c r="F1704" s="2">
        <v>0</v>
      </c>
      <c r="G1704" s="2" t="s">
        <v>10</v>
      </c>
      <c r="H1704" s="2" t="s">
        <v>12</v>
      </c>
      <c r="I1704" s="2">
        <v>2</v>
      </c>
      <c r="J1704" s="2" t="s">
        <v>14</v>
      </c>
      <c r="K1704" s="2" t="s">
        <v>14</v>
      </c>
      <c r="L1704" s="2" t="s">
        <v>14</v>
      </c>
      <c r="M1704" s="2" t="s">
        <v>14</v>
      </c>
      <c r="N1704" s="2" t="s">
        <v>14</v>
      </c>
      <c r="O1704" s="2">
        <v>1</v>
      </c>
    </row>
    <row r="1705" spans="1:16" ht="15" customHeight="1" x14ac:dyDescent="0.25">
      <c r="A1705" s="3">
        <v>5</v>
      </c>
      <c r="B1705" s="3" t="s">
        <v>18</v>
      </c>
      <c r="C1705" s="3" t="s">
        <v>19</v>
      </c>
      <c r="D1705" s="2" t="s">
        <v>106</v>
      </c>
      <c r="E1705" s="3">
        <v>0</v>
      </c>
      <c r="F1705" s="3">
        <v>0</v>
      </c>
      <c r="G1705" s="3" t="s">
        <v>10</v>
      </c>
      <c r="H1705" s="3" t="s">
        <v>12</v>
      </c>
      <c r="I1705" s="3" t="s">
        <v>15</v>
      </c>
      <c r="J1705" s="3" t="s">
        <v>14</v>
      </c>
      <c r="K1705" s="3" t="s">
        <v>14</v>
      </c>
      <c r="L1705" s="3" t="s">
        <v>14</v>
      </c>
      <c r="M1705" s="3" t="s">
        <v>14</v>
      </c>
      <c r="N1705" s="3" t="s">
        <v>14</v>
      </c>
      <c r="O1705" s="3">
        <v>1</v>
      </c>
    </row>
    <row r="1706" spans="1:16" ht="15" customHeight="1" x14ac:dyDescent="0.25">
      <c r="A1706" s="2">
        <v>10</v>
      </c>
      <c r="B1706" s="2" t="s">
        <v>18</v>
      </c>
      <c r="C1706" s="2" t="s">
        <v>20</v>
      </c>
      <c r="D1706" s="2" t="s">
        <v>106</v>
      </c>
      <c r="E1706" s="2">
        <v>0</v>
      </c>
      <c r="F1706" s="2">
        <v>0</v>
      </c>
      <c r="G1706" s="2" t="s">
        <v>10</v>
      </c>
      <c r="H1706" s="2" t="s">
        <v>12</v>
      </c>
      <c r="I1706" s="2">
        <v>2</v>
      </c>
      <c r="J1706" s="2" t="s">
        <v>14</v>
      </c>
      <c r="K1706" s="2" t="s">
        <v>14</v>
      </c>
      <c r="L1706" s="2" t="s">
        <v>14</v>
      </c>
      <c r="M1706" s="2" t="s">
        <v>14</v>
      </c>
      <c r="N1706" s="2" t="s">
        <v>14</v>
      </c>
      <c r="O1706" s="2">
        <v>1</v>
      </c>
    </row>
    <row r="1707" spans="1:16" ht="15" customHeight="1" x14ac:dyDescent="0.25">
      <c r="A1707" s="3">
        <v>10</v>
      </c>
      <c r="B1707" s="3" t="s">
        <v>14</v>
      </c>
      <c r="C1707" s="3" t="s">
        <v>20</v>
      </c>
      <c r="D1707" s="2" t="s">
        <v>106</v>
      </c>
      <c r="E1707" s="3">
        <v>0</v>
      </c>
      <c r="F1707" s="3">
        <v>0</v>
      </c>
      <c r="G1707" s="3" t="s">
        <v>10</v>
      </c>
      <c r="H1707" s="3" t="s">
        <v>12</v>
      </c>
      <c r="I1707" s="3">
        <v>2</v>
      </c>
      <c r="J1707" s="3" t="s">
        <v>14</v>
      </c>
      <c r="K1707" s="3" t="s">
        <v>14</v>
      </c>
      <c r="L1707" s="3" t="s">
        <v>14</v>
      </c>
      <c r="M1707" s="3" t="s">
        <v>14</v>
      </c>
      <c r="N1707" s="3" t="s">
        <v>14</v>
      </c>
      <c r="O1707" s="3">
        <v>1</v>
      </c>
    </row>
    <row r="1708" spans="1:16" ht="15" customHeight="1" x14ac:dyDescent="0.25">
      <c r="A1708" s="2">
        <v>10</v>
      </c>
      <c r="B1708" s="2" t="s">
        <v>10</v>
      </c>
      <c r="C1708" s="2" t="s">
        <v>19</v>
      </c>
      <c r="D1708" s="2" t="s">
        <v>106</v>
      </c>
      <c r="E1708" s="2">
        <v>0</v>
      </c>
      <c r="F1708" s="2">
        <v>0</v>
      </c>
      <c r="G1708" s="2" t="s">
        <v>10</v>
      </c>
      <c r="H1708" s="2" t="s">
        <v>12</v>
      </c>
      <c r="I1708" s="2">
        <v>2</v>
      </c>
      <c r="J1708" s="2" t="s">
        <v>14</v>
      </c>
      <c r="K1708" s="2" t="s">
        <v>14</v>
      </c>
      <c r="L1708" s="2" t="s">
        <v>14</v>
      </c>
      <c r="M1708" s="2" t="s">
        <v>14</v>
      </c>
      <c r="N1708" s="2" t="s">
        <v>14</v>
      </c>
      <c r="O1708" s="2">
        <v>1</v>
      </c>
    </row>
    <row r="1709" spans="1:16" ht="15" customHeight="1" x14ac:dyDescent="0.25">
      <c r="A1709" s="3">
        <v>5</v>
      </c>
      <c r="B1709" s="3" t="s">
        <v>18</v>
      </c>
      <c r="C1709" s="3" t="s">
        <v>20</v>
      </c>
      <c r="D1709" s="2" t="s">
        <v>106</v>
      </c>
      <c r="E1709" s="3">
        <v>0</v>
      </c>
      <c r="F1709" s="3">
        <v>0</v>
      </c>
      <c r="G1709" s="3" t="s">
        <v>10</v>
      </c>
      <c r="H1709" s="3" t="s">
        <v>12</v>
      </c>
      <c r="I1709" s="3">
        <v>2</v>
      </c>
      <c r="J1709" s="3" t="s">
        <v>14</v>
      </c>
      <c r="K1709" s="3" t="s">
        <v>14</v>
      </c>
      <c r="L1709" s="3" t="s">
        <v>14</v>
      </c>
      <c r="M1709" s="3" t="s">
        <v>14</v>
      </c>
      <c r="N1709" s="3" t="s">
        <v>14</v>
      </c>
      <c r="O1709" s="3">
        <v>1</v>
      </c>
    </row>
    <row r="1710" spans="1:16" ht="15" customHeight="1" x14ac:dyDescent="0.25">
      <c r="A1710" s="2">
        <v>20</v>
      </c>
      <c r="B1710" s="2" t="s">
        <v>10</v>
      </c>
      <c r="C1710" s="2" t="s">
        <v>19</v>
      </c>
      <c r="D1710" s="2" t="s">
        <v>106</v>
      </c>
      <c r="E1710" s="2">
        <v>0</v>
      </c>
      <c r="F1710" s="2">
        <v>1</v>
      </c>
      <c r="G1710" s="2" t="s">
        <v>10</v>
      </c>
      <c r="H1710" s="2" t="s">
        <v>16</v>
      </c>
      <c r="I1710" s="2">
        <v>2</v>
      </c>
      <c r="J1710" s="2" t="s">
        <v>14</v>
      </c>
      <c r="K1710" s="2" t="s">
        <v>14</v>
      </c>
      <c r="L1710" s="2" t="s">
        <v>14</v>
      </c>
      <c r="M1710" s="2" t="s">
        <v>13</v>
      </c>
      <c r="N1710" s="2" t="s">
        <v>14</v>
      </c>
      <c r="O1710" s="2">
        <v>1</v>
      </c>
    </row>
    <row r="1711" spans="1:16" ht="15" customHeight="1" x14ac:dyDescent="0.25">
      <c r="A1711" s="3">
        <v>5</v>
      </c>
      <c r="B1711" s="3" t="s">
        <v>10</v>
      </c>
      <c r="C1711" s="3" t="s">
        <v>19</v>
      </c>
      <c r="D1711" s="2" t="s">
        <v>106</v>
      </c>
      <c r="E1711" s="3">
        <v>0</v>
      </c>
      <c r="F1711" s="3">
        <v>1</v>
      </c>
      <c r="G1711" s="3" t="s">
        <v>17</v>
      </c>
      <c r="H1711" s="3" t="s">
        <v>106</v>
      </c>
      <c r="I1711" s="3">
        <v>1</v>
      </c>
      <c r="J1711" s="3" t="s">
        <v>14</v>
      </c>
      <c r="K1711" s="3" t="s">
        <v>13</v>
      </c>
      <c r="L1711" s="3" t="s">
        <v>13</v>
      </c>
      <c r="M1711" s="3" t="s">
        <v>13</v>
      </c>
      <c r="N1711" s="3" t="s">
        <v>14</v>
      </c>
      <c r="O1711" s="3">
        <v>1</v>
      </c>
    </row>
    <row r="1712" spans="1:16" ht="15" customHeight="1" x14ac:dyDescent="0.25">
      <c r="A1712" s="2">
        <v>5</v>
      </c>
      <c r="B1712" s="2" t="s">
        <v>10</v>
      </c>
      <c r="C1712" s="2" t="s">
        <v>11</v>
      </c>
      <c r="D1712" s="2" t="s">
        <v>106</v>
      </c>
      <c r="E1712" s="2">
        <v>0</v>
      </c>
      <c r="F1712" s="2">
        <v>2</v>
      </c>
      <c r="G1712" s="2" t="s">
        <v>10</v>
      </c>
      <c r="H1712" s="2" t="s">
        <v>16</v>
      </c>
      <c r="I1712" s="2">
        <v>2</v>
      </c>
      <c r="J1712" s="2" t="s">
        <v>13</v>
      </c>
      <c r="K1712" s="2" t="s">
        <v>13</v>
      </c>
      <c r="L1712" s="2" t="s">
        <v>14</v>
      </c>
      <c r="M1712" s="2" t="s">
        <v>14</v>
      </c>
      <c r="N1712" s="2" t="s">
        <v>14</v>
      </c>
      <c r="O1712" s="2">
        <v>1</v>
      </c>
    </row>
    <row r="1713" spans="1:15" ht="15" customHeight="1" x14ac:dyDescent="0.25">
      <c r="A1713" s="3">
        <v>5</v>
      </c>
      <c r="B1713" s="3" t="s">
        <v>18</v>
      </c>
      <c r="C1713" s="3" t="s">
        <v>11</v>
      </c>
      <c r="D1713" s="2" t="s">
        <v>106</v>
      </c>
      <c r="E1713" s="3">
        <v>2</v>
      </c>
      <c r="F1713" s="3">
        <v>1</v>
      </c>
      <c r="G1713" s="3" t="s">
        <v>10</v>
      </c>
      <c r="H1713" s="3" t="s">
        <v>16</v>
      </c>
      <c r="I1713" s="3" t="s">
        <v>15</v>
      </c>
      <c r="J1713" s="3" t="s">
        <v>14</v>
      </c>
      <c r="K1713" s="3" t="s">
        <v>14</v>
      </c>
      <c r="L1713" s="3" t="s">
        <v>14</v>
      </c>
      <c r="M1713" s="3" t="s">
        <v>14</v>
      </c>
      <c r="N1713" s="3" t="s">
        <v>14</v>
      </c>
      <c r="O1713" s="3">
        <v>0</v>
      </c>
    </row>
    <row r="1714" spans="1:15" ht="15" customHeight="1" x14ac:dyDescent="0.25">
      <c r="A1714" s="2">
        <v>20</v>
      </c>
      <c r="B1714" s="2" t="s">
        <v>10</v>
      </c>
      <c r="C1714" s="2" t="s">
        <v>19</v>
      </c>
      <c r="D1714" s="2" t="s">
        <v>106</v>
      </c>
      <c r="E1714" s="2">
        <v>0</v>
      </c>
      <c r="F1714" s="2">
        <v>0</v>
      </c>
      <c r="G1714" s="2" t="s">
        <v>10</v>
      </c>
      <c r="H1714" s="2" t="s">
        <v>12</v>
      </c>
      <c r="I1714" s="2">
        <v>2</v>
      </c>
      <c r="J1714" s="2" t="s">
        <v>14</v>
      </c>
      <c r="K1714" s="2" t="s">
        <v>14</v>
      </c>
      <c r="L1714" s="2" t="s">
        <v>14</v>
      </c>
      <c r="M1714" s="2" t="s">
        <v>13</v>
      </c>
      <c r="N1714" s="2" t="s">
        <v>14</v>
      </c>
      <c r="O1714" s="2">
        <v>1</v>
      </c>
    </row>
    <row r="1715" spans="1:15" ht="15" customHeight="1" x14ac:dyDescent="0.25">
      <c r="A1715" s="3">
        <v>10</v>
      </c>
      <c r="B1715" s="3" t="s">
        <v>18</v>
      </c>
      <c r="C1715" s="3" t="s">
        <v>20</v>
      </c>
      <c r="D1715" s="2" t="s">
        <v>106</v>
      </c>
      <c r="E1715" s="3">
        <v>0</v>
      </c>
      <c r="F1715" s="3">
        <v>0</v>
      </c>
      <c r="G1715" s="3" t="s">
        <v>10</v>
      </c>
      <c r="H1715" s="3" t="s">
        <v>12</v>
      </c>
      <c r="I1715" s="3">
        <v>2</v>
      </c>
      <c r="J1715" s="3" t="s">
        <v>14</v>
      </c>
      <c r="K1715" s="3" t="s">
        <v>13</v>
      </c>
      <c r="L1715" s="3" t="s">
        <v>13</v>
      </c>
      <c r="M1715" s="3" t="s">
        <v>14</v>
      </c>
      <c r="N1715" s="3" t="s">
        <v>14</v>
      </c>
      <c r="O1715" s="3">
        <v>1</v>
      </c>
    </row>
    <row r="1716" spans="1:15" ht="15" customHeight="1" x14ac:dyDescent="0.25">
      <c r="A1716" s="2">
        <v>30</v>
      </c>
      <c r="B1716" s="2" t="s">
        <v>10</v>
      </c>
      <c r="C1716" s="2" t="s">
        <v>19</v>
      </c>
      <c r="D1716" s="2" t="s">
        <v>106</v>
      </c>
      <c r="E1716" s="2">
        <v>0</v>
      </c>
      <c r="F1716" s="2">
        <v>2</v>
      </c>
      <c r="G1716" s="2" t="s">
        <v>10</v>
      </c>
      <c r="H1716" s="2" t="s">
        <v>16</v>
      </c>
      <c r="I1716" s="2" t="s">
        <v>15</v>
      </c>
      <c r="J1716" s="2" t="s">
        <v>14</v>
      </c>
      <c r="K1716" s="2" t="s">
        <v>14</v>
      </c>
      <c r="L1716" s="2" t="s">
        <v>14</v>
      </c>
      <c r="M1716" s="2" t="s">
        <v>13</v>
      </c>
      <c r="N1716" s="2" t="s">
        <v>13</v>
      </c>
      <c r="O1716" s="2">
        <v>0</v>
      </c>
    </row>
    <row r="1717" spans="1:15" ht="15" customHeight="1" x14ac:dyDescent="0.25">
      <c r="A1717" s="3">
        <v>30</v>
      </c>
      <c r="B1717" s="3" t="s">
        <v>10</v>
      </c>
      <c r="C1717" s="3" t="s">
        <v>11</v>
      </c>
      <c r="D1717" s="2" t="s">
        <v>106</v>
      </c>
      <c r="E1717" s="3">
        <v>0</v>
      </c>
      <c r="F1717" s="3">
        <v>1</v>
      </c>
      <c r="G1717" s="3" t="s">
        <v>10</v>
      </c>
      <c r="H1717" s="3" t="s">
        <v>12</v>
      </c>
      <c r="I1717" s="3">
        <v>2</v>
      </c>
      <c r="J1717" s="3" t="s">
        <v>13</v>
      </c>
      <c r="K1717" s="3" t="s">
        <v>13</v>
      </c>
      <c r="L1717" s="3" t="s">
        <v>13</v>
      </c>
      <c r="M1717" s="3" t="s">
        <v>13</v>
      </c>
      <c r="N1717" s="3" t="s">
        <v>14</v>
      </c>
      <c r="O1717" s="3">
        <v>1</v>
      </c>
    </row>
    <row r="1718" spans="1:15" ht="15" customHeight="1" x14ac:dyDescent="0.25">
      <c r="A1718" s="2">
        <v>10</v>
      </c>
      <c r="B1718" s="2" t="s">
        <v>18</v>
      </c>
      <c r="C1718" s="2" t="s">
        <v>19</v>
      </c>
      <c r="D1718" s="2" t="s">
        <v>106</v>
      </c>
      <c r="E1718" s="2">
        <v>0</v>
      </c>
      <c r="F1718" s="2">
        <v>0</v>
      </c>
      <c r="G1718" s="2" t="s">
        <v>10</v>
      </c>
      <c r="H1718" s="2" t="s">
        <v>12</v>
      </c>
      <c r="I1718" s="2">
        <v>2</v>
      </c>
      <c r="J1718" s="2" t="s">
        <v>14</v>
      </c>
      <c r="K1718" s="2" t="s">
        <v>14</v>
      </c>
      <c r="L1718" s="2" t="s">
        <v>14</v>
      </c>
      <c r="M1718" s="2" t="s">
        <v>14</v>
      </c>
      <c r="N1718" s="2" t="s">
        <v>14</v>
      </c>
      <c r="O1718" s="2">
        <v>1</v>
      </c>
    </row>
    <row r="1719" spans="1:15" ht="15" customHeight="1" x14ac:dyDescent="0.25">
      <c r="A1719" s="3">
        <v>10</v>
      </c>
      <c r="B1719" s="3" t="s">
        <v>10</v>
      </c>
      <c r="C1719" s="3" t="s">
        <v>19</v>
      </c>
      <c r="D1719" s="2" t="s">
        <v>106</v>
      </c>
      <c r="E1719" s="3">
        <v>0</v>
      </c>
      <c r="F1719" s="3">
        <v>0</v>
      </c>
      <c r="G1719" s="3" t="s">
        <v>10</v>
      </c>
      <c r="H1719" s="3" t="s">
        <v>12</v>
      </c>
      <c r="I1719" s="3" t="s">
        <v>15</v>
      </c>
      <c r="J1719" s="3" t="s">
        <v>14</v>
      </c>
      <c r="K1719" s="3" t="s">
        <v>14</v>
      </c>
      <c r="L1719" s="3" t="s">
        <v>14</v>
      </c>
      <c r="M1719" s="3" t="s">
        <v>14</v>
      </c>
      <c r="N1719" s="3" t="s">
        <v>14</v>
      </c>
      <c r="O1719" s="3">
        <v>1</v>
      </c>
    </row>
    <row r="1720" spans="1:15" ht="15" customHeight="1" x14ac:dyDescent="0.25">
      <c r="A1720" s="2">
        <v>10</v>
      </c>
      <c r="B1720" s="2" t="s">
        <v>18</v>
      </c>
      <c r="C1720" s="2" t="s">
        <v>19</v>
      </c>
      <c r="D1720" s="2" t="s">
        <v>106</v>
      </c>
      <c r="E1720" s="2">
        <v>0</v>
      </c>
      <c r="F1720" s="2">
        <v>0</v>
      </c>
      <c r="G1720" s="2" t="s">
        <v>10</v>
      </c>
      <c r="H1720" s="2" t="s">
        <v>12</v>
      </c>
      <c r="I1720" s="2">
        <v>2</v>
      </c>
      <c r="J1720" s="2" t="s">
        <v>14</v>
      </c>
      <c r="K1720" s="2" t="s">
        <v>14</v>
      </c>
      <c r="L1720" s="2" t="s">
        <v>14</v>
      </c>
      <c r="M1720" s="2" t="s">
        <v>14</v>
      </c>
      <c r="N1720" s="2" t="s">
        <v>14</v>
      </c>
      <c r="O1720" s="2">
        <v>1</v>
      </c>
    </row>
    <row r="1721" spans="1:15" ht="15" customHeight="1" x14ac:dyDescent="0.25">
      <c r="A1721" s="3">
        <v>10</v>
      </c>
      <c r="B1721" s="3" t="s">
        <v>18</v>
      </c>
      <c r="C1721" s="3" t="s">
        <v>19</v>
      </c>
      <c r="D1721" s="2" t="s">
        <v>106</v>
      </c>
      <c r="E1721" s="3">
        <v>0</v>
      </c>
      <c r="F1721" s="3">
        <v>0</v>
      </c>
      <c r="G1721" s="3" t="s">
        <v>10</v>
      </c>
      <c r="H1721" s="3" t="s">
        <v>12</v>
      </c>
      <c r="I1721" s="3">
        <v>2</v>
      </c>
      <c r="J1721" s="3" t="s">
        <v>14</v>
      </c>
      <c r="K1721" s="3" t="s">
        <v>14</v>
      </c>
      <c r="L1721" s="3" t="s">
        <v>14</v>
      </c>
      <c r="M1721" s="3" t="s">
        <v>14</v>
      </c>
      <c r="N1721" s="3" t="s">
        <v>14</v>
      </c>
      <c r="O1721" s="3">
        <v>1</v>
      </c>
    </row>
    <row r="1722" spans="1:15" ht="15" customHeight="1" x14ac:dyDescent="0.25">
      <c r="A1722" s="2">
        <v>5</v>
      </c>
      <c r="B1722" s="2" t="s">
        <v>14</v>
      </c>
      <c r="C1722" s="2" t="s">
        <v>19</v>
      </c>
      <c r="D1722" s="2" t="s">
        <v>106</v>
      </c>
      <c r="E1722" s="2">
        <v>0</v>
      </c>
      <c r="F1722" s="2">
        <v>0</v>
      </c>
      <c r="G1722" s="2" t="s">
        <v>10</v>
      </c>
      <c r="H1722" s="2" t="s">
        <v>12</v>
      </c>
      <c r="I1722" s="2" t="s">
        <v>15</v>
      </c>
      <c r="J1722" s="2" t="s">
        <v>14</v>
      </c>
      <c r="K1722" s="2" t="s">
        <v>14</v>
      </c>
      <c r="L1722" s="2" t="s">
        <v>14</v>
      </c>
      <c r="M1722" s="2" t="s">
        <v>14</v>
      </c>
      <c r="N1722" s="2" t="s">
        <v>14</v>
      </c>
      <c r="O1722" s="2">
        <v>1</v>
      </c>
    </row>
    <row r="1723" spans="1:15" ht="15" customHeight="1" x14ac:dyDescent="0.25">
      <c r="A1723" s="3">
        <v>10</v>
      </c>
      <c r="B1723" s="3" t="s">
        <v>18</v>
      </c>
      <c r="C1723" s="3" t="s">
        <v>19</v>
      </c>
      <c r="D1723" s="2" t="s">
        <v>106</v>
      </c>
      <c r="E1723" s="3">
        <v>0</v>
      </c>
      <c r="F1723" s="3">
        <v>0</v>
      </c>
      <c r="G1723" s="3" t="s">
        <v>10</v>
      </c>
      <c r="H1723" s="3" t="s">
        <v>12</v>
      </c>
      <c r="I1723" s="3">
        <v>2</v>
      </c>
      <c r="J1723" s="3" t="s">
        <v>14</v>
      </c>
      <c r="K1723" s="3" t="s">
        <v>14</v>
      </c>
      <c r="L1723" s="3" t="s">
        <v>14</v>
      </c>
      <c r="M1723" s="3" t="s">
        <v>14</v>
      </c>
      <c r="N1723" s="3" t="s">
        <v>14</v>
      </c>
      <c r="O1723" s="3">
        <v>1</v>
      </c>
    </row>
    <row r="1724" spans="1:15" ht="15" customHeight="1" x14ac:dyDescent="0.25">
      <c r="A1724" s="2">
        <v>5</v>
      </c>
      <c r="B1724" s="2" t="s">
        <v>14</v>
      </c>
      <c r="C1724" s="2" t="s">
        <v>19</v>
      </c>
      <c r="D1724" s="2" t="s">
        <v>106</v>
      </c>
      <c r="E1724" s="2">
        <v>0</v>
      </c>
      <c r="F1724" s="2">
        <v>0</v>
      </c>
      <c r="G1724" s="2" t="s">
        <v>10</v>
      </c>
      <c r="H1724" s="2" t="s">
        <v>12</v>
      </c>
      <c r="I1724" s="2">
        <v>2</v>
      </c>
      <c r="J1724" s="2" t="s">
        <v>14</v>
      </c>
      <c r="K1724" s="2" t="s">
        <v>14</v>
      </c>
      <c r="L1724" s="2" t="s">
        <v>14</v>
      </c>
      <c r="M1724" s="2" t="s">
        <v>14</v>
      </c>
      <c r="N1724" s="2" t="s">
        <v>14</v>
      </c>
      <c r="O1724" s="2">
        <v>1</v>
      </c>
    </row>
    <row r="1725" spans="1:15" ht="15" customHeight="1" x14ac:dyDescent="0.25">
      <c r="A1725" s="3">
        <v>20</v>
      </c>
      <c r="B1725" s="3" t="s">
        <v>10</v>
      </c>
      <c r="C1725" s="3" t="s">
        <v>19</v>
      </c>
      <c r="D1725" s="2" t="s">
        <v>106</v>
      </c>
      <c r="E1725" s="3">
        <v>0</v>
      </c>
      <c r="F1725" s="3">
        <v>0</v>
      </c>
      <c r="G1725" s="3" t="s">
        <v>10</v>
      </c>
      <c r="H1725" s="3" t="s">
        <v>12</v>
      </c>
      <c r="I1725" s="3">
        <v>2</v>
      </c>
      <c r="J1725" s="3" t="s">
        <v>14</v>
      </c>
      <c r="K1725" s="3" t="s">
        <v>14</v>
      </c>
      <c r="L1725" s="3" t="s">
        <v>14</v>
      </c>
      <c r="M1725" s="3" t="s">
        <v>14</v>
      </c>
      <c r="N1725" s="3" t="s">
        <v>14</v>
      </c>
      <c r="O1725" s="3">
        <v>1</v>
      </c>
    </row>
    <row r="1726" spans="1:15" ht="15" customHeight="1" x14ac:dyDescent="0.25">
      <c r="A1726" s="2">
        <v>10</v>
      </c>
      <c r="B1726" s="2" t="s">
        <v>18</v>
      </c>
      <c r="C1726" s="2" t="s">
        <v>19</v>
      </c>
      <c r="D1726" s="2" t="s">
        <v>106</v>
      </c>
      <c r="E1726" s="2">
        <v>0</v>
      </c>
      <c r="F1726" s="2">
        <v>0</v>
      </c>
      <c r="G1726" s="2" t="s">
        <v>10</v>
      </c>
      <c r="H1726" s="2" t="s">
        <v>12</v>
      </c>
      <c r="I1726" s="2" t="s">
        <v>15</v>
      </c>
      <c r="J1726" s="2" t="s">
        <v>14</v>
      </c>
      <c r="K1726" s="2" t="s">
        <v>14</v>
      </c>
      <c r="L1726" s="2" t="s">
        <v>14</v>
      </c>
      <c r="M1726" s="2" t="s">
        <v>14</v>
      </c>
      <c r="N1726" s="2" t="s">
        <v>14</v>
      </c>
      <c r="O1726" s="2">
        <v>1</v>
      </c>
    </row>
    <row r="1727" spans="1:15" ht="15" customHeight="1" x14ac:dyDescent="0.25">
      <c r="A1727" s="3">
        <v>5</v>
      </c>
      <c r="B1727" s="3" t="s">
        <v>18</v>
      </c>
      <c r="C1727" s="3" t="s">
        <v>19</v>
      </c>
      <c r="D1727" s="2" t="s">
        <v>106</v>
      </c>
      <c r="E1727" s="3">
        <v>0</v>
      </c>
      <c r="F1727" s="3">
        <v>0</v>
      </c>
      <c r="G1727" s="3" t="s">
        <v>10</v>
      </c>
      <c r="H1727" s="3" t="s">
        <v>12</v>
      </c>
      <c r="I1727" s="3" t="s">
        <v>15</v>
      </c>
      <c r="J1727" s="3" t="s">
        <v>14</v>
      </c>
      <c r="K1727" s="3" t="s">
        <v>14</v>
      </c>
      <c r="L1727" s="3" t="s">
        <v>14</v>
      </c>
      <c r="M1727" s="3" t="s">
        <v>14</v>
      </c>
      <c r="N1727" s="3" t="s">
        <v>14</v>
      </c>
      <c r="O1727" s="3">
        <v>1</v>
      </c>
    </row>
    <row r="1728" spans="1:15" ht="15" customHeight="1" x14ac:dyDescent="0.25">
      <c r="A1728" s="2">
        <v>20</v>
      </c>
      <c r="B1728" s="2" t="s">
        <v>10</v>
      </c>
      <c r="C1728" s="2" t="s">
        <v>19</v>
      </c>
      <c r="D1728" s="2" t="s">
        <v>106</v>
      </c>
      <c r="E1728" s="2">
        <v>0</v>
      </c>
      <c r="F1728" s="2">
        <v>0</v>
      </c>
      <c r="G1728" s="2" t="s">
        <v>10</v>
      </c>
      <c r="H1728" s="2" t="s">
        <v>12</v>
      </c>
      <c r="I1728" s="2" t="s">
        <v>15</v>
      </c>
      <c r="J1728" s="2" t="s">
        <v>14</v>
      </c>
      <c r="K1728" s="2" t="s">
        <v>14</v>
      </c>
      <c r="L1728" s="2" t="s">
        <v>14</v>
      </c>
      <c r="M1728" s="2" t="s">
        <v>14</v>
      </c>
      <c r="N1728" s="2" t="s">
        <v>14</v>
      </c>
      <c r="O1728" s="2">
        <v>1</v>
      </c>
    </row>
    <row r="1729" spans="1:15" ht="15" customHeight="1" x14ac:dyDescent="0.25">
      <c r="A1729" s="3">
        <v>10</v>
      </c>
      <c r="B1729" s="3" t="s">
        <v>14</v>
      </c>
      <c r="C1729" s="3" t="s">
        <v>11</v>
      </c>
      <c r="D1729" s="2" t="s">
        <v>106</v>
      </c>
      <c r="E1729" s="3">
        <v>0</v>
      </c>
      <c r="F1729" s="3">
        <v>0</v>
      </c>
      <c r="G1729" s="3" t="s">
        <v>10</v>
      </c>
      <c r="H1729" s="3" t="s">
        <v>12</v>
      </c>
      <c r="I1729" s="3" t="s">
        <v>15</v>
      </c>
      <c r="J1729" s="3" t="s">
        <v>14</v>
      </c>
      <c r="K1729" s="3" t="s">
        <v>14</v>
      </c>
      <c r="L1729" s="3" t="s">
        <v>14</v>
      </c>
      <c r="M1729" s="3" t="s">
        <v>14</v>
      </c>
      <c r="N1729" s="3" t="s">
        <v>14</v>
      </c>
      <c r="O1729" s="3">
        <v>1</v>
      </c>
    </row>
    <row r="1730" spans="1:15" ht="15" customHeight="1" x14ac:dyDescent="0.25">
      <c r="A1730" s="2">
        <v>5</v>
      </c>
      <c r="B1730" s="2" t="s">
        <v>10</v>
      </c>
      <c r="C1730" s="2" t="s">
        <v>11</v>
      </c>
      <c r="D1730" s="2" t="s">
        <v>106</v>
      </c>
      <c r="E1730" s="2">
        <v>1</v>
      </c>
      <c r="F1730" s="2">
        <v>0</v>
      </c>
      <c r="G1730" s="2" t="s">
        <v>10</v>
      </c>
      <c r="H1730" s="2" t="s">
        <v>12</v>
      </c>
      <c r="I1730" s="2">
        <v>1</v>
      </c>
      <c r="J1730" s="2" t="s">
        <v>13</v>
      </c>
      <c r="K1730" s="2" t="s">
        <v>14</v>
      </c>
      <c r="L1730" s="2" t="s">
        <v>14</v>
      </c>
      <c r="M1730" s="2" t="s">
        <v>14</v>
      </c>
      <c r="N1730" s="2" t="s">
        <v>14</v>
      </c>
      <c r="O1730" s="2">
        <v>0</v>
      </c>
    </row>
    <row r="1731" spans="1:15" ht="15" customHeight="1" x14ac:dyDescent="0.25">
      <c r="A1731" s="3">
        <v>0</v>
      </c>
      <c r="B1731" s="3" t="s">
        <v>10</v>
      </c>
      <c r="C1731" s="3" t="s">
        <v>11</v>
      </c>
      <c r="D1731" s="2" t="s">
        <v>106</v>
      </c>
      <c r="E1731" s="3">
        <v>1</v>
      </c>
      <c r="F1731" s="3">
        <v>0</v>
      </c>
      <c r="G1731" s="3" t="s">
        <v>10</v>
      </c>
      <c r="H1731" s="3" t="s">
        <v>16</v>
      </c>
      <c r="I1731" s="3">
        <v>1</v>
      </c>
      <c r="J1731" s="3" t="s">
        <v>14</v>
      </c>
      <c r="K1731" s="3" t="s">
        <v>14</v>
      </c>
      <c r="L1731" s="3" t="s">
        <v>14</v>
      </c>
      <c r="M1731" s="3" t="s">
        <v>14</v>
      </c>
      <c r="N1731" s="3" t="s">
        <v>14</v>
      </c>
      <c r="O1731" s="3">
        <v>0</v>
      </c>
    </row>
    <row r="1732" spans="1:15" ht="15" customHeight="1" x14ac:dyDescent="0.25">
      <c r="A1732" s="2">
        <v>10</v>
      </c>
      <c r="B1732" s="2" t="s">
        <v>10</v>
      </c>
      <c r="C1732" s="2" t="s">
        <v>20</v>
      </c>
      <c r="D1732" s="2" t="s">
        <v>106</v>
      </c>
      <c r="E1732" s="2">
        <v>1</v>
      </c>
      <c r="F1732" s="2">
        <v>1</v>
      </c>
      <c r="G1732" s="2" t="s">
        <v>10</v>
      </c>
      <c r="H1732" s="2" t="s">
        <v>16</v>
      </c>
      <c r="I1732" s="2">
        <v>1</v>
      </c>
      <c r="J1732" s="2" t="s">
        <v>14</v>
      </c>
      <c r="K1732" s="2" t="s">
        <v>14</v>
      </c>
      <c r="L1732" s="2" t="s">
        <v>14</v>
      </c>
      <c r="M1732" s="2" t="s">
        <v>14</v>
      </c>
      <c r="N1732" s="2" t="s">
        <v>14</v>
      </c>
      <c r="O1732" s="2">
        <v>0</v>
      </c>
    </row>
    <row r="1733" spans="1:15" ht="15" customHeight="1" x14ac:dyDescent="0.25">
      <c r="A1733" s="3">
        <v>5</v>
      </c>
      <c r="B1733" s="3" t="s">
        <v>10</v>
      </c>
      <c r="C1733" s="3" t="s">
        <v>11</v>
      </c>
      <c r="D1733" s="2" t="s">
        <v>106</v>
      </c>
      <c r="E1733" s="3">
        <v>0</v>
      </c>
      <c r="F1733" s="3">
        <v>0</v>
      </c>
      <c r="G1733" s="3" t="s">
        <v>10</v>
      </c>
      <c r="H1733" s="3" t="s">
        <v>12</v>
      </c>
      <c r="I1733" s="3">
        <v>1</v>
      </c>
      <c r="J1733" s="3" t="s">
        <v>14</v>
      </c>
      <c r="K1733" s="3" t="s">
        <v>13</v>
      </c>
      <c r="L1733" s="3" t="s">
        <v>13</v>
      </c>
      <c r="M1733" s="3" t="s">
        <v>13</v>
      </c>
      <c r="N1733" s="3" t="s">
        <v>14</v>
      </c>
      <c r="O1733" s="3">
        <v>1</v>
      </c>
    </row>
    <row r="1734" spans="1:15" ht="15" customHeight="1" x14ac:dyDescent="0.25">
      <c r="A1734" s="2">
        <v>10</v>
      </c>
      <c r="B1734" s="2" t="s">
        <v>18</v>
      </c>
      <c r="C1734" s="2" t="s">
        <v>19</v>
      </c>
      <c r="D1734" s="2" t="s">
        <v>106</v>
      </c>
      <c r="E1734" s="2">
        <v>0</v>
      </c>
      <c r="F1734" s="2">
        <v>0</v>
      </c>
      <c r="G1734" s="2" t="s">
        <v>10</v>
      </c>
      <c r="H1734" s="2" t="s">
        <v>12</v>
      </c>
      <c r="I1734" s="2" t="s">
        <v>15</v>
      </c>
      <c r="J1734" s="2" t="s">
        <v>14</v>
      </c>
      <c r="K1734" s="2" t="s">
        <v>14</v>
      </c>
      <c r="L1734" s="2" t="s">
        <v>14</v>
      </c>
      <c r="M1734" s="2" t="s">
        <v>14</v>
      </c>
      <c r="N1734" s="2" t="s">
        <v>14</v>
      </c>
      <c r="O1734" s="2">
        <v>1</v>
      </c>
    </row>
    <row r="1735" spans="1:15" ht="15" customHeight="1" x14ac:dyDescent="0.25">
      <c r="A1735" s="3">
        <v>10</v>
      </c>
      <c r="B1735" s="3" t="s">
        <v>10</v>
      </c>
      <c r="C1735" s="3" t="s">
        <v>11</v>
      </c>
      <c r="D1735" s="2" t="s">
        <v>106</v>
      </c>
      <c r="E1735" s="3">
        <v>1</v>
      </c>
      <c r="F1735" s="3">
        <v>1</v>
      </c>
      <c r="G1735" s="3" t="s">
        <v>10</v>
      </c>
      <c r="H1735" s="3" t="s">
        <v>12</v>
      </c>
      <c r="I1735" s="3">
        <v>2</v>
      </c>
      <c r="J1735" s="3" t="s">
        <v>14</v>
      </c>
      <c r="K1735" s="3" t="s">
        <v>14</v>
      </c>
      <c r="L1735" s="3" t="s">
        <v>14</v>
      </c>
      <c r="M1735" s="3" t="s">
        <v>13</v>
      </c>
      <c r="N1735" s="3" t="s">
        <v>14</v>
      </c>
      <c r="O1735" s="3">
        <v>0</v>
      </c>
    </row>
    <row r="1736" spans="1:15" ht="15" customHeight="1" x14ac:dyDescent="0.25">
      <c r="A1736" s="2">
        <v>5</v>
      </c>
      <c r="B1736" s="2" t="s">
        <v>14</v>
      </c>
      <c r="C1736" s="2" t="s">
        <v>20</v>
      </c>
      <c r="D1736" s="2" t="s">
        <v>106</v>
      </c>
      <c r="E1736" s="2">
        <v>0</v>
      </c>
      <c r="F1736" s="2">
        <v>0</v>
      </c>
      <c r="G1736" s="2" t="s">
        <v>10</v>
      </c>
      <c r="H1736" s="2" t="s">
        <v>12</v>
      </c>
      <c r="I1736" s="2" t="s">
        <v>15</v>
      </c>
      <c r="J1736" s="2" t="s">
        <v>14</v>
      </c>
      <c r="K1736" s="2" t="s">
        <v>14</v>
      </c>
      <c r="L1736" s="2" t="s">
        <v>14</v>
      </c>
      <c r="M1736" s="2" t="s">
        <v>14</v>
      </c>
      <c r="N1736" s="2" t="s">
        <v>14</v>
      </c>
      <c r="O1736" s="2">
        <v>1</v>
      </c>
    </row>
    <row r="1737" spans="1:15" ht="15" customHeight="1" x14ac:dyDescent="0.25">
      <c r="A1737" s="3">
        <v>10</v>
      </c>
      <c r="B1737" s="3" t="s">
        <v>10</v>
      </c>
      <c r="C1737" s="3" t="s">
        <v>20</v>
      </c>
      <c r="D1737" s="2" t="s">
        <v>106</v>
      </c>
      <c r="E1737" s="3">
        <v>0</v>
      </c>
      <c r="F1737" s="3">
        <v>0</v>
      </c>
      <c r="G1737" s="3" t="s">
        <v>10</v>
      </c>
      <c r="H1737" s="3" t="s">
        <v>12</v>
      </c>
      <c r="I1737" s="3">
        <v>2</v>
      </c>
      <c r="J1737" s="3" t="s">
        <v>14</v>
      </c>
      <c r="K1737" s="3" t="s">
        <v>14</v>
      </c>
      <c r="L1737" s="3" t="s">
        <v>14</v>
      </c>
      <c r="M1737" s="3" t="s">
        <v>14</v>
      </c>
      <c r="N1737" s="3" t="s">
        <v>14</v>
      </c>
      <c r="O1737" s="3">
        <v>1</v>
      </c>
    </row>
    <row r="1738" spans="1:15" ht="15" customHeight="1" x14ac:dyDescent="0.25">
      <c r="A1738" s="2">
        <v>5</v>
      </c>
      <c r="B1738" s="2" t="s">
        <v>14</v>
      </c>
      <c r="C1738" s="2" t="s">
        <v>20</v>
      </c>
      <c r="D1738" s="2" t="s">
        <v>106</v>
      </c>
      <c r="E1738" s="2">
        <v>0</v>
      </c>
      <c r="F1738" s="2">
        <v>1</v>
      </c>
      <c r="G1738" s="2" t="s">
        <v>10</v>
      </c>
      <c r="H1738" s="2" t="s">
        <v>12</v>
      </c>
      <c r="I1738" s="2">
        <v>2</v>
      </c>
      <c r="J1738" s="2" t="s">
        <v>14</v>
      </c>
      <c r="K1738" s="2" t="s">
        <v>14</v>
      </c>
      <c r="L1738" s="2" t="s">
        <v>14</v>
      </c>
      <c r="M1738" s="2" t="s">
        <v>14</v>
      </c>
      <c r="N1738" s="2" t="s">
        <v>14</v>
      </c>
      <c r="O1738" s="2">
        <v>0</v>
      </c>
    </row>
    <row r="1739" spans="1:15" ht="15" customHeight="1" x14ac:dyDescent="0.25">
      <c r="A1739" s="3">
        <v>10</v>
      </c>
      <c r="B1739" s="3" t="s">
        <v>10</v>
      </c>
      <c r="C1739" s="3" t="s">
        <v>11</v>
      </c>
      <c r="D1739" s="2" t="s">
        <v>106</v>
      </c>
      <c r="E1739" s="3">
        <v>0</v>
      </c>
      <c r="F1739" s="3">
        <v>1</v>
      </c>
      <c r="G1739" s="3" t="s">
        <v>10</v>
      </c>
      <c r="H1739" s="3" t="s">
        <v>12</v>
      </c>
      <c r="I1739" s="3">
        <v>1</v>
      </c>
      <c r="J1739" s="3" t="s">
        <v>14</v>
      </c>
      <c r="K1739" s="3" t="s">
        <v>14</v>
      </c>
      <c r="L1739" s="3" t="s">
        <v>14</v>
      </c>
      <c r="M1739" s="3" t="s">
        <v>14</v>
      </c>
      <c r="N1739" s="3" t="s">
        <v>14</v>
      </c>
      <c r="O1739" s="3">
        <v>1</v>
      </c>
    </row>
    <row r="1740" spans="1:15" ht="15" customHeight="1" x14ac:dyDescent="0.25">
      <c r="A1740" s="2">
        <v>10</v>
      </c>
      <c r="B1740" s="2" t="s">
        <v>18</v>
      </c>
      <c r="C1740" s="2" t="s">
        <v>20</v>
      </c>
      <c r="D1740" s="2" t="s">
        <v>106</v>
      </c>
      <c r="E1740" s="2">
        <v>0</v>
      </c>
      <c r="F1740" s="2">
        <v>0</v>
      </c>
      <c r="G1740" s="2" t="s">
        <v>10</v>
      </c>
      <c r="H1740" s="2" t="s">
        <v>12</v>
      </c>
      <c r="I1740" s="2">
        <v>1</v>
      </c>
      <c r="J1740" s="2" t="s">
        <v>14</v>
      </c>
      <c r="K1740" s="2" t="s">
        <v>14</v>
      </c>
      <c r="L1740" s="2" t="s">
        <v>14</v>
      </c>
      <c r="M1740" s="2" t="s">
        <v>14</v>
      </c>
      <c r="N1740" s="2" t="s">
        <v>14</v>
      </c>
      <c r="O1740" s="2">
        <v>1</v>
      </c>
    </row>
    <row r="1741" spans="1:15" ht="15" customHeight="1" x14ac:dyDescent="0.25">
      <c r="A1741" s="3">
        <v>10</v>
      </c>
      <c r="B1741" s="3" t="s">
        <v>10</v>
      </c>
      <c r="C1741" s="3" t="s">
        <v>20</v>
      </c>
      <c r="D1741" s="2" t="s">
        <v>106</v>
      </c>
      <c r="E1741" s="3">
        <v>0</v>
      </c>
      <c r="F1741" s="3">
        <v>0</v>
      </c>
      <c r="G1741" s="3" t="s">
        <v>10</v>
      </c>
      <c r="H1741" s="3" t="s">
        <v>12</v>
      </c>
      <c r="I1741" s="3">
        <v>2</v>
      </c>
      <c r="J1741" s="3" t="s">
        <v>14</v>
      </c>
      <c r="K1741" s="3" t="s">
        <v>14</v>
      </c>
      <c r="L1741" s="3" t="s">
        <v>14</v>
      </c>
      <c r="M1741" s="3" t="s">
        <v>14</v>
      </c>
      <c r="N1741" s="3" t="s">
        <v>14</v>
      </c>
      <c r="O1741" s="3">
        <v>1</v>
      </c>
    </row>
    <row r="1742" spans="1:15" ht="15" customHeight="1" x14ac:dyDescent="0.25">
      <c r="A1742" s="2">
        <v>10</v>
      </c>
      <c r="B1742" s="2" t="s">
        <v>18</v>
      </c>
      <c r="C1742" s="2" t="s">
        <v>20</v>
      </c>
      <c r="D1742" s="2" t="s">
        <v>106</v>
      </c>
      <c r="E1742" s="2">
        <v>0</v>
      </c>
      <c r="F1742" s="2">
        <v>0</v>
      </c>
      <c r="G1742" s="2" t="s">
        <v>10</v>
      </c>
      <c r="H1742" s="2" t="s">
        <v>16</v>
      </c>
      <c r="I1742" s="2">
        <v>2</v>
      </c>
      <c r="J1742" s="2" t="s">
        <v>14</v>
      </c>
      <c r="K1742" s="2" t="s">
        <v>14</v>
      </c>
      <c r="L1742" s="2" t="s">
        <v>14</v>
      </c>
      <c r="M1742" s="2" t="s">
        <v>14</v>
      </c>
      <c r="N1742" s="2" t="s">
        <v>14</v>
      </c>
      <c r="O1742" s="2">
        <v>1</v>
      </c>
    </row>
    <row r="1743" spans="1:15" ht="15" customHeight="1" x14ac:dyDescent="0.25">
      <c r="A1743" s="3">
        <v>10</v>
      </c>
      <c r="B1743" s="3" t="s">
        <v>18</v>
      </c>
      <c r="C1743" s="3" t="s">
        <v>20</v>
      </c>
      <c r="D1743" s="2" t="s">
        <v>106</v>
      </c>
      <c r="E1743" s="3">
        <v>0</v>
      </c>
      <c r="F1743" s="3">
        <v>0</v>
      </c>
      <c r="G1743" s="3" t="s">
        <v>10</v>
      </c>
      <c r="H1743" s="3" t="s">
        <v>12</v>
      </c>
      <c r="I1743" s="3">
        <v>1</v>
      </c>
      <c r="J1743" s="3" t="s">
        <v>14</v>
      </c>
      <c r="K1743" s="3" t="s">
        <v>14</v>
      </c>
      <c r="L1743" s="3" t="s">
        <v>14</v>
      </c>
      <c r="M1743" s="3" t="s">
        <v>14</v>
      </c>
      <c r="N1743" s="3" t="s">
        <v>14</v>
      </c>
      <c r="O1743" s="3">
        <v>1</v>
      </c>
    </row>
    <row r="1744" spans="1:15" ht="15" customHeight="1" x14ac:dyDescent="0.25">
      <c r="A1744" s="2">
        <v>10</v>
      </c>
      <c r="B1744" s="2" t="s">
        <v>14</v>
      </c>
      <c r="C1744" s="2" t="s">
        <v>20</v>
      </c>
      <c r="D1744" s="2" t="s">
        <v>106</v>
      </c>
      <c r="E1744" s="2">
        <v>0</v>
      </c>
      <c r="F1744" s="2">
        <v>0</v>
      </c>
      <c r="G1744" s="2" t="s">
        <v>10</v>
      </c>
      <c r="H1744" s="2" t="s">
        <v>12</v>
      </c>
      <c r="I1744" s="2">
        <v>2</v>
      </c>
      <c r="J1744" s="2" t="s">
        <v>14</v>
      </c>
      <c r="K1744" s="2" t="s">
        <v>14</v>
      </c>
      <c r="L1744" s="2" t="s">
        <v>14</v>
      </c>
      <c r="M1744" s="2" t="s">
        <v>14</v>
      </c>
      <c r="N1744" s="2" t="s">
        <v>14</v>
      </c>
      <c r="O1744" s="2">
        <v>1</v>
      </c>
    </row>
    <row r="1745" spans="1:15" ht="15" customHeight="1" x14ac:dyDescent="0.25">
      <c r="A1745" s="3">
        <v>20</v>
      </c>
      <c r="B1745" s="3" t="s">
        <v>10</v>
      </c>
      <c r="C1745" s="3" t="s">
        <v>19</v>
      </c>
      <c r="D1745" s="2" t="s">
        <v>106</v>
      </c>
      <c r="E1745" s="3">
        <v>0</v>
      </c>
      <c r="F1745" s="3">
        <v>1</v>
      </c>
      <c r="G1745" s="3" t="s">
        <v>10</v>
      </c>
      <c r="H1745" s="3" t="s">
        <v>16</v>
      </c>
      <c r="I1745" s="3" t="s">
        <v>15</v>
      </c>
      <c r="J1745" s="3" t="s">
        <v>14</v>
      </c>
      <c r="K1745" s="3" t="s">
        <v>14</v>
      </c>
      <c r="L1745" s="3" t="s">
        <v>14</v>
      </c>
      <c r="M1745" s="3" t="s">
        <v>13</v>
      </c>
      <c r="N1745" s="3" t="s">
        <v>14</v>
      </c>
      <c r="O1745" s="3">
        <v>1</v>
      </c>
    </row>
    <row r="1746" spans="1:15" ht="15" customHeight="1" x14ac:dyDescent="0.25">
      <c r="A1746" s="2">
        <v>10</v>
      </c>
      <c r="B1746" s="2" t="s">
        <v>18</v>
      </c>
      <c r="C1746" s="2" t="s">
        <v>19</v>
      </c>
      <c r="D1746" s="2" t="s">
        <v>106</v>
      </c>
      <c r="E1746" s="2">
        <v>0</v>
      </c>
      <c r="F1746" s="2">
        <v>0</v>
      </c>
      <c r="G1746" s="2" t="s">
        <v>10</v>
      </c>
      <c r="H1746" s="2" t="s">
        <v>12</v>
      </c>
      <c r="I1746" s="2">
        <v>2</v>
      </c>
      <c r="J1746" s="2" t="s">
        <v>14</v>
      </c>
      <c r="K1746" s="2" t="s">
        <v>14</v>
      </c>
      <c r="L1746" s="2" t="s">
        <v>14</v>
      </c>
      <c r="M1746" s="2" t="s">
        <v>14</v>
      </c>
      <c r="N1746" s="2" t="s">
        <v>14</v>
      </c>
      <c r="O1746" s="2">
        <v>1</v>
      </c>
    </row>
    <row r="1747" spans="1:15" ht="15" customHeight="1" x14ac:dyDescent="0.25">
      <c r="A1747" s="3">
        <v>10</v>
      </c>
      <c r="B1747" s="3" t="s">
        <v>14</v>
      </c>
      <c r="C1747" s="3" t="s">
        <v>20</v>
      </c>
      <c r="D1747" s="2" t="s">
        <v>106</v>
      </c>
      <c r="E1747" s="3">
        <v>0</v>
      </c>
      <c r="F1747" s="3">
        <v>0</v>
      </c>
      <c r="G1747" s="3" t="s">
        <v>10</v>
      </c>
      <c r="H1747" s="3" t="s">
        <v>12</v>
      </c>
      <c r="I1747" s="3" t="s">
        <v>15</v>
      </c>
      <c r="J1747" s="3" t="s">
        <v>14</v>
      </c>
      <c r="K1747" s="3" t="s">
        <v>14</v>
      </c>
      <c r="L1747" s="3" t="s">
        <v>14</v>
      </c>
      <c r="M1747" s="3" t="s">
        <v>14</v>
      </c>
      <c r="N1747" s="3" t="s">
        <v>14</v>
      </c>
      <c r="O1747" s="3">
        <v>1</v>
      </c>
    </row>
    <row r="1748" spans="1:15" ht="15" customHeight="1" x14ac:dyDescent="0.25">
      <c r="A1748" s="2">
        <v>20</v>
      </c>
      <c r="B1748" s="2" t="s">
        <v>14</v>
      </c>
      <c r="C1748" s="2" t="s">
        <v>20</v>
      </c>
      <c r="D1748" s="2" t="s">
        <v>106</v>
      </c>
      <c r="E1748" s="2">
        <v>0</v>
      </c>
      <c r="F1748" s="2">
        <v>0</v>
      </c>
      <c r="G1748" s="2" t="s">
        <v>10</v>
      </c>
      <c r="H1748" s="2" t="s">
        <v>12</v>
      </c>
      <c r="I1748" s="2">
        <v>2</v>
      </c>
      <c r="J1748" s="2" t="s">
        <v>14</v>
      </c>
      <c r="K1748" s="2" t="s">
        <v>14</v>
      </c>
      <c r="L1748" s="2" t="s">
        <v>14</v>
      </c>
      <c r="M1748" s="2" t="s">
        <v>14</v>
      </c>
      <c r="N1748" s="2" t="s">
        <v>14</v>
      </c>
      <c r="O1748" s="2">
        <v>1</v>
      </c>
    </row>
    <row r="1749" spans="1:15" ht="15" customHeight="1" x14ac:dyDescent="0.25">
      <c r="A1749" s="3">
        <v>20</v>
      </c>
      <c r="B1749" s="3" t="s">
        <v>10</v>
      </c>
      <c r="C1749" s="3" t="s">
        <v>19</v>
      </c>
      <c r="D1749" s="2" t="s">
        <v>106</v>
      </c>
      <c r="E1749" s="3">
        <v>0</v>
      </c>
      <c r="F1749" s="3">
        <v>0</v>
      </c>
      <c r="G1749" s="3" t="s">
        <v>10</v>
      </c>
      <c r="H1749" s="3" t="s">
        <v>12</v>
      </c>
      <c r="I1749" s="3">
        <v>2</v>
      </c>
      <c r="J1749" s="3" t="s">
        <v>14</v>
      </c>
      <c r="K1749" s="3" t="s">
        <v>14</v>
      </c>
      <c r="L1749" s="3" t="s">
        <v>14</v>
      </c>
      <c r="M1749" s="3" t="s">
        <v>14</v>
      </c>
      <c r="N1749" s="3" t="s">
        <v>14</v>
      </c>
      <c r="O1749" s="3">
        <v>1</v>
      </c>
    </row>
    <row r="1750" spans="1:15" ht="15" customHeight="1" x14ac:dyDescent="0.25">
      <c r="A1750" s="2">
        <v>10</v>
      </c>
      <c r="B1750" s="2" t="s">
        <v>10</v>
      </c>
      <c r="C1750" s="2" t="s">
        <v>19</v>
      </c>
      <c r="D1750" s="2" t="s">
        <v>106</v>
      </c>
      <c r="E1750" s="2">
        <v>0</v>
      </c>
      <c r="F1750" s="2">
        <v>0</v>
      </c>
      <c r="G1750" s="2" t="s">
        <v>10</v>
      </c>
      <c r="H1750" s="2" t="s">
        <v>12</v>
      </c>
      <c r="I1750" s="2">
        <v>2</v>
      </c>
      <c r="J1750" s="2" t="s">
        <v>14</v>
      </c>
      <c r="K1750" s="2" t="s">
        <v>14</v>
      </c>
      <c r="L1750" s="2" t="s">
        <v>14</v>
      </c>
      <c r="M1750" s="2" t="s">
        <v>14</v>
      </c>
      <c r="N1750" s="2" t="s">
        <v>14</v>
      </c>
      <c r="O1750" s="2">
        <v>1</v>
      </c>
    </row>
    <row r="1751" spans="1:15" ht="15" customHeight="1" x14ac:dyDescent="0.25">
      <c r="A1751" s="3">
        <v>20</v>
      </c>
      <c r="B1751" s="3" t="s">
        <v>10</v>
      </c>
      <c r="C1751" s="3" t="s">
        <v>11</v>
      </c>
      <c r="D1751" s="2" t="s">
        <v>106</v>
      </c>
      <c r="E1751" s="3">
        <v>1</v>
      </c>
      <c r="F1751" s="3">
        <v>0</v>
      </c>
      <c r="G1751" s="3" t="s">
        <v>10</v>
      </c>
      <c r="H1751" s="3" t="s">
        <v>12</v>
      </c>
      <c r="I1751" s="3">
        <v>1</v>
      </c>
      <c r="J1751" s="3" t="s">
        <v>13</v>
      </c>
      <c r="K1751" s="3" t="s">
        <v>14</v>
      </c>
      <c r="L1751" s="3" t="s">
        <v>14</v>
      </c>
      <c r="M1751" s="3" t="s">
        <v>14</v>
      </c>
      <c r="N1751" s="3" t="s">
        <v>14</v>
      </c>
      <c r="O1751" s="3">
        <v>0</v>
      </c>
    </row>
    <row r="1752" spans="1:15" ht="15" customHeight="1" x14ac:dyDescent="0.25">
      <c r="A1752" s="2">
        <v>5</v>
      </c>
      <c r="B1752" s="2" t="s">
        <v>10</v>
      </c>
      <c r="C1752" s="2" t="s">
        <v>19</v>
      </c>
      <c r="D1752" s="2" t="s">
        <v>106</v>
      </c>
      <c r="E1752" s="2">
        <v>0</v>
      </c>
      <c r="F1752" s="2">
        <v>1</v>
      </c>
      <c r="G1752" s="2" t="s">
        <v>17</v>
      </c>
      <c r="H1752" s="2" t="s">
        <v>106</v>
      </c>
      <c r="I1752" s="2">
        <v>1</v>
      </c>
      <c r="J1752" s="2" t="s">
        <v>14</v>
      </c>
      <c r="K1752" s="2" t="s">
        <v>13</v>
      </c>
      <c r="L1752" s="2" t="s">
        <v>13</v>
      </c>
      <c r="M1752" s="2" t="s">
        <v>13</v>
      </c>
      <c r="N1752" s="2" t="s">
        <v>14</v>
      </c>
      <c r="O1752" s="2">
        <v>1</v>
      </c>
    </row>
    <row r="1753" spans="1:15" ht="15" customHeight="1" x14ac:dyDescent="0.25">
      <c r="A1753" s="3">
        <v>30</v>
      </c>
      <c r="B1753" s="3" t="s">
        <v>10</v>
      </c>
      <c r="C1753" s="3" t="s">
        <v>19</v>
      </c>
      <c r="D1753" s="2" t="s">
        <v>106</v>
      </c>
      <c r="E1753" s="3">
        <v>0</v>
      </c>
      <c r="F1753" s="3">
        <v>0</v>
      </c>
      <c r="G1753" s="3" t="s">
        <v>10</v>
      </c>
      <c r="H1753" s="3" t="s">
        <v>12</v>
      </c>
      <c r="I1753" s="3">
        <v>2</v>
      </c>
      <c r="J1753" s="3" t="s">
        <v>14</v>
      </c>
      <c r="K1753" s="3" t="s">
        <v>14</v>
      </c>
      <c r="L1753" s="3" t="s">
        <v>14</v>
      </c>
      <c r="M1753" s="3" t="s">
        <v>13</v>
      </c>
      <c r="N1753" s="3" t="s">
        <v>14</v>
      </c>
      <c r="O1753" s="3">
        <v>1</v>
      </c>
    </row>
    <row r="1754" spans="1:15" ht="15" customHeight="1" x14ac:dyDescent="0.25">
      <c r="A1754" s="2">
        <v>10</v>
      </c>
      <c r="B1754" s="2" t="s">
        <v>10</v>
      </c>
      <c r="C1754" s="2" t="s">
        <v>19</v>
      </c>
      <c r="D1754" s="2" t="s">
        <v>106</v>
      </c>
      <c r="E1754" s="2">
        <v>0</v>
      </c>
      <c r="F1754" s="2">
        <v>1</v>
      </c>
      <c r="G1754" s="2" t="s">
        <v>17</v>
      </c>
      <c r="H1754" s="2" t="s">
        <v>106</v>
      </c>
      <c r="I1754" s="2">
        <v>1</v>
      </c>
      <c r="J1754" s="2" t="s">
        <v>14</v>
      </c>
      <c r="K1754" s="2" t="s">
        <v>13</v>
      </c>
      <c r="L1754" s="2" t="s">
        <v>13</v>
      </c>
      <c r="M1754" s="2" t="s">
        <v>13</v>
      </c>
      <c r="N1754" s="2" t="s">
        <v>14</v>
      </c>
      <c r="O1754" s="2">
        <v>0</v>
      </c>
    </row>
    <row r="1755" spans="1:15" ht="15" customHeight="1" x14ac:dyDescent="0.25">
      <c r="A1755" s="3">
        <v>5</v>
      </c>
      <c r="B1755" s="3" t="s">
        <v>10</v>
      </c>
      <c r="C1755" s="3" t="s">
        <v>19</v>
      </c>
      <c r="D1755" s="2" t="s">
        <v>106</v>
      </c>
      <c r="E1755" s="3">
        <v>0</v>
      </c>
      <c r="F1755" s="3">
        <v>0</v>
      </c>
      <c r="G1755" s="3" t="s">
        <v>17</v>
      </c>
      <c r="H1755" s="3" t="s">
        <v>106</v>
      </c>
      <c r="I1755" s="3">
        <v>1</v>
      </c>
      <c r="J1755" s="3" t="s">
        <v>14</v>
      </c>
      <c r="K1755" s="3" t="s">
        <v>13</v>
      </c>
      <c r="L1755" s="3" t="s">
        <v>13</v>
      </c>
      <c r="M1755" s="3" t="s">
        <v>13</v>
      </c>
      <c r="N1755" s="3" t="s">
        <v>14</v>
      </c>
      <c r="O1755" s="3">
        <v>1</v>
      </c>
    </row>
    <row r="1756" spans="1:15" ht="15" customHeight="1" x14ac:dyDescent="0.25">
      <c r="A1756" s="2">
        <v>0</v>
      </c>
      <c r="B1756" s="2" t="s">
        <v>14</v>
      </c>
      <c r="C1756" s="2" t="s">
        <v>19</v>
      </c>
      <c r="D1756" s="2" t="s">
        <v>106</v>
      </c>
      <c r="E1756" s="2">
        <v>0</v>
      </c>
      <c r="F1756" s="2">
        <v>0</v>
      </c>
      <c r="G1756" s="2" t="s">
        <v>10</v>
      </c>
      <c r="H1756" s="2" t="s">
        <v>16</v>
      </c>
      <c r="I1756" s="2">
        <v>2</v>
      </c>
      <c r="J1756" s="2" t="s">
        <v>14</v>
      </c>
      <c r="K1756" s="2" t="s">
        <v>13</v>
      </c>
      <c r="L1756" s="2" t="s">
        <v>14</v>
      </c>
      <c r="M1756" s="2" t="s">
        <v>14</v>
      </c>
      <c r="N1756" s="2" t="s">
        <v>14</v>
      </c>
      <c r="O1756" s="2">
        <v>1</v>
      </c>
    </row>
    <row r="1757" spans="1:15" ht="15" customHeight="1" x14ac:dyDescent="0.25">
      <c r="A1757" s="3">
        <v>5</v>
      </c>
      <c r="B1757" s="3" t="s">
        <v>10</v>
      </c>
      <c r="C1757" s="3" t="s">
        <v>19</v>
      </c>
      <c r="D1757" s="2" t="s">
        <v>106</v>
      </c>
      <c r="E1757" s="3">
        <v>0</v>
      </c>
      <c r="F1757" s="3">
        <v>0</v>
      </c>
      <c r="G1757" s="3" t="s">
        <v>10</v>
      </c>
      <c r="H1757" s="3" t="s">
        <v>12</v>
      </c>
      <c r="I1757" s="3">
        <v>2</v>
      </c>
      <c r="J1757" s="3" t="s">
        <v>14</v>
      </c>
      <c r="K1757" s="3" t="s">
        <v>14</v>
      </c>
      <c r="L1757" s="3" t="s">
        <v>14</v>
      </c>
      <c r="M1757" s="3" t="s">
        <v>14</v>
      </c>
      <c r="N1757" s="3" t="s">
        <v>14</v>
      </c>
      <c r="O1757" s="3">
        <v>1</v>
      </c>
    </row>
    <row r="1758" spans="1:15" ht="15" customHeight="1" x14ac:dyDescent="0.25">
      <c r="A1758" s="2">
        <v>10</v>
      </c>
      <c r="B1758" s="2" t="s">
        <v>18</v>
      </c>
      <c r="C1758" s="2" t="s">
        <v>11</v>
      </c>
      <c r="D1758" s="2" t="s">
        <v>106</v>
      </c>
      <c r="E1758" s="2">
        <v>0</v>
      </c>
      <c r="F1758" s="2">
        <v>1</v>
      </c>
      <c r="G1758" s="2" t="s">
        <v>10</v>
      </c>
      <c r="H1758" s="2" t="s">
        <v>12</v>
      </c>
      <c r="I1758" s="2" t="s">
        <v>15</v>
      </c>
      <c r="J1758" s="2" t="s">
        <v>14</v>
      </c>
      <c r="K1758" s="2" t="s">
        <v>14</v>
      </c>
      <c r="L1758" s="2" t="s">
        <v>14</v>
      </c>
      <c r="M1758" s="2" t="s">
        <v>14</v>
      </c>
      <c r="N1758" s="2" t="s">
        <v>14</v>
      </c>
      <c r="O1758" s="2">
        <v>1</v>
      </c>
    </row>
    <row r="1759" spans="1:15" ht="15" customHeight="1" x14ac:dyDescent="0.25">
      <c r="A1759" s="3">
        <v>5</v>
      </c>
      <c r="B1759" s="3" t="s">
        <v>18</v>
      </c>
      <c r="C1759" s="3" t="s">
        <v>19</v>
      </c>
      <c r="D1759" s="2" t="s">
        <v>106</v>
      </c>
      <c r="E1759" s="3">
        <v>0</v>
      </c>
      <c r="F1759" s="3">
        <v>0</v>
      </c>
      <c r="G1759" s="3" t="s">
        <v>10</v>
      </c>
      <c r="H1759" s="3" t="s">
        <v>12</v>
      </c>
      <c r="I1759" s="3">
        <v>1</v>
      </c>
      <c r="J1759" s="3" t="s">
        <v>14</v>
      </c>
      <c r="K1759" s="3" t="s">
        <v>14</v>
      </c>
      <c r="L1759" s="3" t="s">
        <v>14</v>
      </c>
      <c r="M1759" s="3" t="s">
        <v>14</v>
      </c>
      <c r="N1759" s="3" t="s">
        <v>14</v>
      </c>
      <c r="O1759" s="3">
        <v>1</v>
      </c>
    </row>
    <row r="1760" spans="1:15" ht="15" customHeight="1" x14ac:dyDescent="0.25">
      <c r="A1760" s="2">
        <v>10</v>
      </c>
      <c r="B1760" s="2" t="s">
        <v>14</v>
      </c>
      <c r="C1760" s="2" t="s">
        <v>19</v>
      </c>
      <c r="D1760" s="2" t="s">
        <v>106</v>
      </c>
      <c r="E1760" s="2">
        <v>0</v>
      </c>
      <c r="F1760" s="2">
        <v>0</v>
      </c>
      <c r="G1760" s="2" t="s">
        <v>10</v>
      </c>
      <c r="H1760" s="2" t="s">
        <v>12</v>
      </c>
      <c r="I1760" s="2">
        <v>1</v>
      </c>
      <c r="J1760" s="2" t="s">
        <v>14</v>
      </c>
      <c r="K1760" s="2" t="s">
        <v>14</v>
      </c>
      <c r="L1760" s="2" t="s">
        <v>14</v>
      </c>
      <c r="M1760" s="2" t="s">
        <v>14</v>
      </c>
      <c r="N1760" s="2" t="s">
        <v>14</v>
      </c>
      <c r="O1760" s="2">
        <v>1</v>
      </c>
    </row>
    <row r="1761" spans="1:15" ht="15" customHeight="1" x14ac:dyDescent="0.25">
      <c r="A1761" s="3">
        <v>30</v>
      </c>
      <c r="B1761" s="3" t="s">
        <v>18</v>
      </c>
      <c r="C1761" s="3" t="s">
        <v>20</v>
      </c>
      <c r="D1761" s="2" t="s">
        <v>106</v>
      </c>
      <c r="E1761" s="3">
        <v>0</v>
      </c>
      <c r="F1761" s="3">
        <v>0</v>
      </c>
      <c r="G1761" s="3" t="s">
        <v>10</v>
      </c>
      <c r="H1761" s="3" t="s">
        <v>12</v>
      </c>
      <c r="I1761" s="3">
        <v>2</v>
      </c>
      <c r="J1761" s="3" t="s">
        <v>14</v>
      </c>
      <c r="K1761" s="3" t="s">
        <v>14</v>
      </c>
      <c r="L1761" s="3" t="s">
        <v>14</v>
      </c>
      <c r="M1761" s="3" t="s">
        <v>14</v>
      </c>
      <c r="N1761" s="3" t="s">
        <v>14</v>
      </c>
      <c r="O1761" s="3">
        <v>1</v>
      </c>
    </row>
    <row r="1762" spans="1:15" ht="15" customHeight="1" x14ac:dyDescent="0.25">
      <c r="A1762" s="2">
        <v>30</v>
      </c>
      <c r="B1762" s="2" t="s">
        <v>10</v>
      </c>
      <c r="C1762" s="2" t="s">
        <v>19</v>
      </c>
      <c r="D1762" s="2" t="s">
        <v>106</v>
      </c>
      <c r="E1762" s="2">
        <v>0</v>
      </c>
      <c r="F1762" s="2">
        <v>1</v>
      </c>
      <c r="G1762" s="2" t="s">
        <v>10</v>
      </c>
      <c r="H1762" s="2" t="s">
        <v>12</v>
      </c>
      <c r="I1762" s="2">
        <v>2</v>
      </c>
      <c r="J1762" s="2" t="s">
        <v>14</v>
      </c>
      <c r="K1762" s="2" t="s">
        <v>14</v>
      </c>
      <c r="L1762" s="2" t="s">
        <v>14</v>
      </c>
      <c r="M1762" s="2" t="s">
        <v>13</v>
      </c>
      <c r="N1762" s="2" t="s">
        <v>14</v>
      </c>
      <c r="O1762" s="2">
        <v>0</v>
      </c>
    </row>
    <row r="1763" spans="1:15" ht="15" customHeight="1" x14ac:dyDescent="0.25">
      <c r="A1763" s="3">
        <v>10</v>
      </c>
      <c r="B1763" s="3" t="s">
        <v>18</v>
      </c>
      <c r="C1763" s="3" t="s">
        <v>20</v>
      </c>
      <c r="D1763" s="2" t="s">
        <v>106</v>
      </c>
      <c r="E1763" s="3">
        <v>0</v>
      </c>
      <c r="F1763" s="3">
        <v>0</v>
      </c>
      <c r="G1763" s="3" t="s">
        <v>17</v>
      </c>
      <c r="H1763" s="3" t="s">
        <v>106</v>
      </c>
      <c r="I1763" s="3">
        <v>1</v>
      </c>
      <c r="J1763" s="3" t="s">
        <v>14</v>
      </c>
      <c r="K1763" s="3" t="s">
        <v>13</v>
      </c>
      <c r="L1763" s="3" t="s">
        <v>13</v>
      </c>
      <c r="M1763" s="3" t="s">
        <v>13</v>
      </c>
      <c r="N1763" s="3" t="s">
        <v>14</v>
      </c>
      <c r="O1763" s="3">
        <v>1</v>
      </c>
    </row>
    <row r="1764" spans="1:15" ht="15" customHeight="1" x14ac:dyDescent="0.25">
      <c r="A1764" s="2">
        <v>10</v>
      </c>
      <c r="B1764" s="2" t="s">
        <v>10</v>
      </c>
      <c r="C1764" s="2" t="s">
        <v>19</v>
      </c>
      <c r="D1764" s="2" t="s">
        <v>106</v>
      </c>
      <c r="E1764" s="2">
        <v>0</v>
      </c>
      <c r="F1764" s="2">
        <v>0</v>
      </c>
      <c r="G1764" s="2" t="s">
        <v>17</v>
      </c>
      <c r="H1764" s="2" t="s">
        <v>106</v>
      </c>
      <c r="I1764" s="2">
        <v>1</v>
      </c>
      <c r="J1764" s="2" t="s">
        <v>14</v>
      </c>
      <c r="K1764" s="2" t="s">
        <v>13</v>
      </c>
      <c r="L1764" s="2" t="s">
        <v>13</v>
      </c>
      <c r="M1764" s="2" t="s">
        <v>13</v>
      </c>
      <c r="N1764" s="2" t="s">
        <v>14</v>
      </c>
      <c r="O1764" s="2">
        <v>1</v>
      </c>
    </row>
    <row r="1765" spans="1:15" ht="15" customHeight="1" x14ac:dyDescent="0.25">
      <c r="A1765" s="3">
        <v>5</v>
      </c>
      <c r="B1765" s="3" t="s">
        <v>10</v>
      </c>
      <c r="C1765" s="3" t="s">
        <v>19</v>
      </c>
      <c r="D1765" s="2" t="s">
        <v>106</v>
      </c>
      <c r="E1765" s="3">
        <v>0</v>
      </c>
      <c r="F1765" s="3">
        <v>0</v>
      </c>
      <c r="G1765" s="3" t="s">
        <v>17</v>
      </c>
      <c r="H1765" s="3" t="s">
        <v>106</v>
      </c>
      <c r="I1765" s="3">
        <v>1</v>
      </c>
      <c r="J1765" s="3" t="s">
        <v>14</v>
      </c>
      <c r="K1765" s="3" t="s">
        <v>13</v>
      </c>
      <c r="L1765" s="3" t="s">
        <v>13</v>
      </c>
      <c r="M1765" s="3" t="s">
        <v>13</v>
      </c>
      <c r="N1765" s="3" t="s">
        <v>14</v>
      </c>
      <c r="O1765" s="3">
        <v>0</v>
      </c>
    </row>
    <row r="1766" spans="1:15" ht="15" customHeight="1" x14ac:dyDescent="0.25">
      <c r="A1766" s="2">
        <v>20</v>
      </c>
      <c r="B1766" s="2" t="s">
        <v>10</v>
      </c>
      <c r="C1766" s="2" t="s">
        <v>19</v>
      </c>
      <c r="D1766" s="2" t="s">
        <v>106</v>
      </c>
      <c r="E1766" s="2">
        <v>0</v>
      </c>
      <c r="F1766" s="2">
        <v>0</v>
      </c>
      <c r="G1766" s="2" t="s">
        <v>10</v>
      </c>
      <c r="H1766" s="2" t="s">
        <v>12</v>
      </c>
      <c r="I1766" s="2">
        <v>2</v>
      </c>
      <c r="J1766" s="2" t="s">
        <v>14</v>
      </c>
      <c r="K1766" s="2" t="s">
        <v>14</v>
      </c>
      <c r="L1766" s="2" t="s">
        <v>14</v>
      </c>
      <c r="M1766" s="2" t="s">
        <v>14</v>
      </c>
      <c r="N1766" s="2" t="s">
        <v>14</v>
      </c>
      <c r="O1766" s="2">
        <v>1</v>
      </c>
    </row>
    <row r="1767" spans="1:15" ht="15" customHeight="1" x14ac:dyDescent="0.25">
      <c r="A1767" s="3">
        <v>10</v>
      </c>
      <c r="B1767" s="3" t="s">
        <v>10</v>
      </c>
      <c r="C1767" s="3" t="s">
        <v>11</v>
      </c>
      <c r="D1767" s="2" t="s">
        <v>106</v>
      </c>
      <c r="E1767" s="3">
        <v>1</v>
      </c>
      <c r="F1767" s="3">
        <v>0</v>
      </c>
      <c r="G1767" s="3" t="s">
        <v>10</v>
      </c>
      <c r="H1767" s="3" t="s">
        <v>12</v>
      </c>
      <c r="I1767" s="3" t="s">
        <v>15</v>
      </c>
      <c r="J1767" s="3" t="s">
        <v>13</v>
      </c>
      <c r="K1767" s="3" t="s">
        <v>14</v>
      </c>
      <c r="L1767" s="3" t="s">
        <v>14</v>
      </c>
      <c r="M1767" s="3" t="s">
        <v>13</v>
      </c>
      <c r="N1767" s="3" t="s">
        <v>14</v>
      </c>
      <c r="O1767" s="3">
        <v>0</v>
      </c>
    </row>
    <row r="1768" spans="1:15" ht="15" customHeight="1" x14ac:dyDescent="0.25">
      <c r="A1768" s="2">
        <v>10</v>
      </c>
      <c r="B1768" s="2" t="s">
        <v>18</v>
      </c>
      <c r="C1768" s="2" t="s">
        <v>20</v>
      </c>
      <c r="D1768" s="2" t="s">
        <v>106</v>
      </c>
      <c r="E1768" s="2">
        <v>0</v>
      </c>
      <c r="F1768" s="2">
        <v>0</v>
      </c>
      <c r="G1768" s="2" t="s">
        <v>10</v>
      </c>
      <c r="H1768" s="2" t="s">
        <v>12</v>
      </c>
      <c r="I1768" s="2">
        <v>1</v>
      </c>
      <c r="J1768" s="2" t="s">
        <v>14</v>
      </c>
      <c r="K1768" s="2" t="s">
        <v>14</v>
      </c>
      <c r="L1768" s="2" t="s">
        <v>14</v>
      </c>
      <c r="M1768" s="2" t="s">
        <v>14</v>
      </c>
      <c r="N1768" s="2" t="s">
        <v>14</v>
      </c>
      <c r="O1768" s="2">
        <v>1</v>
      </c>
    </row>
    <row r="1769" spans="1:15" ht="15" customHeight="1" x14ac:dyDescent="0.25">
      <c r="A1769" s="3">
        <v>10</v>
      </c>
      <c r="B1769" s="3" t="s">
        <v>10</v>
      </c>
      <c r="C1769" s="3" t="s">
        <v>20</v>
      </c>
      <c r="D1769" s="2" t="s">
        <v>106</v>
      </c>
      <c r="E1769" s="3">
        <v>0</v>
      </c>
      <c r="F1769" s="3">
        <v>0</v>
      </c>
      <c r="G1769" s="3" t="s">
        <v>10</v>
      </c>
      <c r="H1769" s="3" t="s">
        <v>12</v>
      </c>
      <c r="I1769" s="3">
        <v>2</v>
      </c>
      <c r="J1769" s="3" t="s">
        <v>14</v>
      </c>
      <c r="K1769" s="3" t="s">
        <v>14</v>
      </c>
      <c r="L1769" s="3" t="s">
        <v>14</v>
      </c>
      <c r="M1769" s="3" t="s">
        <v>14</v>
      </c>
      <c r="N1769" s="3" t="s">
        <v>14</v>
      </c>
      <c r="O1769" s="3">
        <v>1</v>
      </c>
    </row>
    <row r="1770" spans="1:15" ht="15" customHeight="1" x14ac:dyDescent="0.25">
      <c r="A1770" s="2">
        <v>10</v>
      </c>
      <c r="B1770" s="2" t="s">
        <v>18</v>
      </c>
      <c r="C1770" s="2" t="s">
        <v>20</v>
      </c>
      <c r="D1770" s="2" t="s">
        <v>106</v>
      </c>
      <c r="E1770" s="2">
        <v>0</v>
      </c>
      <c r="F1770" s="2">
        <v>0</v>
      </c>
      <c r="G1770" s="2" t="s">
        <v>10</v>
      </c>
      <c r="H1770" s="2" t="s">
        <v>12</v>
      </c>
      <c r="I1770" s="2">
        <v>2</v>
      </c>
      <c r="J1770" s="2" t="s">
        <v>14</v>
      </c>
      <c r="K1770" s="2" t="s">
        <v>14</v>
      </c>
      <c r="L1770" s="2" t="s">
        <v>14</v>
      </c>
      <c r="M1770" s="2" t="s">
        <v>14</v>
      </c>
      <c r="N1770" s="2" t="s">
        <v>14</v>
      </c>
      <c r="O1770" s="2">
        <v>1</v>
      </c>
    </row>
    <row r="1771" spans="1:15" ht="15" customHeight="1" x14ac:dyDescent="0.25">
      <c r="A1771" s="3">
        <v>30</v>
      </c>
      <c r="B1771" s="3" t="s">
        <v>10</v>
      </c>
      <c r="C1771" s="3" t="s">
        <v>19</v>
      </c>
      <c r="D1771" s="2" t="s">
        <v>106</v>
      </c>
      <c r="E1771" s="3">
        <v>0</v>
      </c>
      <c r="F1771" s="3">
        <v>1</v>
      </c>
      <c r="G1771" s="3" t="s">
        <v>10</v>
      </c>
      <c r="H1771" s="3" t="s">
        <v>16</v>
      </c>
      <c r="I1771" s="3" t="s">
        <v>15</v>
      </c>
      <c r="J1771" s="3" t="s">
        <v>14</v>
      </c>
      <c r="K1771" s="3" t="s">
        <v>14</v>
      </c>
      <c r="L1771" s="3" t="s">
        <v>14</v>
      </c>
      <c r="M1771" s="3" t="s">
        <v>13</v>
      </c>
      <c r="N1771" s="3" t="s">
        <v>14</v>
      </c>
      <c r="O1771" s="3">
        <v>0</v>
      </c>
    </row>
    <row r="1772" spans="1:15" ht="15" customHeight="1" x14ac:dyDescent="0.25">
      <c r="A1772" s="2">
        <v>10</v>
      </c>
      <c r="B1772" s="2" t="s">
        <v>10</v>
      </c>
      <c r="C1772" s="2" t="s">
        <v>19</v>
      </c>
      <c r="D1772" s="2" t="s">
        <v>106</v>
      </c>
      <c r="E1772" s="2">
        <v>0</v>
      </c>
      <c r="F1772" s="2">
        <v>0</v>
      </c>
      <c r="G1772" s="2" t="s">
        <v>17</v>
      </c>
      <c r="H1772" s="2" t="s">
        <v>106</v>
      </c>
      <c r="I1772" s="2">
        <v>1</v>
      </c>
      <c r="J1772" s="2" t="s">
        <v>14</v>
      </c>
      <c r="K1772" s="2" t="s">
        <v>13</v>
      </c>
      <c r="L1772" s="2" t="s">
        <v>13</v>
      </c>
      <c r="M1772" s="2" t="s">
        <v>14</v>
      </c>
      <c r="N1772" s="2" t="s">
        <v>14</v>
      </c>
      <c r="O1772" s="2">
        <v>1</v>
      </c>
    </row>
    <row r="1773" spans="1:15" ht="15" customHeight="1" x14ac:dyDescent="0.25">
      <c r="A1773" s="3">
        <v>20</v>
      </c>
      <c r="B1773" s="3" t="s">
        <v>10</v>
      </c>
      <c r="C1773" s="3" t="s">
        <v>19</v>
      </c>
      <c r="D1773" s="2" t="s">
        <v>106</v>
      </c>
      <c r="E1773" s="3">
        <v>1</v>
      </c>
      <c r="F1773" s="3">
        <v>0</v>
      </c>
      <c r="G1773" s="3" t="s">
        <v>10</v>
      </c>
      <c r="H1773" s="3" t="s">
        <v>12</v>
      </c>
      <c r="I1773" s="3">
        <v>1</v>
      </c>
      <c r="J1773" s="3" t="s">
        <v>14</v>
      </c>
      <c r="K1773" s="3" t="s">
        <v>13</v>
      </c>
      <c r="L1773" s="3" t="s">
        <v>13</v>
      </c>
      <c r="M1773" s="3" t="s">
        <v>13</v>
      </c>
      <c r="N1773" s="3" t="s">
        <v>14</v>
      </c>
      <c r="O1773" s="3">
        <v>0</v>
      </c>
    </row>
    <row r="1774" spans="1:15" ht="15" customHeight="1" x14ac:dyDescent="0.25">
      <c r="A1774" s="2">
        <v>0</v>
      </c>
      <c r="B1774" s="2" t="s">
        <v>10</v>
      </c>
      <c r="C1774" s="2" t="s">
        <v>19</v>
      </c>
      <c r="D1774" s="2" t="s">
        <v>106</v>
      </c>
      <c r="E1774" s="2">
        <v>0</v>
      </c>
      <c r="F1774" s="2">
        <v>1</v>
      </c>
      <c r="G1774" s="2" t="s">
        <v>17</v>
      </c>
      <c r="H1774" s="2" t="s">
        <v>106</v>
      </c>
      <c r="I1774" s="2">
        <v>1</v>
      </c>
      <c r="J1774" s="2" t="s">
        <v>14</v>
      </c>
      <c r="K1774" s="2" t="s">
        <v>13</v>
      </c>
      <c r="L1774" s="2" t="s">
        <v>13</v>
      </c>
      <c r="M1774" s="2" t="s">
        <v>13</v>
      </c>
      <c r="N1774" s="2" t="s">
        <v>14</v>
      </c>
      <c r="O1774" s="2">
        <v>1</v>
      </c>
    </row>
    <row r="1775" spans="1:15" ht="15" customHeight="1" x14ac:dyDescent="0.25">
      <c r="A1775" s="3">
        <v>10</v>
      </c>
      <c r="B1775" s="3" t="s">
        <v>10</v>
      </c>
      <c r="C1775" s="3" t="s">
        <v>19</v>
      </c>
      <c r="D1775" s="2" t="s">
        <v>106</v>
      </c>
      <c r="E1775" s="3">
        <v>0</v>
      </c>
      <c r="F1775" s="3">
        <v>1</v>
      </c>
      <c r="G1775" s="3" t="s">
        <v>10</v>
      </c>
      <c r="H1775" s="3" t="s">
        <v>12</v>
      </c>
      <c r="I1775" s="3">
        <v>2</v>
      </c>
      <c r="J1775" s="3" t="s">
        <v>13</v>
      </c>
      <c r="K1775" s="3" t="s">
        <v>13</v>
      </c>
      <c r="L1775" s="3" t="s">
        <v>13</v>
      </c>
      <c r="M1775" s="3" t="s">
        <v>14</v>
      </c>
      <c r="N1775" s="3" t="s">
        <v>14</v>
      </c>
      <c r="O1775" s="3">
        <v>0</v>
      </c>
    </row>
    <row r="1776" spans="1:15" ht="15" customHeight="1" x14ac:dyDescent="0.25">
      <c r="A1776" s="2">
        <v>0</v>
      </c>
      <c r="B1776" s="2" t="s">
        <v>18</v>
      </c>
      <c r="C1776" s="2" t="s">
        <v>19</v>
      </c>
      <c r="D1776" s="2" t="s">
        <v>106</v>
      </c>
      <c r="E1776" s="2">
        <v>0</v>
      </c>
      <c r="F1776" s="2">
        <v>0</v>
      </c>
      <c r="G1776" s="2" t="s">
        <v>10</v>
      </c>
      <c r="H1776" s="2" t="s">
        <v>12</v>
      </c>
      <c r="I1776" s="2">
        <v>1</v>
      </c>
      <c r="J1776" s="2" t="s">
        <v>14</v>
      </c>
      <c r="K1776" s="2" t="s">
        <v>14</v>
      </c>
      <c r="L1776" s="2" t="s">
        <v>14</v>
      </c>
      <c r="M1776" s="2" t="s">
        <v>14</v>
      </c>
      <c r="N1776" s="2" t="s">
        <v>14</v>
      </c>
      <c r="O1776" s="2">
        <v>1</v>
      </c>
    </row>
    <row r="1777" spans="1:15" ht="15" customHeight="1" x14ac:dyDescent="0.25">
      <c r="A1777" s="3">
        <v>5</v>
      </c>
      <c r="B1777" s="3" t="s">
        <v>18</v>
      </c>
      <c r="C1777" s="3" t="s">
        <v>20</v>
      </c>
      <c r="D1777" s="2" t="s">
        <v>106</v>
      </c>
      <c r="E1777" s="3">
        <v>0</v>
      </c>
      <c r="F1777" s="3">
        <v>0</v>
      </c>
      <c r="G1777" s="3" t="s">
        <v>10</v>
      </c>
      <c r="H1777" s="3" t="s">
        <v>12</v>
      </c>
      <c r="I1777" s="3">
        <v>2</v>
      </c>
      <c r="J1777" s="3" t="s">
        <v>14</v>
      </c>
      <c r="K1777" s="3" t="s">
        <v>14</v>
      </c>
      <c r="L1777" s="3" t="s">
        <v>14</v>
      </c>
      <c r="M1777" s="3" t="s">
        <v>14</v>
      </c>
      <c r="N1777" s="3" t="s">
        <v>14</v>
      </c>
      <c r="O1777" s="3">
        <v>1</v>
      </c>
    </row>
    <row r="1778" spans="1:15" ht="15" customHeight="1" x14ac:dyDescent="0.25">
      <c r="A1778" s="2">
        <v>0</v>
      </c>
      <c r="B1778" s="2" t="s">
        <v>14</v>
      </c>
      <c r="C1778" s="2" t="s">
        <v>19</v>
      </c>
      <c r="D1778" s="2" t="s">
        <v>106</v>
      </c>
      <c r="E1778" s="2">
        <v>0</v>
      </c>
      <c r="F1778" s="2">
        <v>1</v>
      </c>
      <c r="G1778" s="2" t="s">
        <v>10</v>
      </c>
      <c r="H1778" s="2" t="s">
        <v>12</v>
      </c>
      <c r="I1778" s="2" t="s">
        <v>15</v>
      </c>
      <c r="J1778" s="2" t="s">
        <v>14</v>
      </c>
      <c r="K1778" s="2" t="s">
        <v>14</v>
      </c>
      <c r="L1778" s="2" t="s">
        <v>14</v>
      </c>
      <c r="M1778" s="2" t="s">
        <v>14</v>
      </c>
      <c r="N1778" s="2" t="s">
        <v>14</v>
      </c>
      <c r="O1778" s="2">
        <v>0</v>
      </c>
    </row>
    <row r="1779" spans="1:15" ht="15" customHeight="1" x14ac:dyDescent="0.25">
      <c r="A1779" s="3">
        <v>10</v>
      </c>
      <c r="B1779" s="3" t="s">
        <v>10</v>
      </c>
      <c r="C1779" s="3" t="s">
        <v>19</v>
      </c>
      <c r="D1779" s="2" t="s">
        <v>106</v>
      </c>
      <c r="E1779" s="3">
        <v>0</v>
      </c>
      <c r="F1779" s="3">
        <v>0</v>
      </c>
      <c r="G1779" s="3" t="s">
        <v>10</v>
      </c>
      <c r="H1779" s="3" t="s">
        <v>12</v>
      </c>
      <c r="I1779" s="3">
        <v>2</v>
      </c>
      <c r="J1779" s="3" t="s">
        <v>14</v>
      </c>
      <c r="K1779" s="3" t="s">
        <v>14</v>
      </c>
      <c r="L1779" s="3" t="s">
        <v>14</v>
      </c>
      <c r="M1779" s="3" t="s">
        <v>14</v>
      </c>
      <c r="N1779" s="3" t="s">
        <v>14</v>
      </c>
      <c r="O1779" s="3">
        <v>1</v>
      </c>
    </row>
    <row r="1780" spans="1:15" ht="15" customHeight="1" x14ac:dyDescent="0.25">
      <c r="A1780" s="2">
        <v>0</v>
      </c>
      <c r="B1780" s="2" t="s">
        <v>14</v>
      </c>
      <c r="C1780" s="2" t="s">
        <v>11</v>
      </c>
      <c r="D1780" s="2" t="s">
        <v>106</v>
      </c>
      <c r="E1780" s="2">
        <v>0</v>
      </c>
      <c r="F1780" s="2">
        <v>1</v>
      </c>
      <c r="G1780" s="2" t="s">
        <v>10</v>
      </c>
      <c r="H1780" s="2" t="s">
        <v>12</v>
      </c>
      <c r="I1780" s="2" t="s">
        <v>15</v>
      </c>
      <c r="J1780" s="2" t="s">
        <v>14</v>
      </c>
      <c r="K1780" s="2" t="s">
        <v>14</v>
      </c>
      <c r="L1780" s="2" t="s">
        <v>14</v>
      </c>
      <c r="M1780" s="2" t="s">
        <v>14</v>
      </c>
      <c r="N1780" s="2" t="s">
        <v>14</v>
      </c>
      <c r="O1780" s="2">
        <v>1</v>
      </c>
    </row>
    <row r="1781" spans="1:15" ht="15" customHeight="1" x14ac:dyDescent="0.25">
      <c r="A1781" s="3">
        <v>10</v>
      </c>
      <c r="B1781" s="3" t="s">
        <v>14</v>
      </c>
      <c r="C1781" s="3" t="s">
        <v>11</v>
      </c>
      <c r="D1781" s="2" t="s">
        <v>106</v>
      </c>
      <c r="E1781" s="3">
        <v>0</v>
      </c>
      <c r="F1781" s="3">
        <v>0</v>
      </c>
      <c r="G1781" s="3" t="s">
        <v>10</v>
      </c>
      <c r="H1781" s="3" t="s">
        <v>12</v>
      </c>
      <c r="I1781" s="3" t="s">
        <v>15</v>
      </c>
      <c r="J1781" s="3" t="s">
        <v>14</v>
      </c>
      <c r="K1781" s="3" t="s">
        <v>14</v>
      </c>
      <c r="L1781" s="3" t="s">
        <v>14</v>
      </c>
      <c r="M1781" s="3" t="s">
        <v>14</v>
      </c>
      <c r="N1781" s="3" t="s">
        <v>14</v>
      </c>
      <c r="O1781" s="3">
        <v>1</v>
      </c>
    </row>
    <row r="1782" spans="1:15" ht="15" customHeight="1" x14ac:dyDescent="0.25">
      <c r="A1782" s="2">
        <v>0</v>
      </c>
      <c r="B1782" s="2" t="s">
        <v>10</v>
      </c>
      <c r="C1782" s="2" t="s">
        <v>11</v>
      </c>
      <c r="D1782" s="2" t="s">
        <v>106</v>
      </c>
      <c r="E1782" s="2">
        <v>0</v>
      </c>
      <c r="F1782" s="2">
        <v>0</v>
      </c>
      <c r="G1782" s="2" t="s">
        <v>10</v>
      </c>
      <c r="H1782" s="2" t="s">
        <v>16</v>
      </c>
      <c r="I1782" s="2">
        <v>1</v>
      </c>
      <c r="J1782" s="2" t="s">
        <v>14</v>
      </c>
      <c r="K1782" s="2" t="s">
        <v>14</v>
      </c>
      <c r="L1782" s="2" t="s">
        <v>14</v>
      </c>
      <c r="M1782" s="2" t="s">
        <v>14</v>
      </c>
      <c r="N1782" s="2" t="s">
        <v>14</v>
      </c>
      <c r="O1782" s="2">
        <v>1</v>
      </c>
    </row>
    <row r="1783" spans="1:15" ht="15" customHeight="1" x14ac:dyDescent="0.25">
      <c r="A1783" s="3">
        <v>0</v>
      </c>
      <c r="B1783" s="3" t="s">
        <v>18</v>
      </c>
      <c r="C1783" s="3" t="s">
        <v>11</v>
      </c>
      <c r="D1783" s="2" t="s">
        <v>106</v>
      </c>
      <c r="E1783" s="3">
        <v>0</v>
      </c>
      <c r="F1783" s="3">
        <v>1</v>
      </c>
      <c r="G1783" s="3" t="s">
        <v>10</v>
      </c>
      <c r="H1783" s="3" t="s">
        <v>12</v>
      </c>
      <c r="I1783" s="3" t="s">
        <v>15</v>
      </c>
      <c r="J1783" s="3" t="s">
        <v>14</v>
      </c>
      <c r="K1783" s="3" t="s">
        <v>14</v>
      </c>
      <c r="L1783" s="3" t="s">
        <v>14</v>
      </c>
      <c r="M1783" s="3" t="s">
        <v>14</v>
      </c>
      <c r="N1783" s="3" t="s">
        <v>14</v>
      </c>
      <c r="O1783" s="3">
        <v>1</v>
      </c>
    </row>
    <row r="1784" spans="1:15" ht="15" customHeight="1" x14ac:dyDescent="0.25">
      <c r="A1784" s="2">
        <v>10</v>
      </c>
      <c r="B1784" s="2" t="s">
        <v>18</v>
      </c>
      <c r="C1784" s="2" t="s">
        <v>19</v>
      </c>
      <c r="D1784" s="2" t="s">
        <v>106</v>
      </c>
      <c r="E1784" s="2">
        <v>0</v>
      </c>
      <c r="F1784" s="2">
        <v>0</v>
      </c>
      <c r="G1784" s="2" t="s">
        <v>10</v>
      </c>
      <c r="H1784" s="2" t="s">
        <v>16</v>
      </c>
      <c r="I1784" s="2">
        <v>2</v>
      </c>
      <c r="J1784" s="2" t="s">
        <v>14</v>
      </c>
      <c r="K1784" s="2" t="s">
        <v>14</v>
      </c>
      <c r="L1784" s="2" t="s">
        <v>14</v>
      </c>
      <c r="M1784" s="2" t="s">
        <v>14</v>
      </c>
      <c r="N1784" s="2" t="s">
        <v>14</v>
      </c>
      <c r="O1784" s="2">
        <v>1</v>
      </c>
    </row>
    <row r="1785" spans="1:15" ht="15" customHeight="1" x14ac:dyDescent="0.25">
      <c r="A1785" s="3">
        <v>30</v>
      </c>
      <c r="B1785" s="3" t="s">
        <v>10</v>
      </c>
      <c r="C1785" s="3" t="s">
        <v>11</v>
      </c>
      <c r="D1785" s="2" t="s">
        <v>106</v>
      </c>
      <c r="E1785" s="3">
        <v>0</v>
      </c>
      <c r="F1785" s="3">
        <v>0</v>
      </c>
      <c r="G1785" s="3" t="s">
        <v>10</v>
      </c>
      <c r="H1785" s="3" t="s">
        <v>12</v>
      </c>
      <c r="I1785" s="3">
        <v>2</v>
      </c>
      <c r="J1785" s="3" t="s">
        <v>14</v>
      </c>
      <c r="K1785" s="3" t="s">
        <v>14</v>
      </c>
      <c r="L1785" s="3" t="s">
        <v>14</v>
      </c>
      <c r="M1785" s="3" t="s">
        <v>13</v>
      </c>
      <c r="N1785" s="3" t="s">
        <v>13</v>
      </c>
      <c r="O1785" s="3">
        <v>0</v>
      </c>
    </row>
    <row r="1786" spans="1:15" ht="15" customHeight="1" x14ac:dyDescent="0.25">
      <c r="A1786" s="2">
        <v>10</v>
      </c>
      <c r="B1786" s="2" t="s">
        <v>10</v>
      </c>
      <c r="C1786" s="2" t="s">
        <v>11</v>
      </c>
      <c r="D1786" s="2" t="s">
        <v>106</v>
      </c>
      <c r="E1786" s="2">
        <v>0</v>
      </c>
      <c r="F1786" s="2">
        <v>0</v>
      </c>
      <c r="G1786" s="2" t="s">
        <v>17</v>
      </c>
      <c r="H1786" s="2" t="s">
        <v>106</v>
      </c>
      <c r="I1786" s="2">
        <v>1</v>
      </c>
      <c r="J1786" s="2" t="s">
        <v>14</v>
      </c>
      <c r="K1786" s="2" t="s">
        <v>13</v>
      </c>
      <c r="L1786" s="2" t="s">
        <v>13</v>
      </c>
      <c r="M1786" s="2" t="s">
        <v>13</v>
      </c>
      <c r="N1786" s="2" t="s">
        <v>14</v>
      </c>
      <c r="O1786" s="2">
        <v>1</v>
      </c>
    </row>
    <row r="1787" spans="1:15" ht="15" customHeight="1" x14ac:dyDescent="0.25">
      <c r="A1787" s="3">
        <v>5</v>
      </c>
      <c r="B1787" s="3" t="s">
        <v>14</v>
      </c>
      <c r="C1787" s="3" t="s">
        <v>11</v>
      </c>
      <c r="D1787" s="2" t="s">
        <v>106</v>
      </c>
      <c r="E1787" s="3">
        <v>1</v>
      </c>
      <c r="F1787" s="3">
        <v>0</v>
      </c>
      <c r="G1787" s="3" t="s">
        <v>17</v>
      </c>
      <c r="H1787" s="3" t="s">
        <v>106</v>
      </c>
      <c r="I1787" s="3">
        <v>1</v>
      </c>
      <c r="J1787" s="3" t="s">
        <v>14</v>
      </c>
      <c r="K1787" s="3" t="s">
        <v>13</v>
      </c>
      <c r="L1787" s="3" t="s">
        <v>13</v>
      </c>
      <c r="M1787" s="3" t="s">
        <v>13</v>
      </c>
      <c r="N1787" s="3" t="s">
        <v>14</v>
      </c>
      <c r="O1787" s="3">
        <v>0</v>
      </c>
    </row>
    <row r="1788" spans="1:15" ht="15" customHeight="1" x14ac:dyDescent="0.25">
      <c r="A1788" s="2">
        <v>10</v>
      </c>
      <c r="B1788" s="2" t="s">
        <v>10</v>
      </c>
      <c r="C1788" s="2" t="s">
        <v>19</v>
      </c>
      <c r="D1788" s="2" t="s">
        <v>106</v>
      </c>
      <c r="E1788" s="2">
        <v>0</v>
      </c>
      <c r="F1788" s="2">
        <v>0</v>
      </c>
      <c r="G1788" s="2" t="s">
        <v>10</v>
      </c>
      <c r="H1788" s="2" t="s">
        <v>12</v>
      </c>
      <c r="I1788" s="2">
        <v>2</v>
      </c>
      <c r="J1788" s="2" t="s">
        <v>14</v>
      </c>
      <c r="K1788" s="2" t="s">
        <v>14</v>
      </c>
      <c r="L1788" s="2" t="s">
        <v>14</v>
      </c>
      <c r="M1788" s="2" t="s">
        <v>14</v>
      </c>
      <c r="N1788" s="2" t="s">
        <v>14</v>
      </c>
      <c r="O1788" s="2">
        <v>1</v>
      </c>
    </row>
    <row r="1789" spans="1:15" ht="15" customHeight="1" x14ac:dyDescent="0.25">
      <c r="A1789" s="3">
        <v>10</v>
      </c>
      <c r="B1789" s="3" t="s">
        <v>18</v>
      </c>
      <c r="C1789" s="3" t="s">
        <v>19</v>
      </c>
      <c r="D1789" s="3" t="s">
        <v>19</v>
      </c>
      <c r="E1789" s="3">
        <v>0</v>
      </c>
      <c r="F1789" s="3">
        <v>0</v>
      </c>
      <c r="G1789" s="3" t="s">
        <v>10</v>
      </c>
      <c r="H1789" s="3" t="s">
        <v>12</v>
      </c>
      <c r="I1789" s="3">
        <v>2</v>
      </c>
      <c r="J1789" s="3" t="s">
        <v>14</v>
      </c>
      <c r="K1789" s="3" t="s">
        <v>14</v>
      </c>
      <c r="L1789" s="3" t="s">
        <v>14</v>
      </c>
      <c r="M1789" s="3" t="s">
        <v>14</v>
      </c>
      <c r="N1789" s="3" t="s">
        <v>14</v>
      </c>
      <c r="O1789" s="3">
        <v>1</v>
      </c>
    </row>
    <row r="1790" spans="1:15" ht="15" customHeight="1" x14ac:dyDescent="0.25">
      <c r="A1790" s="2">
        <v>5</v>
      </c>
      <c r="B1790" s="2" t="s">
        <v>14</v>
      </c>
      <c r="C1790" s="2" t="s">
        <v>19</v>
      </c>
      <c r="D1790" s="2" t="s">
        <v>19</v>
      </c>
      <c r="E1790" s="2">
        <v>0</v>
      </c>
      <c r="F1790" s="2">
        <v>0</v>
      </c>
      <c r="G1790" s="2" t="s">
        <v>10</v>
      </c>
      <c r="H1790" s="2" t="s">
        <v>12</v>
      </c>
      <c r="I1790" s="2">
        <v>2</v>
      </c>
      <c r="J1790" s="2" t="s">
        <v>14</v>
      </c>
      <c r="K1790" s="2" t="s">
        <v>14</v>
      </c>
      <c r="L1790" s="2" t="s">
        <v>14</v>
      </c>
      <c r="M1790" s="2" t="s">
        <v>14</v>
      </c>
      <c r="N1790" s="2" t="s">
        <v>14</v>
      </c>
      <c r="O1790" s="2">
        <v>1</v>
      </c>
    </row>
    <row r="1791" spans="1:15" ht="15" customHeight="1" x14ac:dyDescent="0.25">
      <c r="A1791" s="3">
        <v>10</v>
      </c>
      <c r="B1791" s="3" t="s">
        <v>10</v>
      </c>
      <c r="C1791" s="3" t="s">
        <v>19</v>
      </c>
      <c r="D1791" s="3" t="s">
        <v>19</v>
      </c>
      <c r="E1791" s="3">
        <v>0</v>
      </c>
      <c r="F1791" s="3">
        <v>0</v>
      </c>
      <c r="G1791" s="3" t="s">
        <v>10</v>
      </c>
      <c r="H1791" s="3" t="s">
        <v>12</v>
      </c>
      <c r="I1791" s="3">
        <v>2</v>
      </c>
      <c r="J1791" s="3" t="s">
        <v>14</v>
      </c>
      <c r="K1791" s="3" t="s">
        <v>14</v>
      </c>
      <c r="L1791" s="3" t="s">
        <v>14</v>
      </c>
      <c r="M1791" s="3" t="s">
        <v>14</v>
      </c>
      <c r="N1791" s="3" t="s">
        <v>14</v>
      </c>
      <c r="O1791" s="3">
        <v>1</v>
      </c>
    </row>
    <row r="1792" spans="1:15" ht="15" customHeight="1" x14ac:dyDescent="0.25">
      <c r="A1792" s="2">
        <v>10</v>
      </c>
      <c r="B1792" s="2" t="s">
        <v>18</v>
      </c>
      <c r="C1792" s="2" t="s">
        <v>19</v>
      </c>
      <c r="D1792" s="2" t="s">
        <v>19</v>
      </c>
      <c r="E1792" s="2">
        <v>0</v>
      </c>
      <c r="F1792" s="2">
        <v>1</v>
      </c>
      <c r="G1792" s="2" t="s">
        <v>10</v>
      </c>
      <c r="H1792" s="2" t="s">
        <v>12</v>
      </c>
      <c r="I1792" s="2">
        <v>2</v>
      </c>
      <c r="J1792" s="2" t="s">
        <v>14</v>
      </c>
      <c r="K1792" s="2" t="s">
        <v>14</v>
      </c>
      <c r="L1792" s="2" t="s">
        <v>14</v>
      </c>
      <c r="M1792" s="2" t="s">
        <v>14</v>
      </c>
      <c r="N1792" s="2" t="s">
        <v>14</v>
      </c>
      <c r="O1792" s="2">
        <v>1</v>
      </c>
    </row>
    <row r="1793" spans="1:15" ht="15" customHeight="1" x14ac:dyDescent="0.25">
      <c r="A1793" s="3">
        <v>10</v>
      </c>
      <c r="B1793" s="3" t="s">
        <v>18</v>
      </c>
      <c r="C1793" s="3" t="s">
        <v>19</v>
      </c>
      <c r="D1793" s="3" t="s">
        <v>19</v>
      </c>
      <c r="E1793" s="3">
        <v>0</v>
      </c>
      <c r="F1793" s="3">
        <v>0</v>
      </c>
      <c r="G1793" s="3" t="s">
        <v>10</v>
      </c>
      <c r="H1793" s="3" t="s">
        <v>12</v>
      </c>
      <c r="I1793" s="3">
        <v>2</v>
      </c>
      <c r="J1793" s="3" t="s">
        <v>14</v>
      </c>
      <c r="K1793" s="3" t="s">
        <v>14</v>
      </c>
      <c r="L1793" s="3" t="s">
        <v>14</v>
      </c>
      <c r="M1793" s="3" t="s">
        <v>14</v>
      </c>
      <c r="N1793" s="3" t="s">
        <v>14</v>
      </c>
      <c r="O1793" s="3">
        <v>1</v>
      </c>
    </row>
    <row r="1794" spans="1:15" ht="15" customHeight="1" x14ac:dyDescent="0.25">
      <c r="A1794" s="2">
        <v>30</v>
      </c>
      <c r="B1794" s="2" t="s">
        <v>10</v>
      </c>
      <c r="C1794" s="2" t="s">
        <v>11</v>
      </c>
      <c r="D1794" s="2" t="s">
        <v>19</v>
      </c>
      <c r="E1794" s="2">
        <v>0</v>
      </c>
      <c r="F1794" s="2">
        <v>1</v>
      </c>
      <c r="G1794" s="2" t="s">
        <v>10</v>
      </c>
      <c r="H1794" s="2" t="s">
        <v>12</v>
      </c>
      <c r="I1794" s="2">
        <v>2</v>
      </c>
      <c r="J1794" s="2" t="s">
        <v>13</v>
      </c>
      <c r="K1794" s="2" t="s">
        <v>14</v>
      </c>
      <c r="L1794" s="2" t="s">
        <v>14</v>
      </c>
      <c r="M1794" s="2" t="s">
        <v>13</v>
      </c>
      <c r="N1794" s="2" t="s">
        <v>14</v>
      </c>
      <c r="O1794" s="2">
        <v>0</v>
      </c>
    </row>
    <row r="1795" spans="1:15" ht="15" customHeight="1" x14ac:dyDescent="0.25">
      <c r="A1795" s="3">
        <v>30</v>
      </c>
      <c r="B1795" s="3" t="s">
        <v>10</v>
      </c>
      <c r="C1795" s="3" t="s">
        <v>19</v>
      </c>
      <c r="D1795" s="3" t="s">
        <v>20</v>
      </c>
      <c r="E1795" s="3">
        <v>0</v>
      </c>
      <c r="F1795" s="3">
        <v>0</v>
      </c>
      <c r="G1795" s="3" t="s">
        <v>10</v>
      </c>
      <c r="H1795" s="3" t="s">
        <v>12</v>
      </c>
      <c r="I1795" s="3">
        <v>2</v>
      </c>
      <c r="J1795" s="3" t="s">
        <v>14</v>
      </c>
      <c r="K1795" s="3" t="s">
        <v>14</v>
      </c>
      <c r="L1795" s="3" t="s">
        <v>14</v>
      </c>
      <c r="M1795" s="3" t="s">
        <v>13</v>
      </c>
      <c r="N1795" s="3" t="s">
        <v>14</v>
      </c>
      <c r="O1795" s="3">
        <v>0</v>
      </c>
    </row>
    <row r="1796" spans="1:15" ht="15" customHeight="1" x14ac:dyDescent="0.25">
      <c r="A1796" s="2">
        <v>5</v>
      </c>
      <c r="B1796" s="2" t="s">
        <v>18</v>
      </c>
      <c r="C1796" s="2" t="s">
        <v>19</v>
      </c>
      <c r="D1796" s="2" t="s">
        <v>19</v>
      </c>
      <c r="E1796" s="2">
        <v>0</v>
      </c>
      <c r="F1796" s="2">
        <v>0</v>
      </c>
      <c r="G1796" s="2" t="s">
        <v>10</v>
      </c>
      <c r="H1796" s="2" t="s">
        <v>12</v>
      </c>
      <c r="I1796" s="2">
        <v>1</v>
      </c>
      <c r="J1796" s="2" t="s">
        <v>14</v>
      </c>
      <c r="K1796" s="2" t="s">
        <v>13</v>
      </c>
      <c r="L1796" s="2" t="s">
        <v>13</v>
      </c>
      <c r="M1796" s="2" t="s">
        <v>14</v>
      </c>
      <c r="N1796" s="2" t="s">
        <v>14</v>
      </c>
      <c r="O1796" s="2">
        <v>1</v>
      </c>
    </row>
    <row r="1797" spans="1:15" ht="15" customHeight="1" x14ac:dyDescent="0.25">
      <c r="A1797" s="3">
        <v>0</v>
      </c>
      <c r="B1797" s="3" t="s">
        <v>14</v>
      </c>
      <c r="C1797" s="3" t="s">
        <v>19</v>
      </c>
      <c r="D1797" s="3" t="s">
        <v>19</v>
      </c>
      <c r="E1797" s="3">
        <v>0</v>
      </c>
      <c r="F1797" s="3">
        <v>1</v>
      </c>
      <c r="G1797" s="3" t="s">
        <v>10</v>
      </c>
      <c r="H1797" s="3" t="s">
        <v>12</v>
      </c>
      <c r="I1797" s="3">
        <v>2</v>
      </c>
      <c r="J1797" s="3" t="s">
        <v>14</v>
      </c>
      <c r="K1797" s="3" t="s">
        <v>14</v>
      </c>
      <c r="L1797" s="3" t="s">
        <v>14</v>
      </c>
      <c r="M1797" s="3" t="s">
        <v>14</v>
      </c>
      <c r="N1797" s="3" t="s">
        <v>14</v>
      </c>
      <c r="O1797" s="3">
        <v>1</v>
      </c>
    </row>
    <row r="1798" spans="1:15" ht="15" customHeight="1" x14ac:dyDescent="0.25">
      <c r="A1798" s="2">
        <v>10</v>
      </c>
      <c r="B1798" s="2" t="s">
        <v>18</v>
      </c>
      <c r="C1798" s="2" t="s">
        <v>19</v>
      </c>
      <c r="D1798" s="2" t="s">
        <v>19</v>
      </c>
      <c r="E1798" s="2">
        <v>0</v>
      </c>
      <c r="F1798" s="2">
        <v>0</v>
      </c>
      <c r="G1798" s="2" t="s">
        <v>10</v>
      </c>
      <c r="H1798" s="2" t="s">
        <v>12</v>
      </c>
      <c r="I1798" s="2" t="s">
        <v>15</v>
      </c>
      <c r="J1798" s="2" t="s">
        <v>14</v>
      </c>
      <c r="K1798" s="2" t="s">
        <v>14</v>
      </c>
      <c r="L1798" s="2" t="s">
        <v>14</v>
      </c>
      <c r="M1798" s="2" t="s">
        <v>14</v>
      </c>
      <c r="N1798" s="2" t="s">
        <v>14</v>
      </c>
      <c r="O1798" s="2">
        <v>1</v>
      </c>
    </row>
    <row r="1799" spans="1:15" ht="15" customHeight="1" x14ac:dyDescent="0.25">
      <c r="A1799" s="3">
        <v>20</v>
      </c>
      <c r="B1799" s="3" t="s">
        <v>14</v>
      </c>
      <c r="C1799" s="3" t="s">
        <v>20</v>
      </c>
      <c r="D1799" s="3" t="s">
        <v>20</v>
      </c>
      <c r="E1799" s="3">
        <v>0</v>
      </c>
      <c r="F1799" s="3">
        <v>0</v>
      </c>
      <c r="G1799" s="3" t="s">
        <v>10</v>
      </c>
      <c r="H1799" s="3" t="s">
        <v>12</v>
      </c>
      <c r="I1799" s="3">
        <v>2</v>
      </c>
      <c r="J1799" s="3" t="s">
        <v>14</v>
      </c>
      <c r="K1799" s="3" t="s">
        <v>14</v>
      </c>
      <c r="L1799" s="3" t="s">
        <v>14</v>
      </c>
      <c r="M1799" s="3" t="s">
        <v>14</v>
      </c>
      <c r="N1799" s="3" t="s">
        <v>14</v>
      </c>
      <c r="O1799" s="3">
        <v>1</v>
      </c>
    </row>
    <row r="1800" spans="1:15" ht="15" customHeight="1" x14ac:dyDescent="0.25">
      <c r="A1800" s="2">
        <v>10</v>
      </c>
      <c r="B1800" s="2" t="s">
        <v>10</v>
      </c>
      <c r="C1800" s="2" t="s">
        <v>19</v>
      </c>
      <c r="D1800" s="2" t="s">
        <v>20</v>
      </c>
      <c r="E1800" s="2">
        <v>0</v>
      </c>
      <c r="F1800" s="2">
        <v>0</v>
      </c>
      <c r="G1800" s="2" t="s">
        <v>10</v>
      </c>
      <c r="H1800" s="2" t="s">
        <v>12</v>
      </c>
      <c r="I1800" s="2" t="s">
        <v>15</v>
      </c>
      <c r="J1800" s="2" t="s">
        <v>14</v>
      </c>
      <c r="K1800" s="2" t="s">
        <v>14</v>
      </c>
      <c r="L1800" s="2" t="s">
        <v>14</v>
      </c>
      <c r="M1800" s="2" t="s">
        <v>14</v>
      </c>
      <c r="N1800" s="2" t="s">
        <v>14</v>
      </c>
      <c r="O1800" s="2">
        <v>1</v>
      </c>
    </row>
    <row r="1801" spans="1:15" ht="15" customHeight="1" x14ac:dyDescent="0.25">
      <c r="A1801" s="3">
        <v>10</v>
      </c>
      <c r="B1801" s="3" t="s">
        <v>10</v>
      </c>
      <c r="C1801" s="3" t="s">
        <v>19</v>
      </c>
      <c r="D1801" s="3" t="s">
        <v>19</v>
      </c>
      <c r="E1801" s="3">
        <v>0</v>
      </c>
      <c r="F1801" s="3">
        <v>0</v>
      </c>
      <c r="G1801" s="3" t="s">
        <v>10</v>
      </c>
      <c r="H1801" s="3" t="s">
        <v>12</v>
      </c>
      <c r="I1801" s="3">
        <v>2</v>
      </c>
      <c r="J1801" s="3" t="s">
        <v>14</v>
      </c>
      <c r="K1801" s="3" t="s">
        <v>14</v>
      </c>
      <c r="L1801" s="3" t="s">
        <v>14</v>
      </c>
      <c r="M1801" s="3" t="s">
        <v>14</v>
      </c>
      <c r="N1801" s="3" t="s">
        <v>14</v>
      </c>
      <c r="O1801" s="3">
        <v>1</v>
      </c>
    </row>
    <row r="1802" spans="1:15" ht="15" customHeight="1" x14ac:dyDescent="0.25">
      <c r="A1802" s="2">
        <v>0</v>
      </c>
      <c r="B1802" s="2" t="s">
        <v>18</v>
      </c>
      <c r="C1802" s="2" t="s">
        <v>19</v>
      </c>
      <c r="D1802" s="2" t="s">
        <v>19</v>
      </c>
      <c r="E1802" s="2">
        <v>0</v>
      </c>
      <c r="F1802" s="2">
        <v>0</v>
      </c>
      <c r="G1802" s="2" t="s">
        <v>10</v>
      </c>
      <c r="H1802" s="2" t="s">
        <v>12</v>
      </c>
      <c r="I1802" s="2">
        <v>1</v>
      </c>
      <c r="J1802" s="2" t="s">
        <v>14</v>
      </c>
      <c r="K1802" s="2" t="s">
        <v>14</v>
      </c>
      <c r="L1802" s="2" t="s">
        <v>14</v>
      </c>
      <c r="M1802" s="2" t="s">
        <v>14</v>
      </c>
      <c r="N1802" s="2" t="s">
        <v>14</v>
      </c>
      <c r="O1802" s="2">
        <v>1</v>
      </c>
    </row>
    <row r="1803" spans="1:15" ht="15" customHeight="1" x14ac:dyDescent="0.25">
      <c r="A1803" s="3">
        <v>5</v>
      </c>
      <c r="B1803" s="3" t="s">
        <v>18</v>
      </c>
      <c r="C1803" s="3" t="s">
        <v>19</v>
      </c>
      <c r="D1803" s="3" t="s">
        <v>19</v>
      </c>
      <c r="E1803" s="3">
        <v>0</v>
      </c>
      <c r="F1803" s="3">
        <v>1</v>
      </c>
      <c r="G1803" s="3" t="s">
        <v>10</v>
      </c>
      <c r="H1803" s="3" t="s">
        <v>12</v>
      </c>
      <c r="I1803" s="3" t="s">
        <v>15</v>
      </c>
      <c r="J1803" s="3" t="s">
        <v>14</v>
      </c>
      <c r="K1803" s="3" t="s">
        <v>14</v>
      </c>
      <c r="L1803" s="3" t="s">
        <v>14</v>
      </c>
      <c r="M1803" s="3" t="s">
        <v>14</v>
      </c>
      <c r="N1803" s="3" t="s">
        <v>14</v>
      </c>
      <c r="O1803" s="3">
        <v>0</v>
      </c>
    </row>
    <row r="1804" spans="1:15" ht="15" customHeight="1" x14ac:dyDescent="0.25">
      <c r="A1804" s="2">
        <v>10</v>
      </c>
      <c r="B1804" s="2" t="s">
        <v>14</v>
      </c>
      <c r="C1804" s="2" t="s">
        <v>19</v>
      </c>
      <c r="D1804" s="2" t="s">
        <v>19</v>
      </c>
      <c r="E1804" s="2">
        <v>0</v>
      </c>
      <c r="F1804" s="2">
        <v>0</v>
      </c>
      <c r="G1804" s="2" t="s">
        <v>10</v>
      </c>
      <c r="H1804" s="2" t="s">
        <v>12</v>
      </c>
      <c r="I1804" s="2">
        <v>2</v>
      </c>
      <c r="J1804" s="2" t="s">
        <v>14</v>
      </c>
      <c r="K1804" s="2" t="s">
        <v>14</v>
      </c>
      <c r="L1804" s="2" t="s">
        <v>14</v>
      </c>
      <c r="M1804" s="2" t="s">
        <v>14</v>
      </c>
      <c r="N1804" s="2" t="s">
        <v>14</v>
      </c>
      <c r="O1804" s="2">
        <v>1</v>
      </c>
    </row>
    <row r="1805" spans="1:15" ht="15" customHeight="1" x14ac:dyDescent="0.25">
      <c r="A1805" s="3">
        <v>5</v>
      </c>
      <c r="B1805" s="3" t="s">
        <v>14</v>
      </c>
      <c r="C1805" s="3" t="s">
        <v>19</v>
      </c>
      <c r="D1805" s="3" t="s">
        <v>19</v>
      </c>
      <c r="E1805" s="3">
        <v>0</v>
      </c>
      <c r="F1805" s="3">
        <v>0</v>
      </c>
      <c r="G1805" s="3" t="s">
        <v>10</v>
      </c>
      <c r="H1805" s="3" t="s">
        <v>12</v>
      </c>
      <c r="I1805" s="3" t="s">
        <v>15</v>
      </c>
      <c r="J1805" s="3" t="s">
        <v>14</v>
      </c>
      <c r="K1805" s="3" t="s">
        <v>14</v>
      </c>
      <c r="L1805" s="3" t="s">
        <v>14</v>
      </c>
      <c r="M1805" s="3" t="s">
        <v>14</v>
      </c>
      <c r="N1805" s="3" t="s">
        <v>14</v>
      </c>
      <c r="O1805" s="3">
        <v>1</v>
      </c>
    </row>
    <row r="1806" spans="1:15" ht="15" customHeight="1" x14ac:dyDescent="0.25">
      <c r="A1806" s="2">
        <v>30</v>
      </c>
      <c r="B1806" s="2" t="s">
        <v>10</v>
      </c>
      <c r="C1806" s="2" t="s">
        <v>19</v>
      </c>
      <c r="D1806" s="2" t="s">
        <v>19</v>
      </c>
      <c r="E1806" s="2">
        <v>0</v>
      </c>
      <c r="F1806" s="2">
        <v>0</v>
      </c>
      <c r="G1806" s="2" t="s">
        <v>10</v>
      </c>
      <c r="H1806" s="2" t="s">
        <v>12</v>
      </c>
      <c r="I1806" s="2" t="s">
        <v>15</v>
      </c>
      <c r="J1806" s="2" t="s">
        <v>14</v>
      </c>
      <c r="K1806" s="2" t="s">
        <v>14</v>
      </c>
      <c r="L1806" s="2" t="s">
        <v>14</v>
      </c>
      <c r="M1806" s="2" t="s">
        <v>13</v>
      </c>
      <c r="N1806" s="2" t="s">
        <v>14</v>
      </c>
      <c r="O1806" s="2">
        <v>1</v>
      </c>
    </row>
    <row r="1807" spans="1:15" ht="15" customHeight="1" x14ac:dyDescent="0.25">
      <c r="A1807" s="3">
        <v>30</v>
      </c>
      <c r="B1807" s="3" t="s">
        <v>10</v>
      </c>
      <c r="C1807" s="3" t="s">
        <v>11</v>
      </c>
      <c r="D1807" s="3" t="s">
        <v>19</v>
      </c>
      <c r="E1807" s="3">
        <v>0</v>
      </c>
      <c r="F1807" s="3">
        <v>1</v>
      </c>
      <c r="G1807" s="3" t="s">
        <v>10</v>
      </c>
      <c r="H1807" s="3" t="s">
        <v>12</v>
      </c>
      <c r="I1807" s="3" t="s">
        <v>15</v>
      </c>
      <c r="J1807" s="3" t="s">
        <v>14</v>
      </c>
      <c r="K1807" s="3" t="s">
        <v>14</v>
      </c>
      <c r="L1807" s="3" t="s">
        <v>14</v>
      </c>
      <c r="M1807" s="3" t="s">
        <v>13</v>
      </c>
      <c r="N1807" s="3" t="s">
        <v>13</v>
      </c>
      <c r="O1807" s="3">
        <v>1</v>
      </c>
    </row>
    <row r="1808" spans="1:15" ht="15" customHeight="1" x14ac:dyDescent="0.25">
      <c r="A1808" s="2">
        <v>10</v>
      </c>
      <c r="B1808" s="2" t="s">
        <v>18</v>
      </c>
      <c r="C1808" s="2" t="s">
        <v>11</v>
      </c>
      <c r="D1808" s="2" t="s">
        <v>11</v>
      </c>
      <c r="E1808" s="2">
        <v>0</v>
      </c>
      <c r="F1808" s="2">
        <v>0</v>
      </c>
      <c r="G1808" s="2" t="s">
        <v>10</v>
      </c>
      <c r="H1808" s="2" t="s">
        <v>12</v>
      </c>
      <c r="I1808" s="2" t="s">
        <v>15</v>
      </c>
      <c r="J1808" s="2" t="s">
        <v>14</v>
      </c>
      <c r="K1808" s="2" t="s">
        <v>14</v>
      </c>
      <c r="L1808" s="2" t="s">
        <v>14</v>
      </c>
      <c r="M1808" s="2" t="s">
        <v>14</v>
      </c>
      <c r="N1808" s="2" t="s">
        <v>14</v>
      </c>
      <c r="O1808" s="2">
        <v>1</v>
      </c>
    </row>
    <row r="1809" spans="1:15" ht="15" customHeight="1" x14ac:dyDescent="0.25">
      <c r="A1809" s="3">
        <v>5</v>
      </c>
      <c r="B1809" s="3" t="s">
        <v>18</v>
      </c>
      <c r="C1809" s="3" t="s">
        <v>19</v>
      </c>
      <c r="D1809" s="3" t="s">
        <v>11</v>
      </c>
      <c r="E1809" s="3">
        <v>0</v>
      </c>
      <c r="F1809" s="3">
        <v>0</v>
      </c>
      <c r="G1809" s="3" t="s">
        <v>10</v>
      </c>
      <c r="H1809" s="3" t="s">
        <v>12</v>
      </c>
      <c r="I1809" s="3">
        <v>2</v>
      </c>
      <c r="J1809" s="3" t="s">
        <v>14</v>
      </c>
      <c r="K1809" s="3" t="s">
        <v>14</v>
      </c>
      <c r="L1809" s="3" t="s">
        <v>14</v>
      </c>
      <c r="M1809" s="3" t="s">
        <v>14</v>
      </c>
      <c r="N1809" s="3" t="s">
        <v>14</v>
      </c>
      <c r="O1809" s="3">
        <v>1</v>
      </c>
    </row>
    <row r="1810" spans="1:15" ht="15" customHeight="1" x14ac:dyDescent="0.25">
      <c r="A1810" s="2">
        <v>20</v>
      </c>
      <c r="B1810" s="2" t="s">
        <v>10</v>
      </c>
      <c r="C1810" s="2" t="s">
        <v>11</v>
      </c>
      <c r="D1810" s="2" t="s">
        <v>19</v>
      </c>
      <c r="E1810" s="2">
        <v>1</v>
      </c>
      <c r="F1810" s="2">
        <v>0</v>
      </c>
      <c r="G1810" s="2" t="s">
        <v>10</v>
      </c>
      <c r="H1810" s="2" t="s">
        <v>12</v>
      </c>
      <c r="I1810" s="2">
        <v>2</v>
      </c>
      <c r="J1810" s="2" t="s">
        <v>14</v>
      </c>
      <c r="K1810" s="2" t="s">
        <v>14</v>
      </c>
      <c r="L1810" s="2" t="s">
        <v>14</v>
      </c>
      <c r="M1810" s="2" t="s">
        <v>13</v>
      </c>
      <c r="N1810" s="2" t="s">
        <v>14</v>
      </c>
      <c r="O1810" s="2">
        <v>0</v>
      </c>
    </row>
    <row r="1811" spans="1:15" ht="15" customHeight="1" x14ac:dyDescent="0.25">
      <c r="A1811" s="3">
        <v>10</v>
      </c>
      <c r="B1811" s="3" t="s">
        <v>10</v>
      </c>
      <c r="C1811" s="3" t="s">
        <v>11</v>
      </c>
      <c r="D1811" s="3" t="s">
        <v>19</v>
      </c>
      <c r="E1811" s="3">
        <v>0</v>
      </c>
      <c r="F1811" s="3">
        <v>0</v>
      </c>
      <c r="G1811" s="3" t="s">
        <v>10</v>
      </c>
      <c r="H1811" s="3" t="s">
        <v>12</v>
      </c>
      <c r="I1811" s="3">
        <v>1</v>
      </c>
      <c r="J1811" s="3" t="s">
        <v>14</v>
      </c>
      <c r="K1811" s="3" t="s">
        <v>13</v>
      </c>
      <c r="L1811" s="3" t="s">
        <v>13</v>
      </c>
      <c r="M1811" s="3" t="s">
        <v>14</v>
      </c>
      <c r="N1811" s="3" t="s">
        <v>14</v>
      </c>
      <c r="O1811" s="3">
        <v>1</v>
      </c>
    </row>
    <row r="1812" spans="1:15" ht="15" customHeight="1" x14ac:dyDescent="0.25">
      <c r="A1812" s="2">
        <v>5</v>
      </c>
      <c r="B1812" s="2" t="s">
        <v>14</v>
      </c>
      <c r="C1812" s="2" t="s">
        <v>11</v>
      </c>
      <c r="D1812" s="2" t="s">
        <v>11</v>
      </c>
      <c r="E1812" s="2">
        <v>0</v>
      </c>
      <c r="F1812" s="2">
        <v>0</v>
      </c>
      <c r="G1812" s="2" t="s">
        <v>10</v>
      </c>
      <c r="H1812" s="2" t="s">
        <v>12</v>
      </c>
      <c r="I1812" s="2" t="s">
        <v>15</v>
      </c>
      <c r="J1812" s="2" t="s">
        <v>14</v>
      </c>
      <c r="K1812" s="2" t="s">
        <v>14</v>
      </c>
      <c r="L1812" s="2" t="s">
        <v>14</v>
      </c>
      <c r="M1812" s="2" t="s">
        <v>14</v>
      </c>
      <c r="N1812" s="2" t="s">
        <v>14</v>
      </c>
      <c r="O1812" s="2">
        <v>1</v>
      </c>
    </row>
    <row r="1813" spans="1:15" ht="15" customHeight="1" x14ac:dyDescent="0.25">
      <c r="A1813" s="3">
        <v>0</v>
      </c>
      <c r="B1813" s="3" t="s">
        <v>14</v>
      </c>
      <c r="C1813" s="3" t="s">
        <v>11</v>
      </c>
      <c r="D1813" s="3" t="s">
        <v>11</v>
      </c>
      <c r="E1813" s="3">
        <v>0</v>
      </c>
      <c r="F1813" s="3">
        <v>0</v>
      </c>
      <c r="G1813" s="3" t="s">
        <v>10</v>
      </c>
      <c r="H1813" s="3" t="s">
        <v>16</v>
      </c>
      <c r="I1813" s="3">
        <v>1</v>
      </c>
      <c r="J1813" s="3" t="s">
        <v>14</v>
      </c>
      <c r="K1813" s="3" t="s">
        <v>14</v>
      </c>
      <c r="L1813" s="3" t="s">
        <v>14</v>
      </c>
      <c r="M1813" s="3" t="s">
        <v>14</v>
      </c>
      <c r="N1813" s="3" t="s">
        <v>14</v>
      </c>
      <c r="O1813" s="3">
        <v>1</v>
      </c>
    </row>
    <row r="1814" spans="1:15" ht="15" customHeight="1" x14ac:dyDescent="0.25">
      <c r="A1814" s="2">
        <v>5</v>
      </c>
      <c r="B1814" s="2" t="s">
        <v>18</v>
      </c>
      <c r="C1814" s="2" t="s">
        <v>19</v>
      </c>
      <c r="D1814" s="2" t="s">
        <v>11</v>
      </c>
      <c r="E1814" s="2">
        <v>0</v>
      </c>
      <c r="F1814" s="2">
        <v>0</v>
      </c>
      <c r="G1814" s="2" t="s">
        <v>10</v>
      </c>
      <c r="H1814" s="2" t="s">
        <v>12</v>
      </c>
      <c r="I1814" s="2" t="s">
        <v>15</v>
      </c>
      <c r="J1814" s="2" t="s">
        <v>14</v>
      </c>
      <c r="K1814" s="2" t="s">
        <v>14</v>
      </c>
      <c r="L1814" s="2" t="s">
        <v>14</v>
      </c>
      <c r="M1814" s="2" t="s">
        <v>14</v>
      </c>
      <c r="N1814" s="2" t="s">
        <v>14</v>
      </c>
      <c r="O1814" s="2">
        <v>1</v>
      </c>
    </row>
    <row r="1815" spans="1:15" ht="15" customHeight="1" x14ac:dyDescent="0.25">
      <c r="A1815" s="3">
        <v>5</v>
      </c>
      <c r="B1815" s="3" t="s">
        <v>10</v>
      </c>
      <c r="C1815" s="3" t="s">
        <v>19</v>
      </c>
      <c r="D1815" s="3" t="s">
        <v>19</v>
      </c>
      <c r="E1815" s="3">
        <v>0</v>
      </c>
      <c r="F1815" s="3">
        <v>0</v>
      </c>
      <c r="G1815" s="3" t="s">
        <v>10</v>
      </c>
      <c r="H1815" s="3" t="s">
        <v>12</v>
      </c>
      <c r="I1815" s="3" t="s">
        <v>15</v>
      </c>
      <c r="J1815" s="3" t="s">
        <v>14</v>
      </c>
      <c r="K1815" s="3" t="s">
        <v>14</v>
      </c>
      <c r="L1815" s="3" t="s">
        <v>14</v>
      </c>
      <c r="M1815" s="3" t="s">
        <v>14</v>
      </c>
      <c r="N1815" s="3" t="s">
        <v>14</v>
      </c>
      <c r="O1815" s="3">
        <v>1</v>
      </c>
    </row>
    <row r="1816" spans="1:15" ht="15" customHeight="1" x14ac:dyDescent="0.25">
      <c r="A1816" s="2">
        <v>20</v>
      </c>
      <c r="B1816" s="2" t="s">
        <v>18</v>
      </c>
      <c r="C1816" s="2" t="s">
        <v>19</v>
      </c>
      <c r="D1816" s="2" t="s">
        <v>19</v>
      </c>
      <c r="E1816" s="2">
        <v>0</v>
      </c>
      <c r="F1816" s="2">
        <v>0</v>
      </c>
      <c r="G1816" s="2" t="s">
        <v>10</v>
      </c>
      <c r="H1816" s="2" t="s">
        <v>12</v>
      </c>
      <c r="I1816" s="2">
        <v>2</v>
      </c>
      <c r="J1816" s="2" t="s">
        <v>14</v>
      </c>
      <c r="K1816" s="2" t="s">
        <v>14</v>
      </c>
      <c r="L1816" s="2" t="s">
        <v>14</v>
      </c>
      <c r="M1816" s="2" t="s">
        <v>14</v>
      </c>
      <c r="N1816" s="2" t="s">
        <v>14</v>
      </c>
      <c r="O1816" s="2">
        <v>1</v>
      </c>
    </row>
    <row r="1817" spans="1:15" ht="15" customHeight="1" x14ac:dyDescent="0.25">
      <c r="A1817" s="3">
        <v>5</v>
      </c>
      <c r="B1817" s="3" t="s">
        <v>14</v>
      </c>
      <c r="C1817" s="3" t="s">
        <v>19</v>
      </c>
      <c r="D1817" s="3" t="s">
        <v>19</v>
      </c>
      <c r="E1817" s="3">
        <v>0</v>
      </c>
      <c r="F1817" s="3">
        <v>0</v>
      </c>
      <c r="G1817" s="3" t="s">
        <v>10</v>
      </c>
      <c r="H1817" s="3" t="s">
        <v>12</v>
      </c>
      <c r="I1817" s="3">
        <v>2</v>
      </c>
      <c r="J1817" s="3" t="s">
        <v>14</v>
      </c>
      <c r="K1817" s="3" t="s">
        <v>14</v>
      </c>
      <c r="L1817" s="3" t="s">
        <v>14</v>
      </c>
      <c r="M1817" s="3" t="s">
        <v>14</v>
      </c>
      <c r="N1817" s="3" t="s">
        <v>14</v>
      </c>
      <c r="O1817" s="3">
        <v>1</v>
      </c>
    </row>
    <row r="1818" spans="1:15" ht="15" customHeight="1" x14ac:dyDescent="0.25">
      <c r="A1818" s="2">
        <v>20</v>
      </c>
      <c r="B1818" s="2" t="s">
        <v>14</v>
      </c>
      <c r="C1818" s="2" t="s">
        <v>19</v>
      </c>
      <c r="D1818" s="2" t="s">
        <v>19</v>
      </c>
      <c r="E1818" s="2">
        <v>0</v>
      </c>
      <c r="F1818" s="2">
        <v>0</v>
      </c>
      <c r="G1818" s="2" t="s">
        <v>10</v>
      </c>
      <c r="H1818" s="2" t="s">
        <v>12</v>
      </c>
      <c r="I1818" s="2">
        <v>2</v>
      </c>
      <c r="J1818" s="2" t="s">
        <v>14</v>
      </c>
      <c r="K1818" s="2" t="s">
        <v>14</v>
      </c>
      <c r="L1818" s="2" t="s">
        <v>14</v>
      </c>
      <c r="M1818" s="2" t="s">
        <v>14</v>
      </c>
      <c r="N1818" s="2" t="s">
        <v>14</v>
      </c>
      <c r="O1818" s="2">
        <v>1</v>
      </c>
    </row>
    <row r="1819" spans="1:15" ht="15" customHeight="1" x14ac:dyDescent="0.25">
      <c r="A1819" s="3">
        <v>20</v>
      </c>
      <c r="B1819" s="3" t="s">
        <v>10</v>
      </c>
      <c r="C1819" s="3" t="s">
        <v>19</v>
      </c>
      <c r="D1819" s="3" t="s">
        <v>19</v>
      </c>
      <c r="E1819" s="3">
        <v>0</v>
      </c>
      <c r="F1819" s="3">
        <v>0</v>
      </c>
      <c r="G1819" s="3" t="s">
        <v>10</v>
      </c>
      <c r="H1819" s="3" t="s">
        <v>12</v>
      </c>
      <c r="I1819" s="3">
        <v>2</v>
      </c>
      <c r="J1819" s="3" t="s">
        <v>14</v>
      </c>
      <c r="K1819" s="3" t="s">
        <v>14</v>
      </c>
      <c r="L1819" s="3" t="s">
        <v>14</v>
      </c>
      <c r="M1819" s="3" t="s">
        <v>14</v>
      </c>
      <c r="N1819" s="3" t="s">
        <v>14</v>
      </c>
      <c r="O1819" s="3">
        <v>1</v>
      </c>
    </row>
    <row r="1820" spans="1:15" ht="15" customHeight="1" x14ac:dyDescent="0.25">
      <c r="A1820" s="2">
        <v>5</v>
      </c>
      <c r="B1820" s="2" t="s">
        <v>10</v>
      </c>
      <c r="C1820" s="2" t="s">
        <v>20</v>
      </c>
      <c r="D1820" s="2" t="s">
        <v>20</v>
      </c>
      <c r="E1820" s="2">
        <v>0</v>
      </c>
      <c r="F1820" s="2">
        <v>0</v>
      </c>
      <c r="G1820" s="2" t="s">
        <v>10</v>
      </c>
      <c r="H1820" s="2" t="s">
        <v>12</v>
      </c>
      <c r="I1820" s="2">
        <v>2</v>
      </c>
      <c r="J1820" s="2" t="s">
        <v>14</v>
      </c>
      <c r="K1820" s="2" t="s">
        <v>14</v>
      </c>
      <c r="L1820" s="2" t="s">
        <v>14</v>
      </c>
      <c r="M1820" s="2" t="s">
        <v>14</v>
      </c>
      <c r="N1820" s="2" t="s">
        <v>14</v>
      </c>
      <c r="O1820" s="2">
        <v>1</v>
      </c>
    </row>
    <row r="1821" spans="1:15" ht="15" customHeight="1" x14ac:dyDescent="0.25">
      <c r="A1821" s="3">
        <v>20</v>
      </c>
      <c r="B1821" s="3" t="s">
        <v>18</v>
      </c>
      <c r="C1821" s="3" t="s">
        <v>20</v>
      </c>
      <c r="D1821" s="3" t="s">
        <v>20</v>
      </c>
      <c r="E1821" s="3">
        <v>0</v>
      </c>
      <c r="F1821" s="3">
        <v>0</v>
      </c>
      <c r="G1821" s="3" t="s">
        <v>10</v>
      </c>
      <c r="H1821" s="3" t="s">
        <v>12</v>
      </c>
      <c r="I1821" s="3" t="s">
        <v>15</v>
      </c>
      <c r="J1821" s="3" t="s">
        <v>14</v>
      </c>
      <c r="K1821" s="3" t="s">
        <v>14</v>
      </c>
      <c r="L1821" s="3" t="s">
        <v>14</v>
      </c>
      <c r="M1821" s="3" t="s">
        <v>14</v>
      </c>
      <c r="N1821" s="3" t="s">
        <v>14</v>
      </c>
      <c r="O1821" s="3">
        <v>1</v>
      </c>
    </row>
    <row r="1822" spans="1:15" ht="15" customHeight="1" x14ac:dyDescent="0.25">
      <c r="A1822" s="2">
        <v>5</v>
      </c>
      <c r="B1822" s="2" t="s">
        <v>10</v>
      </c>
      <c r="C1822" s="2" t="s">
        <v>19</v>
      </c>
      <c r="D1822" s="2" t="s">
        <v>10</v>
      </c>
      <c r="E1822" s="2">
        <v>0</v>
      </c>
      <c r="F1822" s="2">
        <v>0</v>
      </c>
      <c r="G1822" s="2" t="s">
        <v>10</v>
      </c>
      <c r="H1822" s="2" t="s">
        <v>16</v>
      </c>
      <c r="I1822" s="2" t="s">
        <v>15</v>
      </c>
      <c r="J1822" s="2" t="s">
        <v>14</v>
      </c>
      <c r="K1822" s="2" t="s">
        <v>14</v>
      </c>
      <c r="L1822" s="2" t="s">
        <v>14</v>
      </c>
      <c r="M1822" s="2" t="s">
        <v>14</v>
      </c>
      <c r="N1822" s="2" t="s">
        <v>14</v>
      </c>
      <c r="O1822" s="2">
        <v>1</v>
      </c>
    </row>
    <row r="1823" spans="1:15" ht="15" customHeight="1" x14ac:dyDescent="0.25">
      <c r="A1823" s="3">
        <v>10</v>
      </c>
      <c r="B1823" s="3" t="s">
        <v>10</v>
      </c>
      <c r="C1823" s="3" t="s">
        <v>19</v>
      </c>
      <c r="D1823" s="3" t="s">
        <v>19</v>
      </c>
      <c r="E1823" s="3">
        <v>0</v>
      </c>
      <c r="F1823" s="3">
        <v>1</v>
      </c>
      <c r="G1823" s="3" t="s">
        <v>10</v>
      </c>
      <c r="H1823" s="3" t="s">
        <v>12</v>
      </c>
      <c r="I1823" s="3" t="s">
        <v>15</v>
      </c>
      <c r="J1823" s="3" t="s">
        <v>14</v>
      </c>
      <c r="K1823" s="3" t="s">
        <v>14</v>
      </c>
      <c r="L1823" s="3" t="s">
        <v>14</v>
      </c>
      <c r="M1823" s="3" t="s">
        <v>14</v>
      </c>
      <c r="N1823" s="3" t="s">
        <v>14</v>
      </c>
      <c r="O1823" s="3">
        <v>1</v>
      </c>
    </row>
    <row r="1824" spans="1:15" ht="15" customHeight="1" x14ac:dyDescent="0.25">
      <c r="A1824" s="2">
        <v>5</v>
      </c>
      <c r="B1824" s="2" t="s">
        <v>18</v>
      </c>
      <c r="C1824" s="2" t="s">
        <v>19</v>
      </c>
      <c r="D1824" s="2" t="s">
        <v>19</v>
      </c>
      <c r="E1824" s="2">
        <v>0</v>
      </c>
      <c r="F1824" s="2">
        <v>0</v>
      </c>
      <c r="G1824" s="2" t="s">
        <v>10</v>
      </c>
      <c r="H1824" s="2" t="s">
        <v>12</v>
      </c>
      <c r="I1824" s="2" t="s">
        <v>15</v>
      </c>
      <c r="J1824" s="2" t="s">
        <v>14</v>
      </c>
      <c r="K1824" s="2" t="s">
        <v>14</v>
      </c>
      <c r="L1824" s="2" t="s">
        <v>14</v>
      </c>
      <c r="M1824" s="2" t="s">
        <v>14</v>
      </c>
      <c r="N1824" s="2" t="s">
        <v>14</v>
      </c>
      <c r="O1824" s="2">
        <v>1</v>
      </c>
    </row>
    <row r="1825" spans="1:15" ht="15" customHeight="1" x14ac:dyDescent="0.25">
      <c r="A1825" s="3">
        <v>10</v>
      </c>
      <c r="B1825" s="3" t="s">
        <v>18</v>
      </c>
      <c r="C1825" s="3" t="s">
        <v>19</v>
      </c>
      <c r="D1825" s="3" t="s">
        <v>19</v>
      </c>
      <c r="E1825" s="3">
        <v>0</v>
      </c>
      <c r="F1825" s="3">
        <v>0</v>
      </c>
      <c r="G1825" s="3" t="s">
        <v>10</v>
      </c>
      <c r="H1825" s="3" t="s">
        <v>12</v>
      </c>
      <c r="I1825" s="3" t="s">
        <v>15</v>
      </c>
      <c r="J1825" s="3" t="s">
        <v>14</v>
      </c>
      <c r="K1825" s="3" t="s">
        <v>14</v>
      </c>
      <c r="L1825" s="3" t="s">
        <v>14</v>
      </c>
      <c r="M1825" s="3" t="s">
        <v>14</v>
      </c>
      <c r="N1825" s="3" t="s">
        <v>14</v>
      </c>
      <c r="O1825" s="3">
        <v>1</v>
      </c>
    </row>
    <row r="1826" spans="1:15" ht="15" customHeight="1" x14ac:dyDescent="0.25">
      <c r="A1826" s="2">
        <v>5</v>
      </c>
      <c r="B1826" s="2" t="s">
        <v>14</v>
      </c>
      <c r="C1826" s="2" t="s">
        <v>19</v>
      </c>
      <c r="D1826" s="2" t="s">
        <v>19</v>
      </c>
      <c r="E1826" s="2">
        <v>0</v>
      </c>
      <c r="F1826" s="2">
        <v>0</v>
      </c>
      <c r="G1826" s="2" t="s">
        <v>10</v>
      </c>
      <c r="H1826" s="2" t="s">
        <v>12</v>
      </c>
      <c r="I1826" s="2">
        <v>2</v>
      </c>
      <c r="J1826" s="2" t="s">
        <v>14</v>
      </c>
      <c r="K1826" s="2" t="s">
        <v>14</v>
      </c>
      <c r="L1826" s="2" t="s">
        <v>14</v>
      </c>
      <c r="M1826" s="2" t="s">
        <v>14</v>
      </c>
      <c r="N1826" s="2" t="s">
        <v>14</v>
      </c>
      <c r="O1826" s="2">
        <v>1</v>
      </c>
    </row>
    <row r="1827" spans="1:15" ht="15" customHeight="1" x14ac:dyDescent="0.25">
      <c r="A1827" s="3">
        <v>20</v>
      </c>
      <c r="B1827" s="3" t="s">
        <v>10</v>
      </c>
      <c r="C1827" s="3" t="s">
        <v>19</v>
      </c>
      <c r="D1827" s="3" t="s">
        <v>19</v>
      </c>
      <c r="E1827" s="3">
        <v>0</v>
      </c>
      <c r="F1827" s="3">
        <v>1</v>
      </c>
      <c r="G1827" s="3" t="s">
        <v>10</v>
      </c>
      <c r="H1827" s="3" t="s">
        <v>12</v>
      </c>
      <c r="I1827" s="3">
        <v>2</v>
      </c>
      <c r="J1827" s="3" t="s">
        <v>14</v>
      </c>
      <c r="K1827" s="3" t="s">
        <v>14</v>
      </c>
      <c r="L1827" s="3" t="s">
        <v>14</v>
      </c>
      <c r="M1827" s="3" t="s">
        <v>14</v>
      </c>
      <c r="N1827" s="3" t="s">
        <v>14</v>
      </c>
      <c r="O1827" s="3">
        <v>0</v>
      </c>
    </row>
    <row r="1828" spans="1:15" ht="15" customHeight="1" x14ac:dyDescent="0.25">
      <c r="A1828" s="2">
        <v>5</v>
      </c>
      <c r="B1828" s="2" t="s">
        <v>14</v>
      </c>
      <c r="C1828" s="2" t="s">
        <v>19</v>
      </c>
      <c r="D1828" s="2" t="s">
        <v>19</v>
      </c>
      <c r="E1828" s="2">
        <v>0</v>
      </c>
      <c r="F1828" s="2">
        <v>0</v>
      </c>
      <c r="G1828" s="2" t="s">
        <v>10</v>
      </c>
      <c r="H1828" s="2" t="s">
        <v>12</v>
      </c>
      <c r="I1828" s="2">
        <v>2</v>
      </c>
      <c r="J1828" s="2" t="s">
        <v>14</v>
      </c>
      <c r="K1828" s="2" t="s">
        <v>14</v>
      </c>
      <c r="L1828" s="2" t="s">
        <v>14</v>
      </c>
      <c r="M1828" s="2" t="s">
        <v>14</v>
      </c>
      <c r="N1828" s="2" t="s">
        <v>14</v>
      </c>
      <c r="O1828" s="2">
        <v>1</v>
      </c>
    </row>
    <row r="1829" spans="1:15" ht="15" customHeight="1" x14ac:dyDescent="0.25">
      <c r="A1829" s="3">
        <v>5</v>
      </c>
      <c r="B1829" s="3" t="s">
        <v>14</v>
      </c>
      <c r="C1829" s="3" t="s">
        <v>19</v>
      </c>
      <c r="D1829" s="3" t="s">
        <v>19</v>
      </c>
      <c r="E1829" s="3">
        <v>0</v>
      </c>
      <c r="F1829" s="3">
        <v>0</v>
      </c>
      <c r="G1829" s="3" t="s">
        <v>10</v>
      </c>
      <c r="H1829" s="3" t="s">
        <v>12</v>
      </c>
      <c r="I1829" s="3">
        <v>2</v>
      </c>
      <c r="J1829" s="3" t="s">
        <v>14</v>
      </c>
      <c r="K1829" s="3" t="s">
        <v>14</v>
      </c>
      <c r="L1829" s="3" t="s">
        <v>14</v>
      </c>
      <c r="M1829" s="3" t="s">
        <v>14</v>
      </c>
      <c r="N1829" s="3" t="s">
        <v>14</v>
      </c>
      <c r="O1829" s="3">
        <v>1</v>
      </c>
    </row>
    <row r="1830" spans="1:15" ht="15" customHeight="1" x14ac:dyDescent="0.25">
      <c r="A1830" s="2">
        <v>0</v>
      </c>
      <c r="B1830" s="2" t="s">
        <v>10</v>
      </c>
      <c r="C1830" s="2" t="s">
        <v>19</v>
      </c>
      <c r="D1830" s="2" t="s">
        <v>19</v>
      </c>
      <c r="E1830" s="2">
        <v>0</v>
      </c>
      <c r="F1830" s="2">
        <v>0</v>
      </c>
      <c r="G1830" s="2" t="s">
        <v>10</v>
      </c>
      <c r="H1830" s="2" t="s">
        <v>12</v>
      </c>
      <c r="I1830" s="2">
        <v>2</v>
      </c>
      <c r="J1830" s="2" t="s">
        <v>14</v>
      </c>
      <c r="K1830" s="2" t="s">
        <v>14</v>
      </c>
      <c r="L1830" s="2" t="s">
        <v>14</v>
      </c>
      <c r="M1830" s="2" t="s">
        <v>14</v>
      </c>
      <c r="N1830" s="2" t="s">
        <v>14</v>
      </c>
      <c r="O1830" s="2">
        <v>1</v>
      </c>
    </row>
    <row r="1831" spans="1:15" ht="15" customHeight="1" x14ac:dyDescent="0.25">
      <c r="A1831" s="3">
        <v>10</v>
      </c>
      <c r="B1831" s="3" t="s">
        <v>18</v>
      </c>
      <c r="C1831" s="3" t="s">
        <v>19</v>
      </c>
      <c r="D1831" s="3" t="s">
        <v>19</v>
      </c>
      <c r="E1831" s="3">
        <v>0</v>
      </c>
      <c r="F1831" s="3">
        <v>0</v>
      </c>
      <c r="G1831" s="3" t="s">
        <v>10</v>
      </c>
      <c r="H1831" s="3" t="s">
        <v>12</v>
      </c>
      <c r="I1831" s="3">
        <v>1</v>
      </c>
      <c r="J1831" s="3" t="s">
        <v>14</v>
      </c>
      <c r="K1831" s="3" t="s">
        <v>14</v>
      </c>
      <c r="L1831" s="3" t="s">
        <v>14</v>
      </c>
      <c r="M1831" s="3" t="s">
        <v>14</v>
      </c>
      <c r="N1831" s="3" t="s">
        <v>14</v>
      </c>
      <c r="O1831" s="3">
        <v>1</v>
      </c>
    </row>
    <row r="1832" spans="1:15" ht="15" customHeight="1" x14ac:dyDescent="0.25">
      <c r="A1832" s="2">
        <v>10</v>
      </c>
      <c r="B1832" s="2" t="s">
        <v>10</v>
      </c>
      <c r="C1832" s="2" t="s">
        <v>11</v>
      </c>
      <c r="D1832" s="2" t="s">
        <v>19</v>
      </c>
      <c r="E1832" s="2">
        <v>0</v>
      </c>
      <c r="F1832" s="2">
        <v>0</v>
      </c>
      <c r="G1832" s="2" t="s">
        <v>10</v>
      </c>
      <c r="H1832" s="2" t="s">
        <v>12</v>
      </c>
      <c r="I1832" s="2" t="s">
        <v>15</v>
      </c>
      <c r="J1832" s="2" t="s">
        <v>14</v>
      </c>
      <c r="K1832" s="2" t="s">
        <v>14</v>
      </c>
      <c r="L1832" s="2" t="s">
        <v>14</v>
      </c>
      <c r="M1832" s="2" t="s">
        <v>14</v>
      </c>
      <c r="N1832" s="2" t="s">
        <v>14</v>
      </c>
      <c r="O1832" s="2">
        <v>1</v>
      </c>
    </row>
    <row r="1833" spans="1:15" ht="15" customHeight="1" x14ac:dyDescent="0.25">
      <c r="A1833" s="3">
        <v>5</v>
      </c>
      <c r="B1833" s="3" t="s">
        <v>18</v>
      </c>
      <c r="C1833" s="3" t="s">
        <v>19</v>
      </c>
      <c r="D1833" s="3" t="s">
        <v>11</v>
      </c>
      <c r="E1833" s="3">
        <v>0</v>
      </c>
      <c r="F1833" s="3">
        <v>0</v>
      </c>
      <c r="G1833" s="3" t="s">
        <v>10</v>
      </c>
      <c r="H1833" s="3" t="s">
        <v>12</v>
      </c>
      <c r="I1833" s="3">
        <v>1</v>
      </c>
      <c r="J1833" s="3" t="s">
        <v>14</v>
      </c>
      <c r="K1833" s="3" t="s">
        <v>14</v>
      </c>
      <c r="L1833" s="3" t="s">
        <v>14</v>
      </c>
      <c r="M1833" s="3" t="s">
        <v>14</v>
      </c>
      <c r="N1833" s="3" t="s">
        <v>14</v>
      </c>
      <c r="O1833" s="3">
        <v>1</v>
      </c>
    </row>
    <row r="1834" spans="1:15" ht="15" customHeight="1" x14ac:dyDescent="0.25">
      <c r="A1834" s="2">
        <v>20</v>
      </c>
      <c r="B1834" s="2" t="s">
        <v>10</v>
      </c>
      <c r="C1834" s="2" t="s">
        <v>11</v>
      </c>
      <c r="D1834" s="2" t="s">
        <v>19</v>
      </c>
      <c r="E1834" s="2">
        <v>0</v>
      </c>
      <c r="F1834" s="2">
        <v>0</v>
      </c>
      <c r="G1834" s="2" t="s">
        <v>10</v>
      </c>
      <c r="H1834" s="2" t="s">
        <v>12</v>
      </c>
      <c r="I1834" s="2">
        <v>1</v>
      </c>
      <c r="J1834" s="2" t="s">
        <v>14</v>
      </c>
      <c r="K1834" s="2" t="s">
        <v>14</v>
      </c>
      <c r="L1834" s="2" t="s">
        <v>14</v>
      </c>
      <c r="M1834" s="2" t="s">
        <v>13</v>
      </c>
      <c r="N1834" s="2" t="s">
        <v>14</v>
      </c>
      <c r="O1834" s="2">
        <v>1</v>
      </c>
    </row>
    <row r="1835" spans="1:15" ht="15" customHeight="1" x14ac:dyDescent="0.25">
      <c r="A1835" s="3">
        <v>10</v>
      </c>
      <c r="B1835" s="3" t="s">
        <v>14</v>
      </c>
      <c r="C1835" s="3" t="s">
        <v>11</v>
      </c>
      <c r="D1835" s="3" t="s">
        <v>11</v>
      </c>
      <c r="E1835" s="3">
        <v>1</v>
      </c>
      <c r="F1835" s="3">
        <v>0</v>
      </c>
      <c r="G1835" s="3" t="s">
        <v>10</v>
      </c>
      <c r="H1835" s="3" t="s">
        <v>12</v>
      </c>
      <c r="I1835" s="3" t="s">
        <v>15</v>
      </c>
      <c r="J1835" s="3" t="s">
        <v>14</v>
      </c>
      <c r="K1835" s="3" t="s">
        <v>14</v>
      </c>
      <c r="L1835" s="3" t="s">
        <v>14</v>
      </c>
      <c r="M1835" s="3" t="s">
        <v>13</v>
      </c>
      <c r="N1835" s="3" t="s">
        <v>13</v>
      </c>
      <c r="O1835" s="3">
        <v>0</v>
      </c>
    </row>
    <row r="1836" spans="1:15" ht="15" customHeight="1" x14ac:dyDescent="0.25">
      <c r="A1836" s="2">
        <v>10</v>
      </c>
      <c r="B1836" s="2" t="s">
        <v>10</v>
      </c>
      <c r="C1836" s="2" t="s">
        <v>11</v>
      </c>
      <c r="D1836" s="2" t="s">
        <v>11</v>
      </c>
      <c r="E1836" s="2">
        <v>0</v>
      </c>
      <c r="F1836" s="2">
        <v>0</v>
      </c>
      <c r="G1836" s="2" t="s">
        <v>10</v>
      </c>
      <c r="H1836" s="2" t="s">
        <v>12</v>
      </c>
      <c r="I1836" s="2">
        <v>2</v>
      </c>
      <c r="J1836" s="2" t="s">
        <v>14</v>
      </c>
      <c r="K1836" s="2" t="s">
        <v>14</v>
      </c>
      <c r="L1836" s="2" t="s">
        <v>14</v>
      </c>
      <c r="M1836" s="2" t="s">
        <v>14</v>
      </c>
      <c r="N1836" s="2" t="s">
        <v>14</v>
      </c>
      <c r="O1836" s="2">
        <v>1</v>
      </c>
    </row>
    <row r="1837" spans="1:15" ht="15" customHeight="1" x14ac:dyDescent="0.25">
      <c r="A1837" s="3">
        <v>0</v>
      </c>
      <c r="B1837" s="3" t="s">
        <v>14</v>
      </c>
      <c r="C1837" s="3" t="s">
        <v>11</v>
      </c>
      <c r="D1837" s="3" t="s">
        <v>11</v>
      </c>
      <c r="E1837" s="3">
        <v>0</v>
      </c>
      <c r="F1837" s="3">
        <v>0</v>
      </c>
      <c r="G1837" s="3" t="s">
        <v>10</v>
      </c>
      <c r="H1837" s="3" t="s">
        <v>12</v>
      </c>
      <c r="I1837" s="3">
        <v>2</v>
      </c>
      <c r="J1837" s="3" t="s">
        <v>14</v>
      </c>
      <c r="K1837" s="3" t="s">
        <v>14</v>
      </c>
      <c r="L1837" s="3" t="s">
        <v>14</v>
      </c>
      <c r="M1837" s="3" t="s">
        <v>14</v>
      </c>
      <c r="N1837" s="3" t="s">
        <v>14</v>
      </c>
      <c r="O1837" s="3">
        <v>1</v>
      </c>
    </row>
    <row r="1838" spans="1:15" ht="15" customHeight="1" x14ac:dyDescent="0.25">
      <c r="A1838" s="2">
        <v>0</v>
      </c>
      <c r="B1838" s="2" t="s">
        <v>18</v>
      </c>
      <c r="C1838" s="2" t="s">
        <v>11</v>
      </c>
      <c r="D1838" s="2" t="s">
        <v>11</v>
      </c>
      <c r="E1838" s="2">
        <v>0</v>
      </c>
      <c r="F1838" s="2">
        <v>0</v>
      </c>
      <c r="G1838" s="2" t="s">
        <v>10</v>
      </c>
      <c r="H1838" s="2" t="s">
        <v>12</v>
      </c>
      <c r="I1838" s="2">
        <v>1</v>
      </c>
      <c r="J1838" s="2" t="s">
        <v>14</v>
      </c>
      <c r="K1838" s="2" t="s">
        <v>14</v>
      </c>
      <c r="L1838" s="2" t="s">
        <v>14</v>
      </c>
      <c r="M1838" s="2" t="s">
        <v>14</v>
      </c>
      <c r="N1838" s="2" t="s">
        <v>14</v>
      </c>
      <c r="O1838" s="2">
        <v>1</v>
      </c>
    </row>
    <row r="1839" spans="1:15" ht="15" customHeight="1" x14ac:dyDescent="0.25">
      <c r="A1839" s="3">
        <v>5</v>
      </c>
      <c r="B1839" s="3" t="s">
        <v>14</v>
      </c>
      <c r="C1839" s="3" t="s">
        <v>11</v>
      </c>
      <c r="D1839" s="3" t="s">
        <v>11</v>
      </c>
      <c r="E1839" s="3">
        <v>0</v>
      </c>
      <c r="F1839" s="3">
        <v>1</v>
      </c>
      <c r="G1839" s="3" t="s">
        <v>10</v>
      </c>
      <c r="H1839" s="3" t="s">
        <v>12</v>
      </c>
      <c r="I1839" s="3">
        <v>1</v>
      </c>
      <c r="J1839" s="3" t="s">
        <v>14</v>
      </c>
      <c r="K1839" s="3" t="s">
        <v>14</v>
      </c>
      <c r="L1839" s="3" t="s">
        <v>14</v>
      </c>
      <c r="M1839" s="3" t="s">
        <v>14</v>
      </c>
      <c r="N1839" s="3" t="s">
        <v>14</v>
      </c>
      <c r="O1839" s="3">
        <v>0</v>
      </c>
    </row>
    <row r="1840" spans="1:15" ht="15" customHeight="1" x14ac:dyDescent="0.25">
      <c r="A1840" s="2">
        <v>5</v>
      </c>
      <c r="B1840" s="2" t="s">
        <v>10</v>
      </c>
      <c r="C1840" s="2" t="s">
        <v>20</v>
      </c>
      <c r="D1840" s="2" t="s">
        <v>20</v>
      </c>
      <c r="E1840" s="2">
        <v>0</v>
      </c>
      <c r="F1840" s="2">
        <v>2</v>
      </c>
      <c r="G1840" s="2" t="s">
        <v>10</v>
      </c>
      <c r="H1840" s="2" t="s">
        <v>16</v>
      </c>
      <c r="I1840" s="2">
        <v>2</v>
      </c>
      <c r="J1840" s="2" t="s">
        <v>14</v>
      </c>
      <c r="K1840" s="2" t="s">
        <v>14</v>
      </c>
      <c r="L1840" s="2" t="s">
        <v>14</v>
      </c>
      <c r="M1840" s="2" t="s">
        <v>14</v>
      </c>
      <c r="N1840" s="2" t="s">
        <v>14</v>
      </c>
      <c r="O1840" s="2">
        <v>1</v>
      </c>
    </row>
    <row r="1841" spans="1:15" ht="15" customHeight="1" x14ac:dyDescent="0.25">
      <c r="A1841" s="3">
        <v>5</v>
      </c>
      <c r="B1841" s="3" t="s">
        <v>14</v>
      </c>
      <c r="C1841" s="3" t="s">
        <v>19</v>
      </c>
      <c r="D1841" s="3" t="s">
        <v>19</v>
      </c>
      <c r="E1841" s="3">
        <v>0</v>
      </c>
      <c r="F1841" s="3">
        <v>0</v>
      </c>
      <c r="G1841" s="3" t="s">
        <v>10</v>
      </c>
      <c r="H1841" s="3" t="s">
        <v>12</v>
      </c>
      <c r="I1841" s="3">
        <v>2</v>
      </c>
      <c r="J1841" s="3" t="s">
        <v>14</v>
      </c>
      <c r="K1841" s="3" t="s">
        <v>14</v>
      </c>
      <c r="L1841" s="3" t="s">
        <v>14</v>
      </c>
      <c r="M1841" s="3" t="s">
        <v>14</v>
      </c>
      <c r="N1841" s="3" t="s">
        <v>14</v>
      </c>
      <c r="O1841" s="3">
        <v>1</v>
      </c>
    </row>
    <row r="1842" spans="1:15" ht="15" customHeight="1" x14ac:dyDescent="0.25">
      <c r="A1842" s="2">
        <v>20</v>
      </c>
      <c r="B1842" s="2" t="s">
        <v>14</v>
      </c>
      <c r="C1842" s="2" t="s">
        <v>20</v>
      </c>
      <c r="D1842" s="2" t="s">
        <v>20</v>
      </c>
      <c r="E1842" s="2">
        <v>0</v>
      </c>
      <c r="F1842" s="2">
        <v>0</v>
      </c>
      <c r="G1842" s="2" t="s">
        <v>10</v>
      </c>
      <c r="H1842" s="2" t="s">
        <v>12</v>
      </c>
      <c r="I1842" s="2" t="s">
        <v>15</v>
      </c>
      <c r="J1842" s="2" t="s">
        <v>14</v>
      </c>
      <c r="K1842" s="2" t="s">
        <v>14</v>
      </c>
      <c r="L1842" s="2" t="s">
        <v>14</v>
      </c>
      <c r="M1842" s="2" t="s">
        <v>14</v>
      </c>
      <c r="N1842" s="2" t="s">
        <v>14</v>
      </c>
      <c r="O1842" s="2">
        <v>1</v>
      </c>
    </row>
    <row r="1843" spans="1:15" ht="15" customHeight="1" x14ac:dyDescent="0.25">
      <c r="A1843" s="3">
        <v>10</v>
      </c>
      <c r="B1843" s="3" t="s">
        <v>14</v>
      </c>
      <c r="C1843" s="3" t="s">
        <v>19</v>
      </c>
      <c r="D1843" s="3" t="s">
        <v>19</v>
      </c>
      <c r="E1843" s="3">
        <v>0</v>
      </c>
      <c r="F1843" s="3">
        <v>0</v>
      </c>
      <c r="G1843" s="3" t="s">
        <v>10</v>
      </c>
      <c r="H1843" s="3" t="s">
        <v>12</v>
      </c>
      <c r="I1843" s="3" t="s">
        <v>15</v>
      </c>
      <c r="J1843" s="3" t="s">
        <v>14</v>
      </c>
      <c r="K1843" s="3" t="s">
        <v>14</v>
      </c>
      <c r="L1843" s="3" t="s">
        <v>14</v>
      </c>
      <c r="M1843" s="3" t="s">
        <v>14</v>
      </c>
      <c r="N1843" s="3" t="s">
        <v>14</v>
      </c>
      <c r="O1843" s="3">
        <v>1</v>
      </c>
    </row>
    <row r="1844" spans="1:15" ht="15" customHeight="1" x14ac:dyDescent="0.25">
      <c r="A1844" s="2">
        <v>20</v>
      </c>
      <c r="B1844" s="2" t="s">
        <v>18</v>
      </c>
      <c r="C1844" s="2" t="s">
        <v>20</v>
      </c>
      <c r="D1844" s="2" t="s">
        <v>19</v>
      </c>
      <c r="E1844" s="2">
        <v>0</v>
      </c>
      <c r="F1844" s="2">
        <v>0</v>
      </c>
      <c r="G1844" s="2" t="s">
        <v>10</v>
      </c>
      <c r="H1844" s="2" t="s">
        <v>12</v>
      </c>
      <c r="I1844" s="2" t="s">
        <v>15</v>
      </c>
      <c r="J1844" s="2" t="s">
        <v>14</v>
      </c>
      <c r="K1844" s="2" t="s">
        <v>14</v>
      </c>
      <c r="L1844" s="2" t="s">
        <v>14</v>
      </c>
      <c r="M1844" s="2" t="s">
        <v>14</v>
      </c>
      <c r="N1844" s="2" t="s">
        <v>14</v>
      </c>
      <c r="O1844" s="2">
        <v>1</v>
      </c>
    </row>
    <row r="1845" spans="1:15" ht="15" customHeight="1" x14ac:dyDescent="0.25">
      <c r="A1845" s="3">
        <v>10</v>
      </c>
      <c r="B1845" s="3" t="s">
        <v>10</v>
      </c>
      <c r="C1845" s="3" t="s">
        <v>20</v>
      </c>
      <c r="D1845" s="3" t="s">
        <v>20</v>
      </c>
      <c r="E1845" s="3">
        <v>0</v>
      </c>
      <c r="F1845" s="3">
        <v>0</v>
      </c>
      <c r="G1845" s="3" t="s">
        <v>10</v>
      </c>
      <c r="H1845" s="3" t="s">
        <v>12</v>
      </c>
      <c r="I1845" s="3" t="s">
        <v>15</v>
      </c>
      <c r="J1845" s="3" t="s">
        <v>14</v>
      </c>
      <c r="K1845" s="3" t="s">
        <v>14</v>
      </c>
      <c r="L1845" s="3" t="s">
        <v>14</v>
      </c>
      <c r="M1845" s="3" t="s">
        <v>14</v>
      </c>
      <c r="N1845" s="3" t="s">
        <v>14</v>
      </c>
      <c r="O1845" s="3">
        <v>1</v>
      </c>
    </row>
    <row r="1846" spans="1:15" ht="15" customHeight="1" x14ac:dyDescent="0.25">
      <c r="A1846" s="2">
        <v>5</v>
      </c>
      <c r="B1846" s="2" t="s">
        <v>18</v>
      </c>
      <c r="C1846" s="2" t="s">
        <v>20</v>
      </c>
      <c r="D1846" s="2" t="s">
        <v>20</v>
      </c>
      <c r="E1846" s="2">
        <v>0</v>
      </c>
      <c r="F1846" s="2">
        <v>0</v>
      </c>
      <c r="G1846" s="2" t="s">
        <v>10</v>
      </c>
      <c r="H1846" s="2" t="s">
        <v>12</v>
      </c>
      <c r="I1846" s="2">
        <v>1</v>
      </c>
      <c r="J1846" s="2" t="s">
        <v>14</v>
      </c>
      <c r="K1846" s="2" t="s">
        <v>14</v>
      </c>
      <c r="L1846" s="2" t="s">
        <v>14</v>
      </c>
      <c r="M1846" s="2" t="s">
        <v>14</v>
      </c>
      <c r="N1846" s="2" t="s">
        <v>14</v>
      </c>
      <c r="O1846" s="2">
        <v>1</v>
      </c>
    </row>
    <row r="1847" spans="1:15" ht="15" customHeight="1" x14ac:dyDescent="0.25">
      <c r="A1847" s="3">
        <v>5</v>
      </c>
      <c r="B1847" s="3" t="s">
        <v>10</v>
      </c>
      <c r="C1847" s="3" t="s">
        <v>19</v>
      </c>
      <c r="D1847" s="3" t="s">
        <v>20</v>
      </c>
      <c r="E1847" s="3">
        <v>0</v>
      </c>
      <c r="F1847" s="3">
        <v>0</v>
      </c>
      <c r="G1847" s="3" t="s">
        <v>10</v>
      </c>
      <c r="H1847" s="3" t="s">
        <v>12</v>
      </c>
      <c r="I1847" s="3" t="s">
        <v>15</v>
      </c>
      <c r="J1847" s="3" t="s">
        <v>14</v>
      </c>
      <c r="K1847" s="3" t="s">
        <v>14</v>
      </c>
      <c r="L1847" s="3" t="s">
        <v>14</v>
      </c>
      <c r="M1847" s="3" t="s">
        <v>14</v>
      </c>
      <c r="N1847" s="3" t="s">
        <v>14</v>
      </c>
      <c r="O1847" s="3">
        <v>1</v>
      </c>
    </row>
    <row r="1848" spans="1:15" ht="15" customHeight="1" x14ac:dyDescent="0.25">
      <c r="A1848" s="2">
        <v>10</v>
      </c>
      <c r="B1848" s="2" t="s">
        <v>18</v>
      </c>
      <c r="C1848" s="2" t="s">
        <v>20</v>
      </c>
      <c r="D1848" s="2" t="s">
        <v>20</v>
      </c>
      <c r="E1848" s="2">
        <v>0</v>
      </c>
      <c r="F1848" s="2">
        <v>0</v>
      </c>
      <c r="G1848" s="2" t="s">
        <v>10</v>
      </c>
      <c r="H1848" s="2" t="s">
        <v>12</v>
      </c>
      <c r="I1848" s="2">
        <v>1</v>
      </c>
      <c r="J1848" s="2" t="s">
        <v>14</v>
      </c>
      <c r="K1848" s="2" t="s">
        <v>14</v>
      </c>
      <c r="L1848" s="2" t="s">
        <v>14</v>
      </c>
      <c r="M1848" s="2" t="s">
        <v>14</v>
      </c>
      <c r="N1848" s="2" t="s">
        <v>14</v>
      </c>
      <c r="O1848" s="2">
        <v>1</v>
      </c>
    </row>
    <row r="1849" spans="1:15" ht="15" customHeight="1" x14ac:dyDescent="0.25">
      <c r="A1849" s="3">
        <v>5</v>
      </c>
      <c r="B1849" s="3" t="s">
        <v>10</v>
      </c>
      <c r="C1849" s="3" t="s">
        <v>20</v>
      </c>
      <c r="D1849" s="3" t="s">
        <v>20</v>
      </c>
      <c r="E1849" s="3">
        <v>0</v>
      </c>
      <c r="F1849" s="3">
        <v>0</v>
      </c>
      <c r="G1849" s="3" t="s">
        <v>10</v>
      </c>
      <c r="H1849" s="3" t="s">
        <v>16</v>
      </c>
      <c r="I1849" s="3">
        <v>2</v>
      </c>
      <c r="J1849" s="3" t="s">
        <v>14</v>
      </c>
      <c r="K1849" s="3" t="s">
        <v>14</v>
      </c>
      <c r="L1849" s="3" t="s">
        <v>14</v>
      </c>
      <c r="M1849" s="3" t="s">
        <v>14</v>
      </c>
      <c r="N1849" s="3" t="s">
        <v>14</v>
      </c>
      <c r="O1849" s="3">
        <v>1</v>
      </c>
    </row>
    <row r="1850" spans="1:15" ht="15" customHeight="1" x14ac:dyDescent="0.25">
      <c r="A1850" s="2">
        <v>10</v>
      </c>
      <c r="B1850" s="2" t="s">
        <v>18</v>
      </c>
      <c r="C1850" s="2" t="s">
        <v>20</v>
      </c>
      <c r="D1850" s="2" t="s">
        <v>20</v>
      </c>
      <c r="E1850" s="2">
        <v>0</v>
      </c>
      <c r="F1850" s="2">
        <v>0</v>
      </c>
      <c r="G1850" s="2" t="s">
        <v>10</v>
      </c>
      <c r="H1850" s="2" t="s">
        <v>12</v>
      </c>
      <c r="I1850" s="2" t="s">
        <v>15</v>
      </c>
      <c r="J1850" s="2" t="s">
        <v>14</v>
      </c>
      <c r="K1850" s="2" t="s">
        <v>14</v>
      </c>
      <c r="L1850" s="2" t="s">
        <v>14</v>
      </c>
      <c r="M1850" s="2" t="s">
        <v>14</v>
      </c>
      <c r="N1850" s="2" t="s">
        <v>14</v>
      </c>
      <c r="O1850" s="2">
        <v>1</v>
      </c>
    </row>
    <row r="1851" spans="1:15" ht="15" customHeight="1" x14ac:dyDescent="0.25">
      <c r="A1851" s="3">
        <v>10</v>
      </c>
      <c r="B1851" s="3" t="s">
        <v>14</v>
      </c>
      <c r="C1851" s="3" t="s">
        <v>20</v>
      </c>
      <c r="D1851" s="3" t="s">
        <v>20</v>
      </c>
      <c r="E1851" s="3">
        <v>0</v>
      </c>
      <c r="F1851" s="3">
        <v>0</v>
      </c>
      <c r="G1851" s="3" t="s">
        <v>10</v>
      </c>
      <c r="H1851" s="3" t="s">
        <v>12</v>
      </c>
      <c r="I1851" s="3">
        <v>2</v>
      </c>
      <c r="J1851" s="3" t="s">
        <v>14</v>
      </c>
      <c r="K1851" s="3" t="s">
        <v>14</v>
      </c>
      <c r="L1851" s="3" t="s">
        <v>14</v>
      </c>
      <c r="M1851" s="3" t="s">
        <v>14</v>
      </c>
      <c r="N1851" s="3" t="s">
        <v>14</v>
      </c>
      <c r="O1851" s="3">
        <v>1</v>
      </c>
    </row>
    <row r="1852" spans="1:15" ht="15" customHeight="1" x14ac:dyDescent="0.25">
      <c r="A1852" s="2">
        <v>10</v>
      </c>
      <c r="B1852" s="2" t="s">
        <v>10</v>
      </c>
      <c r="C1852" s="2" t="s">
        <v>20</v>
      </c>
      <c r="D1852" s="2" t="s">
        <v>20</v>
      </c>
      <c r="E1852" s="2">
        <v>0</v>
      </c>
      <c r="F1852" s="2">
        <v>0</v>
      </c>
      <c r="G1852" s="2" t="s">
        <v>10</v>
      </c>
      <c r="H1852" s="2" t="s">
        <v>12</v>
      </c>
      <c r="I1852" s="2">
        <v>2</v>
      </c>
      <c r="J1852" s="2" t="s">
        <v>14</v>
      </c>
      <c r="K1852" s="2" t="s">
        <v>14</v>
      </c>
      <c r="L1852" s="2" t="s">
        <v>14</v>
      </c>
      <c r="M1852" s="2" t="s">
        <v>14</v>
      </c>
      <c r="N1852" s="2" t="s">
        <v>14</v>
      </c>
      <c r="O1852" s="2">
        <v>1</v>
      </c>
    </row>
    <row r="1853" spans="1:15" ht="15" customHeight="1" x14ac:dyDescent="0.25">
      <c r="A1853" s="3">
        <v>20</v>
      </c>
      <c r="B1853" s="3" t="s">
        <v>10</v>
      </c>
      <c r="C1853" s="3" t="s">
        <v>19</v>
      </c>
      <c r="D1853" s="3" t="s">
        <v>20</v>
      </c>
      <c r="E1853" s="3">
        <v>0</v>
      </c>
      <c r="F1853" s="3">
        <v>2</v>
      </c>
      <c r="G1853" s="3" t="s">
        <v>10</v>
      </c>
      <c r="H1853" s="3" t="s">
        <v>12</v>
      </c>
      <c r="I1853" s="3">
        <v>2</v>
      </c>
      <c r="J1853" s="3" t="s">
        <v>14</v>
      </c>
      <c r="K1853" s="3" t="s">
        <v>14</v>
      </c>
      <c r="L1853" s="3" t="s">
        <v>14</v>
      </c>
      <c r="M1853" s="3" t="s">
        <v>13</v>
      </c>
      <c r="N1853" s="3" t="s">
        <v>14</v>
      </c>
      <c r="O1853" s="3">
        <v>0</v>
      </c>
    </row>
    <row r="1854" spans="1:15" ht="15" customHeight="1" x14ac:dyDescent="0.25">
      <c r="A1854" s="2">
        <v>10</v>
      </c>
      <c r="B1854" s="2" t="s">
        <v>18</v>
      </c>
      <c r="C1854" s="2" t="s">
        <v>19</v>
      </c>
      <c r="D1854" s="2" t="s">
        <v>19</v>
      </c>
      <c r="E1854" s="2">
        <v>0</v>
      </c>
      <c r="F1854" s="2">
        <v>0</v>
      </c>
      <c r="G1854" s="2" t="s">
        <v>10</v>
      </c>
      <c r="H1854" s="2" t="s">
        <v>12</v>
      </c>
      <c r="I1854" s="2" t="s">
        <v>15</v>
      </c>
      <c r="J1854" s="2" t="s">
        <v>14</v>
      </c>
      <c r="K1854" s="2" t="s">
        <v>14</v>
      </c>
      <c r="L1854" s="2" t="s">
        <v>14</v>
      </c>
      <c r="M1854" s="2" t="s">
        <v>14</v>
      </c>
      <c r="N1854" s="2" t="s">
        <v>14</v>
      </c>
      <c r="O1854" s="2">
        <v>1</v>
      </c>
    </row>
    <row r="1855" spans="1:15" ht="15" customHeight="1" x14ac:dyDescent="0.25">
      <c r="A1855" s="3">
        <v>30</v>
      </c>
      <c r="B1855" s="3" t="s">
        <v>10</v>
      </c>
      <c r="C1855" s="3" t="s">
        <v>11</v>
      </c>
      <c r="D1855" s="3" t="s">
        <v>19</v>
      </c>
      <c r="E1855" s="3">
        <v>0</v>
      </c>
      <c r="F1855" s="3">
        <v>0</v>
      </c>
      <c r="G1855" s="3" t="s">
        <v>10</v>
      </c>
      <c r="H1855" s="3" t="s">
        <v>12</v>
      </c>
      <c r="I1855" s="3">
        <v>2</v>
      </c>
      <c r="J1855" s="3" t="s">
        <v>14</v>
      </c>
      <c r="K1855" s="3" t="s">
        <v>14</v>
      </c>
      <c r="L1855" s="3" t="s">
        <v>14</v>
      </c>
      <c r="M1855" s="3" t="s">
        <v>13</v>
      </c>
      <c r="N1855" s="3" t="s">
        <v>14</v>
      </c>
      <c r="O1855" s="3">
        <v>0</v>
      </c>
    </row>
    <row r="1856" spans="1:15" ht="15" customHeight="1" x14ac:dyDescent="0.25">
      <c r="A1856" s="2">
        <v>5</v>
      </c>
      <c r="B1856" s="2" t="s">
        <v>18</v>
      </c>
      <c r="C1856" s="2" t="s">
        <v>20</v>
      </c>
      <c r="D1856" s="2" t="s">
        <v>20</v>
      </c>
      <c r="E1856" s="2">
        <v>0</v>
      </c>
      <c r="F1856" s="2">
        <v>0</v>
      </c>
      <c r="G1856" s="2" t="s">
        <v>10</v>
      </c>
      <c r="H1856" s="2" t="s">
        <v>12</v>
      </c>
      <c r="I1856" s="2">
        <v>1</v>
      </c>
      <c r="J1856" s="2" t="s">
        <v>14</v>
      </c>
      <c r="K1856" s="2" t="s">
        <v>13</v>
      </c>
      <c r="L1856" s="2" t="s">
        <v>13</v>
      </c>
      <c r="M1856" s="2" t="s">
        <v>14</v>
      </c>
      <c r="N1856" s="2" t="s">
        <v>14</v>
      </c>
      <c r="O1856" s="2">
        <v>1</v>
      </c>
    </row>
    <row r="1857" spans="1:15" ht="15" customHeight="1" x14ac:dyDescent="0.25">
      <c r="A1857" s="3">
        <v>20</v>
      </c>
      <c r="B1857" s="3" t="s">
        <v>10</v>
      </c>
      <c r="C1857" s="3" t="s">
        <v>11</v>
      </c>
      <c r="D1857" s="3" t="s">
        <v>19</v>
      </c>
      <c r="E1857" s="3">
        <v>1</v>
      </c>
      <c r="F1857" s="3">
        <v>0</v>
      </c>
      <c r="G1857" s="3" t="s">
        <v>10</v>
      </c>
      <c r="H1857" s="3" t="s">
        <v>12</v>
      </c>
      <c r="I1857" s="3">
        <v>2</v>
      </c>
      <c r="J1857" s="3" t="s">
        <v>13</v>
      </c>
      <c r="K1857" s="3" t="s">
        <v>13</v>
      </c>
      <c r="L1857" s="3" t="s">
        <v>14</v>
      </c>
      <c r="M1857" s="3" t="s">
        <v>14</v>
      </c>
      <c r="N1857" s="3" t="s">
        <v>14</v>
      </c>
      <c r="O1857" s="3">
        <v>0</v>
      </c>
    </row>
    <row r="1858" spans="1:15" ht="15" customHeight="1" x14ac:dyDescent="0.25">
      <c r="A1858" s="2">
        <v>10</v>
      </c>
      <c r="B1858" s="2" t="s">
        <v>18</v>
      </c>
      <c r="C1858" s="2" t="s">
        <v>20</v>
      </c>
      <c r="D1858" s="2" t="s">
        <v>20</v>
      </c>
      <c r="E1858" s="2">
        <v>0</v>
      </c>
      <c r="F1858" s="2">
        <v>0</v>
      </c>
      <c r="G1858" s="2" t="s">
        <v>10</v>
      </c>
      <c r="H1858" s="2" t="s">
        <v>12</v>
      </c>
      <c r="I1858" s="2">
        <v>2</v>
      </c>
      <c r="J1858" s="2" t="s">
        <v>14</v>
      </c>
      <c r="K1858" s="2" t="s">
        <v>14</v>
      </c>
      <c r="L1858" s="2" t="s">
        <v>14</v>
      </c>
      <c r="M1858" s="2" t="s">
        <v>14</v>
      </c>
      <c r="N1858" s="2" t="s">
        <v>14</v>
      </c>
      <c r="O1858" s="2">
        <v>1</v>
      </c>
    </row>
    <row r="1859" spans="1:15" ht="15" customHeight="1" x14ac:dyDescent="0.25">
      <c r="A1859" s="3">
        <v>20</v>
      </c>
      <c r="B1859" s="3" t="s">
        <v>10</v>
      </c>
      <c r="C1859" s="3" t="s">
        <v>19</v>
      </c>
      <c r="D1859" s="3" t="s">
        <v>20</v>
      </c>
      <c r="E1859" s="3">
        <v>0</v>
      </c>
      <c r="F1859" s="3">
        <v>0</v>
      </c>
      <c r="G1859" s="3" t="s">
        <v>10</v>
      </c>
      <c r="H1859" s="3" t="s">
        <v>12</v>
      </c>
      <c r="I1859" s="3">
        <v>1</v>
      </c>
      <c r="J1859" s="3" t="s">
        <v>14</v>
      </c>
      <c r="K1859" s="3" t="s">
        <v>14</v>
      </c>
      <c r="L1859" s="3" t="s">
        <v>14</v>
      </c>
      <c r="M1859" s="3" t="s">
        <v>13</v>
      </c>
      <c r="N1859" s="3" t="s">
        <v>14</v>
      </c>
      <c r="O1859" s="3">
        <v>0</v>
      </c>
    </row>
    <row r="1860" spans="1:15" ht="15" customHeight="1" x14ac:dyDescent="0.25">
      <c r="A1860" s="2">
        <v>10</v>
      </c>
      <c r="B1860" s="2" t="s">
        <v>10</v>
      </c>
      <c r="C1860" s="2" t="s">
        <v>11</v>
      </c>
      <c r="D1860" s="2" t="s">
        <v>19</v>
      </c>
      <c r="E1860" s="2">
        <v>0</v>
      </c>
      <c r="F1860" s="2">
        <v>1</v>
      </c>
      <c r="G1860" s="2" t="s">
        <v>10</v>
      </c>
      <c r="H1860" s="2" t="s">
        <v>12</v>
      </c>
      <c r="I1860" s="2">
        <v>1</v>
      </c>
      <c r="J1860" s="2" t="s">
        <v>14</v>
      </c>
      <c r="K1860" s="2" t="s">
        <v>13</v>
      </c>
      <c r="L1860" s="2" t="s">
        <v>13</v>
      </c>
      <c r="M1860" s="2" t="s">
        <v>13</v>
      </c>
      <c r="N1860" s="2" t="s">
        <v>14</v>
      </c>
      <c r="O1860" s="2">
        <v>1</v>
      </c>
    </row>
    <row r="1861" spans="1:15" ht="15" customHeight="1" x14ac:dyDescent="0.25">
      <c r="A1861" s="3">
        <v>0</v>
      </c>
      <c r="B1861" s="3" t="s">
        <v>10</v>
      </c>
      <c r="C1861" s="3" t="s">
        <v>11</v>
      </c>
      <c r="D1861" s="3" t="s">
        <v>11</v>
      </c>
      <c r="E1861" s="3">
        <v>0</v>
      </c>
      <c r="F1861" s="3">
        <v>1</v>
      </c>
      <c r="G1861" s="3" t="s">
        <v>17</v>
      </c>
      <c r="H1861" s="3" t="s">
        <v>106</v>
      </c>
      <c r="I1861" s="3">
        <v>1</v>
      </c>
      <c r="J1861" s="3" t="s">
        <v>14</v>
      </c>
      <c r="K1861" s="3" t="s">
        <v>13</v>
      </c>
      <c r="L1861" s="3" t="s">
        <v>13</v>
      </c>
      <c r="M1861" s="3" t="s">
        <v>13</v>
      </c>
      <c r="N1861" s="3" t="s">
        <v>14</v>
      </c>
      <c r="O1861" s="3">
        <v>1</v>
      </c>
    </row>
    <row r="1862" spans="1:15" ht="15" customHeight="1" x14ac:dyDescent="0.25">
      <c r="A1862" s="2">
        <v>10</v>
      </c>
      <c r="B1862" s="2" t="s">
        <v>14</v>
      </c>
      <c r="C1862" s="2" t="s">
        <v>11</v>
      </c>
      <c r="D1862" s="2" t="s">
        <v>11</v>
      </c>
      <c r="E1862" s="2">
        <v>1</v>
      </c>
      <c r="F1862" s="2">
        <v>0</v>
      </c>
      <c r="G1862" s="2" t="s">
        <v>10</v>
      </c>
      <c r="H1862" s="2" t="s">
        <v>16</v>
      </c>
      <c r="I1862" s="2" t="s">
        <v>15</v>
      </c>
      <c r="J1862" s="2" t="s">
        <v>14</v>
      </c>
      <c r="K1862" s="2" t="s">
        <v>14</v>
      </c>
      <c r="L1862" s="2" t="s">
        <v>14</v>
      </c>
      <c r="M1862" s="2" t="s">
        <v>13</v>
      </c>
      <c r="N1862" s="2" t="s">
        <v>13</v>
      </c>
      <c r="O1862" s="2">
        <v>0</v>
      </c>
    </row>
    <row r="1863" spans="1:15" ht="15" customHeight="1" x14ac:dyDescent="0.25">
      <c r="A1863" s="3">
        <v>5</v>
      </c>
      <c r="B1863" s="3" t="s">
        <v>10</v>
      </c>
      <c r="C1863" s="3" t="s">
        <v>11</v>
      </c>
      <c r="D1863" s="3" t="s">
        <v>11</v>
      </c>
      <c r="E1863" s="3">
        <v>0</v>
      </c>
      <c r="F1863" s="3">
        <v>1</v>
      </c>
      <c r="G1863" s="3" t="s">
        <v>17</v>
      </c>
      <c r="H1863" s="3" t="s">
        <v>106</v>
      </c>
      <c r="I1863" s="3">
        <v>1</v>
      </c>
      <c r="J1863" s="3" t="s">
        <v>14</v>
      </c>
      <c r="K1863" s="3" t="s">
        <v>13</v>
      </c>
      <c r="L1863" s="3" t="s">
        <v>13</v>
      </c>
      <c r="M1863" s="3" t="s">
        <v>13</v>
      </c>
      <c r="N1863" s="3" t="s">
        <v>14</v>
      </c>
      <c r="O1863" s="3">
        <v>1</v>
      </c>
    </row>
    <row r="1864" spans="1:15" ht="15" customHeight="1" x14ac:dyDescent="0.25">
      <c r="A1864" s="2">
        <v>5</v>
      </c>
      <c r="B1864" s="2" t="s">
        <v>14</v>
      </c>
      <c r="C1864" s="2" t="s">
        <v>11</v>
      </c>
      <c r="D1864" s="2" t="s">
        <v>11</v>
      </c>
      <c r="E1864" s="2">
        <v>1</v>
      </c>
      <c r="F1864" s="2">
        <v>0</v>
      </c>
      <c r="G1864" s="2" t="s">
        <v>17</v>
      </c>
      <c r="H1864" s="2" t="s">
        <v>106</v>
      </c>
      <c r="I1864" s="2">
        <v>1</v>
      </c>
      <c r="J1864" s="2" t="s">
        <v>14</v>
      </c>
      <c r="K1864" s="2" t="s">
        <v>13</v>
      </c>
      <c r="L1864" s="2" t="s">
        <v>13</v>
      </c>
      <c r="M1864" s="2" t="s">
        <v>13</v>
      </c>
      <c r="N1864" s="2" t="s">
        <v>14</v>
      </c>
      <c r="O1864" s="2">
        <v>0</v>
      </c>
    </row>
    <row r="1865" spans="1:15" ht="15" customHeight="1" x14ac:dyDescent="0.25">
      <c r="A1865" s="3">
        <v>10</v>
      </c>
      <c r="B1865" s="3" t="s">
        <v>10</v>
      </c>
      <c r="C1865" s="3" t="s">
        <v>20</v>
      </c>
      <c r="D1865" s="3" t="s">
        <v>20</v>
      </c>
      <c r="E1865" s="3">
        <v>0</v>
      </c>
      <c r="F1865" s="3">
        <v>0</v>
      </c>
      <c r="G1865" s="3" t="s">
        <v>17</v>
      </c>
      <c r="H1865" s="3" t="s">
        <v>106</v>
      </c>
      <c r="I1865" s="3">
        <v>1</v>
      </c>
      <c r="J1865" s="3" t="s">
        <v>14</v>
      </c>
      <c r="K1865" s="3" t="s">
        <v>13</v>
      </c>
      <c r="L1865" s="3" t="s">
        <v>13</v>
      </c>
      <c r="M1865" s="3" t="s">
        <v>13</v>
      </c>
      <c r="N1865" s="3" t="s">
        <v>14</v>
      </c>
      <c r="O1865" s="3">
        <v>1</v>
      </c>
    </row>
    <row r="1866" spans="1:15" ht="15" customHeight="1" x14ac:dyDescent="0.25">
      <c r="A1866" s="2">
        <v>10</v>
      </c>
      <c r="B1866" s="2" t="s">
        <v>18</v>
      </c>
      <c r="C1866" s="2" t="s">
        <v>19</v>
      </c>
      <c r="D1866" s="2" t="s">
        <v>11</v>
      </c>
      <c r="E1866" s="2">
        <v>0</v>
      </c>
      <c r="F1866" s="2">
        <v>0</v>
      </c>
      <c r="G1866" s="2" t="s">
        <v>17</v>
      </c>
      <c r="H1866" s="2" t="s">
        <v>106</v>
      </c>
      <c r="I1866" s="2">
        <v>1</v>
      </c>
      <c r="J1866" s="2" t="s">
        <v>14</v>
      </c>
      <c r="K1866" s="2" t="s">
        <v>13</v>
      </c>
      <c r="L1866" s="2" t="s">
        <v>13</v>
      </c>
      <c r="M1866" s="2" t="s">
        <v>13</v>
      </c>
      <c r="N1866" s="2" t="s">
        <v>14</v>
      </c>
      <c r="O1866" s="2">
        <v>1</v>
      </c>
    </row>
    <row r="1867" spans="1:15" ht="15" customHeight="1" x14ac:dyDescent="0.25">
      <c r="A1867" s="3">
        <v>20</v>
      </c>
      <c r="B1867" s="3" t="s">
        <v>18</v>
      </c>
      <c r="C1867" s="3" t="s">
        <v>19</v>
      </c>
      <c r="D1867" s="3" t="s">
        <v>19</v>
      </c>
      <c r="E1867" s="3">
        <v>0</v>
      </c>
      <c r="F1867" s="3">
        <v>0</v>
      </c>
      <c r="G1867" s="3" t="s">
        <v>10</v>
      </c>
      <c r="H1867" s="3" t="s">
        <v>12</v>
      </c>
      <c r="I1867" s="3">
        <v>2</v>
      </c>
      <c r="J1867" s="3" t="s">
        <v>14</v>
      </c>
      <c r="K1867" s="3" t="s">
        <v>14</v>
      </c>
      <c r="L1867" s="3" t="s">
        <v>14</v>
      </c>
      <c r="M1867" s="3" t="s">
        <v>14</v>
      </c>
      <c r="N1867" s="3" t="s">
        <v>14</v>
      </c>
      <c r="O1867" s="3">
        <v>1</v>
      </c>
    </row>
    <row r="1868" spans="1:15" ht="15" customHeight="1" x14ac:dyDescent="0.25">
      <c r="A1868" s="2">
        <v>0</v>
      </c>
      <c r="B1868" s="2" t="s">
        <v>10</v>
      </c>
      <c r="C1868" s="2" t="s">
        <v>19</v>
      </c>
      <c r="D1868" s="2" t="s">
        <v>19</v>
      </c>
      <c r="E1868" s="2">
        <v>0</v>
      </c>
      <c r="F1868" s="2">
        <v>0</v>
      </c>
      <c r="G1868" s="2" t="s">
        <v>10</v>
      </c>
      <c r="H1868" s="2" t="s">
        <v>12</v>
      </c>
      <c r="I1868" s="2">
        <v>2</v>
      </c>
      <c r="J1868" s="2" t="s">
        <v>14</v>
      </c>
      <c r="K1868" s="2" t="s">
        <v>14</v>
      </c>
      <c r="L1868" s="2" t="s">
        <v>14</v>
      </c>
      <c r="M1868" s="2" t="s">
        <v>14</v>
      </c>
      <c r="N1868" s="2" t="s">
        <v>14</v>
      </c>
      <c r="O1868" s="2">
        <v>1</v>
      </c>
    </row>
    <row r="1869" spans="1:15" ht="15" customHeight="1" x14ac:dyDescent="0.25">
      <c r="A1869" s="3">
        <v>10</v>
      </c>
      <c r="B1869" s="3" t="s">
        <v>18</v>
      </c>
      <c r="C1869" s="3" t="s">
        <v>19</v>
      </c>
      <c r="D1869" s="3" t="s">
        <v>19</v>
      </c>
      <c r="E1869" s="3">
        <v>0</v>
      </c>
      <c r="F1869" s="3">
        <v>0</v>
      </c>
      <c r="G1869" s="3" t="s">
        <v>10</v>
      </c>
      <c r="H1869" s="3" t="s">
        <v>12</v>
      </c>
      <c r="I1869" s="3" t="s">
        <v>15</v>
      </c>
      <c r="J1869" s="3" t="s">
        <v>14</v>
      </c>
      <c r="K1869" s="3" t="s">
        <v>14</v>
      </c>
      <c r="L1869" s="3" t="s">
        <v>14</v>
      </c>
      <c r="M1869" s="3" t="s">
        <v>14</v>
      </c>
      <c r="N1869" s="3" t="s">
        <v>14</v>
      </c>
      <c r="O1869" s="3">
        <v>1</v>
      </c>
    </row>
    <row r="1870" spans="1:15" ht="15" customHeight="1" x14ac:dyDescent="0.25">
      <c r="A1870" s="2">
        <v>10</v>
      </c>
      <c r="B1870" s="2" t="s">
        <v>14</v>
      </c>
      <c r="C1870" s="2" t="s">
        <v>19</v>
      </c>
      <c r="D1870" s="2" t="s">
        <v>19</v>
      </c>
      <c r="E1870" s="2">
        <v>0</v>
      </c>
      <c r="F1870" s="2">
        <v>0</v>
      </c>
      <c r="G1870" s="2" t="s">
        <v>10</v>
      </c>
      <c r="H1870" s="2" t="s">
        <v>12</v>
      </c>
      <c r="I1870" s="2">
        <v>1</v>
      </c>
      <c r="J1870" s="2" t="s">
        <v>14</v>
      </c>
      <c r="K1870" s="2" t="s">
        <v>14</v>
      </c>
      <c r="L1870" s="2" t="s">
        <v>14</v>
      </c>
      <c r="M1870" s="2" t="s">
        <v>14</v>
      </c>
      <c r="N1870" s="2" t="s">
        <v>14</v>
      </c>
      <c r="O1870" s="2">
        <v>1</v>
      </c>
    </row>
    <row r="1871" spans="1:15" ht="15" customHeight="1" x14ac:dyDescent="0.25">
      <c r="A1871" s="3">
        <v>10</v>
      </c>
      <c r="B1871" s="3" t="s">
        <v>10</v>
      </c>
      <c r="C1871" s="3" t="s">
        <v>11</v>
      </c>
      <c r="D1871" s="3" t="s">
        <v>19</v>
      </c>
      <c r="E1871" s="3">
        <v>0</v>
      </c>
      <c r="F1871" s="3">
        <v>0</v>
      </c>
      <c r="G1871" s="3" t="s">
        <v>10</v>
      </c>
      <c r="H1871" s="3" t="s">
        <v>12</v>
      </c>
      <c r="I1871" s="3" t="s">
        <v>15</v>
      </c>
      <c r="J1871" s="3" t="s">
        <v>14</v>
      </c>
      <c r="K1871" s="3" t="s">
        <v>14</v>
      </c>
      <c r="L1871" s="3" t="s">
        <v>14</v>
      </c>
      <c r="M1871" s="3" t="s">
        <v>14</v>
      </c>
      <c r="N1871" s="3" t="s">
        <v>14</v>
      </c>
      <c r="O1871" s="3">
        <v>1</v>
      </c>
    </row>
    <row r="1872" spans="1:15" ht="15" customHeight="1" x14ac:dyDescent="0.25">
      <c r="A1872" s="2">
        <v>5</v>
      </c>
      <c r="B1872" s="2" t="s">
        <v>18</v>
      </c>
      <c r="C1872" s="2" t="s">
        <v>19</v>
      </c>
      <c r="D1872" s="2" t="s">
        <v>11</v>
      </c>
      <c r="E1872" s="2">
        <v>0</v>
      </c>
      <c r="F1872" s="2">
        <v>0</v>
      </c>
      <c r="G1872" s="2" t="s">
        <v>10</v>
      </c>
      <c r="H1872" s="2" t="s">
        <v>16</v>
      </c>
      <c r="I1872" s="2">
        <v>2</v>
      </c>
      <c r="J1872" s="2" t="s">
        <v>14</v>
      </c>
      <c r="K1872" s="2" t="s">
        <v>14</v>
      </c>
      <c r="L1872" s="2" t="s">
        <v>14</v>
      </c>
      <c r="M1872" s="2" t="s">
        <v>14</v>
      </c>
      <c r="N1872" s="2" t="s">
        <v>14</v>
      </c>
      <c r="O1872" s="2">
        <v>1</v>
      </c>
    </row>
    <row r="1873" spans="1:15" ht="15" customHeight="1" x14ac:dyDescent="0.25">
      <c r="A1873" s="3">
        <v>10</v>
      </c>
      <c r="B1873" s="3" t="s">
        <v>10</v>
      </c>
      <c r="C1873" s="3" t="s">
        <v>11</v>
      </c>
      <c r="D1873" s="3" t="s">
        <v>19</v>
      </c>
      <c r="E1873" s="3">
        <v>0</v>
      </c>
      <c r="F1873" s="3">
        <v>0</v>
      </c>
      <c r="G1873" s="3" t="s">
        <v>10</v>
      </c>
      <c r="H1873" s="3" t="s">
        <v>12</v>
      </c>
      <c r="I1873" s="3">
        <v>2</v>
      </c>
      <c r="J1873" s="3" t="s">
        <v>14</v>
      </c>
      <c r="K1873" s="3" t="s">
        <v>14</v>
      </c>
      <c r="L1873" s="3" t="s">
        <v>14</v>
      </c>
      <c r="M1873" s="3" t="s">
        <v>14</v>
      </c>
      <c r="N1873" s="3" t="s">
        <v>14</v>
      </c>
      <c r="O1873" s="3">
        <v>1</v>
      </c>
    </row>
    <row r="1874" spans="1:15" ht="15" customHeight="1" x14ac:dyDescent="0.25">
      <c r="A1874" s="2">
        <v>0</v>
      </c>
      <c r="B1874" s="2" t="s">
        <v>18</v>
      </c>
      <c r="C1874" s="2" t="s">
        <v>11</v>
      </c>
      <c r="D1874" s="2" t="s">
        <v>11</v>
      </c>
      <c r="E1874" s="2">
        <v>0</v>
      </c>
      <c r="F1874" s="2">
        <v>0</v>
      </c>
      <c r="G1874" s="2" t="s">
        <v>10</v>
      </c>
      <c r="H1874" s="2" t="s">
        <v>12</v>
      </c>
      <c r="I1874" s="2" t="s">
        <v>15</v>
      </c>
      <c r="J1874" s="2" t="s">
        <v>14</v>
      </c>
      <c r="K1874" s="2" t="s">
        <v>14</v>
      </c>
      <c r="L1874" s="2" t="s">
        <v>14</v>
      </c>
      <c r="M1874" s="2" t="s">
        <v>14</v>
      </c>
      <c r="N1874" s="2" t="s">
        <v>14</v>
      </c>
      <c r="O1874" s="2">
        <v>1</v>
      </c>
    </row>
    <row r="1875" spans="1:15" ht="15" customHeight="1" x14ac:dyDescent="0.25">
      <c r="A1875" s="3">
        <v>5</v>
      </c>
      <c r="B1875" s="3" t="s">
        <v>10</v>
      </c>
      <c r="C1875" s="3" t="s">
        <v>11</v>
      </c>
      <c r="D1875" s="3" t="s">
        <v>11</v>
      </c>
      <c r="E1875" s="3">
        <v>1</v>
      </c>
      <c r="F1875" s="3">
        <v>2</v>
      </c>
      <c r="G1875" s="3" t="s">
        <v>10</v>
      </c>
      <c r="H1875" s="3" t="s">
        <v>12</v>
      </c>
      <c r="I1875" s="3">
        <v>2</v>
      </c>
      <c r="J1875" s="3" t="s">
        <v>13</v>
      </c>
      <c r="K1875" s="3" t="s">
        <v>14</v>
      </c>
      <c r="L1875" s="3" t="s">
        <v>14</v>
      </c>
      <c r="M1875" s="3" t="s">
        <v>13</v>
      </c>
      <c r="N1875" s="3" t="s">
        <v>14</v>
      </c>
      <c r="O1875" s="3">
        <v>0</v>
      </c>
    </row>
    <row r="1876" spans="1:15" ht="15" customHeight="1" x14ac:dyDescent="0.25">
      <c r="A1876" s="2">
        <v>30</v>
      </c>
      <c r="B1876" s="2" t="s">
        <v>10</v>
      </c>
      <c r="C1876" s="2" t="s">
        <v>19</v>
      </c>
      <c r="D1876" s="2" t="s">
        <v>20</v>
      </c>
      <c r="E1876" s="2">
        <v>0</v>
      </c>
      <c r="F1876" s="2">
        <v>1</v>
      </c>
      <c r="G1876" s="2" t="s">
        <v>10</v>
      </c>
      <c r="H1876" s="2" t="s">
        <v>12</v>
      </c>
      <c r="I1876" s="2">
        <v>2</v>
      </c>
      <c r="J1876" s="2" t="s">
        <v>14</v>
      </c>
      <c r="K1876" s="2" t="s">
        <v>14</v>
      </c>
      <c r="L1876" s="2" t="s">
        <v>14</v>
      </c>
      <c r="M1876" s="2" t="s">
        <v>13</v>
      </c>
      <c r="N1876" s="2" t="s">
        <v>14</v>
      </c>
      <c r="O1876" s="2">
        <v>0</v>
      </c>
    </row>
    <row r="1877" spans="1:15" ht="15" customHeight="1" x14ac:dyDescent="0.25">
      <c r="A1877" s="3">
        <v>5</v>
      </c>
      <c r="B1877" s="3" t="s">
        <v>18</v>
      </c>
      <c r="C1877" s="3" t="s">
        <v>19</v>
      </c>
      <c r="D1877" s="3" t="s">
        <v>19</v>
      </c>
      <c r="E1877" s="3">
        <v>0</v>
      </c>
      <c r="F1877" s="3">
        <v>0</v>
      </c>
      <c r="G1877" s="3" t="s">
        <v>10</v>
      </c>
      <c r="H1877" s="3" t="s">
        <v>12</v>
      </c>
      <c r="I1877" s="3">
        <v>1</v>
      </c>
      <c r="J1877" s="3" t="s">
        <v>14</v>
      </c>
      <c r="K1877" s="3" t="s">
        <v>14</v>
      </c>
      <c r="L1877" s="3" t="s">
        <v>14</v>
      </c>
      <c r="M1877" s="3" t="s">
        <v>14</v>
      </c>
      <c r="N1877" s="3" t="s">
        <v>14</v>
      </c>
      <c r="O1877" s="3">
        <v>1</v>
      </c>
    </row>
    <row r="1878" spans="1:15" ht="15" customHeight="1" x14ac:dyDescent="0.25">
      <c r="A1878" s="2">
        <v>10</v>
      </c>
      <c r="B1878" s="2" t="s">
        <v>18</v>
      </c>
      <c r="C1878" s="2" t="s">
        <v>19</v>
      </c>
      <c r="D1878" s="2" t="s">
        <v>19</v>
      </c>
      <c r="E1878" s="2">
        <v>0</v>
      </c>
      <c r="F1878" s="2">
        <v>0</v>
      </c>
      <c r="G1878" s="2" t="s">
        <v>10</v>
      </c>
      <c r="H1878" s="2" t="s">
        <v>12</v>
      </c>
      <c r="I1878" s="2">
        <v>2</v>
      </c>
      <c r="J1878" s="2" t="s">
        <v>14</v>
      </c>
      <c r="K1878" s="2" t="s">
        <v>14</v>
      </c>
      <c r="L1878" s="2" t="s">
        <v>14</v>
      </c>
      <c r="M1878" s="2" t="s">
        <v>14</v>
      </c>
      <c r="N1878" s="2" t="s">
        <v>14</v>
      </c>
      <c r="O1878" s="2">
        <v>1</v>
      </c>
    </row>
    <row r="1879" spans="1:15" ht="15" customHeight="1" x14ac:dyDescent="0.25">
      <c r="A1879" s="3">
        <v>10</v>
      </c>
      <c r="B1879" s="3" t="s">
        <v>18</v>
      </c>
      <c r="C1879" s="3" t="s">
        <v>20</v>
      </c>
      <c r="D1879" s="3" t="s">
        <v>20</v>
      </c>
      <c r="E1879" s="3">
        <v>0</v>
      </c>
      <c r="F1879" s="3">
        <v>0</v>
      </c>
      <c r="G1879" s="3" t="s">
        <v>10</v>
      </c>
      <c r="H1879" s="3" t="s">
        <v>12</v>
      </c>
      <c r="I1879" s="3">
        <v>2</v>
      </c>
      <c r="J1879" s="3" t="s">
        <v>14</v>
      </c>
      <c r="K1879" s="3" t="s">
        <v>14</v>
      </c>
      <c r="L1879" s="3" t="s">
        <v>14</v>
      </c>
      <c r="M1879" s="3" t="s">
        <v>14</v>
      </c>
      <c r="N1879" s="3" t="s">
        <v>14</v>
      </c>
      <c r="O1879" s="3">
        <v>1</v>
      </c>
    </row>
    <row r="1880" spans="1:15" ht="15" customHeight="1" x14ac:dyDescent="0.25">
      <c r="A1880" s="2">
        <v>10</v>
      </c>
      <c r="B1880" s="2" t="s">
        <v>10</v>
      </c>
      <c r="C1880" s="2" t="s">
        <v>20</v>
      </c>
      <c r="D1880" s="2" t="s">
        <v>20</v>
      </c>
      <c r="E1880" s="2">
        <v>0</v>
      </c>
      <c r="F1880" s="2">
        <v>0</v>
      </c>
      <c r="G1880" s="2" t="s">
        <v>10</v>
      </c>
      <c r="H1880" s="2" t="s">
        <v>12</v>
      </c>
      <c r="I1880" s="2">
        <v>2</v>
      </c>
      <c r="J1880" s="2" t="s">
        <v>14</v>
      </c>
      <c r="K1880" s="2" t="s">
        <v>14</v>
      </c>
      <c r="L1880" s="2" t="s">
        <v>14</v>
      </c>
      <c r="M1880" s="2" t="s">
        <v>14</v>
      </c>
      <c r="N1880" s="2" t="s">
        <v>14</v>
      </c>
      <c r="O1880" s="2">
        <v>1</v>
      </c>
    </row>
    <row r="1881" spans="1:15" ht="15" customHeight="1" x14ac:dyDescent="0.25">
      <c r="A1881" s="3">
        <v>10</v>
      </c>
      <c r="B1881" s="3" t="s">
        <v>10</v>
      </c>
      <c r="C1881" s="3" t="s">
        <v>19</v>
      </c>
      <c r="D1881" s="3" t="s">
        <v>19</v>
      </c>
      <c r="E1881" s="3">
        <v>0</v>
      </c>
      <c r="F1881" s="3">
        <v>1</v>
      </c>
      <c r="G1881" s="3" t="s">
        <v>10</v>
      </c>
      <c r="H1881" s="3" t="s">
        <v>16</v>
      </c>
      <c r="I1881" s="3" t="s">
        <v>15</v>
      </c>
      <c r="J1881" s="3" t="s">
        <v>14</v>
      </c>
      <c r="K1881" s="3" t="s">
        <v>14</v>
      </c>
      <c r="L1881" s="3" t="s">
        <v>14</v>
      </c>
      <c r="M1881" s="3" t="s">
        <v>13</v>
      </c>
      <c r="N1881" s="3" t="s">
        <v>14</v>
      </c>
      <c r="O1881" s="3">
        <v>1</v>
      </c>
    </row>
    <row r="1882" spans="1:15" ht="15" customHeight="1" x14ac:dyDescent="0.25">
      <c r="A1882" s="2">
        <v>0</v>
      </c>
      <c r="B1882" s="2" t="s">
        <v>14</v>
      </c>
      <c r="C1882" s="2" t="s">
        <v>19</v>
      </c>
      <c r="D1882" s="2" t="s">
        <v>19</v>
      </c>
      <c r="E1882" s="2">
        <v>0</v>
      </c>
      <c r="F1882" s="2">
        <v>1</v>
      </c>
      <c r="G1882" s="2" t="s">
        <v>10</v>
      </c>
      <c r="H1882" s="2" t="s">
        <v>16</v>
      </c>
      <c r="I1882" s="2">
        <v>1</v>
      </c>
      <c r="J1882" s="2" t="s">
        <v>14</v>
      </c>
      <c r="K1882" s="2" t="s">
        <v>14</v>
      </c>
      <c r="L1882" s="2" t="s">
        <v>14</v>
      </c>
      <c r="M1882" s="2" t="s">
        <v>14</v>
      </c>
      <c r="N1882" s="2" t="s">
        <v>14</v>
      </c>
      <c r="O1882" s="2">
        <v>1</v>
      </c>
    </row>
    <row r="1883" spans="1:15" ht="15" customHeight="1" x14ac:dyDescent="0.25">
      <c r="A1883" s="3">
        <v>20</v>
      </c>
      <c r="B1883" s="3" t="s">
        <v>10</v>
      </c>
      <c r="C1883" s="3" t="s">
        <v>11</v>
      </c>
      <c r="D1883" s="3" t="s">
        <v>19</v>
      </c>
      <c r="E1883" s="3">
        <v>0</v>
      </c>
      <c r="F1883" s="3">
        <v>1</v>
      </c>
      <c r="G1883" s="3" t="s">
        <v>10</v>
      </c>
      <c r="H1883" s="3" t="s">
        <v>12</v>
      </c>
      <c r="I1883" s="3">
        <v>2</v>
      </c>
      <c r="J1883" s="3" t="s">
        <v>13</v>
      </c>
      <c r="K1883" s="3" t="s">
        <v>14</v>
      </c>
      <c r="L1883" s="3" t="s">
        <v>14</v>
      </c>
      <c r="M1883" s="3" t="s">
        <v>14</v>
      </c>
      <c r="N1883" s="3" t="s">
        <v>14</v>
      </c>
      <c r="O1883" s="3">
        <v>1</v>
      </c>
    </row>
    <row r="1884" spans="1:15" ht="15" customHeight="1" x14ac:dyDescent="0.25">
      <c r="A1884" s="2">
        <v>20</v>
      </c>
      <c r="B1884" s="2" t="s">
        <v>14</v>
      </c>
      <c r="C1884" s="2" t="s">
        <v>11</v>
      </c>
      <c r="D1884" s="2" t="s">
        <v>11</v>
      </c>
      <c r="E1884" s="2">
        <v>0</v>
      </c>
      <c r="F1884" s="2">
        <v>1</v>
      </c>
      <c r="G1884" s="2" t="s">
        <v>10</v>
      </c>
      <c r="H1884" s="2" t="s">
        <v>16</v>
      </c>
      <c r="I1884" s="2" t="s">
        <v>15</v>
      </c>
      <c r="J1884" s="2" t="s">
        <v>14</v>
      </c>
      <c r="K1884" s="2" t="s">
        <v>14</v>
      </c>
      <c r="L1884" s="2" t="s">
        <v>14</v>
      </c>
      <c r="M1884" s="2" t="s">
        <v>14</v>
      </c>
      <c r="N1884" s="2" t="s">
        <v>13</v>
      </c>
      <c r="O1884" s="2">
        <v>1</v>
      </c>
    </row>
    <row r="1885" spans="1:15" ht="15" customHeight="1" x14ac:dyDescent="0.25">
      <c r="A1885" s="3">
        <v>10</v>
      </c>
      <c r="B1885" s="3" t="s">
        <v>18</v>
      </c>
      <c r="C1885" s="3" t="s">
        <v>20</v>
      </c>
      <c r="D1885" s="3" t="s">
        <v>20</v>
      </c>
      <c r="E1885" s="3">
        <v>0</v>
      </c>
      <c r="F1885" s="3">
        <v>0</v>
      </c>
      <c r="G1885" s="3" t="s">
        <v>10</v>
      </c>
      <c r="H1885" s="3" t="s">
        <v>16</v>
      </c>
      <c r="I1885" s="3" t="s">
        <v>15</v>
      </c>
      <c r="J1885" s="3" t="s">
        <v>14</v>
      </c>
      <c r="K1885" s="3" t="s">
        <v>14</v>
      </c>
      <c r="L1885" s="3" t="s">
        <v>14</v>
      </c>
      <c r="M1885" s="3" t="s">
        <v>14</v>
      </c>
      <c r="N1885" s="3" t="s">
        <v>14</v>
      </c>
      <c r="O1885" s="3">
        <v>1</v>
      </c>
    </row>
    <row r="1886" spans="1:15" ht="15" customHeight="1" x14ac:dyDescent="0.25">
      <c r="A1886" s="2">
        <v>0</v>
      </c>
      <c r="B1886" s="2" t="s">
        <v>10</v>
      </c>
      <c r="C1886" s="2" t="s">
        <v>20</v>
      </c>
      <c r="D1886" s="2" t="s">
        <v>20</v>
      </c>
      <c r="E1886" s="2">
        <v>0</v>
      </c>
      <c r="F1886" s="2">
        <v>0</v>
      </c>
      <c r="G1886" s="2" t="s">
        <v>10</v>
      </c>
      <c r="H1886" s="2" t="s">
        <v>12</v>
      </c>
      <c r="I1886" s="2">
        <v>2</v>
      </c>
      <c r="J1886" s="2" t="s">
        <v>14</v>
      </c>
      <c r="K1886" s="2" t="s">
        <v>14</v>
      </c>
      <c r="L1886" s="2" t="s">
        <v>14</v>
      </c>
      <c r="M1886" s="2" t="s">
        <v>14</v>
      </c>
      <c r="N1886" s="2" t="s">
        <v>14</v>
      </c>
      <c r="O1886" s="2">
        <v>1</v>
      </c>
    </row>
    <row r="1887" spans="1:15" ht="15" customHeight="1" x14ac:dyDescent="0.25">
      <c r="A1887" s="3">
        <v>10</v>
      </c>
      <c r="B1887" s="3" t="s">
        <v>18</v>
      </c>
      <c r="C1887" s="3" t="s">
        <v>20</v>
      </c>
      <c r="D1887" s="3" t="s">
        <v>20</v>
      </c>
      <c r="E1887" s="3">
        <v>0</v>
      </c>
      <c r="F1887" s="3">
        <v>0</v>
      </c>
      <c r="G1887" s="3" t="s">
        <v>10</v>
      </c>
      <c r="H1887" s="3" t="s">
        <v>12</v>
      </c>
      <c r="I1887" s="3">
        <v>2</v>
      </c>
      <c r="J1887" s="3" t="s">
        <v>14</v>
      </c>
      <c r="K1887" s="3" t="s">
        <v>14</v>
      </c>
      <c r="L1887" s="3" t="s">
        <v>14</v>
      </c>
      <c r="M1887" s="3" t="s">
        <v>14</v>
      </c>
      <c r="N1887" s="3" t="s">
        <v>14</v>
      </c>
      <c r="O1887" s="3">
        <v>1</v>
      </c>
    </row>
    <row r="1888" spans="1:15" ht="15" customHeight="1" x14ac:dyDescent="0.25">
      <c r="A1888" s="2">
        <v>10</v>
      </c>
      <c r="B1888" s="2" t="s">
        <v>10</v>
      </c>
      <c r="C1888" s="2" t="s">
        <v>20</v>
      </c>
      <c r="D1888" s="2" t="s">
        <v>20</v>
      </c>
      <c r="E1888" s="2">
        <v>0</v>
      </c>
      <c r="F1888" s="2">
        <v>0</v>
      </c>
      <c r="G1888" s="2" t="s">
        <v>10</v>
      </c>
      <c r="H1888" s="2" t="s">
        <v>12</v>
      </c>
      <c r="I1888" s="2" t="s">
        <v>15</v>
      </c>
      <c r="J1888" s="2" t="s">
        <v>14</v>
      </c>
      <c r="K1888" s="2" t="s">
        <v>14</v>
      </c>
      <c r="L1888" s="2" t="s">
        <v>14</v>
      </c>
      <c r="M1888" s="2" t="s">
        <v>14</v>
      </c>
      <c r="N1888" s="2" t="s">
        <v>14</v>
      </c>
      <c r="O1888" s="2">
        <v>1</v>
      </c>
    </row>
    <row r="1889" spans="1:15" ht="15" customHeight="1" x14ac:dyDescent="0.25">
      <c r="A1889" s="3">
        <v>0</v>
      </c>
      <c r="B1889" s="3" t="s">
        <v>10</v>
      </c>
      <c r="C1889" s="3" t="s">
        <v>19</v>
      </c>
      <c r="D1889" s="3" t="s">
        <v>19</v>
      </c>
      <c r="E1889" s="3">
        <v>0</v>
      </c>
      <c r="F1889" s="3">
        <v>0</v>
      </c>
      <c r="G1889" s="3" t="s">
        <v>10</v>
      </c>
      <c r="H1889" s="3" t="s">
        <v>16</v>
      </c>
      <c r="I1889" s="3">
        <v>1</v>
      </c>
      <c r="J1889" s="3" t="s">
        <v>14</v>
      </c>
      <c r="K1889" s="3" t="s">
        <v>14</v>
      </c>
      <c r="L1889" s="3" t="s">
        <v>14</v>
      </c>
      <c r="M1889" s="3" t="s">
        <v>14</v>
      </c>
      <c r="N1889" s="3" t="s">
        <v>14</v>
      </c>
      <c r="O1889" s="3">
        <v>0</v>
      </c>
    </row>
    <row r="1890" spans="1:15" ht="15" customHeight="1" x14ac:dyDescent="0.25">
      <c r="A1890" s="2">
        <v>10</v>
      </c>
      <c r="B1890" s="2" t="s">
        <v>10</v>
      </c>
      <c r="C1890" s="2" t="s">
        <v>19</v>
      </c>
      <c r="D1890" s="2" t="s">
        <v>20</v>
      </c>
      <c r="E1890" s="2">
        <v>1</v>
      </c>
      <c r="F1890" s="2">
        <v>0</v>
      </c>
      <c r="G1890" s="2" t="s">
        <v>10</v>
      </c>
      <c r="H1890" s="2" t="s">
        <v>12</v>
      </c>
      <c r="I1890" s="2" t="s">
        <v>15</v>
      </c>
      <c r="J1890" s="2" t="s">
        <v>14</v>
      </c>
      <c r="K1890" s="2" t="s">
        <v>14</v>
      </c>
      <c r="L1890" s="2" t="s">
        <v>14</v>
      </c>
      <c r="M1890" s="2" t="s">
        <v>14</v>
      </c>
      <c r="N1890" s="2" t="s">
        <v>14</v>
      </c>
      <c r="O1890" s="2">
        <v>1</v>
      </c>
    </row>
    <row r="1891" spans="1:15" ht="15" customHeight="1" x14ac:dyDescent="0.25">
      <c r="A1891" s="3">
        <v>0</v>
      </c>
      <c r="B1891" s="3" t="s">
        <v>14</v>
      </c>
      <c r="C1891" s="3" t="s">
        <v>11</v>
      </c>
      <c r="D1891" s="3" t="s">
        <v>11</v>
      </c>
      <c r="E1891" s="3">
        <v>0</v>
      </c>
      <c r="F1891" s="3">
        <v>0</v>
      </c>
      <c r="G1891" s="3" t="s">
        <v>10</v>
      </c>
      <c r="H1891" s="3" t="s">
        <v>12</v>
      </c>
      <c r="I1891" s="3" t="s">
        <v>15</v>
      </c>
      <c r="J1891" s="3" t="s">
        <v>14</v>
      </c>
      <c r="K1891" s="3" t="s">
        <v>14</v>
      </c>
      <c r="L1891" s="3" t="s">
        <v>14</v>
      </c>
      <c r="M1891" s="3" t="s">
        <v>14</v>
      </c>
      <c r="N1891" s="3" t="s">
        <v>14</v>
      </c>
      <c r="O1891" s="3">
        <v>1</v>
      </c>
    </row>
    <row r="1892" spans="1:15" ht="15" customHeight="1" x14ac:dyDescent="0.25">
      <c r="A1892" s="2">
        <v>10</v>
      </c>
      <c r="B1892" s="2" t="s">
        <v>10</v>
      </c>
      <c r="C1892" s="2" t="s">
        <v>20</v>
      </c>
      <c r="D1892" s="2" t="s">
        <v>20</v>
      </c>
      <c r="E1892" s="2">
        <v>0</v>
      </c>
      <c r="F1892" s="2">
        <v>0</v>
      </c>
      <c r="G1892" s="2" t="s">
        <v>10</v>
      </c>
      <c r="H1892" s="2" t="s">
        <v>12</v>
      </c>
      <c r="I1892" s="2">
        <v>2</v>
      </c>
      <c r="J1892" s="2" t="s">
        <v>14</v>
      </c>
      <c r="K1892" s="2" t="s">
        <v>13</v>
      </c>
      <c r="L1892" s="2" t="s">
        <v>13</v>
      </c>
      <c r="M1892" s="2" t="s">
        <v>13</v>
      </c>
      <c r="N1892" s="2" t="s">
        <v>14</v>
      </c>
      <c r="O1892" s="2">
        <v>1</v>
      </c>
    </row>
    <row r="1893" spans="1:15" ht="15" customHeight="1" x14ac:dyDescent="0.25">
      <c r="A1893" s="3">
        <v>5</v>
      </c>
      <c r="B1893" s="3" t="s">
        <v>18</v>
      </c>
      <c r="C1893" s="3" t="s">
        <v>20</v>
      </c>
      <c r="D1893" s="3" t="s">
        <v>20</v>
      </c>
      <c r="E1893" s="3">
        <v>0</v>
      </c>
      <c r="F1893" s="3">
        <v>0</v>
      </c>
      <c r="G1893" s="3" t="s">
        <v>10</v>
      </c>
      <c r="H1893" s="3" t="s">
        <v>12</v>
      </c>
      <c r="I1893" s="3">
        <v>1</v>
      </c>
      <c r="J1893" s="3" t="s">
        <v>14</v>
      </c>
      <c r="K1893" s="3" t="s">
        <v>13</v>
      </c>
      <c r="L1893" s="3" t="s">
        <v>13</v>
      </c>
      <c r="M1893" s="3" t="s">
        <v>13</v>
      </c>
      <c r="N1893" s="3" t="s">
        <v>14</v>
      </c>
      <c r="O1893" s="3">
        <v>1</v>
      </c>
    </row>
    <row r="1894" spans="1:15" ht="15" customHeight="1" x14ac:dyDescent="0.25">
      <c r="A1894" s="2">
        <v>20</v>
      </c>
      <c r="B1894" s="2" t="s">
        <v>10</v>
      </c>
      <c r="C1894" s="2" t="s">
        <v>19</v>
      </c>
      <c r="D1894" s="2" t="s">
        <v>20</v>
      </c>
      <c r="E1894" s="2">
        <v>1</v>
      </c>
      <c r="F1894" s="2">
        <v>1</v>
      </c>
      <c r="G1894" s="2" t="s">
        <v>10</v>
      </c>
      <c r="H1894" s="2" t="s">
        <v>12</v>
      </c>
      <c r="I1894" s="2">
        <v>1</v>
      </c>
      <c r="J1894" s="2" t="s">
        <v>14</v>
      </c>
      <c r="K1894" s="2" t="s">
        <v>13</v>
      </c>
      <c r="L1894" s="2" t="s">
        <v>13</v>
      </c>
      <c r="M1894" s="2" t="s">
        <v>13</v>
      </c>
      <c r="N1894" s="2" t="s">
        <v>14</v>
      </c>
      <c r="O1894" s="2">
        <v>0</v>
      </c>
    </row>
    <row r="1895" spans="1:15" ht="15" customHeight="1" x14ac:dyDescent="0.25">
      <c r="A1895" s="3">
        <v>0</v>
      </c>
      <c r="B1895" s="3" t="s">
        <v>18</v>
      </c>
      <c r="C1895" s="3" t="s">
        <v>19</v>
      </c>
      <c r="D1895" s="3" t="s">
        <v>19</v>
      </c>
      <c r="E1895" s="3">
        <v>0</v>
      </c>
      <c r="F1895" s="3">
        <v>0</v>
      </c>
      <c r="G1895" s="3" t="s">
        <v>10</v>
      </c>
      <c r="H1895" s="3" t="s">
        <v>12</v>
      </c>
      <c r="I1895" s="3">
        <v>1</v>
      </c>
      <c r="J1895" s="3" t="s">
        <v>14</v>
      </c>
      <c r="K1895" s="3" t="s">
        <v>14</v>
      </c>
      <c r="L1895" s="3" t="s">
        <v>14</v>
      </c>
      <c r="M1895" s="3" t="s">
        <v>14</v>
      </c>
      <c r="N1895" s="3" t="s">
        <v>14</v>
      </c>
      <c r="O1895" s="3">
        <v>1</v>
      </c>
    </row>
    <row r="1896" spans="1:15" ht="15" customHeight="1" x14ac:dyDescent="0.25">
      <c r="A1896" s="2">
        <v>20</v>
      </c>
      <c r="B1896" s="2" t="s">
        <v>14</v>
      </c>
      <c r="C1896" s="2" t="s">
        <v>20</v>
      </c>
      <c r="D1896" s="2" t="s">
        <v>20</v>
      </c>
      <c r="E1896" s="2">
        <v>0</v>
      </c>
      <c r="F1896" s="2">
        <v>0</v>
      </c>
      <c r="G1896" s="2" t="s">
        <v>10</v>
      </c>
      <c r="H1896" s="2" t="s">
        <v>12</v>
      </c>
      <c r="I1896" s="2">
        <v>1</v>
      </c>
      <c r="J1896" s="2" t="s">
        <v>14</v>
      </c>
      <c r="K1896" s="2" t="s">
        <v>14</v>
      </c>
      <c r="L1896" s="2" t="s">
        <v>14</v>
      </c>
      <c r="M1896" s="2" t="s">
        <v>13</v>
      </c>
      <c r="N1896" s="2" t="s">
        <v>14</v>
      </c>
      <c r="O1896" s="2">
        <v>1</v>
      </c>
    </row>
    <row r="1897" spans="1:15" ht="15" customHeight="1" x14ac:dyDescent="0.25">
      <c r="A1897" s="3">
        <v>10</v>
      </c>
      <c r="B1897" s="3" t="s">
        <v>10</v>
      </c>
      <c r="C1897" s="3" t="s">
        <v>19</v>
      </c>
      <c r="D1897" s="3" t="s">
        <v>19</v>
      </c>
      <c r="E1897" s="3">
        <v>0</v>
      </c>
      <c r="F1897" s="3">
        <v>0</v>
      </c>
      <c r="G1897" s="3" t="s">
        <v>10</v>
      </c>
      <c r="H1897" s="3" t="s">
        <v>12</v>
      </c>
      <c r="I1897" s="3">
        <v>2</v>
      </c>
      <c r="J1897" s="3" t="s">
        <v>14</v>
      </c>
      <c r="K1897" s="3" t="s">
        <v>14</v>
      </c>
      <c r="L1897" s="3" t="s">
        <v>14</v>
      </c>
      <c r="M1897" s="3" t="s">
        <v>14</v>
      </c>
      <c r="N1897" s="3" t="s">
        <v>14</v>
      </c>
      <c r="O1897" s="3">
        <v>1</v>
      </c>
    </row>
    <row r="1898" spans="1:15" ht="15" customHeight="1" x14ac:dyDescent="0.25">
      <c r="A1898" s="2">
        <v>30</v>
      </c>
      <c r="B1898" s="2" t="s">
        <v>10</v>
      </c>
      <c r="C1898" s="2" t="s">
        <v>11</v>
      </c>
      <c r="D1898" s="2" t="s">
        <v>19</v>
      </c>
      <c r="E1898" s="2">
        <v>1</v>
      </c>
      <c r="F1898" s="2">
        <v>0</v>
      </c>
      <c r="G1898" s="2" t="s">
        <v>10</v>
      </c>
      <c r="H1898" s="2" t="s">
        <v>12</v>
      </c>
      <c r="I1898" s="2" t="s">
        <v>15</v>
      </c>
      <c r="J1898" s="2" t="s">
        <v>14</v>
      </c>
      <c r="K1898" s="2" t="s">
        <v>14</v>
      </c>
      <c r="L1898" s="2" t="s">
        <v>14</v>
      </c>
      <c r="M1898" s="2" t="s">
        <v>13</v>
      </c>
      <c r="N1898" s="2" t="s">
        <v>13</v>
      </c>
      <c r="O1898" s="2">
        <v>0</v>
      </c>
    </row>
    <row r="1899" spans="1:15" ht="15" customHeight="1" x14ac:dyDescent="0.25">
      <c r="A1899" s="3">
        <v>0</v>
      </c>
      <c r="B1899" s="3" t="s">
        <v>18</v>
      </c>
      <c r="C1899" s="3" t="s">
        <v>20</v>
      </c>
      <c r="D1899" s="3" t="s">
        <v>20</v>
      </c>
      <c r="E1899" s="3">
        <v>0</v>
      </c>
      <c r="F1899" s="3">
        <v>0</v>
      </c>
      <c r="G1899" s="3" t="s">
        <v>18</v>
      </c>
      <c r="H1899" s="3" t="s">
        <v>106</v>
      </c>
      <c r="I1899" s="3">
        <v>1</v>
      </c>
      <c r="J1899" s="3" t="s">
        <v>14</v>
      </c>
      <c r="K1899" s="3" t="s">
        <v>13</v>
      </c>
      <c r="L1899" s="3" t="s">
        <v>13</v>
      </c>
      <c r="M1899" s="3" t="s">
        <v>13</v>
      </c>
      <c r="N1899" s="3" t="s">
        <v>14</v>
      </c>
      <c r="O1899" s="3">
        <v>1</v>
      </c>
    </row>
    <row r="1900" spans="1:15" ht="15" customHeight="1" x14ac:dyDescent="0.25">
      <c r="A1900" s="2">
        <v>30</v>
      </c>
      <c r="B1900" s="2" t="s">
        <v>10</v>
      </c>
      <c r="C1900" s="2" t="s">
        <v>11</v>
      </c>
      <c r="D1900" s="2" t="s">
        <v>19</v>
      </c>
      <c r="E1900" s="2">
        <v>1</v>
      </c>
      <c r="F1900" s="2">
        <v>1</v>
      </c>
      <c r="G1900" s="2" t="s">
        <v>10</v>
      </c>
      <c r="H1900" s="2" t="s">
        <v>12</v>
      </c>
      <c r="I1900" s="2">
        <v>2</v>
      </c>
      <c r="J1900" s="2" t="s">
        <v>13</v>
      </c>
      <c r="K1900" s="2" t="s">
        <v>14</v>
      </c>
      <c r="L1900" s="2" t="s">
        <v>14</v>
      </c>
      <c r="M1900" s="2" t="s">
        <v>14</v>
      </c>
      <c r="N1900" s="2" t="s">
        <v>14</v>
      </c>
      <c r="O1900" s="2">
        <v>0</v>
      </c>
    </row>
    <row r="1901" spans="1:15" ht="15" customHeight="1" x14ac:dyDescent="0.25">
      <c r="A1901" s="3">
        <v>5</v>
      </c>
      <c r="B1901" s="3" t="s">
        <v>10</v>
      </c>
      <c r="C1901" s="3" t="s">
        <v>19</v>
      </c>
      <c r="D1901" s="3" t="s">
        <v>19</v>
      </c>
      <c r="E1901" s="3">
        <v>0</v>
      </c>
      <c r="F1901" s="3">
        <v>0</v>
      </c>
      <c r="G1901" s="3" t="s">
        <v>10</v>
      </c>
      <c r="H1901" s="3" t="s">
        <v>12</v>
      </c>
      <c r="I1901" s="3">
        <v>1</v>
      </c>
      <c r="J1901" s="3" t="s">
        <v>14</v>
      </c>
      <c r="K1901" s="3" t="s">
        <v>14</v>
      </c>
      <c r="L1901" s="3" t="s">
        <v>14</v>
      </c>
      <c r="M1901" s="3" t="s">
        <v>14</v>
      </c>
      <c r="N1901" s="3" t="s">
        <v>14</v>
      </c>
      <c r="O1901" s="3">
        <v>1</v>
      </c>
    </row>
    <row r="1902" spans="1:15" ht="15" customHeight="1" x14ac:dyDescent="0.25">
      <c r="A1902" s="2">
        <v>10</v>
      </c>
      <c r="B1902" s="2" t="s">
        <v>18</v>
      </c>
      <c r="C1902" s="2" t="s">
        <v>20</v>
      </c>
      <c r="D1902" s="2" t="s">
        <v>19</v>
      </c>
      <c r="E1902" s="2">
        <v>1</v>
      </c>
      <c r="F1902" s="2">
        <v>0</v>
      </c>
      <c r="G1902" s="2" t="s">
        <v>10</v>
      </c>
      <c r="H1902" s="2" t="s">
        <v>16</v>
      </c>
      <c r="I1902" s="2" t="s">
        <v>15</v>
      </c>
      <c r="J1902" s="2" t="s">
        <v>14</v>
      </c>
      <c r="K1902" s="2" t="s">
        <v>14</v>
      </c>
      <c r="L1902" s="2" t="s">
        <v>14</v>
      </c>
      <c r="M1902" s="2" t="s">
        <v>14</v>
      </c>
      <c r="N1902" s="2" t="s">
        <v>14</v>
      </c>
      <c r="O1902" s="2">
        <v>0</v>
      </c>
    </row>
    <row r="1903" spans="1:15" ht="15" customHeight="1" x14ac:dyDescent="0.25">
      <c r="A1903" s="3">
        <v>5</v>
      </c>
      <c r="B1903" s="3" t="s">
        <v>18</v>
      </c>
      <c r="C1903" s="3" t="s">
        <v>19</v>
      </c>
      <c r="D1903" s="3" t="s">
        <v>19</v>
      </c>
      <c r="E1903" s="3">
        <v>0</v>
      </c>
      <c r="F1903" s="3">
        <v>1</v>
      </c>
      <c r="G1903" s="3" t="s">
        <v>10</v>
      </c>
      <c r="H1903" s="3" t="s">
        <v>12</v>
      </c>
      <c r="I1903" s="3">
        <v>1</v>
      </c>
      <c r="J1903" s="3" t="s">
        <v>14</v>
      </c>
      <c r="K1903" s="3" t="s">
        <v>14</v>
      </c>
      <c r="L1903" s="3" t="s">
        <v>14</v>
      </c>
      <c r="M1903" s="3" t="s">
        <v>14</v>
      </c>
      <c r="N1903" s="3" t="s">
        <v>14</v>
      </c>
      <c r="O1903" s="3">
        <v>1</v>
      </c>
    </row>
    <row r="1904" spans="1:15" ht="15" customHeight="1" x14ac:dyDescent="0.25">
      <c r="A1904" s="2">
        <v>0</v>
      </c>
      <c r="B1904" s="2" t="s">
        <v>14</v>
      </c>
      <c r="C1904" s="2" t="s">
        <v>19</v>
      </c>
      <c r="D1904" s="2" t="s">
        <v>19</v>
      </c>
      <c r="E1904" s="2">
        <v>0</v>
      </c>
      <c r="F1904" s="2">
        <v>0</v>
      </c>
      <c r="G1904" s="2" t="s">
        <v>10</v>
      </c>
      <c r="H1904" s="2" t="s">
        <v>12</v>
      </c>
      <c r="I1904" s="2">
        <v>1</v>
      </c>
      <c r="J1904" s="2" t="s">
        <v>14</v>
      </c>
      <c r="K1904" s="2" t="s">
        <v>14</v>
      </c>
      <c r="L1904" s="2" t="s">
        <v>14</v>
      </c>
      <c r="M1904" s="2" t="s">
        <v>14</v>
      </c>
      <c r="N1904" s="2" t="s">
        <v>14</v>
      </c>
      <c r="O1904" s="2">
        <v>1</v>
      </c>
    </row>
    <row r="1905" spans="1:15" ht="15" customHeight="1" x14ac:dyDescent="0.25">
      <c r="A1905" s="3">
        <v>0</v>
      </c>
      <c r="B1905" s="3" t="s">
        <v>18</v>
      </c>
      <c r="C1905" s="3" t="s">
        <v>19</v>
      </c>
      <c r="D1905" s="3" t="s">
        <v>19</v>
      </c>
      <c r="E1905" s="3">
        <v>0</v>
      </c>
      <c r="F1905" s="3">
        <v>0</v>
      </c>
      <c r="G1905" s="3" t="s">
        <v>10</v>
      </c>
      <c r="H1905" s="3" t="s">
        <v>12</v>
      </c>
      <c r="I1905" s="3">
        <v>1</v>
      </c>
      <c r="J1905" s="3" t="s">
        <v>14</v>
      </c>
      <c r="K1905" s="3" t="s">
        <v>14</v>
      </c>
      <c r="L1905" s="3" t="s">
        <v>14</v>
      </c>
      <c r="M1905" s="3" t="s">
        <v>14</v>
      </c>
      <c r="N1905" s="3" t="s">
        <v>14</v>
      </c>
      <c r="O1905" s="3">
        <v>1</v>
      </c>
    </row>
    <row r="1906" spans="1:15" ht="15" customHeight="1" x14ac:dyDescent="0.25">
      <c r="A1906" s="2">
        <v>5</v>
      </c>
      <c r="B1906" s="2" t="s">
        <v>10</v>
      </c>
      <c r="C1906" s="2" t="s">
        <v>19</v>
      </c>
      <c r="D1906" s="2" t="s">
        <v>19</v>
      </c>
      <c r="E1906" s="2">
        <v>0</v>
      </c>
      <c r="F1906" s="2">
        <v>0</v>
      </c>
      <c r="G1906" s="2" t="s">
        <v>10</v>
      </c>
      <c r="H1906" s="2" t="s">
        <v>12</v>
      </c>
      <c r="I1906" s="2" t="s">
        <v>15</v>
      </c>
      <c r="J1906" s="2" t="s">
        <v>14</v>
      </c>
      <c r="K1906" s="2" t="s">
        <v>14</v>
      </c>
      <c r="L1906" s="2" t="s">
        <v>14</v>
      </c>
      <c r="M1906" s="2" t="s">
        <v>14</v>
      </c>
      <c r="N1906" s="2" t="s">
        <v>14</v>
      </c>
      <c r="O1906" s="2">
        <v>1</v>
      </c>
    </row>
    <row r="1907" spans="1:15" ht="15" customHeight="1" x14ac:dyDescent="0.25">
      <c r="A1907" s="3">
        <v>5</v>
      </c>
      <c r="B1907" s="3" t="s">
        <v>10</v>
      </c>
      <c r="C1907" s="3" t="s">
        <v>19</v>
      </c>
      <c r="D1907" s="3" t="s">
        <v>19</v>
      </c>
      <c r="E1907" s="3">
        <v>0</v>
      </c>
      <c r="F1907" s="3">
        <v>0</v>
      </c>
      <c r="G1907" s="3" t="s">
        <v>10</v>
      </c>
      <c r="H1907" s="3" t="s">
        <v>12</v>
      </c>
      <c r="I1907" s="3" t="s">
        <v>15</v>
      </c>
      <c r="J1907" s="3" t="s">
        <v>14</v>
      </c>
      <c r="K1907" s="3" t="s">
        <v>14</v>
      </c>
      <c r="L1907" s="3" t="s">
        <v>14</v>
      </c>
      <c r="M1907" s="3" t="s">
        <v>14</v>
      </c>
      <c r="N1907" s="3" t="s">
        <v>14</v>
      </c>
      <c r="O1907" s="3">
        <v>1</v>
      </c>
    </row>
    <row r="1908" spans="1:15" ht="15" customHeight="1" x14ac:dyDescent="0.25">
      <c r="A1908" s="2">
        <v>0</v>
      </c>
      <c r="B1908" s="2" t="s">
        <v>14</v>
      </c>
      <c r="C1908" s="2" t="s">
        <v>19</v>
      </c>
      <c r="D1908" s="2" t="s">
        <v>19</v>
      </c>
      <c r="E1908" s="2">
        <v>0</v>
      </c>
      <c r="F1908" s="2">
        <v>0</v>
      </c>
      <c r="G1908" s="2" t="s">
        <v>10</v>
      </c>
      <c r="H1908" s="2" t="s">
        <v>12</v>
      </c>
      <c r="I1908" s="2" t="s">
        <v>15</v>
      </c>
      <c r="J1908" s="2" t="s">
        <v>14</v>
      </c>
      <c r="K1908" s="2" t="s">
        <v>14</v>
      </c>
      <c r="L1908" s="2" t="s">
        <v>14</v>
      </c>
      <c r="M1908" s="2" t="s">
        <v>14</v>
      </c>
      <c r="N1908" s="2" t="s">
        <v>14</v>
      </c>
      <c r="O1908" s="2">
        <v>1</v>
      </c>
    </row>
    <row r="1909" spans="1:15" ht="15" customHeight="1" x14ac:dyDescent="0.25">
      <c r="A1909" s="3">
        <v>10</v>
      </c>
      <c r="B1909" s="3" t="s">
        <v>14</v>
      </c>
      <c r="C1909" s="3" t="s">
        <v>19</v>
      </c>
      <c r="D1909" s="3" t="s">
        <v>19</v>
      </c>
      <c r="E1909" s="3">
        <v>0</v>
      </c>
      <c r="F1909" s="3">
        <v>0</v>
      </c>
      <c r="G1909" s="3" t="s">
        <v>10</v>
      </c>
      <c r="H1909" s="3" t="s">
        <v>12</v>
      </c>
      <c r="I1909" s="3" t="s">
        <v>15</v>
      </c>
      <c r="J1909" s="3" t="s">
        <v>14</v>
      </c>
      <c r="K1909" s="3" t="s">
        <v>14</v>
      </c>
      <c r="L1909" s="3" t="s">
        <v>14</v>
      </c>
      <c r="M1909" s="3" t="s">
        <v>14</v>
      </c>
      <c r="N1909" s="3" t="s">
        <v>14</v>
      </c>
      <c r="O1909" s="3">
        <v>1</v>
      </c>
    </row>
    <row r="1910" spans="1:15" ht="15" customHeight="1" x14ac:dyDescent="0.25">
      <c r="A1910" s="2">
        <v>10</v>
      </c>
      <c r="B1910" s="2" t="s">
        <v>10</v>
      </c>
      <c r="C1910" s="2" t="s">
        <v>11</v>
      </c>
      <c r="D1910" s="2" t="s">
        <v>19</v>
      </c>
      <c r="E1910" s="2">
        <v>0</v>
      </c>
      <c r="F1910" s="2">
        <v>0</v>
      </c>
      <c r="G1910" s="2" t="s">
        <v>10</v>
      </c>
      <c r="H1910" s="2" t="s">
        <v>12</v>
      </c>
      <c r="I1910" s="2">
        <v>1</v>
      </c>
      <c r="J1910" s="2" t="s">
        <v>14</v>
      </c>
      <c r="K1910" s="2" t="s">
        <v>14</v>
      </c>
      <c r="L1910" s="2" t="s">
        <v>14</v>
      </c>
      <c r="M1910" s="2" t="s">
        <v>14</v>
      </c>
      <c r="N1910" s="2" t="s">
        <v>14</v>
      </c>
      <c r="O1910" s="2">
        <v>1</v>
      </c>
    </row>
    <row r="1911" spans="1:15" ht="15" customHeight="1" x14ac:dyDescent="0.25">
      <c r="A1911" s="3">
        <v>10</v>
      </c>
      <c r="B1911" s="3" t="s">
        <v>14</v>
      </c>
      <c r="C1911" s="3" t="s">
        <v>19</v>
      </c>
      <c r="D1911" s="3" t="s">
        <v>19</v>
      </c>
      <c r="E1911" s="3">
        <v>0</v>
      </c>
      <c r="F1911" s="3">
        <v>0</v>
      </c>
      <c r="G1911" s="3" t="s">
        <v>10</v>
      </c>
      <c r="H1911" s="3" t="s">
        <v>12</v>
      </c>
      <c r="I1911" s="3">
        <v>2</v>
      </c>
      <c r="J1911" s="3" t="s">
        <v>14</v>
      </c>
      <c r="K1911" s="3" t="s">
        <v>14</v>
      </c>
      <c r="L1911" s="3" t="s">
        <v>14</v>
      </c>
      <c r="M1911" s="3" t="s">
        <v>14</v>
      </c>
      <c r="N1911" s="3" t="s">
        <v>14</v>
      </c>
      <c r="O1911" s="3">
        <v>1</v>
      </c>
    </row>
    <row r="1912" spans="1:15" ht="15" customHeight="1" x14ac:dyDescent="0.25">
      <c r="A1912" s="2">
        <v>0</v>
      </c>
      <c r="B1912" s="2" t="s">
        <v>14</v>
      </c>
      <c r="C1912" s="2" t="s">
        <v>19</v>
      </c>
      <c r="D1912" s="2" t="s">
        <v>19</v>
      </c>
      <c r="E1912" s="2">
        <v>0</v>
      </c>
      <c r="F1912" s="2">
        <v>0</v>
      </c>
      <c r="G1912" s="2" t="s">
        <v>10</v>
      </c>
      <c r="H1912" s="2" t="s">
        <v>12</v>
      </c>
      <c r="I1912" s="2">
        <v>2</v>
      </c>
      <c r="J1912" s="2" t="s">
        <v>14</v>
      </c>
      <c r="K1912" s="2" t="s">
        <v>14</v>
      </c>
      <c r="L1912" s="2" t="s">
        <v>14</v>
      </c>
      <c r="M1912" s="2" t="s">
        <v>14</v>
      </c>
      <c r="N1912" s="2" t="s">
        <v>14</v>
      </c>
      <c r="O1912" s="2">
        <v>1</v>
      </c>
    </row>
    <row r="1913" spans="1:15" ht="15" customHeight="1" x14ac:dyDescent="0.25">
      <c r="A1913" s="3">
        <v>20</v>
      </c>
      <c r="B1913" s="3" t="s">
        <v>10</v>
      </c>
      <c r="C1913" s="3" t="s">
        <v>11</v>
      </c>
      <c r="D1913" s="3" t="s">
        <v>19</v>
      </c>
      <c r="E1913" s="3">
        <v>0</v>
      </c>
      <c r="F1913" s="3">
        <v>1</v>
      </c>
      <c r="G1913" s="3" t="s">
        <v>10</v>
      </c>
      <c r="H1913" s="3" t="s">
        <v>12</v>
      </c>
      <c r="I1913" s="3">
        <v>2</v>
      </c>
      <c r="J1913" s="3" t="s">
        <v>13</v>
      </c>
      <c r="K1913" s="3" t="s">
        <v>14</v>
      </c>
      <c r="L1913" s="3" t="s">
        <v>14</v>
      </c>
      <c r="M1913" s="3" t="s">
        <v>14</v>
      </c>
      <c r="N1913" s="3" t="s">
        <v>14</v>
      </c>
      <c r="O1913" s="3">
        <v>0</v>
      </c>
    </row>
    <row r="1914" spans="1:15" ht="15" customHeight="1" x14ac:dyDescent="0.25">
      <c r="A1914" s="2">
        <v>0</v>
      </c>
      <c r="B1914" s="2" t="s">
        <v>10</v>
      </c>
      <c r="C1914" s="2" t="s">
        <v>19</v>
      </c>
      <c r="D1914" s="2" t="s">
        <v>19</v>
      </c>
      <c r="E1914" s="2">
        <v>0</v>
      </c>
      <c r="F1914" s="2">
        <v>1</v>
      </c>
      <c r="G1914" s="2" t="s">
        <v>10</v>
      </c>
      <c r="H1914" s="2" t="s">
        <v>12</v>
      </c>
      <c r="I1914" s="2" t="s">
        <v>15</v>
      </c>
      <c r="J1914" s="2" t="s">
        <v>14</v>
      </c>
      <c r="K1914" s="2" t="s">
        <v>14</v>
      </c>
      <c r="L1914" s="2" t="s">
        <v>14</v>
      </c>
      <c r="M1914" s="2" t="s">
        <v>14</v>
      </c>
      <c r="N1914" s="2" t="s">
        <v>14</v>
      </c>
      <c r="O1914" s="2">
        <v>1</v>
      </c>
    </row>
    <row r="1915" spans="1:15" ht="15" customHeight="1" x14ac:dyDescent="0.25">
      <c r="A1915" s="3">
        <v>0</v>
      </c>
      <c r="B1915" s="3" t="s">
        <v>14</v>
      </c>
      <c r="C1915" s="3" t="s">
        <v>19</v>
      </c>
      <c r="D1915" s="3" t="s">
        <v>19</v>
      </c>
      <c r="E1915" s="3">
        <v>1</v>
      </c>
      <c r="F1915" s="3">
        <v>0</v>
      </c>
      <c r="G1915" s="3" t="s">
        <v>10</v>
      </c>
      <c r="H1915" s="3" t="s">
        <v>12</v>
      </c>
      <c r="I1915" s="3">
        <v>2</v>
      </c>
      <c r="J1915" s="3" t="s">
        <v>14</v>
      </c>
      <c r="K1915" s="3" t="s">
        <v>14</v>
      </c>
      <c r="L1915" s="3" t="s">
        <v>14</v>
      </c>
      <c r="M1915" s="3" t="s">
        <v>14</v>
      </c>
      <c r="N1915" s="3" t="s">
        <v>14</v>
      </c>
      <c r="O1915" s="3">
        <v>1</v>
      </c>
    </row>
    <row r="1916" spans="1:15" ht="15" customHeight="1" x14ac:dyDescent="0.25">
      <c r="A1916" s="2">
        <v>5</v>
      </c>
      <c r="B1916" s="2" t="s">
        <v>18</v>
      </c>
      <c r="C1916" s="2" t="s">
        <v>19</v>
      </c>
      <c r="D1916" s="2" t="s">
        <v>19</v>
      </c>
      <c r="E1916" s="2">
        <v>0</v>
      </c>
      <c r="F1916" s="2">
        <v>0</v>
      </c>
      <c r="G1916" s="2" t="s">
        <v>10</v>
      </c>
      <c r="H1916" s="2" t="s">
        <v>12</v>
      </c>
      <c r="I1916" s="2" t="s">
        <v>15</v>
      </c>
      <c r="J1916" s="2" t="s">
        <v>14</v>
      </c>
      <c r="K1916" s="2" t="s">
        <v>14</v>
      </c>
      <c r="L1916" s="2" t="s">
        <v>14</v>
      </c>
      <c r="M1916" s="2" t="s">
        <v>14</v>
      </c>
      <c r="N1916" s="2" t="s">
        <v>14</v>
      </c>
      <c r="O1916" s="2">
        <v>1</v>
      </c>
    </row>
    <row r="1917" spans="1:15" ht="15" customHeight="1" x14ac:dyDescent="0.25">
      <c r="A1917" s="3">
        <v>10</v>
      </c>
      <c r="B1917" s="3" t="s">
        <v>14</v>
      </c>
      <c r="C1917" s="3" t="s">
        <v>19</v>
      </c>
      <c r="D1917" s="3" t="s">
        <v>19</v>
      </c>
      <c r="E1917" s="3">
        <v>0</v>
      </c>
      <c r="F1917" s="3">
        <v>0</v>
      </c>
      <c r="G1917" s="3" t="s">
        <v>10</v>
      </c>
      <c r="H1917" s="3" t="s">
        <v>12</v>
      </c>
      <c r="I1917" s="3">
        <v>2</v>
      </c>
      <c r="J1917" s="3" t="s">
        <v>14</v>
      </c>
      <c r="K1917" s="3" t="s">
        <v>14</v>
      </c>
      <c r="L1917" s="3" t="s">
        <v>14</v>
      </c>
      <c r="M1917" s="3" t="s">
        <v>14</v>
      </c>
      <c r="N1917" s="3" t="s">
        <v>14</v>
      </c>
      <c r="O1917" s="3">
        <v>1</v>
      </c>
    </row>
    <row r="1918" spans="1:15" ht="15" customHeight="1" x14ac:dyDescent="0.25">
      <c r="A1918" s="2">
        <v>5</v>
      </c>
      <c r="B1918" s="2" t="s">
        <v>14</v>
      </c>
      <c r="C1918" s="2" t="s">
        <v>19</v>
      </c>
      <c r="D1918" s="2" t="s">
        <v>19</v>
      </c>
      <c r="E1918" s="2">
        <v>0</v>
      </c>
      <c r="F1918" s="2">
        <v>0</v>
      </c>
      <c r="G1918" s="2" t="s">
        <v>10</v>
      </c>
      <c r="H1918" s="2" t="s">
        <v>12</v>
      </c>
      <c r="I1918" s="2" t="s">
        <v>15</v>
      </c>
      <c r="J1918" s="2" t="s">
        <v>14</v>
      </c>
      <c r="K1918" s="2" t="s">
        <v>14</v>
      </c>
      <c r="L1918" s="2" t="s">
        <v>14</v>
      </c>
      <c r="M1918" s="2" t="s">
        <v>14</v>
      </c>
      <c r="N1918" s="2" t="s">
        <v>14</v>
      </c>
      <c r="O1918" s="2">
        <v>1</v>
      </c>
    </row>
    <row r="1919" spans="1:15" ht="15" customHeight="1" x14ac:dyDescent="0.25">
      <c r="A1919" s="3">
        <v>10</v>
      </c>
      <c r="B1919" s="3" t="s">
        <v>14</v>
      </c>
      <c r="C1919" s="3" t="s">
        <v>19</v>
      </c>
      <c r="D1919" s="3" t="s">
        <v>19</v>
      </c>
      <c r="E1919" s="3">
        <v>0</v>
      </c>
      <c r="F1919" s="3">
        <v>0</v>
      </c>
      <c r="G1919" s="3" t="s">
        <v>10</v>
      </c>
      <c r="H1919" s="3" t="s">
        <v>12</v>
      </c>
      <c r="I1919" s="3">
        <v>2</v>
      </c>
      <c r="J1919" s="3" t="s">
        <v>14</v>
      </c>
      <c r="K1919" s="3" t="s">
        <v>14</v>
      </c>
      <c r="L1919" s="3" t="s">
        <v>14</v>
      </c>
      <c r="M1919" s="3" t="s">
        <v>14</v>
      </c>
      <c r="N1919" s="3" t="s">
        <v>14</v>
      </c>
      <c r="O1919" s="3">
        <v>1</v>
      </c>
    </row>
    <row r="1920" spans="1:15" ht="15" customHeight="1" x14ac:dyDescent="0.25">
      <c r="A1920" s="2">
        <v>5</v>
      </c>
      <c r="B1920" s="2" t="s">
        <v>10</v>
      </c>
      <c r="C1920" s="2" t="s">
        <v>19</v>
      </c>
      <c r="D1920" s="2" t="s">
        <v>19</v>
      </c>
      <c r="E1920" s="2">
        <v>0</v>
      </c>
      <c r="F1920" s="2">
        <v>0</v>
      </c>
      <c r="G1920" s="2" t="s">
        <v>10</v>
      </c>
      <c r="H1920" s="2" t="s">
        <v>12</v>
      </c>
      <c r="I1920" s="2">
        <v>2</v>
      </c>
      <c r="J1920" s="2" t="s">
        <v>14</v>
      </c>
      <c r="K1920" s="2" t="s">
        <v>14</v>
      </c>
      <c r="L1920" s="2" t="s">
        <v>14</v>
      </c>
      <c r="M1920" s="2" t="s">
        <v>14</v>
      </c>
      <c r="N1920" s="2" t="s">
        <v>14</v>
      </c>
      <c r="O1920" s="2">
        <v>1</v>
      </c>
    </row>
    <row r="1921" spans="1:15" ht="15" customHeight="1" x14ac:dyDescent="0.25">
      <c r="A1921" s="3">
        <v>5</v>
      </c>
      <c r="B1921" s="3" t="s">
        <v>18</v>
      </c>
      <c r="C1921" s="3" t="s">
        <v>19</v>
      </c>
      <c r="D1921" s="3" t="s">
        <v>19</v>
      </c>
      <c r="E1921" s="3">
        <v>0</v>
      </c>
      <c r="F1921" s="3">
        <v>0</v>
      </c>
      <c r="G1921" s="3" t="s">
        <v>10</v>
      </c>
      <c r="H1921" s="3" t="s">
        <v>12</v>
      </c>
      <c r="I1921" s="3">
        <v>2</v>
      </c>
      <c r="J1921" s="3" t="s">
        <v>14</v>
      </c>
      <c r="K1921" s="3" t="s">
        <v>14</v>
      </c>
      <c r="L1921" s="3" t="s">
        <v>14</v>
      </c>
      <c r="M1921" s="3" t="s">
        <v>14</v>
      </c>
      <c r="N1921" s="3" t="s">
        <v>14</v>
      </c>
      <c r="O1921" s="3">
        <v>1</v>
      </c>
    </row>
    <row r="1922" spans="1:15" ht="15" customHeight="1" x14ac:dyDescent="0.25">
      <c r="A1922" s="2">
        <v>10</v>
      </c>
      <c r="B1922" s="2" t="s">
        <v>14</v>
      </c>
      <c r="C1922" s="2" t="s">
        <v>19</v>
      </c>
      <c r="D1922" s="2" t="s">
        <v>19</v>
      </c>
      <c r="E1922" s="2">
        <v>0</v>
      </c>
      <c r="F1922" s="2">
        <v>0</v>
      </c>
      <c r="G1922" s="2" t="s">
        <v>10</v>
      </c>
      <c r="H1922" s="2" t="s">
        <v>12</v>
      </c>
      <c r="I1922" s="2">
        <v>2</v>
      </c>
      <c r="J1922" s="2" t="s">
        <v>14</v>
      </c>
      <c r="K1922" s="2" t="s">
        <v>14</v>
      </c>
      <c r="L1922" s="2" t="s">
        <v>14</v>
      </c>
      <c r="M1922" s="2" t="s">
        <v>14</v>
      </c>
      <c r="N1922" s="2" t="s">
        <v>14</v>
      </c>
      <c r="O1922" s="2">
        <v>1</v>
      </c>
    </row>
    <row r="1923" spans="1:15" ht="15" customHeight="1" x14ac:dyDescent="0.25">
      <c r="A1923" s="3">
        <v>5</v>
      </c>
      <c r="B1923" s="3" t="s">
        <v>18</v>
      </c>
      <c r="C1923" s="3" t="s">
        <v>19</v>
      </c>
      <c r="D1923" s="3" t="s">
        <v>19</v>
      </c>
      <c r="E1923" s="3">
        <v>0</v>
      </c>
      <c r="F1923" s="3">
        <v>0</v>
      </c>
      <c r="G1923" s="3" t="s">
        <v>10</v>
      </c>
      <c r="H1923" s="3" t="s">
        <v>12</v>
      </c>
      <c r="I1923" s="3">
        <v>2</v>
      </c>
      <c r="J1923" s="3" t="s">
        <v>14</v>
      </c>
      <c r="K1923" s="3" t="s">
        <v>14</v>
      </c>
      <c r="L1923" s="3" t="s">
        <v>14</v>
      </c>
      <c r="M1923" s="3" t="s">
        <v>14</v>
      </c>
      <c r="N1923" s="3" t="s">
        <v>14</v>
      </c>
      <c r="O1923" s="3">
        <v>1</v>
      </c>
    </row>
    <row r="1924" spans="1:15" ht="15" customHeight="1" x14ac:dyDescent="0.25">
      <c r="A1924" s="2">
        <v>10</v>
      </c>
      <c r="B1924" s="2" t="s">
        <v>14</v>
      </c>
      <c r="C1924" s="2" t="s">
        <v>20</v>
      </c>
      <c r="D1924" s="2" t="s">
        <v>20</v>
      </c>
      <c r="E1924" s="2">
        <v>0</v>
      </c>
      <c r="F1924" s="2">
        <v>0</v>
      </c>
      <c r="G1924" s="2" t="s">
        <v>10</v>
      </c>
      <c r="H1924" s="2" t="s">
        <v>12</v>
      </c>
      <c r="I1924" s="2">
        <v>2</v>
      </c>
      <c r="J1924" s="2" t="s">
        <v>14</v>
      </c>
      <c r="K1924" s="2" t="s">
        <v>14</v>
      </c>
      <c r="L1924" s="2" t="s">
        <v>14</v>
      </c>
      <c r="M1924" s="2" t="s">
        <v>14</v>
      </c>
      <c r="N1924" s="2" t="s">
        <v>14</v>
      </c>
      <c r="O1924" s="2">
        <v>1</v>
      </c>
    </row>
    <row r="1925" spans="1:15" ht="15" customHeight="1" x14ac:dyDescent="0.25">
      <c r="A1925" s="3">
        <v>10</v>
      </c>
      <c r="B1925" s="3" t="s">
        <v>10</v>
      </c>
      <c r="C1925" s="3" t="s">
        <v>19</v>
      </c>
      <c r="D1925" s="3" t="s">
        <v>20</v>
      </c>
      <c r="E1925" s="3">
        <v>0</v>
      </c>
      <c r="F1925" s="3">
        <v>0</v>
      </c>
      <c r="G1925" s="3" t="s">
        <v>10</v>
      </c>
      <c r="H1925" s="3" t="s">
        <v>12</v>
      </c>
      <c r="I1925" s="3">
        <v>2</v>
      </c>
      <c r="J1925" s="3" t="s">
        <v>14</v>
      </c>
      <c r="K1925" s="3" t="s">
        <v>14</v>
      </c>
      <c r="L1925" s="3" t="s">
        <v>14</v>
      </c>
      <c r="M1925" s="3" t="s">
        <v>14</v>
      </c>
      <c r="N1925" s="3" t="s">
        <v>14</v>
      </c>
      <c r="O1925" s="3">
        <v>1</v>
      </c>
    </row>
    <row r="1926" spans="1:15" ht="15" customHeight="1" x14ac:dyDescent="0.25">
      <c r="A1926" s="2">
        <v>0</v>
      </c>
      <c r="B1926" s="2" t="s">
        <v>14</v>
      </c>
      <c r="C1926" s="2" t="s">
        <v>19</v>
      </c>
      <c r="D1926" s="2" t="s">
        <v>19</v>
      </c>
      <c r="E1926" s="2">
        <v>0</v>
      </c>
      <c r="F1926" s="2">
        <v>0</v>
      </c>
      <c r="G1926" s="2" t="s">
        <v>10</v>
      </c>
      <c r="H1926" s="2" t="s">
        <v>12</v>
      </c>
      <c r="I1926" s="2">
        <v>1</v>
      </c>
      <c r="J1926" s="2" t="s">
        <v>14</v>
      </c>
      <c r="K1926" s="2" t="s">
        <v>14</v>
      </c>
      <c r="L1926" s="2" t="s">
        <v>14</v>
      </c>
      <c r="M1926" s="2" t="s">
        <v>14</v>
      </c>
      <c r="N1926" s="2" t="s">
        <v>14</v>
      </c>
      <c r="O1926" s="2">
        <v>1</v>
      </c>
    </row>
    <row r="1927" spans="1:15" ht="15" customHeight="1" x14ac:dyDescent="0.25">
      <c r="A1927" s="3">
        <v>0</v>
      </c>
      <c r="B1927" s="3" t="s">
        <v>18</v>
      </c>
      <c r="C1927" s="3" t="s">
        <v>19</v>
      </c>
      <c r="D1927" s="3" t="s">
        <v>19</v>
      </c>
      <c r="E1927" s="3">
        <v>0</v>
      </c>
      <c r="F1927" s="3">
        <v>0</v>
      </c>
      <c r="G1927" s="3" t="s">
        <v>10</v>
      </c>
      <c r="H1927" s="3" t="s">
        <v>12</v>
      </c>
      <c r="I1927" s="3">
        <v>1</v>
      </c>
      <c r="J1927" s="3" t="s">
        <v>14</v>
      </c>
      <c r="K1927" s="3" t="s">
        <v>14</v>
      </c>
      <c r="L1927" s="3" t="s">
        <v>14</v>
      </c>
      <c r="M1927" s="3" t="s">
        <v>14</v>
      </c>
      <c r="N1927" s="3" t="s">
        <v>14</v>
      </c>
      <c r="O1927" s="3">
        <v>1</v>
      </c>
    </row>
    <row r="1928" spans="1:15" ht="15" customHeight="1" x14ac:dyDescent="0.25">
      <c r="A1928" s="2">
        <v>20</v>
      </c>
      <c r="B1928" s="2" t="s">
        <v>10</v>
      </c>
      <c r="C1928" s="2" t="s">
        <v>19</v>
      </c>
      <c r="D1928" s="2" t="s">
        <v>19</v>
      </c>
      <c r="E1928" s="2">
        <v>0</v>
      </c>
      <c r="F1928" s="2">
        <v>0</v>
      </c>
      <c r="G1928" s="2" t="s">
        <v>10</v>
      </c>
      <c r="H1928" s="2" t="s">
        <v>12</v>
      </c>
      <c r="I1928" s="2" t="s">
        <v>15</v>
      </c>
      <c r="J1928" s="2" t="s">
        <v>14</v>
      </c>
      <c r="K1928" s="2" t="s">
        <v>14</v>
      </c>
      <c r="L1928" s="2" t="s">
        <v>14</v>
      </c>
      <c r="M1928" s="2" t="s">
        <v>13</v>
      </c>
      <c r="N1928" s="2" t="s">
        <v>14</v>
      </c>
      <c r="O1928" s="2">
        <v>1</v>
      </c>
    </row>
    <row r="1929" spans="1:15" ht="15" customHeight="1" x14ac:dyDescent="0.25">
      <c r="A1929" s="3">
        <v>5</v>
      </c>
      <c r="B1929" s="3" t="s">
        <v>18</v>
      </c>
      <c r="C1929" s="3" t="s">
        <v>11</v>
      </c>
      <c r="D1929" s="3" t="s">
        <v>11</v>
      </c>
      <c r="E1929" s="3">
        <v>0</v>
      </c>
      <c r="F1929" s="3">
        <v>0</v>
      </c>
      <c r="G1929" s="3" t="s">
        <v>10</v>
      </c>
      <c r="H1929" s="3" t="s">
        <v>12</v>
      </c>
      <c r="I1929" s="3" t="s">
        <v>15</v>
      </c>
      <c r="J1929" s="3" t="s">
        <v>14</v>
      </c>
      <c r="K1929" s="3" t="s">
        <v>14</v>
      </c>
      <c r="L1929" s="3" t="s">
        <v>14</v>
      </c>
      <c r="M1929" s="3" t="s">
        <v>14</v>
      </c>
      <c r="N1929" s="3" t="s">
        <v>14</v>
      </c>
      <c r="O1929" s="3">
        <v>1</v>
      </c>
    </row>
    <row r="1930" spans="1:15" ht="15" customHeight="1" x14ac:dyDescent="0.25">
      <c r="A1930" s="2">
        <v>0</v>
      </c>
      <c r="B1930" s="2" t="s">
        <v>18</v>
      </c>
      <c r="C1930" s="2" t="s">
        <v>19</v>
      </c>
      <c r="D1930" s="2" t="s">
        <v>19</v>
      </c>
      <c r="E1930" s="2">
        <v>0</v>
      </c>
      <c r="F1930" s="2">
        <v>0</v>
      </c>
      <c r="G1930" s="2" t="s">
        <v>10</v>
      </c>
      <c r="H1930" s="2" t="s">
        <v>12</v>
      </c>
      <c r="I1930" s="2">
        <v>2</v>
      </c>
      <c r="J1930" s="2" t="s">
        <v>14</v>
      </c>
      <c r="K1930" s="2" t="s">
        <v>14</v>
      </c>
      <c r="L1930" s="2" t="s">
        <v>14</v>
      </c>
      <c r="M1930" s="2" t="s">
        <v>14</v>
      </c>
      <c r="N1930" s="2" t="s">
        <v>14</v>
      </c>
      <c r="O1930" s="2">
        <v>1</v>
      </c>
    </row>
    <row r="1931" spans="1:15" ht="15" customHeight="1" x14ac:dyDescent="0.25">
      <c r="A1931" s="3">
        <v>5</v>
      </c>
      <c r="B1931" s="3" t="s">
        <v>14</v>
      </c>
      <c r="C1931" s="3" t="s">
        <v>19</v>
      </c>
      <c r="D1931" s="3" t="s">
        <v>19</v>
      </c>
      <c r="E1931" s="3">
        <v>0</v>
      </c>
      <c r="F1931" s="3">
        <v>0</v>
      </c>
      <c r="G1931" s="3" t="s">
        <v>10</v>
      </c>
      <c r="H1931" s="3" t="s">
        <v>12</v>
      </c>
      <c r="I1931" s="3">
        <v>2</v>
      </c>
      <c r="J1931" s="3" t="s">
        <v>14</v>
      </c>
      <c r="K1931" s="3" t="s">
        <v>14</v>
      </c>
      <c r="L1931" s="3" t="s">
        <v>14</v>
      </c>
      <c r="M1931" s="3" t="s">
        <v>14</v>
      </c>
      <c r="N1931" s="3" t="s">
        <v>14</v>
      </c>
      <c r="O1931" s="3">
        <v>1</v>
      </c>
    </row>
    <row r="1932" spans="1:15" ht="15" customHeight="1" x14ac:dyDescent="0.25">
      <c r="A1932" s="2">
        <v>10</v>
      </c>
      <c r="B1932" s="2" t="s">
        <v>14</v>
      </c>
      <c r="C1932" s="2" t="s">
        <v>19</v>
      </c>
      <c r="D1932" s="2" t="s">
        <v>19</v>
      </c>
      <c r="E1932" s="2">
        <v>0</v>
      </c>
      <c r="F1932" s="2">
        <v>0</v>
      </c>
      <c r="G1932" s="2" t="s">
        <v>10</v>
      </c>
      <c r="H1932" s="2" t="s">
        <v>12</v>
      </c>
      <c r="I1932" s="2" t="s">
        <v>15</v>
      </c>
      <c r="J1932" s="2" t="s">
        <v>14</v>
      </c>
      <c r="K1932" s="2" t="s">
        <v>14</v>
      </c>
      <c r="L1932" s="2" t="s">
        <v>14</v>
      </c>
      <c r="M1932" s="2" t="s">
        <v>14</v>
      </c>
      <c r="N1932" s="2" t="s">
        <v>14</v>
      </c>
      <c r="O1932" s="2">
        <v>1</v>
      </c>
    </row>
    <row r="1933" spans="1:15" ht="15" customHeight="1" x14ac:dyDescent="0.25">
      <c r="A1933" s="3">
        <v>10</v>
      </c>
      <c r="B1933" s="3" t="s">
        <v>10</v>
      </c>
      <c r="C1933" s="3" t="s">
        <v>11</v>
      </c>
      <c r="D1933" s="3" t="s">
        <v>19</v>
      </c>
      <c r="E1933" s="3">
        <v>0</v>
      </c>
      <c r="F1933" s="3">
        <v>0</v>
      </c>
      <c r="G1933" s="3" t="s">
        <v>10</v>
      </c>
      <c r="H1933" s="3" t="s">
        <v>12</v>
      </c>
      <c r="I1933" s="3">
        <v>2</v>
      </c>
      <c r="J1933" s="3" t="s">
        <v>14</v>
      </c>
      <c r="K1933" s="3" t="s">
        <v>14</v>
      </c>
      <c r="L1933" s="3" t="s">
        <v>14</v>
      </c>
      <c r="M1933" s="3" t="s">
        <v>14</v>
      </c>
      <c r="N1933" s="3" t="s">
        <v>14</v>
      </c>
      <c r="O1933" s="3">
        <v>1</v>
      </c>
    </row>
    <row r="1934" spans="1:15" ht="15" customHeight="1" x14ac:dyDescent="0.25">
      <c r="A1934" s="2">
        <v>10</v>
      </c>
      <c r="B1934" s="2" t="s">
        <v>14</v>
      </c>
      <c r="C1934" s="2" t="s">
        <v>11</v>
      </c>
      <c r="D1934" s="2" t="s">
        <v>11</v>
      </c>
      <c r="E1934" s="2">
        <v>0</v>
      </c>
      <c r="F1934" s="2">
        <v>2</v>
      </c>
      <c r="G1934" s="2" t="s">
        <v>10</v>
      </c>
      <c r="H1934" s="2" t="s">
        <v>12</v>
      </c>
      <c r="I1934" s="2" t="s">
        <v>15</v>
      </c>
      <c r="J1934" s="2" t="s">
        <v>14</v>
      </c>
      <c r="K1934" s="2" t="s">
        <v>14</v>
      </c>
      <c r="L1934" s="2" t="s">
        <v>14</v>
      </c>
      <c r="M1934" s="2" t="s">
        <v>14</v>
      </c>
      <c r="N1934" s="2" t="s">
        <v>14</v>
      </c>
      <c r="O1934" s="2">
        <v>0</v>
      </c>
    </row>
    <row r="1935" spans="1:15" ht="15" customHeight="1" x14ac:dyDescent="0.25">
      <c r="A1935" s="3">
        <v>10</v>
      </c>
      <c r="B1935" s="3" t="s">
        <v>10</v>
      </c>
      <c r="C1935" s="3" t="s">
        <v>19</v>
      </c>
      <c r="D1935" s="3" t="s">
        <v>19</v>
      </c>
      <c r="E1935" s="3">
        <v>0</v>
      </c>
      <c r="F1935" s="3">
        <v>0</v>
      </c>
      <c r="G1935" s="3" t="s">
        <v>10</v>
      </c>
      <c r="H1935" s="3" t="s">
        <v>12</v>
      </c>
      <c r="I1935" s="3">
        <v>1</v>
      </c>
      <c r="J1935" s="3" t="s">
        <v>14</v>
      </c>
      <c r="K1935" s="3" t="s">
        <v>13</v>
      </c>
      <c r="L1935" s="3" t="s">
        <v>13</v>
      </c>
      <c r="M1935" s="3" t="s">
        <v>14</v>
      </c>
      <c r="N1935" s="3" t="s">
        <v>14</v>
      </c>
      <c r="O1935" s="3">
        <v>1</v>
      </c>
    </row>
    <row r="1936" spans="1:15" ht="15" customHeight="1" x14ac:dyDescent="0.25">
      <c r="A1936" s="2">
        <v>10</v>
      </c>
      <c r="B1936" s="2" t="s">
        <v>10</v>
      </c>
      <c r="C1936" s="2" t="s">
        <v>19</v>
      </c>
      <c r="D1936" s="2" t="s">
        <v>19</v>
      </c>
      <c r="E1936" s="2">
        <v>0</v>
      </c>
      <c r="F1936" s="2">
        <v>0</v>
      </c>
      <c r="G1936" s="2" t="s">
        <v>10</v>
      </c>
      <c r="H1936" s="2" t="s">
        <v>12</v>
      </c>
      <c r="I1936" s="2">
        <v>2</v>
      </c>
      <c r="J1936" s="2" t="s">
        <v>14</v>
      </c>
      <c r="K1936" s="2" t="s">
        <v>14</v>
      </c>
      <c r="L1936" s="2" t="s">
        <v>14</v>
      </c>
      <c r="M1936" s="2" t="s">
        <v>14</v>
      </c>
      <c r="N1936" s="2" t="s">
        <v>14</v>
      </c>
      <c r="O1936" s="2">
        <v>1</v>
      </c>
    </row>
    <row r="1937" spans="1:15" ht="15" customHeight="1" x14ac:dyDescent="0.25">
      <c r="A1937" s="3">
        <v>10</v>
      </c>
      <c r="B1937" s="3" t="s">
        <v>10</v>
      </c>
      <c r="C1937" s="3" t="s">
        <v>19</v>
      </c>
      <c r="D1937" s="3" t="s">
        <v>19</v>
      </c>
      <c r="E1937" s="3">
        <v>0</v>
      </c>
      <c r="F1937" s="3">
        <v>0</v>
      </c>
      <c r="G1937" s="3" t="s">
        <v>10</v>
      </c>
      <c r="H1937" s="3" t="s">
        <v>12</v>
      </c>
      <c r="I1937" s="3">
        <v>2</v>
      </c>
      <c r="J1937" s="3" t="s">
        <v>14</v>
      </c>
      <c r="K1937" s="3" t="s">
        <v>14</v>
      </c>
      <c r="L1937" s="3" t="s">
        <v>14</v>
      </c>
      <c r="M1937" s="3" t="s">
        <v>14</v>
      </c>
      <c r="N1937" s="3" t="s">
        <v>14</v>
      </c>
      <c r="O1937" s="3">
        <v>1</v>
      </c>
    </row>
    <row r="1938" spans="1:15" ht="15" customHeight="1" x14ac:dyDescent="0.25">
      <c r="A1938" s="2">
        <v>0</v>
      </c>
      <c r="B1938" s="2" t="s">
        <v>18</v>
      </c>
      <c r="C1938" s="2" t="s">
        <v>19</v>
      </c>
      <c r="D1938" s="2" t="s">
        <v>19</v>
      </c>
      <c r="E1938" s="2">
        <v>0</v>
      </c>
      <c r="F1938" s="2">
        <v>0</v>
      </c>
      <c r="G1938" s="2" t="s">
        <v>10</v>
      </c>
      <c r="H1938" s="2" t="s">
        <v>12</v>
      </c>
      <c r="I1938" s="2">
        <v>2</v>
      </c>
      <c r="J1938" s="2" t="s">
        <v>14</v>
      </c>
      <c r="K1938" s="2" t="s">
        <v>14</v>
      </c>
      <c r="L1938" s="2" t="s">
        <v>14</v>
      </c>
      <c r="M1938" s="2" t="s">
        <v>14</v>
      </c>
      <c r="N1938" s="2" t="s">
        <v>14</v>
      </c>
      <c r="O1938" s="2">
        <v>1</v>
      </c>
    </row>
    <row r="1939" spans="1:15" ht="15" customHeight="1" x14ac:dyDescent="0.25">
      <c r="A1939" s="3">
        <v>20</v>
      </c>
      <c r="B1939" s="3" t="s">
        <v>10</v>
      </c>
      <c r="C1939" s="3" t="s">
        <v>11</v>
      </c>
      <c r="D1939" s="3" t="s">
        <v>19</v>
      </c>
      <c r="E1939" s="3">
        <v>0</v>
      </c>
      <c r="F1939" s="3">
        <v>1</v>
      </c>
      <c r="G1939" s="3" t="s">
        <v>10</v>
      </c>
      <c r="H1939" s="3" t="s">
        <v>12</v>
      </c>
      <c r="I1939" s="3">
        <v>2</v>
      </c>
      <c r="J1939" s="3" t="s">
        <v>14</v>
      </c>
      <c r="K1939" s="3" t="s">
        <v>14</v>
      </c>
      <c r="L1939" s="3" t="s">
        <v>14</v>
      </c>
      <c r="M1939" s="3" t="s">
        <v>13</v>
      </c>
      <c r="N1939" s="3" t="s">
        <v>14</v>
      </c>
      <c r="O1939" s="3">
        <v>1</v>
      </c>
    </row>
    <row r="1940" spans="1:15" ht="15" customHeight="1" x14ac:dyDescent="0.25">
      <c r="A1940" s="2">
        <v>0</v>
      </c>
      <c r="B1940" s="2" t="s">
        <v>18</v>
      </c>
      <c r="C1940" s="2" t="s">
        <v>11</v>
      </c>
      <c r="D1940" s="2" t="s">
        <v>11</v>
      </c>
      <c r="E1940" s="2">
        <v>1</v>
      </c>
      <c r="F1940" s="2">
        <v>0</v>
      </c>
      <c r="G1940" s="2" t="s">
        <v>17</v>
      </c>
      <c r="H1940" s="2" t="s">
        <v>106</v>
      </c>
      <c r="I1940" s="2">
        <v>1</v>
      </c>
      <c r="J1940" s="2" t="s">
        <v>14</v>
      </c>
      <c r="K1940" s="2" t="s">
        <v>13</v>
      </c>
      <c r="L1940" s="2" t="s">
        <v>13</v>
      </c>
      <c r="M1940" s="2" t="s">
        <v>14</v>
      </c>
      <c r="N1940" s="2" t="s">
        <v>14</v>
      </c>
      <c r="O1940" s="2">
        <v>0</v>
      </c>
    </row>
    <row r="1941" spans="1:15" ht="15" customHeight="1" x14ac:dyDescent="0.25">
      <c r="A1941" s="3">
        <v>10</v>
      </c>
      <c r="B1941" s="3" t="s">
        <v>10</v>
      </c>
      <c r="C1941" s="3" t="s">
        <v>19</v>
      </c>
      <c r="D1941" s="3" t="s">
        <v>20</v>
      </c>
      <c r="E1941" s="3">
        <v>1</v>
      </c>
      <c r="F1941" s="3">
        <v>1</v>
      </c>
      <c r="G1941" s="3" t="s">
        <v>10</v>
      </c>
      <c r="H1941" s="3" t="s">
        <v>12</v>
      </c>
      <c r="I1941" s="3">
        <v>1</v>
      </c>
      <c r="J1941" s="3" t="s">
        <v>14</v>
      </c>
      <c r="K1941" s="3" t="s">
        <v>14</v>
      </c>
      <c r="L1941" s="3" t="s">
        <v>14</v>
      </c>
      <c r="M1941" s="3" t="s">
        <v>14</v>
      </c>
      <c r="N1941" s="3" t="s">
        <v>14</v>
      </c>
      <c r="O1941" s="3">
        <v>0</v>
      </c>
    </row>
    <row r="1942" spans="1:15" ht="15" customHeight="1" x14ac:dyDescent="0.25">
      <c r="A1942" s="2">
        <v>5</v>
      </c>
      <c r="B1942" s="2" t="s">
        <v>14</v>
      </c>
      <c r="C1942" s="2" t="s">
        <v>20</v>
      </c>
      <c r="D1942" s="2" t="s">
        <v>20</v>
      </c>
      <c r="E1942" s="2">
        <v>0</v>
      </c>
      <c r="F1942" s="2">
        <v>0</v>
      </c>
      <c r="G1942" s="2" t="s">
        <v>10</v>
      </c>
      <c r="H1942" s="2" t="s">
        <v>16</v>
      </c>
      <c r="I1942" s="2">
        <v>1</v>
      </c>
      <c r="J1942" s="2" t="s">
        <v>14</v>
      </c>
      <c r="K1942" s="2" t="s">
        <v>14</v>
      </c>
      <c r="L1942" s="2" t="s">
        <v>14</v>
      </c>
      <c r="M1942" s="2" t="s">
        <v>14</v>
      </c>
      <c r="N1942" s="2" t="s">
        <v>14</v>
      </c>
      <c r="O1942" s="2">
        <v>1</v>
      </c>
    </row>
    <row r="1943" spans="1:15" ht="15" customHeight="1" x14ac:dyDescent="0.25">
      <c r="A1943" s="3">
        <v>10</v>
      </c>
      <c r="B1943" s="3" t="s">
        <v>10</v>
      </c>
      <c r="C1943" s="3" t="s">
        <v>19</v>
      </c>
      <c r="D1943" s="3" t="s">
        <v>20</v>
      </c>
      <c r="E1943" s="3">
        <v>0</v>
      </c>
      <c r="F1943" s="3">
        <v>0</v>
      </c>
      <c r="G1943" s="3" t="s">
        <v>10</v>
      </c>
      <c r="H1943" s="3" t="s">
        <v>12</v>
      </c>
      <c r="I1943" s="3">
        <v>1</v>
      </c>
      <c r="J1943" s="3" t="s">
        <v>14</v>
      </c>
      <c r="K1943" s="3" t="s">
        <v>14</v>
      </c>
      <c r="L1943" s="3" t="s">
        <v>14</v>
      </c>
      <c r="M1943" s="3" t="s">
        <v>14</v>
      </c>
      <c r="N1943" s="3" t="s">
        <v>14</v>
      </c>
      <c r="O1943" s="3">
        <v>1</v>
      </c>
    </row>
    <row r="1944" spans="1:15" ht="15" customHeight="1" x14ac:dyDescent="0.25">
      <c r="A1944" s="2">
        <v>30</v>
      </c>
      <c r="B1944" s="2" t="s">
        <v>10</v>
      </c>
      <c r="C1944" s="2" t="s">
        <v>11</v>
      </c>
      <c r="D1944" s="2" t="s">
        <v>19</v>
      </c>
      <c r="E1944" s="2">
        <v>0</v>
      </c>
      <c r="F1944" s="2">
        <v>1</v>
      </c>
      <c r="G1944" s="2" t="s">
        <v>10</v>
      </c>
      <c r="H1944" s="2" t="s">
        <v>12</v>
      </c>
      <c r="I1944" s="2" t="s">
        <v>15</v>
      </c>
      <c r="J1944" s="2" t="s">
        <v>14</v>
      </c>
      <c r="K1944" s="2" t="s">
        <v>14</v>
      </c>
      <c r="L1944" s="2" t="s">
        <v>14</v>
      </c>
      <c r="M1944" s="2" t="s">
        <v>13</v>
      </c>
      <c r="N1944" s="2" t="s">
        <v>14</v>
      </c>
      <c r="O1944" s="2">
        <v>0</v>
      </c>
    </row>
    <row r="1945" spans="1:15" ht="15" customHeight="1" x14ac:dyDescent="0.25">
      <c r="A1945" s="3">
        <v>5</v>
      </c>
      <c r="B1945" s="3" t="s">
        <v>18</v>
      </c>
      <c r="C1945" s="3" t="s">
        <v>20</v>
      </c>
      <c r="D1945" s="3" t="s">
        <v>20</v>
      </c>
      <c r="E1945" s="3">
        <v>0</v>
      </c>
      <c r="F1945" s="3">
        <v>0</v>
      </c>
      <c r="G1945" s="3" t="s">
        <v>10</v>
      </c>
      <c r="H1945" s="3" t="s">
        <v>16</v>
      </c>
      <c r="I1945" s="3">
        <v>2</v>
      </c>
      <c r="J1945" s="3" t="s">
        <v>14</v>
      </c>
      <c r="K1945" s="3" t="s">
        <v>13</v>
      </c>
      <c r="L1945" s="3" t="s">
        <v>13</v>
      </c>
      <c r="M1945" s="3" t="s">
        <v>14</v>
      </c>
      <c r="N1945" s="3" t="s">
        <v>14</v>
      </c>
      <c r="O1945" s="3">
        <v>1</v>
      </c>
    </row>
    <row r="1946" spans="1:15" ht="15" customHeight="1" x14ac:dyDescent="0.25">
      <c r="A1946" s="2">
        <v>5</v>
      </c>
      <c r="B1946" s="2" t="s">
        <v>10</v>
      </c>
      <c r="C1946" s="2" t="s">
        <v>19</v>
      </c>
      <c r="D1946" s="2" t="s">
        <v>19</v>
      </c>
      <c r="E1946" s="2">
        <v>0</v>
      </c>
      <c r="F1946" s="2">
        <v>0</v>
      </c>
      <c r="G1946" s="2" t="s">
        <v>10</v>
      </c>
      <c r="H1946" s="2" t="s">
        <v>12</v>
      </c>
      <c r="I1946" s="2" t="s">
        <v>15</v>
      </c>
      <c r="J1946" s="2" t="s">
        <v>14</v>
      </c>
      <c r="K1946" s="2" t="s">
        <v>14</v>
      </c>
      <c r="L1946" s="2" t="s">
        <v>14</v>
      </c>
      <c r="M1946" s="2" t="s">
        <v>14</v>
      </c>
      <c r="N1946" s="2" t="s">
        <v>14</v>
      </c>
      <c r="O1946" s="2">
        <v>1</v>
      </c>
    </row>
    <row r="1947" spans="1:15" ht="15" customHeight="1" x14ac:dyDescent="0.25">
      <c r="A1947" s="3">
        <v>5</v>
      </c>
      <c r="B1947" s="3" t="s">
        <v>18</v>
      </c>
      <c r="C1947" s="3" t="s">
        <v>19</v>
      </c>
      <c r="D1947" s="3" t="s">
        <v>19</v>
      </c>
      <c r="E1947" s="3">
        <v>0</v>
      </c>
      <c r="F1947" s="3">
        <v>0</v>
      </c>
      <c r="G1947" s="3" t="s">
        <v>10</v>
      </c>
      <c r="H1947" s="3" t="s">
        <v>12</v>
      </c>
      <c r="I1947" s="3" t="s">
        <v>15</v>
      </c>
      <c r="J1947" s="3" t="s">
        <v>14</v>
      </c>
      <c r="K1947" s="3" t="s">
        <v>14</v>
      </c>
      <c r="L1947" s="3" t="s">
        <v>14</v>
      </c>
      <c r="M1947" s="3" t="s">
        <v>14</v>
      </c>
      <c r="N1947" s="3" t="s">
        <v>14</v>
      </c>
      <c r="O1947" s="3">
        <v>1</v>
      </c>
    </row>
    <row r="1948" spans="1:15" ht="15" customHeight="1" x14ac:dyDescent="0.25">
      <c r="A1948" s="2">
        <v>20</v>
      </c>
      <c r="B1948" s="2" t="s">
        <v>18</v>
      </c>
      <c r="C1948" s="2" t="s">
        <v>19</v>
      </c>
      <c r="D1948" s="2" t="s">
        <v>19</v>
      </c>
      <c r="E1948" s="2">
        <v>0</v>
      </c>
      <c r="F1948" s="2">
        <v>0</v>
      </c>
      <c r="G1948" s="2" t="s">
        <v>10</v>
      </c>
      <c r="H1948" s="2" t="s">
        <v>12</v>
      </c>
      <c r="I1948" s="2" t="s">
        <v>15</v>
      </c>
      <c r="J1948" s="2" t="s">
        <v>14</v>
      </c>
      <c r="K1948" s="2" t="s">
        <v>14</v>
      </c>
      <c r="L1948" s="2" t="s">
        <v>14</v>
      </c>
      <c r="M1948" s="2" t="s">
        <v>14</v>
      </c>
      <c r="N1948" s="2" t="s">
        <v>14</v>
      </c>
      <c r="O1948" s="2">
        <v>1</v>
      </c>
    </row>
    <row r="1949" spans="1:15" ht="15" customHeight="1" x14ac:dyDescent="0.25">
      <c r="A1949" s="3">
        <v>10</v>
      </c>
      <c r="B1949" s="3" t="s">
        <v>14</v>
      </c>
      <c r="C1949" s="3" t="s">
        <v>19</v>
      </c>
      <c r="D1949" s="3" t="s">
        <v>19</v>
      </c>
      <c r="E1949" s="3">
        <v>0</v>
      </c>
      <c r="F1949" s="3">
        <v>0</v>
      </c>
      <c r="G1949" s="3" t="s">
        <v>10</v>
      </c>
      <c r="H1949" s="3" t="s">
        <v>12</v>
      </c>
      <c r="I1949" s="3">
        <v>2</v>
      </c>
      <c r="J1949" s="3" t="s">
        <v>14</v>
      </c>
      <c r="K1949" s="3" t="s">
        <v>14</v>
      </c>
      <c r="L1949" s="3" t="s">
        <v>14</v>
      </c>
      <c r="M1949" s="3" t="s">
        <v>14</v>
      </c>
      <c r="N1949" s="3" t="s">
        <v>14</v>
      </c>
      <c r="O1949" s="3">
        <v>1</v>
      </c>
    </row>
    <row r="1950" spans="1:15" ht="15" customHeight="1" x14ac:dyDescent="0.25">
      <c r="A1950" s="2">
        <v>10</v>
      </c>
      <c r="B1950" s="2" t="s">
        <v>14</v>
      </c>
      <c r="C1950" s="2" t="s">
        <v>19</v>
      </c>
      <c r="D1950" s="2" t="s">
        <v>19</v>
      </c>
      <c r="E1950" s="2">
        <v>0</v>
      </c>
      <c r="F1950" s="2">
        <v>0</v>
      </c>
      <c r="G1950" s="2" t="s">
        <v>10</v>
      </c>
      <c r="H1950" s="2" t="s">
        <v>12</v>
      </c>
      <c r="I1950" s="2">
        <v>2</v>
      </c>
      <c r="J1950" s="2" t="s">
        <v>14</v>
      </c>
      <c r="K1950" s="2" t="s">
        <v>14</v>
      </c>
      <c r="L1950" s="2" t="s">
        <v>14</v>
      </c>
      <c r="M1950" s="2" t="s">
        <v>14</v>
      </c>
      <c r="N1950" s="2" t="s">
        <v>14</v>
      </c>
      <c r="O1950" s="2">
        <v>1</v>
      </c>
    </row>
    <row r="1951" spans="1:15" ht="15" customHeight="1" x14ac:dyDescent="0.25">
      <c r="A1951" s="3">
        <v>20</v>
      </c>
      <c r="B1951" s="3" t="s">
        <v>18</v>
      </c>
      <c r="C1951" s="3" t="s">
        <v>20</v>
      </c>
      <c r="D1951" s="3" t="s">
        <v>19</v>
      </c>
      <c r="E1951" s="3">
        <v>0</v>
      </c>
      <c r="F1951" s="3">
        <v>0</v>
      </c>
      <c r="G1951" s="3" t="s">
        <v>10</v>
      </c>
      <c r="H1951" s="3" t="s">
        <v>12</v>
      </c>
      <c r="I1951" s="3">
        <v>2</v>
      </c>
      <c r="J1951" s="3" t="s">
        <v>14</v>
      </c>
      <c r="K1951" s="3" t="s">
        <v>14</v>
      </c>
      <c r="L1951" s="3" t="s">
        <v>14</v>
      </c>
      <c r="M1951" s="3" t="s">
        <v>14</v>
      </c>
      <c r="N1951" s="3" t="s">
        <v>14</v>
      </c>
      <c r="O1951" s="3">
        <v>1</v>
      </c>
    </row>
    <row r="1952" spans="1:15" ht="15" customHeight="1" x14ac:dyDescent="0.25">
      <c r="A1952" s="2">
        <v>10</v>
      </c>
      <c r="B1952" s="2" t="s">
        <v>14</v>
      </c>
      <c r="C1952" s="2" t="s">
        <v>19</v>
      </c>
      <c r="D1952" s="2" t="s">
        <v>19</v>
      </c>
      <c r="E1952" s="2">
        <v>0</v>
      </c>
      <c r="F1952" s="2">
        <v>1</v>
      </c>
      <c r="G1952" s="2" t="s">
        <v>10</v>
      </c>
      <c r="H1952" s="2" t="s">
        <v>12</v>
      </c>
      <c r="I1952" s="2">
        <v>1</v>
      </c>
      <c r="J1952" s="2" t="s">
        <v>14</v>
      </c>
      <c r="K1952" s="2" t="s">
        <v>14</v>
      </c>
      <c r="L1952" s="2" t="s">
        <v>14</v>
      </c>
      <c r="M1952" s="2" t="s">
        <v>14</v>
      </c>
      <c r="N1952" s="2" t="s">
        <v>14</v>
      </c>
      <c r="O1952" s="2">
        <v>1</v>
      </c>
    </row>
    <row r="1953" spans="1:15" ht="15" customHeight="1" x14ac:dyDescent="0.25">
      <c r="A1953" s="3">
        <v>10</v>
      </c>
      <c r="B1953" s="3" t="s">
        <v>18</v>
      </c>
      <c r="C1953" s="3" t="s">
        <v>19</v>
      </c>
      <c r="D1953" s="3" t="s">
        <v>19</v>
      </c>
      <c r="E1953" s="3">
        <v>0</v>
      </c>
      <c r="F1953" s="3">
        <v>0</v>
      </c>
      <c r="G1953" s="3" t="s">
        <v>10</v>
      </c>
      <c r="H1953" s="3" t="s">
        <v>12</v>
      </c>
      <c r="I1953" s="3" t="s">
        <v>15</v>
      </c>
      <c r="J1953" s="3" t="s">
        <v>14</v>
      </c>
      <c r="K1953" s="3" t="s">
        <v>14</v>
      </c>
      <c r="L1953" s="3" t="s">
        <v>14</v>
      </c>
      <c r="M1953" s="3" t="s">
        <v>14</v>
      </c>
      <c r="N1953" s="3" t="s">
        <v>14</v>
      </c>
      <c r="O1953" s="3">
        <v>1</v>
      </c>
    </row>
    <row r="1954" spans="1:15" ht="15" customHeight="1" x14ac:dyDescent="0.25">
      <c r="A1954" s="2">
        <v>5</v>
      </c>
      <c r="B1954" s="2" t="s">
        <v>10</v>
      </c>
      <c r="C1954" s="2" t="s">
        <v>19</v>
      </c>
      <c r="D1954" s="2" t="s">
        <v>19</v>
      </c>
      <c r="E1954" s="2">
        <v>0</v>
      </c>
      <c r="F1954" s="2">
        <v>0</v>
      </c>
      <c r="G1954" s="2" t="s">
        <v>10</v>
      </c>
      <c r="H1954" s="2" t="s">
        <v>12</v>
      </c>
      <c r="I1954" s="2">
        <v>1</v>
      </c>
      <c r="J1954" s="2" t="s">
        <v>14</v>
      </c>
      <c r="K1954" s="2" t="s">
        <v>14</v>
      </c>
      <c r="L1954" s="2" t="s">
        <v>14</v>
      </c>
      <c r="M1954" s="2" t="s">
        <v>14</v>
      </c>
      <c r="N1954" s="2" t="s">
        <v>14</v>
      </c>
      <c r="O1954" s="2">
        <v>1</v>
      </c>
    </row>
    <row r="1955" spans="1:15" ht="15" customHeight="1" x14ac:dyDescent="0.25">
      <c r="A1955" s="3">
        <v>10</v>
      </c>
      <c r="B1955" s="3" t="s">
        <v>10</v>
      </c>
      <c r="C1955" s="3" t="s">
        <v>19</v>
      </c>
      <c r="D1955" s="3" t="s">
        <v>19</v>
      </c>
      <c r="E1955" s="3">
        <v>0</v>
      </c>
      <c r="F1955" s="3">
        <v>0</v>
      </c>
      <c r="G1955" s="3" t="s">
        <v>10</v>
      </c>
      <c r="H1955" s="3" t="s">
        <v>12</v>
      </c>
      <c r="I1955" s="3">
        <v>2</v>
      </c>
      <c r="J1955" s="3" t="s">
        <v>14</v>
      </c>
      <c r="K1955" s="3" t="s">
        <v>14</v>
      </c>
      <c r="L1955" s="3" t="s">
        <v>14</v>
      </c>
      <c r="M1955" s="3" t="s">
        <v>14</v>
      </c>
      <c r="N1955" s="3" t="s">
        <v>14</v>
      </c>
      <c r="O1955" s="3">
        <v>1</v>
      </c>
    </row>
    <row r="1956" spans="1:15" ht="15" customHeight="1" x14ac:dyDescent="0.25">
      <c r="A1956" s="2">
        <v>20</v>
      </c>
      <c r="B1956" s="2" t="s">
        <v>18</v>
      </c>
      <c r="C1956" s="2" t="s">
        <v>19</v>
      </c>
      <c r="D1956" s="2" t="s">
        <v>11</v>
      </c>
      <c r="E1956" s="2">
        <v>0</v>
      </c>
      <c r="F1956" s="2">
        <v>1</v>
      </c>
      <c r="G1956" s="2" t="s">
        <v>10</v>
      </c>
      <c r="H1956" s="2" t="s">
        <v>12</v>
      </c>
      <c r="I1956" s="2" t="s">
        <v>15</v>
      </c>
      <c r="J1956" s="2" t="s">
        <v>14</v>
      </c>
      <c r="K1956" s="2" t="s">
        <v>14</v>
      </c>
      <c r="L1956" s="2" t="s">
        <v>14</v>
      </c>
      <c r="M1956" s="2" t="s">
        <v>14</v>
      </c>
      <c r="N1956" s="2" t="s">
        <v>14</v>
      </c>
      <c r="O1956" s="2">
        <v>1</v>
      </c>
    </row>
    <row r="1957" spans="1:15" ht="15" customHeight="1" x14ac:dyDescent="0.25">
      <c r="A1957" s="3">
        <v>0</v>
      </c>
      <c r="B1957" s="3" t="s">
        <v>10</v>
      </c>
      <c r="C1957" s="3" t="s">
        <v>19</v>
      </c>
      <c r="D1957" s="3" t="s">
        <v>19</v>
      </c>
      <c r="E1957" s="3">
        <v>0</v>
      </c>
      <c r="F1957" s="3">
        <v>0</v>
      </c>
      <c r="G1957" s="3" t="s">
        <v>10</v>
      </c>
      <c r="H1957" s="3" t="s">
        <v>12</v>
      </c>
      <c r="I1957" s="3">
        <v>1</v>
      </c>
      <c r="J1957" s="3" t="s">
        <v>14</v>
      </c>
      <c r="K1957" s="3" t="s">
        <v>14</v>
      </c>
      <c r="L1957" s="3" t="s">
        <v>14</v>
      </c>
      <c r="M1957" s="3" t="s">
        <v>14</v>
      </c>
      <c r="N1957" s="3" t="s">
        <v>14</v>
      </c>
      <c r="O1957" s="3">
        <v>1</v>
      </c>
    </row>
    <row r="1958" spans="1:15" ht="15" customHeight="1" x14ac:dyDescent="0.25">
      <c r="A1958" s="2">
        <v>10</v>
      </c>
      <c r="B1958" s="2" t="s">
        <v>10</v>
      </c>
      <c r="C1958" s="2" t="s">
        <v>11</v>
      </c>
      <c r="D1958" s="2" t="s">
        <v>19</v>
      </c>
      <c r="E1958" s="2">
        <v>0</v>
      </c>
      <c r="F1958" s="2">
        <v>0</v>
      </c>
      <c r="G1958" s="2" t="s">
        <v>10</v>
      </c>
      <c r="H1958" s="2" t="s">
        <v>12</v>
      </c>
      <c r="I1958" s="2" t="s">
        <v>15</v>
      </c>
      <c r="J1958" s="2" t="s">
        <v>14</v>
      </c>
      <c r="K1958" s="2" t="s">
        <v>14</v>
      </c>
      <c r="L1958" s="2" t="s">
        <v>14</v>
      </c>
      <c r="M1958" s="2" t="s">
        <v>14</v>
      </c>
      <c r="N1958" s="2" t="s">
        <v>14</v>
      </c>
      <c r="O1958" s="2">
        <v>1</v>
      </c>
    </row>
    <row r="1959" spans="1:15" ht="15" customHeight="1" x14ac:dyDescent="0.25">
      <c r="A1959" s="3">
        <v>5</v>
      </c>
      <c r="B1959" s="3" t="s">
        <v>14</v>
      </c>
      <c r="C1959" s="3" t="s">
        <v>11</v>
      </c>
      <c r="D1959" s="3" t="s">
        <v>11</v>
      </c>
      <c r="E1959" s="3">
        <v>0</v>
      </c>
      <c r="F1959" s="3">
        <v>0</v>
      </c>
      <c r="G1959" s="3" t="s">
        <v>10</v>
      </c>
      <c r="H1959" s="3" t="s">
        <v>12</v>
      </c>
      <c r="I1959" s="3">
        <v>2</v>
      </c>
      <c r="J1959" s="3" t="s">
        <v>14</v>
      </c>
      <c r="K1959" s="3" t="s">
        <v>14</v>
      </c>
      <c r="L1959" s="3" t="s">
        <v>14</v>
      </c>
      <c r="M1959" s="3" t="s">
        <v>14</v>
      </c>
      <c r="N1959" s="3" t="s">
        <v>14</v>
      </c>
      <c r="O1959" s="3">
        <v>1</v>
      </c>
    </row>
    <row r="1960" spans="1:15" ht="15" customHeight="1" x14ac:dyDescent="0.25">
      <c r="A1960" s="2">
        <v>0</v>
      </c>
      <c r="B1960" s="2" t="s">
        <v>14</v>
      </c>
      <c r="C1960" s="2" t="s">
        <v>11</v>
      </c>
      <c r="D1960" s="2" t="s">
        <v>11</v>
      </c>
      <c r="E1960" s="2">
        <v>0</v>
      </c>
      <c r="F1960" s="2">
        <v>0</v>
      </c>
      <c r="G1960" s="2" t="s">
        <v>10</v>
      </c>
      <c r="H1960" s="2" t="s">
        <v>12</v>
      </c>
      <c r="I1960" s="2">
        <v>1</v>
      </c>
      <c r="J1960" s="2" t="s">
        <v>14</v>
      </c>
      <c r="K1960" s="2" t="s">
        <v>14</v>
      </c>
      <c r="L1960" s="2" t="s">
        <v>14</v>
      </c>
      <c r="M1960" s="2" t="s">
        <v>14</v>
      </c>
      <c r="N1960" s="2" t="s">
        <v>14</v>
      </c>
      <c r="O1960" s="2">
        <v>1</v>
      </c>
    </row>
    <row r="1961" spans="1:15" ht="15" customHeight="1" x14ac:dyDescent="0.25">
      <c r="A1961" s="3">
        <v>0</v>
      </c>
      <c r="B1961" s="3" t="s">
        <v>18</v>
      </c>
      <c r="C1961" s="3" t="s">
        <v>11</v>
      </c>
      <c r="D1961" s="3" t="s">
        <v>11</v>
      </c>
      <c r="E1961" s="3">
        <v>0</v>
      </c>
      <c r="F1961" s="3">
        <v>0</v>
      </c>
      <c r="G1961" s="3" t="s">
        <v>10</v>
      </c>
      <c r="H1961" s="3" t="s">
        <v>12</v>
      </c>
      <c r="I1961" s="3">
        <v>2</v>
      </c>
      <c r="J1961" s="3" t="s">
        <v>14</v>
      </c>
      <c r="K1961" s="3" t="s">
        <v>14</v>
      </c>
      <c r="L1961" s="3" t="s">
        <v>14</v>
      </c>
      <c r="M1961" s="3" t="s">
        <v>14</v>
      </c>
      <c r="N1961" s="3" t="s">
        <v>14</v>
      </c>
      <c r="O1961" s="3">
        <v>1</v>
      </c>
    </row>
    <row r="1962" spans="1:15" ht="15" customHeight="1" x14ac:dyDescent="0.25">
      <c r="A1962" s="2">
        <v>0</v>
      </c>
      <c r="B1962" s="2" t="s">
        <v>18</v>
      </c>
      <c r="C1962" s="2" t="s">
        <v>19</v>
      </c>
      <c r="D1962" s="2" t="s">
        <v>11</v>
      </c>
      <c r="E1962" s="2">
        <v>0</v>
      </c>
      <c r="F1962" s="2">
        <v>0</v>
      </c>
      <c r="G1962" s="2" t="s">
        <v>10</v>
      </c>
      <c r="H1962" s="2" t="s">
        <v>12</v>
      </c>
      <c r="I1962" s="2">
        <v>2</v>
      </c>
      <c r="J1962" s="2" t="s">
        <v>14</v>
      </c>
      <c r="K1962" s="2" t="s">
        <v>14</v>
      </c>
      <c r="L1962" s="2" t="s">
        <v>14</v>
      </c>
      <c r="M1962" s="2" t="s">
        <v>14</v>
      </c>
      <c r="N1962" s="2" t="s">
        <v>14</v>
      </c>
      <c r="O1962" s="2">
        <v>1</v>
      </c>
    </row>
    <row r="1963" spans="1:15" ht="15" customHeight="1" x14ac:dyDescent="0.25">
      <c r="A1963" s="3">
        <v>10</v>
      </c>
      <c r="B1963" s="3" t="s">
        <v>10</v>
      </c>
      <c r="C1963" s="3" t="s">
        <v>11</v>
      </c>
      <c r="D1963" s="3" t="s">
        <v>19</v>
      </c>
      <c r="E1963" s="3">
        <v>0</v>
      </c>
      <c r="F1963" s="3">
        <v>1</v>
      </c>
      <c r="G1963" s="3" t="s">
        <v>10</v>
      </c>
      <c r="H1963" s="3" t="s">
        <v>16</v>
      </c>
      <c r="I1963" s="3">
        <v>2</v>
      </c>
      <c r="J1963" s="3" t="s">
        <v>14</v>
      </c>
      <c r="K1963" s="3" t="s">
        <v>14</v>
      </c>
      <c r="L1963" s="3" t="s">
        <v>14</v>
      </c>
      <c r="M1963" s="3" t="s">
        <v>14</v>
      </c>
      <c r="N1963" s="3" t="s">
        <v>14</v>
      </c>
      <c r="O1963" s="3">
        <v>1</v>
      </c>
    </row>
    <row r="1964" spans="1:15" ht="15" customHeight="1" x14ac:dyDescent="0.25">
      <c r="A1964" s="2">
        <v>10</v>
      </c>
      <c r="B1964" s="2" t="s">
        <v>18</v>
      </c>
      <c r="C1964" s="2" t="s">
        <v>19</v>
      </c>
      <c r="D1964" s="2" t="s">
        <v>19</v>
      </c>
      <c r="E1964" s="2">
        <v>0</v>
      </c>
      <c r="F1964" s="2">
        <v>0</v>
      </c>
      <c r="G1964" s="2" t="s">
        <v>10</v>
      </c>
      <c r="H1964" s="2" t="s">
        <v>12</v>
      </c>
      <c r="I1964" s="2" t="s">
        <v>15</v>
      </c>
      <c r="J1964" s="2" t="s">
        <v>14</v>
      </c>
      <c r="K1964" s="2" t="s">
        <v>14</v>
      </c>
      <c r="L1964" s="2" t="s">
        <v>14</v>
      </c>
      <c r="M1964" s="2" t="s">
        <v>14</v>
      </c>
      <c r="N1964" s="2" t="s">
        <v>14</v>
      </c>
      <c r="O1964" s="2">
        <v>1</v>
      </c>
    </row>
    <row r="1965" spans="1:15" ht="15" customHeight="1" x14ac:dyDescent="0.25">
      <c r="A1965" s="3">
        <v>10</v>
      </c>
      <c r="B1965" s="3" t="s">
        <v>14</v>
      </c>
      <c r="C1965" s="3" t="s">
        <v>19</v>
      </c>
      <c r="D1965" s="3" t="s">
        <v>19</v>
      </c>
      <c r="E1965" s="3">
        <v>0</v>
      </c>
      <c r="F1965" s="3">
        <v>0</v>
      </c>
      <c r="G1965" s="3" t="s">
        <v>10</v>
      </c>
      <c r="H1965" s="3" t="s">
        <v>16</v>
      </c>
      <c r="I1965" s="3">
        <v>2</v>
      </c>
      <c r="J1965" s="3" t="s">
        <v>14</v>
      </c>
      <c r="K1965" s="3" t="s">
        <v>14</v>
      </c>
      <c r="L1965" s="3" t="s">
        <v>14</v>
      </c>
      <c r="M1965" s="3" t="s">
        <v>14</v>
      </c>
      <c r="N1965" s="3" t="s">
        <v>14</v>
      </c>
      <c r="O1965" s="3">
        <v>1</v>
      </c>
    </row>
    <row r="1966" spans="1:15" ht="15" customHeight="1" x14ac:dyDescent="0.25">
      <c r="A1966" s="2">
        <v>10</v>
      </c>
      <c r="B1966" s="2" t="s">
        <v>10</v>
      </c>
      <c r="C1966" s="2" t="s">
        <v>11</v>
      </c>
      <c r="D1966" s="2" t="s">
        <v>19</v>
      </c>
      <c r="E1966" s="2">
        <v>0</v>
      </c>
      <c r="F1966" s="2">
        <v>0</v>
      </c>
      <c r="G1966" s="2" t="s">
        <v>10</v>
      </c>
      <c r="H1966" s="2" t="s">
        <v>12</v>
      </c>
      <c r="I1966" s="2">
        <v>2</v>
      </c>
      <c r="J1966" s="2" t="s">
        <v>14</v>
      </c>
      <c r="K1966" s="2" t="s">
        <v>14</v>
      </c>
      <c r="L1966" s="2" t="s">
        <v>14</v>
      </c>
      <c r="M1966" s="2" t="s">
        <v>14</v>
      </c>
      <c r="N1966" s="2" t="s">
        <v>14</v>
      </c>
      <c r="O1966" s="2">
        <v>1</v>
      </c>
    </row>
    <row r="1967" spans="1:15" ht="15" customHeight="1" x14ac:dyDescent="0.25">
      <c r="A1967" s="3">
        <v>5</v>
      </c>
      <c r="B1967" s="3" t="s">
        <v>10</v>
      </c>
      <c r="C1967" s="3" t="s">
        <v>11</v>
      </c>
      <c r="D1967" s="3" t="s">
        <v>11</v>
      </c>
      <c r="E1967" s="3">
        <v>1</v>
      </c>
      <c r="F1967" s="3">
        <v>0</v>
      </c>
      <c r="G1967" s="3" t="s">
        <v>10</v>
      </c>
      <c r="H1967" s="3" t="s">
        <v>12</v>
      </c>
      <c r="I1967" s="3" t="s">
        <v>15</v>
      </c>
      <c r="J1967" s="3" t="s">
        <v>14</v>
      </c>
      <c r="K1967" s="3" t="s">
        <v>14</v>
      </c>
      <c r="L1967" s="3" t="s">
        <v>14</v>
      </c>
      <c r="M1967" s="3" t="s">
        <v>14</v>
      </c>
      <c r="N1967" s="3" t="s">
        <v>14</v>
      </c>
      <c r="O1967" s="3">
        <v>0</v>
      </c>
    </row>
    <row r="1968" spans="1:15" ht="15" customHeight="1" x14ac:dyDescent="0.25">
      <c r="A1968" s="2">
        <v>20</v>
      </c>
      <c r="B1968" s="2" t="s">
        <v>10</v>
      </c>
      <c r="C1968" s="2" t="s">
        <v>11</v>
      </c>
      <c r="D1968" s="2" t="s">
        <v>19</v>
      </c>
      <c r="E1968" s="2">
        <v>0</v>
      </c>
      <c r="F1968" s="2">
        <v>2</v>
      </c>
      <c r="G1968" s="2" t="s">
        <v>10</v>
      </c>
      <c r="H1968" s="2" t="s">
        <v>12</v>
      </c>
      <c r="I1968" s="2">
        <v>1</v>
      </c>
      <c r="J1968" s="2" t="s">
        <v>14</v>
      </c>
      <c r="K1968" s="2" t="s">
        <v>14</v>
      </c>
      <c r="L1968" s="2" t="s">
        <v>14</v>
      </c>
      <c r="M1968" s="2" t="s">
        <v>13</v>
      </c>
      <c r="N1968" s="2" t="s">
        <v>13</v>
      </c>
      <c r="O1968" s="2">
        <v>1</v>
      </c>
    </row>
    <row r="1969" spans="1:15" ht="15" customHeight="1" x14ac:dyDescent="0.25">
      <c r="A1969" s="3">
        <v>5</v>
      </c>
      <c r="B1969" s="3" t="s">
        <v>14</v>
      </c>
      <c r="C1969" s="3" t="s">
        <v>11</v>
      </c>
      <c r="D1969" s="3" t="s">
        <v>11</v>
      </c>
      <c r="E1969" s="3">
        <v>1</v>
      </c>
      <c r="F1969" s="3">
        <v>1</v>
      </c>
      <c r="G1969" s="3" t="s">
        <v>17</v>
      </c>
      <c r="H1969" s="3" t="s">
        <v>106</v>
      </c>
      <c r="I1969" s="3">
        <v>1</v>
      </c>
      <c r="J1969" s="3" t="s">
        <v>14</v>
      </c>
      <c r="K1969" s="3" t="s">
        <v>13</v>
      </c>
      <c r="L1969" s="3" t="s">
        <v>13</v>
      </c>
      <c r="M1969" s="3" t="s">
        <v>13</v>
      </c>
      <c r="N1969" s="3" t="s">
        <v>14</v>
      </c>
      <c r="O1969" s="3">
        <v>0</v>
      </c>
    </row>
    <row r="1970" spans="1:15" ht="15" customHeight="1" x14ac:dyDescent="0.25">
      <c r="A1970" s="2">
        <v>5</v>
      </c>
      <c r="B1970" s="2" t="s">
        <v>18</v>
      </c>
      <c r="C1970" s="2" t="s">
        <v>11</v>
      </c>
      <c r="D1970" s="2" t="s">
        <v>11</v>
      </c>
      <c r="E1970" s="2">
        <v>0</v>
      </c>
      <c r="F1970" s="2">
        <v>0</v>
      </c>
      <c r="G1970" s="2" t="s">
        <v>10</v>
      </c>
      <c r="H1970" s="2" t="s">
        <v>12</v>
      </c>
      <c r="I1970" s="2" t="s">
        <v>15</v>
      </c>
      <c r="J1970" s="2" t="s">
        <v>14</v>
      </c>
      <c r="K1970" s="2" t="s">
        <v>14</v>
      </c>
      <c r="L1970" s="2" t="s">
        <v>14</v>
      </c>
      <c r="M1970" s="2" t="s">
        <v>14</v>
      </c>
      <c r="N1970" s="2" t="s">
        <v>14</v>
      </c>
      <c r="O1970" s="2">
        <v>1</v>
      </c>
    </row>
    <row r="1971" spans="1:15" ht="15" customHeight="1" x14ac:dyDescent="0.25">
      <c r="A1971" s="3">
        <v>5</v>
      </c>
      <c r="B1971" s="3" t="s">
        <v>14</v>
      </c>
      <c r="C1971" s="3" t="s">
        <v>11</v>
      </c>
      <c r="D1971" s="3" t="s">
        <v>11</v>
      </c>
      <c r="E1971" s="3">
        <v>1</v>
      </c>
      <c r="F1971" s="3">
        <v>0</v>
      </c>
      <c r="G1971" s="3" t="s">
        <v>10</v>
      </c>
      <c r="H1971" s="3" t="s">
        <v>12</v>
      </c>
      <c r="I1971" s="3">
        <v>1</v>
      </c>
      <c r="J1971" s="3" t="s">
        <v>14</v>
      </c>
      <c r="K1971" s="3" t="s">
        <v>13</v>
      </c>
      <c r="L1971" s="3" t="s">
        <v>13</v>
      </c>
      <c r="M1971" s="3" t="s">
        <v>14</v>
      </c>
      <c r="N1971" s="3" t="s">
        <v>13</v>
      </c>
      <c r="O1971" s="3">
        <v>0</v>
      </c>
    </row>
    <row r="1972" spans="1:15" ht="15" customHeight="1" x14ac:dyDescent="0.25">
      <c r="A1972" s="2">
        <v>10</v>
      </c>
      <c r="B1972" s="2" t="s">
        <v>10</v>
      </c>
      <c r="C1972" s="2" t="s">
        <v>19</v>
      </c>
      <c r="D1972" s="2" t="s">
        <v>19</v>
      </c>
      <c r="E1972" s="2">
        <v>0</v>
      </c>
      <c r="F1972" s="2">
        <v>2</v>
      </c>
      <c r="G1972" s="2" t="s">
        <v>17</v>
      </c>
      <c r="H1972" s="2" t="s">
        <v>106</v>
      </c>
      <c r="I1972" s="2">
        <v>1</v>
      </c>
      <c r="J1972" s="2" t="s">
        <v>14</v>
      </c>
      <c r="K1972" s="2" t="s">
        <v>13</v>
      </c>
      <c r="L1972" s="2" t="s">
        <v>13</v>
      </c>
      <c r="M1972" s="2" t="s">
        <v>13</v>
      </c>
      <c r="N1972" s="2" t="s">
        <v>14</v>
      </c>
      <c r="O1972" s="2">
        <v>1</v>
      </c>
    </row>
    <row r="1973" spans="1:15" ht="15" customHeight="1" x14ac:dyDescent="0.25">
      <c r="A1973" s="3">
        <v>0</v>
      </c>
      <c r="B1973" s="3" t="s">
        <v>18</v>
      </c>
      <c r="C1973" s="3" t="s">
        <v>11</v>
      </c>
      <c r="D1973" s="3" t="s">
        <v>11</v>
      </c>
      <c r="E1973" s="3">
        <v>0</v>
      </c>
      <c r="F1973" s="3">
        <v>0</v>
      </c>
      <c r="G1973" s="3" t="s">
        <v>10</v>
      </c>
      <c r="H1973" s="3" t="s">
        <v>16</v>
      </c>
      <c r="I1973" s="3">
        <v>1</v>
      </c>
      <c r="J1973" s="3" t="s">
        <v>14</v>
      </c>
      <c r="K1973" s="3" t="s">
        <v>14</v>
      </c>
      <c r="L1973" s="3" t="s">
        <v>14</v>
      </c>
      <c r="M1973" s="3" t="s">
        <v>14</v>
      </c>
      <c r="N1973" s="3" t="s">
        <v>14</v>
      </c>
      <c r="O1973" s="3">
        <v>1</v>
      </c>
    </row>
    <row r="1974" spans="1:15" ht="15" customHeight="1" x14ac:dyDescent="0.25">
      <c r="A1974" s="2">
        <v>20</v>
      </c>
      <c r="B1974" s="2" t="s">
        <v>14</v>
      </c>
      <c r="C1974" s="2" t="s">
        <v>11</v>
      </c>
      <c r="D1974" s="2" t="s">
        <v>11</v>
      </c>
      <c r="E1974" s="2">
        <v>1</v>
      </c>
      <c r="F1974" s="2">
        <v>0</v>
      </c>
      <c r="G1974" s="2" t="s">
        <v>10</v>
      </c>
      <c r="H1974" s="2" t="s">
        <v>12</v>
      </c>
      <c r="I1974" s="2">
        <v>2</v>
      </c>
      <c r="J1974" s="2" t="s">
        <v>14</v>
      </c>
      <c r="K1974" s="2" t="s">
        <v>14</v>
      </c>
      <c r="L1974" s="2" t="s">
        <v>14</v>
      </c>
      <c r="M1974" s="2" t="s">
        <v>13</v>
      </c>
      <c r="N1974" s="2" t="s">
        <v>13</v>
      </c>
      <c r="O1974" s="2">
        <v>1</v>
      </c>
    </row>
    <row r="1975" spans="1:15" ht="15" customHeight="1" x14ac:dyDescent="0.25">
      <c r="A1975" s="3">
        <v>10</v>
      </c>
      <c r="B1975" s="3" t="s">
        <v>10</v>
      </c>
      <c r="C1975" s="3" t="s">
        <v>19</v>
      </c>
      <c r="D1975" s="3" t="s">
        <v>19</v>
      </c>
      <c r="E1975" s="3">
        <v>1</v>
      </c>
      <c r="F1975" s="3">
        <v>1</v>
      </c>
      <c r="G1975" s="3" t="s">
        <v>10</v>
      </c>
      <c r="H1975" s="3" t="s">
        <v>16</v>
      </c>
      <c r="I1975" s="3">
        <v>2</v>
      </c>
      <c r="J1975" s="3" t="s">
        <v>14</v>
      </c>
      <c r="K1975" s="3" t="s">
        <v>14</v>
      </c>
      <c r="L1975" s="3" t="s">
        <v>14</v>
      </c>
      <c r="M1975" s="3" t="s">
        <v>14</v>
      </c>
      <c r="N1975" s="3" t="s">
        <v>14</v>
      </c>
      <c r="O1975" s="3">
        <v>0</v>
      </c>
    </row>
    <row r="1976" spans="1:15" ht="15" customHeight="1" x14ac:dyDescent="0.25">
      <c r="A1976" s="2">
        <v>0</v>
      </c>
      <c r="B1976" s="2" t="s">
        <v>18</v>
      </c>
      <c r="C1976" s="2" t="s">
        <v>20</v>
      </c>
      <c r="D1976" s="2" t="s">
        <v>20</v>
      </c>
      <c r="E1976" s="2">
        <v>0</v>
      </c>
      <c r="F1976" s="2">
        <v>0</v>
      </c>
      <c r="G1976" s="2" t="s">
        <v>10</v>
      </c>
      <c r="H1976" s="2" t="s">
        <v>12</v>
      </c>
      <c r="I1976" s="2" t="s">
        <v>15</v>
      </c>
      <c r="J1976" s="2" t="s">
        <v>14</v>
      </c>
      <c r="K1976" s="2" t="s">
        <v>14</v>
      </c>
      <c r="L1976" s="2" t="s">
        <v>14</v>
      </c>
      <c r="M1976" s="2" t="s">
        <v>14</v>
      </c>
      <c r="N1976" s="2" t="s">
        <v>14</v>
      </c>
      <c r="O1976" s="2">
        <v>1</v>
      </c>
    </row>
    <row r="1977" spans="1:15" ht="15" customHeight="1" x14ac:dyDescent="0.25">
      <c r="A1977" s="3">
        <v>5</v>
      </c>
      <c r="B1977" s="3" t="s">
        <v>10</v>
      </c>
      <c r="C1977" s="3" t="s">
        <v>19</v>
      </c>
      <c r="D1977" s="3" t="s">
        <v>19</v>
      </c>
      <c r="E1977" s="3">
        <v>0</v>
      </c>
      <c r="F1977" s="3">
        <v>0</v>
      </c>
      <c r="G1977" s="3" t="s">
        <v>10</v>
      </c>
      <c r="H1977" s="3" t="s">
        <v>12</v>
      </c>
      <c r="I1977" s="3" t="s">
        <v>15</v>
      </c>
      <c r="J1977" s="3" t="s">
        <v>14</v>
      </c>
      <c r="K1977" s="3" t="s">
        <v>14</v>
      </c>
      <c r="L1977" s="3" t="s">
        <v>14</v>
      </c>
      <c r="M1977" s="3" t="s">
        <v>14</v>
      </c>
      <c r="N1977" s="3" t="s">
        <v>14</v>
      </c>
      <c r="O1977" s="3">
        <v>1</v>
      </c>
    </row>
    <row r="1978" spans="1:15" ht="15" customHeight="1" x14ac:dyDescent="0.25">
      <c r="A1978" s="2">
        <v>20</v>
      </c>
      <c r="B1978" s="2" t="s">
        <v>10</v>
      </c>
      <c r="C1978" s="2" t="s">
        <v>19</v>
      </c>
      <c r="D1978" s="2" t="s">
        <v>19</v>
      </c>
      <c r="E1978" s="2">
        <v>0</v>
      </c>
      <c r="F1978" s="2">
        <v>1</v>
      </c>
      <c r="G1978" s="2" t="s">
        <v>10</v>
      </c>
      <c r="H1978" s="2" t="s">
        <v>12</v>
      </c>
      <c r="I1978" s="2">
        <v>2</v>
      </c>
      <c r="J1978" s="2" t="s">
        <v>14</v>
      </c>
      <c r="K1978" s="2" t="s">
        <v>14</v>
      </c>
      <c r="L1978" s="2" t="s">
        <v>14</v>
      </c>
      <c r="M1978" s="2" t="s">
        <v>13</v>
      </c>
      <c r="N1978" s="2" t="s">
        <v>14</v>
      </c>
      <c r="O1978" s="2">
        <v>1</v>
      </c>
    </row>
    <row r="1979" spans="1:15" ht="15" customHeight="1" x14ac:dyDescent="0.25">
      <c r="A1979" s="3">
        <v>5</v>
      </c>
      <c r="B1979" s="3" t="s">
        <v>14</v>
      </c>
      <c r="C1979" s="3" t="s">
        <v>19</v>
      </c>
      <c r="D1979" s="3" t="s">
        <v>19</v>
      </c>
      <c r="E1979" s="3">
        <v>0</v>
      </c>
      <c r="F1979" s="3">
        <v>0</v>
      </c>
      <c r="G1979" s="3" t="s">
        <v>10</v>
      </c>
      <c r="H1979" s="3" t="s">
        <v>12</v>
      </c>
      <c r="I1979" s="3">
        <v>2</v>
      </c>
      <c r="J1979" s="3" t="s">
        <v>14</v>
      </c>
      <c r="K1979" s="3" t="s">
        <v>13</v>
      </c>
      <c r="L1979" s="3" t="s">
        <v>14</v>
      </c>
      <c r="M1979" s="3" t="s">
        <v>14</v>
      </c>
      <c r="N1979" s="3" t="s">
        <v>14</v>
      </c>
      <c r="O1979" s="3">
        <v>1</v>
      </c>
    </row>
    <row r="1980" spans="1:15" ht="15" customHeight="1" x14ac:dyDescent="0.25">
      <c r="A1980" s="2">
        <v>0</v>
      </c>
      <c r="B1980" s="2" t="s">
        <v>10</v>
      </c>
      <c r="C1980" s="2" t="s">
        <v>19</v>
      </c>
      <c r="D1980" s="2" t="s">
        <v>19</v>
      </c>
      <c r="E1980" s="2">
        <v>0</v>
      </c>
      <c r="F1980" s="2">
        <v>1</v>
      </c>
      <c r="G1980" s="2" t="s">
        <v>10</v>
      </c>
      <c r="H1980" s="2" t="s">
        <v>12</v>
      </c>
      <c r="I1980" s="2" t="s">
        <v>15</v>
      </c>
      <c r="J1980" s="2" t="s">
        <v>14</v>
      </c>
      <c r="K1980" s="2" t="s">
        <v>14</v>
      </c>
      <c r="L1980" s="2" t="s">
        <v>14</v>
      </c>
      <c r="M1980" s="2" t="s">
        <v>14</v>
      </c>
      <c r="N1980" s="2" t="s">
        <v>14</v>
      </c>
      <c r="O1980" s="2">
        <v>0</v>
      </c>
    </row>
    <row r="1981" spans="1:15" ht="15" customHeight="1" x14ac:dyDescent="0.25">
      <c r="A1981" s="3">
        <v>10</v>
      </c>
      <c r="B1981" s="3" t="s">
        <v>10</v>
      </c>
      <c r="C1981" s="3" t="s">
        <v>11</v>
      </c>
      <c r="D1981" s="3" t="s">
        <v>19</v>
      </c>
      <c r="E1981" s="3">
        <v>0</v>
      </c>
      <c r="F1981" s="3">
        <v>1</v>
      </c>
      <c r="G1981" s="3" t="s">
        <v>10</v>
      </c>
      <c r="H1981" s="3" t="s">
        <v>16</v>
      </c>
      <c r="I1981" s="3" t="s">
        <v>15</v>
      </c>
      <c r="J1981" s="3" t="s">
        <v>13</v>
      </c>
      <c r="K1981" s="3" t="s">
        <v>14</v>
      </c>
      <c r="L1981" s="3" t="s">
        <v>14</v>
      </c>
      <c r="M1981" s="3" t="s">
        <v>13</v>
      </c>
      <c r="N1981" s="3" t="s">
        <v>14</v>
      </c>
      <c r="O1981" s="3">
        <v>0</v>
      </c>
    </row>
    <row r="1982" spans="1:15" ht="15" customHeight="1" x14ac:dyDescent="0.25">
      <c r="A1982" s="2">
        <v>0</v>
      </c>
      <c r="B1982" s="2" t="s">
        <v>18</v>
      </c>
      <c r="C1982" s="2" t="s">
        <v>19</v>
      </c>
      <c r="D1982" s="2" t="s">
        <v>19</v>
      </c>
      <c r="E1982" s="2">
        <v>0</v>
      </c>
      <c r="F1982" s="2">
        <v>0</v>
      </c>
      <c r="G1982" s="2" t="s">
        <v>10</v>
      </c>
      <c r="H1982" s="2" t="s">
        <v>12</v>
      </c>
      <c r="I1982" s="2" t="s">
        <v>15</v>
      </c>
      <c r="J1982" s="2" t="s">
        <v>14</v>
      </c>
      <c r="K1982" s="2" t="s">
        <v>14</v>
      </c>
      <c r="L1982" s="2" t="s">
        <v>14</v>
      </c>
      <c r="M1982" s="2" t="s">
        <v>14</v>
      </c>
      <c r="N1982" s="2" t="s">
        <v>14</v>
      </c>
      <c r="O1982" s="2">
        <v>1</v>
      </c>
    </row>
    <row r="1983" spans="1:15" ht="15" customHeight="1" x14ac:dyDescent="0.25">
      <c r="A1983" s="3">
        <v>20</v>
      </c>
      <c r="B1983" s="3" t="s">
        <v>18</v>
      </c>
      <c r="C1983" s="3" t="s">
        <v>20</v>
      </c>
      <c r="D1983" s="3" t="s">
        <v>19</v>
      </c>
      <c r="E1983" s="3">
        <v>0</v>
      </c>
      <c r="F1983" s="3">
        <v>0</v>
      </c>
      <c r="G1983" s="3" t="s">
        <v>10</v>
      </c>
      <c r="H1983" s="3" t="s">
        <v>12</v>
      </c>
      <c r="I1983" s="3">
        <v>1</v>
      </c>
      <c r="J1983" s="3" t="s">
        <v>14</v>
      </c>
      <c r="K1983" s="3" t="s">
        <v>14</v>
      </c>
      <c r="L1983" s="3" t="s">
        <v>14</v>
      </c>
      <c r="M1983" s="3" t="s">
        <v>14</v>
      </c>
      <c r="N1983" s="3" t="s">
        <v>14</v>
      </c>
      <c r="O1983" s="3">
        <v>1</v>
      </c>
    </row>
    <row r="1984" spans="1:15" ht="15" customHeight="1" x14ac:dyDescent="0.25">
      <c r="A1984" s="2">
        <v>30</v>
      </c>
      <c r="B1984" s="2" t="s">
        <v>10</v>
      </c>
      <c r="C1984" s="2" t="s">
        <v>19</v>
      </c>
      <c r="D1984" s="2" t="s">
        <v>20</v>
      </c>
      <c r="E1984" s="2">
        <v>0</v>
      </c>
      <c r="F1984" s="2">
        <v>0</v>
      </c>
      <c r="G1984" s="2" t="s">
        <v>10</v>
      </c>
      <c r="H1984" s="2" t="s">
        <v>12</v>
      </c>
      <c r="I1984" s="2">
        <v>2</v>
      </c>
      <c r="J1984" s="2" t="s">
        <v>14</v>
      </c>
      <c r="K1984" s="2" t="s">
        <v>14</v>
      </c>
      <c r="L1984" s="2" t="s">
        <v>14</v>
      </c>
      <c r="M1984" s="2" t="s">
        <v>13</v>
      </c>
      <c r="N1984" s="2" t="s">
        <v>14</v>
      </c>
      <c r="O1984" s="2">
        <v>1</v>
      </c>
    </row>
    <row r="1985" spans="1:15" ht="15" customHeight="1" x14ac:dyDescent="0.25">
      <c r="A1985" s="3">
        <v>10</v>
      </c>
      <c r="B1985" s="3" t="s">
        <v>10</v>
      </c>
      <c r="C1985" s="3" t="s">
        <v>19</v>
      </c>
      <c r="D1985" s="3" t="s">
        <v>19</v>
      </c>
      <c r="E1985" s="3">
        <v>0</v>
      </c>
      <c r="F1985" s="3">
        <v>2</v>
      </c>
      <c r="G1985" s="3" t="s">
        <v>17</v>
      </c>
      <c r="H1985" s="3" t="s">
        <v>106</v>
      </c>
      <c r="I1985" s="3">
        <v>1</v>
      </c>
      <c r="J1985" s="3" t="s">
        <v>14</v>
      </c>
      <c r="K1985" s="3" t="s">
        <v>13</v>
      </c>
      <c r="L1985" s="3" t="s">
        <v>13</v>
      </c>
      <c r="M1985" s="3" t="s">
        <v>13</v>
      </c>
      <c r="N1985" s="3" t="s">
        <v>14</v>
      </c>
      <c r="O1985" s="3">
        <v>0</v>
      </c>
    </row>
    <row r="1986" spans="1:15" ht="15" customHeight="1" x14ac:dyDescent="0.25">
      <c r="A1986" s="2">
        <v>30</v>
      </c>
      <c r="B1986" s="2" t="s">
        <v>10</v>
      </c>
      <c r="C1986" s="2" t="s">
        <v>19</v>
      </c>
      <c r="D1986" s="2" t="s">
        <v>19</v>
      </c>
      <c r="E1986" s="2">
        <v>1</v>
      </c>
      <c r="F1986" s="2">
        <v>0</v>
      </c>
      <c r="G1986" s="2" t="s">
        <v>10</v>
      </c>
      <c r="H1986" s="2" t="s">
        <v>16</v>
      </c>
      <c r="I1986" s="2">
        <v>1</v>
      </c>
      <c r="J1986" s="2" t="s">
        <v>14</v>
      </c>
      <c r="K1986" s="2" t="s">
        <v>14</v>
      </c>
      <c r="L1986" s="2" t="s">
        <v>14</v>
      </c>
      <c r="M1986" s="2" t="s">
        <v>13</v>
      </c>
      <c r="N1986" s="2" t="s">
        <v>14</v>
      </c>
      <c r="O1986" s="2">
        <v>0</v>
      </c>
    </row>
    <row r="1987" spans="1:15" ht="15" customHeight="1" x14ac:dyDescent="0.25">
      <c r="A1987" s="3">
        <v>5</v>
      </c>
      <c r="B1987" s="3" t="s">
        <v>18</v>
      </c>
      <c r="C1987" s="3" t="s">
        <v>19</v>
      </c>
      <c r="D1987" s="3" t="s">
        <v>19</v>
      </c>
      <c r="E1987" s="3">
        <v>0</v>
      </c>
      <c r="F1987" s="3">
        <v>0</v>
      </c>
      <c r="G1987" s="3" t="s">
        <v>10</v>
      </c>
      <c r="H1987" s="3" t="s">
        <v>12</v>
      </c>
      <c r="I1987" s="3" t="s">
        <v>15</v>
      </c>
      <c r="J1987" s="3" t="s">
        <v>14</v>
      </c>
      <c r="K1987" s="3" t="s">
        <v>13</v>
      </c>
      <c r="L1987" s="3" t="s">
        <v>13</v>
      </c>
      <c r="M1987" s="3" t="s">
        <v>13</v>
      </c>
      <c r="N1987" s="3" t="s">
        <v>14</v>
      </c>
      <c r="O1987" s="3">
        <v>1</v>
      </c>
    </row>
    <row r="1988" spans="1:15" ht="15" customHeight="1" x14ac:dyDescent="0.25">
      <c r="A1988" s="2">
        <v>10</v>
      </c>
      <c r="B1988" s="2" t="s">
        <v>18</v>
      </c>
      <c r="C1988" s="2" t="s">
        <v>19</v>
      </c>
      <c r="D1988" s="2" t="s">
        <v>19</v>
      </c>
      <c r="E1988" s="2">
        <v>0</v>
      </c>
      <c r="F1988" s="2">
        <v>1</v>
      </c>
      <c r="G1988" s="2" t="s">
        <v>10</v>
      </c>
      <c r="H1988" s="2" t="s">
        <v>12</v>
      </c>
      <c r="I1988" s="2">
        <v>1</v>
      </c>
      <c r="J1988" s="2" t="s">
        <v>14</v>
      </c>
      <c r="K1988" s="2" t="s">
        <v>14</v>
      </c>
      <c r="L1988" s="2" t="s">
        <v>14</v>
      </c>
      <c r="M1988" s="2" t="s">
        <v>14</v>
      </c>
      <c r="N1988" s="2" t="s">
        <v>14</v>
      </c>
      <c r="O1988" s="2">
        <v>0</v>
      </c>
    </row>
    <row r="1989" spans="1:15" ht="15" customHeight="1" x14ac:dyDescent="0.25">
      <c r="A1989" s="3">
        <v>10</v>
      </c>
      <c r="B1989" s="3" t="s">
        <v>14</v>
      </c>
      <c r="C1989" s="3" t="s">
        <v>20</v>
      </c>
      <c r="D1989" s="3" t="s">
        <v>20</v>
      </c>
      <c r="E1989" s="3">
        <v>0</v>
      </c>
      <c r="F1989" s="3">
        <v>0</v>
      </c>
      <c r="G1989" s="3" t="s">
        <v>10</v>
      </c>
      <c r="H1989" s="3" t="s">
        <v>12</v>
      </c>
      <c r="I1989" s="3">
        <v>2</v>
      </c>
      <c r="J1989" s="3" t="s">
        <v>14</v>
      </c>
      <c r="K1989" s="3" t="s">
        <v>14</v>
      </c>
      <c r="L1989" s="3" t="s">
        <v>14</v>
      </c>
      <c r="M1989" s="3" t="s">
        <v>14</v>
      </c>
      <c r="N1989" s="3" t="s">
        <v>14</v>
      </c>
      <c r="O1989" s="3">
        <v>1</v>
      </c>
    </row>
    <row r="1990" spans="1:15" ht="15" customHeight="1" x14ac:dyDescent="0.25">
      <c r="A1990" s="2">
        <v>10</v>
      </c>
      <c r="B1990" s="2" t="s">
        <v>18</v>
      </c>
      <c r="C1990" s="2" t="s">
        <v>20</v>
      </c>
      <c r="D1990" s="2" t="s">
        <v>20</v>
      </c>
      <c r="E1990" s="2">
        <v>0</v>
      </c>
      <c r="F1990" s="2">
        <v>0</v>
      </c>
      <c r="G1990" s="2" t="s">
        <v>10</v>
      </c>
      <c r="H1990" s="2" t="s">
        <v>12</v>
      </c>
      <c r="I1990" s="2" t="s">
        <v>15</v>
      </c>
      <c r="J1990" s="2" t="s">
        <v>14</v>
      </c>
      <c r="K1990" s="2" t="s">
        <v>14</v>
      </c>
      <c r="L1990" s="2" t="s">
        <v>14</v>
      </c>
      <c r="M1990" s="2" t="s">
        <v>14</v>
      </c>
      <c r="N1990" s="2" t="s">
        <v>14</v>
      </c>
      <c r="O1990" s="2">
        <v>1</v>
      </c>
    </row>
    <row r="1991" spans="1:15" ht="15" customHeight="1" x14ac:dyDescent="0.25">
      <c r="A1991" s="3">
        <v>10</v>
      </c>
      <c r="B1991" s="3" t="s">
        <v>10</v>
      </c>
      <c r="C1991" s="3" t="s">
        <v>20</v>
      </c>
      <c r="D1991" s="3" t="s">
        <v>20</v>
      </c>
      <c r="E1991" s="3">
        <v>0</v>
      </c>
      <c r="F1991" s="3">
        <v>0</v>
      </c>
      <c r="G1991" s="3" t="s">
        <v>10</v>
      </c>
      <c r="H1991" s="3" t="s">
        <v>12</v>
      </c>
      <c r="I1991" s="3" t="s">
        <v>15</v>
      </c>
      <c r="J1991" s="3" t="s">
        <v>14</v>
      </c>
      <c r="K1991" s="3" t="s">
        <v>14</v>
      </c>
      <c r="L1991" s="3" t="s">
        <v>14</v>
      </c>
      <c r="M1991" s="3" t="s">
        <v>14</v>
      </c>
      <c r="N1991" s="3" t="s">
        <v>14</v>
      </c>
      <c r="O1991" s="3">
        <v>1</v>
      </c>
    </row>
    <row r="1992" spans="1:15" ht="15" customHeight="1" x14ac:dyDescent="0.25">
      <c r="A1992" s="2">
        <v>30</v>
      </c>
      <c r="B1992" s="2" t="s">
        <v>10</v>
      </c>
      <c r="C1992" s="2" t="s">
        <v>19</v>
      </c>
      <c r="D1992" s="2" t="s">
        <v>20</v>
      </c>
      <c r="E1992" s="2">
        <v>1</v>
      </c>
      <c r="F1992" s="2">
        <v>0</v>
      </c>
      <c r="G1992" s="2" t="s">
        <v>10</v>
      </c>
      <c r="H1992" s="2" t="s">
        <v>16</v>
      </c>
      <c r="I1992" s="2">
        <v>2</v>
      </c>
      <c r="J1992" s="2" t="s">
        <v>14</v>
      </c>
      <c r="K1992" s="2" t="s">
        <v>14</v>
      </c>
      <c r="L1992" s="2" t="s">
        <v>14</v>
      </c>
      <c r="M1992" s="2" t="s">
        <v>13</v>
      </c>
      <c r="N1992" s="2" t="s">
        <v>14</v>
      </c>
      <c r="O1992" s="2">
        <v>0</v>
      </c>
    </row>
    <row r="1993" spans="1:15" ht="15" customHeight="1" x14ac:dyDescent="0.25">
      <c r="A1993" s="3">
        <v>0</v>
      </c>
      <c r="B1993" s="3" t="s">
        <v>10</v>
      </c>
      <c r="C1993" s="3" t="s">
        <v>19</v>
      </c>
      <c r="D1993" s="3" t="s">
        <v>19</v>
      </c>
      <c r="E1993" s="3">
        <v>0</v>
      </c>
      <c r="F1993" s="3">
        <v>0</v>
      </c>
      <c r="G1993" s="3" t="s">
        <v>18</v>
      </c>
      <c r="H1993" s="3" t="s">
        <v>106</v>
      </c>
      <c r="I1993" s="3">
        <v>1</v>
      </c>
      <c r="J1993" s="3" t="s">
        <v>14</v>
      </c>
      <c r="K1993" s="3" t="s">
        <v>13</v>
      </c>
      <c r="L1993" s="3" t="s">
        <v>13</v>
      </c>
      <c r="M1993" s="3" t="s">
        <v>14</v>
      </c>
      <c r="N1993" s="3" t="s">
        <v>14</v>
      </c>
      <c r="O1993" s="3">
        <v>1</v>
      </c>
    </row>
    <row r="1994" spans="1:15" ht="15" customHeight="1" x14ac:dyDescent="0.25">
      <c r="A1994" s="2">
        <v>10</v>
      </c>
      <c r="B1994" s="2" t="s">
        <v>14</v>
      </c>
      <c r="C1994" s="2" t="s">
        <v>19</v>
      </c>
      <c r="D1994" s="2" t="s">
        <v>19</v>
      </c>
      <c r="E1994" s="2">
        <v>0</v>
      </c>
      <c r="F1994" s="2">
        <v>0</v>
      </c>
      <c r="G1994" s="2" t="s">
        <v>10</v>
      </c>
      <c r="H1994" s="2" t="s">
        <v>12</v>
      </c>
      <c r="I1994" s="2">
        <v>2</v>
      </c>
      <c r="J1994" s="2" t="s">
        <v>14</v>
      </c>
      <c r="K1994" s="2" t="s">
        <v>14</v>
      </c>
      <c r="L1994" s="2" t="s">
        <v>14</v>
      </c>
      <c r="M1994" s="2" t="s">
        <v>14</v>
      </c>
      <c r="N1994" s="2" t="s">
        <v>14</v>
      </c>
      <c r="O1994" s="2">
        <v>1</v>
      </c>
    </row>
    <row r="1995" spans="1:15" ht="15" customHeight="1" x14ac:dyDescent="0.25">
      <c r="A1995" s="3">
        <v>10</v>
      </c>
      <c r="B1995" s="3" t="s">
        <v>10</v>
      </c>
      <c r="C1995" s="3" t="s">
        <v>19</v>
      </c>
      <c r="D1995" s="3" t="s">
        <v>19</v>
      </c>
      <c r="E1995" s="3">
        <v>0</v>
      </c>
      <c r="F1995" s="3">
        <v>1</v>
      </c>
      <c r="G1995" s="3" t="s">
        <v>10</v>
      </c>
      <c r="H1995" s="3" t="s">
        <v>12</v>
      </c>
      <c r="I1995" s="3">
        <v>1</v>
      </c>
      <c r="J1995" s="3" t="s">
        <v>14</v>
      </c>
      <c r="K1995" s="3" t="s">
        <v>14</v>
      </c>
      <c r="L1995" s="3" t="s">
        <v>14</v>
      </c>
      <c r="M1995" s="3" t="s">
        <v>14</v>
      </c>
      <c r="N1995" s="3" t="s">
        <v>14</v>
      </c>
      <c r="O1995" s="3">
        <v>0</v>
      </c>
    </row>
    <row r="1996" spans="1:15" ht="15" customHeight="1" x14ac:dyDescent="0.25">
      <c r="A1996" s="2">
        <v>5</v>
      </c>
      <c r="B1996" s="2" t="s">
        <v>10</v>
      </c>
      <c r="C1996" s="2" t="s">
        <v>19</v>
      </c>
      <c r="D1996" s="2" t="s">
        <v>19</v>
      </c>
      <c r="E1996" s="2">
        <v>0</v>
      </c>
      <c r="F1996" s="2">
        <v>1</v>
      </c>
      <c r="G1996" s="2" t="s">
        <v>10</v>
      </c>
      <c r="H1996" s="2" t="s">
        <v>16</v>
      </c>
      <c r="I1996" s="2">
        <v>2</v>
      </c>
      <c r="J1996" s="2" t="s">
        <v>14</v>
      </c>
      <c r="K1996" s="2" t="s">
        <v>14</v>
      </c>
      <c r="L1996" s="2" t="s">
        <v>14</v>
      </c>
      <c r="M1996" s="2" t="s">
        <v>14</v>
      </c>
      <c r="N1996" s="2" t="s">
        <v>14</v>
      </c>
      <c r="O1996" s="2">
        <v>1</v>
      </c>
    </row>
    <row r="1997" spans="1:15" ht="15" customHeight="1" x14ac:dyDescent="0.25">
      <c r="A1997" s="3">
        <v>0</v>
      </c>
      <c r="B1997" s="3" t="s">
        <v>10</v>
      </c>
      <c r="C1997" s="3" t="s">
        <v>19</v>
      </c>
      <c r="D1997" s="3" t="s">
        <v>19</v>
      </c>
      <c r="E1997" s="3">
        <v>0</v>
      </c>
      <c r="F1997" s="3">
        <v>0</v>
      </c>
      <c r="G1997" s="3" t="s">
        <v>10</v>
      </c>
      <c r="H1997" s="3" t="s">
        <v>12</v>
      </c>
      <c r="I1997" s="3">
        <v>2</v>
      </c>
      <c r="J1997" s="3" t="s">
        <v>14</v>
      </c>
      <c r="K1997" s="3" t="s">
        <v>14</v>
      </c>
      <c r="L1997" s="3" t="s">
        <v>14</v>
      </c>
      <c r="M1997" s="3" t="s">
        <v>14</v>
      </c>
      <c r="N1997" s="3" t="s">
        <v>14</v>
      </c>
      <c r="O1997" s="3">
        <v>1</v>
      </c>
    </row>
    <row r="1998" spans="1:15" ht="15" customHeight="1" x14ac:dyDescent="0.25">
      <c r="A1998" s="2">
        <v>30</v>
      </c>
      <c r="B1998" s="2" t="s">
        <v>10</v>
      </c>
      <c r="C1998" s="2" t="s">
        <v>11</v>
      </c>
      <c r="D1998" s="2" t="s">
        <v>20</v>
      </c>
      <c r="E1998" s="2">
        <v>1</v>
      </c>
      <c r="F1998" s="2">
        <v>0</v>
      </c>
      <c r="G1998" s="2" t="s">
        <v>10</v>
      </c>
      <c r="H1998" s="2" t="s">
        <v>12</v>
      </c>
      <c r="I1998" s="2">
        <v>2</v>
      </c>
      <c r="J1998" s="2" t="s">
        <v>14</v>
      </c>
      <c r="K1998" s="2" t="s">
        <v>14</v>
      </c>
      <c r="L1998" s="2" t="s">
        <v>14</v>
      </c>
      <c r="M1998" s="2" t="s">
        <v>13</v>
      </c>
      <c r="N1998" s="2" t="s">
        <v>14</v>
      </c>
      <c r="O1998" s="2">
        <v>0</v>
      </c>
    </row>
    <row r="1999" spans="1:15" ht="15" customHeight="1" x14ac:dyDescent="0.25">
      <c r="A1999" s="3">
        <v>10</v>
      </c>
      <c r="B1999" s="3" t="s">
        <v>10</v>
      </c>
      <c r="C1999" s="3" t="s">
        <v>19</v>
      </c>
      <c r="D1999" s="3" t="s">
        <v>20</v>
      </c>
      <c r="E1999" s="3">
        <v>0</v>
      </c>
      <c r="F1999" s="3">
        <v>1</v>
      </c>
      <c r="G1999" s="3" t="s">
        <v>17</v>
      </c>
      <c r="H1999" s="3" t="s">
        <v>106</v>
      </c>
      <c r="I1999" s="3">
        <v>1</v>
      </c>
      <c r="J1999" s="3" t="s">
        <v>14</v>
      </c>
      <c r="K1999" s="3" t="s">
        <v>13</v>
      </c>
      <c r="L1999" s="3" t="s">
        <v>13</v>
      </c>
      <c r="M1999" s="3" t="s">
        <v>13</v>
      </c>
      <c r="N1999" s="3" t="s">
        <v>14</v>
      </c>
      <c r="O1999" s="3">
        <v>0</v>
      </c>
    </row>
    <row r="2000" spans="1:15" ht="15" customHeight="1" x14ac:dyDescent="0.25">
      <c r="A2000" s="2">
        <v>5</v>
      </c>
      <c r="B2000" s="2" t="s">
        <v>10</v>
      </c>
      <c r="C2000" s="2" t="s">
        <v>19</v>
      </c>
      <c r="D2000" s="2" t="s">
        <v>19</v>
      </c>
      <c r="E2000" s="2">
        <v>1</v>
      </c>
      <c r="F2000" s="2">
        <v>1</v>
      </c>
      <c r="G2000" s="2" t="s">
        <v>17</v>
      </c>
      <c r="H2000" s="2" t="s">
        <v>106</v>
      </c>
      <c r="I2000" s="2">
        <v>1</v>
      </c>
      <c r="J2000" s="2" t="s">
        <v>14</v>
      </c>
      <c r="K2000" s="2" t="s">
        <v>13</v>
      </c>
      <c r="L2000" s="2" t="s">
        <v>13</v>
      </c>
      <c r="M2000" s="2" t="s">
        <v>13</v>
      </c>
      <c r="N2000" s="2" t="s">
        <v>14</v>
      </c>
      <c r="O2000" s="2">
        <v>0</v>
      </c>
    </row>
    <row r="2001" spans="1:15" ht="15" customHeight="1" x14ac:dyDescent="0.25">
      <c r="A2001" s="3">
        <v>0</v>
      </c>
      <c r="B2001" s="3" t="s">
        <v>14</v>
      </c>
      <c r="C2001" s="3" t="s">
        <v>20</v>
      </c>
      <c r="D2001" s="3" t="s">
        <v>20</v>
      </c>
      <c r="E2001" s="3">
        <v>0</v>
      </c>
      <c r="F2001" s="3">
        <v>0</v>
      </c>
      <c r="G2001" s="3" t="s">
        <v>10</v>
      </c>
      <c r="H2001" s="3" t="s">
        <v>12</v>
      </c>
      <c r="I2001" s="3">
        <v>1</v>
      </c>
      <c r="J2001" s="3" t="s">
        <v>14</v>
      </c>
      <c r="K2001" s="3" t="s">
        <v>14</v>
      </c>
      <c r="L2001" s="3" t="s">
        <v>14</v>
      </c>
      <c r="M2001" s="3" t="s">
        <v>14</v>
      </c>
      <c r="N2001" s="3" t="s">
        <v>14</v>
      </c>
      <c r="O2001" s="3">
        <v>1</v>
      </c>
    </row>
    <row r="2002" spans="1:15" ht="15" customHeight="1" x14ac:dyDescent="0.25">
      <c r="A2002" s="2">
        <v>0</v>
      </c>
      <c r="B2002" s="2" t="s">
        <v>18</v>
      </c>
      <c r="C2002" s="2" t="s">
        <v>20</v>
      </c>
      <c r="D2002" s="2" t="s">
        <v>20</v>
      </c>
      <c r="E2002" s="2">
        <v>0</v>
      </c>
      <c r="F2002" s="2">
        <v>0</v>
      </c>
      <c r="G2002" s="2" t="s">
        <v>10</v>
      </c>
      <c r="H2002" s="2" t="s">
        <v>16</v>
      </c>
      <c r="I2002" s="2">
        <v>1</v>
      </c>
      <c r="J2002" s="2" t="s">
        <v>14</v>
      </c>
      <c r="K2002" s="2" t="s">
        <v>14</v>
      </c>
      <c r="L2002" s="2" t="s">
        <v>14</v>
      </c>
      <c r="M2002" s="2" t="s">
        <v>14</v>
      </c>
      <c r="N2002" s="2" t="s">
        <v>14</v>
      </c>
      <c r="O2002" s="2">
        <v>1</v>
      </c>
    </row>
    <row r="2003" spans="1:15" ht="15" customHeight="1" x14ac:dyDescent="0.25">
      <c r="A2003" s="3">
        <v>20</v>
      </c>
      <c r="B2003" s="3" t="s">
        <v>10</v>
      </c>
      <c r="C2003" s="3" t="s">
        <v>19</v>
      </c>
      <c r="D2003" s="3" t="s">
        <v>20</v>
      </c>
      <c r="E2003" s="3">
        <v>2</v>
      </c>
      <c r="F2003" s="3">
        <v>1</v>
      </c>
      <c r="G2003" s="3" t="s">
        <v>10</v>
      </c>
      <c r="H2003" s="3" t="s">
        <v>12</v>
      </c>
      <c r="I2003" s="3">
        <v>1</v>
      </c>
      <c r="J2003" s="3" t="s">
        <v>14</v>
      </c>
      <c r="K2003" s="3" t="s">
        <v>14</v>
      </c>
      <c r="L2003" s="3" t="s">
        <v>14</v>
      </c>
      <c r="M2003" s="3" t="s">
        <v>13</v>
      </c>
      <c r="N2003" s="3" t="s">
        <v>14</v>
      </c>
      <c r="O2003" s="3">
        <v>0</v>
      </c>
    </row>
    <row r="2004" spans="1:15" ht="15" customHeight="1" x14ac:dyDescent="0.25">
      <c r="A2004" s="2">
        <v>5</v>
      </c>
      <c r="B2004" s="2" t="s">
        <v>18</v>
      </c>
      <c r="C2004" s="2" t="s">
        <v>19</v>
      </c>
      <c r="D2004" s="2" t="s">
        <v>19</v>
      </c>
      <c r="E2004" s="2">
        <v>0</v>
      </c>
      <c r="F2004" s="2">
        <v>1</v>
      </c>
      <c r="G2004" s="2" t="s">
        <v>10</v>
      </c>
      <c r="H2004" s="2" t="s">
        <v>12</v>
      </c>
      <c r="I2004" s="2">
        <v>2</v>
      </c>
      <c r="J2004" s="2" t="s">
        <v>14</v>
      </c>
      <c r="K2004" s="2" t="s">
        <v>13</v>
      </c>
      <c r="L2004" s="2" t="s">
        <v>14</v>
      </c>
      <c r="M2004" s="2" t="s">
        <v>14</v>
      </c>
      <c r="N2004" s="2" t="s">
        <v>14</v>
      </c>
      <c r="O2004" s="2">
        <v>0</v>
      </c>
    </row>
    <row r="2005" spans="1:15" ht="15" customHeight="1" x14ac:dyDescent="0.25">
      <c r="A2005" s="3">
        <v>10</v>
      </c>
      <c r="B2005" s="3" t="s">
        <v>18</v>
      </c>
      <c r="C2005" s="3" t="s">
        <v>19</v>
      </c>
      <c r="D2005" s="3" t="s">
        <v>19</v>
      </c>
      <c r="E2005" s="3">
        <v>0</v>
      </c>
      <c r="F2005" s="3">
        <v>1</v>
      </c>
      <c r="G2005" s="3" t="s">
        <v>10</v>
      </c>
      <c r="H2005" s="3" t="s">
        <v>12</v>
      </c>
      <c r="I2005" s="3">
        <v>2</v>
      </c>
      <c r="J2005" s="3" t="s">
        <v>14</v>
      </c>
      <c r="K2005" s="3" t="s">
        <v>14</v>
      </c>
      <c r="L2005" s="3" t="s">
        <v>14</v>
      </c>
      <c r="M2005" s="3" t="s">
        <v>13</v>
      </c>
      <c r="N2005" s="3" t="s">
        <v>14</v>
      </c>
      <c r="O2005" s="3">
        <v>1</v>
      </c>
    </row>
    <row r="2006" spans="1:15" ht="15" customHeight="1" x14ac:dyDescent="0.25">
      <c r="A2006" s="2">
        <v>10</v>
      </c>
      <c r="B2006" s="2" t="s">
        <v>18</v>
      </c>
      <c r="C2006" s="2" t="s">
        <v>19</v>
      </c>
      <c r="D2006" s="2" t="s">
        <v>19</v>
      </c>
      <c r="E2006" s="2">
        <v>0</v>
      </c>
      <c r="F2006" s="2">
        <v>0</v>
      </c>
      <c r="G2006" s="2" t="s">
        <v>10</v>
      </c>
      <c r="H2006" s="2" t="s">
        <v>12</v>
      </c>
      <c r="I2006" s="2" t="s">
        <v>15</v>
      </c>
      <c r="J2006" s="2" t="s">
        <v>14</v>
      </c>
      <c r="K2006" s="2" t="s">
        <v>14</v>
      </c>
      <c r="L2006" s="2" t="s">
        <v>14</v>
      </c>
      <c r="M2006" s="2" t="s">
        <v>14</v>
      </c>
      <c r="N2006" s="2" t="s">
        <v>14</v>
      </c>
      <c r="O2006" s="2">
        <v>1</v>
      </c>
    </row>
    <row r="2007" spans="1:15" ht="15" customHeight="1" x14ac:dyDescent="0.25">
      <c r="A2007" s="3">
        <v>10</v>
      </c>
      <c r="B2007" s="3" t="s">
        <v>10</v>
      </c>
      <c r="C2007" s="3" t="s">
        <v>19</v>
      </c>
      <c r="D2007" s="3" t="s">
        <v>19</v>
      </c>
      <c r="E2007" s="3">
        <v>0</v>
      </c>
      <c r="F2007" s="3">
        <v>0</v>
      </c>
      <c r="G2007" s="3" t="s">
        <v>10</v>
      </c>
      <c r="H2007" s="3" t="s">
        <v>12</v>
      </c>
      <c r="I2007" s="3">
        <v>2</v>
      </c>
      <c r="J2007" s="3" t="s">
        <v>14</v>
      </c>
      <c r="K2007" s="3" t="s">
        <v>14</v>
      </c>
      <c r="L2007" s="3" t="s">
        <v>14</v>
      </c>
      <c r="M2007" s="3" t="s">
        <v>14</v>
      </c>
      <c r="N2007" s="3" t="s">
        <v>14</v>
      </c>
      <c r="O2007" s="3">
        <v>1</v>
      </c>
    </row>
    <row r="2008" spans="1:15" ht="15" customHeight="1" x14ac:dyDescent="0.25">
      <c r="A2008" s="2">
        <v>10</v>
      </c>
      <c r="B2008" s="2" t="s">
        <v>18</v>
      </c>
      <c r="C2008" s="2" t="s">
        <v>19</v>
      </c>
      <c r="D2008" s="2" t="s">
        <v>19</v>
      </c>
      <c r="E2008" s="2">
        <v>0</v>
      </c>
      <c r="F2008" s="2">
        <v>0</v>
      </c>
      <c r="G2008" s="2" t="s">
        <v>10</v>
      </c>
      <c r="H2008" s="2" t="s">
        <v>12</v>
      </c>
      <c r="I2008" s="2">
        <v>2</v>
      </c>
      <c r="J2008" s="2" t="s">
        <v>14</v>
      </c>
      <c r="K2008" s="2" t="s">
        <v>14</v>
      </c>
      <c r="L2008" s="2" t="s">
        <v>14</v>
      </c>
      <c r="M2008" s="2" t="s">
        <v>14</v>
      </c>
      <c r="N2008" s="2" t="s">
        <v>14</v>
      </c>
      <c r="O2008" s="2">
        <v>1</v>
      </c>
    </row>
    <row r="2009" spans="1:15" ht="15" customHeight="1" x14ac:dyDescent="0.25">
      <c r="A2009" s="3">
        <v>10</v>
      </c>
      <c r="B2009" s="3" t="s">
        <v>10</v>
      </c>
      <c r="C2009" s="3" t="s">
        <v>19</v>
      </c>
      <c r="D2009" s="3" t="s">
        <v>19</v>
      </c>
      <c r="E2009" s="3">
        <v>1</v>
      </c>
      <c r="F2009" s="3">
        <v>0</v>
      </c>
      <c r="G2009" s="3" t="s">
        <v>10</v>
      </c>
      <c r="H2009" s="3" t="s">
        <v>12</v>
      </c>
      <c r="I2009" s="3">
        <v>2</v>
      </c>
      <c r="J2009" s="3" t="s">
        <v>14</v>
      </c>
      <c r="K2009" s="3" t="s">
        <v>14</v>
      </c>
      <c r="L2009" s="3" t="s">
        <v>14</v>
      </c>
      <c r="M2009" s="3" t="s">
        <v>14</v>
      </c>
      <c r="N2009" s="3" t="s">
        <v>14</v>
      </c>
      <c r="O2009" s="3">
        <v>0</v>
      </c>
    </row>
    <row r="2010" spans="1:15" ht="15" customHeight="1" x14ac:dyDescent="0.25">
      <c r="A2010" s="2">
        <v>5</v>
      </c>
      <c r="B2010" s="2" t="s">
        <v>10</v>
      </c>
      <c r="C2010" s="2" t="s">
        <v>19</v>
      </c>
      <c r="D2010" s="2" t="s">
        <v>19</v>
      </c>
      <c r="E2010" s="2">
        <v>0</v>
      </c>
      <c r="F2010" s="2">
        <v>1</v>
      </c>
      <c r="G2010" s="2" t="s">
        <v>10</v>
      </c>
      <c r="H2010" s="2" t="s">
        <v>12</v>
      </c>
      <c r="I2010" s="2">
        <v>1</v>
      </c>
      <c r="J2010" s="2" t="s">
        <v>14</v>
      </c>
      <c r="K2010" s="2" t="s">
        <v>14</v>
      </c>
      <c r="L2010" s="2" t="s">
        <v>14</v>
      </c>
      <c r="M2010" s="2" t="s">
        <v>14</v>
      </c>
      <c r="N2010" s="2" t="s">
        <v>14</v>
      </c>
      <c r="O2010" s="2">
        <v>1</v>
      </c>
    </row>
    <row r="2011" spans="1:15" ht="15" customHeight="1" x14ac:dyDescent="0.25">
      <c r="A2011" s="3">
        <v>10</v>
      </c>
      <c r="B2011" s="3" t="s">
        <v>10</v>
      </c>
      <c r="C2011" s="3" t="s">
        <v>19</v>
      </c>
      <c r="D2011" s="3" t="s">
        <v>19</v>
      </c>
      <c r="E2011" s="3">
        <v>0</v>
      </c>
      <c r="F2011" s="3">
        <v>0</v>
      </c>
      <c r="G2011" s="3" t="s">
        <v>10</v>
      </c>
      <c r="H2011" s="3" t="s">
        <v>12</v>
      </c>
      <c r="I2011" s="3" t="s">
        <v>15</v>
      </c>
      <c r="J2011" s="3" t="s">
        <v>14</v>
      </c>
      <c r="K2011" s="3" t="s">
        <v>14</v>
      </c>
      <c r="L2011" s="3" t="s">
        <v>14</v>
      </c>
      <c r="M2011" s="3" t="s">
        <v>14</v>
      </c>
      <c r="N2011" s="3" t="s">
        <v>14</v>
      </c>
      <c r="O2011" s="3">
        <v>1</v>
      </c>
    </row>
    <row r="2012" spans="1:15" ht="15" customHeight="1" x14ac:dyDescent="0.25">
      <c r="A2012" s="2">
        <v>5</v>
      </c>
      <c r="B2012" s="2" t="s">
        <v>18</v>
      </c>
      <c r="C2012" s="2" t="s">
        <v>19</v>
      </c>
      <c r="D2012" s="2" t="s">
        <v>19</v>
      </c>
      <c r="E2012" s="2">
        <v>0</v>
      </c>
      <c r="F2012" s="2">
        <v>0</v>
      </c>
      <c r="G2012" s="2" t="s">
        <v>10</v>
      </c>
      <c r="H2012" s="2" t="s">
        <v>12</v>
      </c>
      <c r="I2012" s="2">
        <v>2</v>
      </c>
      <c r="J2012" s="2" t="s">
        <v>14</v>
      </c>
      <c r="K2012" s="2" t="s">
        <v>14</v>
      </c>
      <c r="L2012" s="2" t="s">
        <v>14</v>
      </c>
      <c r="M2012" s="2" t="s">
        <v>14</v>
      </c>
      <c r="N2012" s="2" t="s">
        <v>14</v>
      </c>
      <c r="O2012" s="2">
        <v>1</v>
      </c>
    </row>
    <row r="2013" spans="1:15" ht="15" customHeight="1" x14ac:dyDescent="0.25">
      <c r="A2013" s="3">
        <v>5</v>
      </c>
      <c r="B2013" s="3" t="s">
        <v>14</v>
      </c>
      <c r="C2013" s="3" t="s">
        <v>19</v>
      </c>
      <c r="D2013" s="3" t="s">
        <v>19</v>
      </c>
      <c r="E2013" s="3">
        <v>0</v>
      </c>
      <c r="F2013" s="3">
        <v>0</v>
      </c>
      <c r="G2013" s="3" t="s">
        <v>10</v>
      </c>
      <c r="H2013" s="3" t="s">
        <v>12</v>
      </c>
      <c r="I2013" s="3">
        <v>1</v>
      </c>
      <c r="J2013" s="3" t="s">
        <v>14</v>
      </c>
      <c r="K2013" s="3" t="s">
        <v>14</v>
      </c>
      <c r="L2013" s="3" t="s">
        <v>14</v>
      </c>
      <c r="M2013" s="3" t="s">
        <v>14</v>
      </c>
      <c r="N2013" s="3" t="s">
        <v>14</v>
      </c>
      <c r="O2013" s="3">
        <v>1</v>
      </c>
    </row>
    <row r="2014" spans="1:15" ht="15" customHeight="1" x14ac:dyDescent="0.25">
      <c r="A2014" s="2">
        <v>0</v>
      </c>
      <c r="B2014" s="2" t="s">
        <v>10</v>
      </c>
      <c r="C2014" s="2" t="s">
        <v>19</v>
      </c>
      <c r="D2014" s="2" t="s">
        <v>19</v>
      </c>
      <c r="E2014" s="2">
        <v>0</v>
      </c>
      <c r="F2014" s="2">
        <v>0</v>
      </c>
      <c r="G2014" s="2" t="s">
        <v>10</v>
      </c>
      <c r="H2014" s="2" t="s">
        <v>12</v>
      </c>
      <c r="I2014" s="2">
        <v>2</v>
      </c>
      <c r="J2014" s="2" t="s">
        <v>14</v>
      </c>
      <c r="K2014" s="2" t="s">
        <v>14</v>
      </c>
      <c r="L2014" s="2" t="s">
        <v>14</v>
      </c>
      <c r="M2014" s="2" t="s">
        <v>14</v>
      </c>
      <c r="N2014" s="2" t="s">
        <v>14</v>
      </c>
      <c r="O2014" s="2">
        <v>1</v>
      </c>
    </row>
    <row r="2015" spans="1:15" ht="15" customHeight="1" x14ac:dyDescent="0.25">
      <c r="A2015" s="3">
        <v>10</v>
      </c>
      <c r="B2015" s="3" t="s">
        <v>18</v>
      </c>
      <c r="C2015" s="3" t="s">
        <v>20</v>
      </c>
      <c r="D2015" s="3" t="s">
        <v>20</v>
      </c>
      <c r="E2015" s="3">
        <v>0</v>
      </c>
      <c r="F2015" s="3">
        <v>0</v>
      </c>
      <c r="G2015" s="3" t="s">
        <v>10</v>
      </c>
      <c r="H2015" s="3" t="s">
        <v>16</v>
      </c>
      <c r="I2015" s="3" t="s">
        <v>15</v>
      </c>
      <c r="J2015" s="3" t="s">
        <v>14</v>
      </c>
      <c r="K2015" s="3" t="s">
        <v>14</v>
      </c>
      <c r="L2015" s="3" t="s">
        <v>14</v>
      </c>
      <c r="M2015" s="3" t="s">
        <v>14</v>
      </c>
      <c r="N2015" s="3" t="s">
        <v>14</v>
      </c>
      <c r="O2015" s="3">
        <v>1</v>
      </c>
    </row>
    <row r="2016" spans="1:15" ht="15" customHeight="1" x14ac:dyDescent="0.25">
      <c r="A2016" s="2">
        <v>10</v>
      </c>
      <c r="B2016" s="2" t="s">
        <v>10</v>
      </c>
      <c r="C2016" s="2" t="s">
        <v>19</v>
      </c>
      <c r="D2016" s="2" t="s">
        <v>19</v>
      </c>
      <c r="E2016" s="2">
        <v>0</v>
      </c>
      <c r="F2016" s="2">
        <v>0</v>
      </c>
      <c r="G2016" s="2" t="s">
        <v>10</v>
      </c>
      <c r="H2016" s="2" t="s">
        <v>12</v>
      </c>
      <c r="I2016" s="2">
        <v>2</v>
      </c>
      <c r="J2016" s="2" t="s">
        <v>14</v>
      </c>
      <c r="K2016" s="2" t="s">
        <v>14</v>
      </c>
      <c r="L2016" s="2" t="s">
        <v>14</v>
      </c>
      <c r="M2016" s="2" t="s">
        <v>14</v>
      </c>
      <c r="N2016" s="2" t="s">
        <v>14</v>
      </c>
      <c r="O2016" s="2">
        <v>1</v>
      </c>
    </row>
    <row r="2017" spans="1:15" ht="15" customHeight="1" x14ac:dyDescent="0.25">
      <c r="A2017" s="3">
        <v>10</v>
      </c>
      <c r="B2017" s="3" t="s">
        <v>18</v>
      </c>
      <c r="C2017" s="3" t="s">
        <v>19</v>
      </c>
      <c r="D2017" s="3" t="s">
        <v>19</v>
      </c>
      <c r="E2017" s="3">
        <v>0</v>
      </c>
      <c r="F2017" s="3">
        <v>0</v>
      </c>
      <c r="G2017" s="3" t="s">
        <v>10</v>
      </c>
      <c r="H2017" s="3" t="s">
        <v>12</v>
      </c>
      <c r="I2017" s="3">
        <v>2</v>
      </c>
      <c r="J2017" s="3" t="s">
        <v>14</v>
      </c>
      <c r="K2017" s="3" t="s">
        <v>14</v>
      </c>
      <c r="L2017" s="3" t="s">
        <v>14</v>
      </c>
      <c r="M2017" s="3" t="s">
        <v>14</v>
      </c>
      <c r="N2017" s="3" t="s">
        <v>14</v>
      </c>
      <c r="O2017" s="3">
        <v>1</v>
      </c>
    </row>
    <row r="2018" spans="1:15" ht="15" customHeight="1" x14ac:dyDescent="0.25">
      <c r="A2018" s="2">
        <v>10</v>
      </c>
      <c r="B2018" s="2" t="s">
        <v>14</v>
      </c>
      <c r="C2018" s="2" t="s">
        <v>19</v>
      </c>
      <c r="D2018" s="2" t="s">
        <v>19</v>
      </c>
      <c r="E2018" s="2">
        <v>0</v>
      </c>
      <c r="F2018" s="2">
        <v>0</v>
      </c>
      <c r="G2018" s="2" t="s">
        <v>10</v>
      </c>
      <c r="H2018" s="2" t="s">
        <v>12</v>
      </c>
      <c r="I2018" s="2">
        <v>2</v>
      </c>
      <c r="J2018" s="2" t="s">
        <v>14</v>
      </c>
      <c r="K2018" s="2" t="s">
        <v>14</v>
      </c>
      <c r="L2018" s="2" t="s">
        <v>14</v>
      </c>
      <c r="M2018" s="2" t="s">
        <v>14</v>
      </c>
      <c r="N2018" s="2" t="s">
        <v>14</v>
      </c>
      <c r="O2018" s="2">
        <v>1</v>
      </c>
    </row>
    <row r="2019" spans="1:15" ht="15" customHeight="1" x14ac:dyDescent="0.25">
      <c r="A2019" s="3">
        <v>5</v>
      </c>
      <c r="B2019" s="3" t="s">
        <v>10</v>
      </c>
      <c r="C2019" s="3" t="s">
        <v>19</v>
      </c>
      <c r="D2019" s="3" t="s">
        <v>19</v>
      </c>
      <c r="E2019" s="3">
        <v>0</v>
      </c>
      <c r="F2019" s="3">
        <v>0</v>
      </c>
      <c r="G2019" s="3" t="s">
        <v>10</v>
      </c>
      <c r="H2019" s="3" t="s">
        <v>16</v>
      </c>
      <c r="I2019" s="3">
        <v>2</v>
      </c>
      <c r="J2019" s="3" t="s">
        <v>14</v>
      </c>
      <c r="K2019" s="3" t="s">
        <v>14</v>
      </c>
      <c r="L2019" s="3" t="s">
        <v>14</v>
      </c>
      <c r="M2019" s="3" t="s">
        <v>14</v>
      </c>
      <c r="N2019" s="3" t="s">
        <v>14</v>
      </c>
      <c r="O2019" s="3">
        <v>1</v>
      </c>
    </row>
    <row r="2020" spans="1:15" ht="15" customHeight="1" x14ac:dyDescent="0.25">
      <c r="A2020" s="2">
        <v>5</v>
      </c>
      <c r="B2020" s="2" t="s">
        <v>18</v>
      </c>
      <c r="C2020" s="2" t="s">
        <v>19</v>
      </c>
      <c r="D2020" s="2" t="s">
        <v>19</v>
      </c>
      <c r="E2020" s="2">
        <v>0</v>
      </c>
      <c r="F2020" s="2">
        <v>0</v>
      </c>
      <c r="G2020" s="2" t="s">
        <v>10</v>
      </c>
      <c r="H2020" s="2" t="s">
        <v>12</v>
      </c>
      <c r="I2020" s="2">
        <v>2</v>
      </c>
      <c r="J2020" s="2" t="s">
        <v>14</v>
      </c>
      <c r="K2020" s="2" t="s">
        <v>14</v>
      </c>
      <c r="L2020" s="2" t="s">
        <v>14</v>
      </c>
      <c r="M2020" s="2" t="s">
        <v>14</v>
      </c>
      <c r="N2020" s="2" t="s">
        <v>14</v>
      </c>
      <c r="O2020" s="2">
        <v>1</v>
      </c>
    </row>
    <row r="2021" spans="1:15" ht="15" customHeight="1" x14ac:dyDescent="0.25">
      <c r="A2021" s="3">
        <v>10</v>
      </c>
      <c r="B2021" s="3" t="s">
        <v>14</v>
      </c>
      <c r="C2021" s="3" t="s">
        <v>19</v>
      </c>
      <c r="D2021" s="3" t="s">
        <v>19</v>
      </c>
      <c r="E2021" s="3">
        <v>0</v>
      </c>
      <c r="F2021" s="3">
        <v>0</v>
      </c>
      <c r="G2021" s="3" t="s">
        <v>10</v>
      </c>
      <c r="H2021" s="3" t="s">
        <v>12</v>
      </c>
      <c r="I2021" s="3">
        <v>2</v>
      </c>
      <c r="J2021" s="3" t="s">
        <v>14</v>
      </c>
      <c r="K2021" s="3" t="s">
        <v>14</v>
      </c>
      <c r="L2021" s="3" t="s">
        <v>14</v>
      </c>
      <c r="M2021" s="3" t="s">
        <v>14</v>
      </c>
      <c r="N2021" s="3" t="s">
        <v>14</v>
      </c>
      <c r="O2021" s="3">
        <v>1</v>
      </c>
    </row>
    <row r="2022" spans="1:15" ht="15" customHeight="1" x14ac:dyDescent="0.25">
      <c r="A2022" s="2">
        <v>20</v>
      </c>
      <c r="B2022" s="2" t="s">
        <v>10</v>
      </c>
      <c r="C2022" s="2" t="s">
        <v>19</v>
      </c>
      <c r="D2022" s="2" t="s">
        <v>19</v>
      </c>
      <c r="E2022" s="2">
        <v>0</v>
      </c>
      <c r="F2022" s="2">
        <v>1</v>
      </c>
      <c r="G2022" s="2" t="s">
        <v>10</v>
      </c>
      <c r="H2022" s="2" t="s">
        <v>16</v>
      </c>
      <c r="I2022" s="2" t="s">
        <v>15</v>
      </c>
      <c r="J2022" s="2" t="s">
        <v>14</v>
      </c>
      <c r="K2022" s="2" t="s">
        <v>14</v>
      </c>
      <c r="L2022" s="2" t="s">
        <v>14</v>
      </c>
      <c r="M2022" s="2" t="s">
        <v>14</v>
      </c>
      <c r="N2022" s="2" t="s">
        <v>14</v>
      </c>
      <c r="O2022" s="2">
        <v>1</v>
      </c>
    </row>
    <row r="2023" spans="1:15" ht="15" customHeight="1" x14ac:dyDescent="0.25">
      <c r="A2023" s="3">
        <v>5</v>
      </c>
      <c r="B2023" s="3" t="s">
        <v>14</v>
      </c>
      <c r="C2023" s="3" t="s">
        <v>19</v>
      </c>
      <c r="D2023" s="3" t="s">
        <v>19</v>
      </c>
      <c r="E2023" s="3">
        <v>0</v>
      </c>
      <c r="F2023" s="3">
        <v>0</v>
      </c>
      <c r="G2023" s="3" t="s">
        <v>10</v>
      </c>
      <c r="H2023" s="3" t="s">
        <v>12</v>
      </c>
      <c r="I2023" s="3">
        <v>2</v>
      </c>
      <c r="J2023" s="3" t="s">
        <v>14</v>
      </c>
      <c r="K2023" s="3" t="s">
        <v>14</v>
      </c>
      <c r="L2023" s="3" t="s">
        <v>14</v>
      </c>
      <c r="M2023" s="3" t="s">
        <v>14</v>
      </c>
      <c r="N2023" s="3" t="s">
        <v>14</v>
      </c>
      <c r="O2023" s="3">
        <v>1</v>
      </c>
    </row>
    <row r="2024" spans="1:15" ht="15" customHeight="1" x14ac:dyDescent="0.25">
      <c r="A2024" s="2">
        <v>20</v>
      </c>
      <c r="B2024" s="2" t="s">
        <v>10</v>
      </c>
      <c r="C2024" s="2" t="s">
        <v>11</v>
      </c>
      <c r="D2024" s="2" t="s">
        <v>19</v>
      </c>
      <c r="E2024" s="2">
        <v>0</v>
      </c>
      <c r="F2024" s="2">
        <v>0</v>
      </c>
      <c r="G2024" s="2" t="s">
        <v>10</v>
      </c>
      <c r="H2024" s="2" t="s">
        <v>12</v>
      </c>
      <c r="I2024" s="2">
        <v>2</v>
      </c>
      <c r="J2024" s="2" t="s">
        <v>14</v>
      </c>
      <c r="K2024" s="2" t="s">
        <v>14</v>
      </c>
      <c r="L2024" s="2" t="s">
        <v>14</v>
      </c>
      <c r="M2024" s="2" t="s">
        <v>14</v>
      </c>
      <c r="N2024" s="2" t="s">
        <v>14</v>
      </c>
      <c r="O2024" s="2">
        <v>1</v>
      </c>
    </row>
    <row r="2025" spans="1:15" ht="15" customHeight="1" x14ac:dyDescent="0.25">
      <c r="A2025" s="3">
        <v>5</v>
      </c>
      <c r="B2025" s="3" t="s">
        <v>10</v>
      </c>
      <c r="C2025" s="3" t="s">
        <v>19</v>
      </c>
      <c r="D2025" s="3" t="s">
        <v>19</v>
      </c>
      <c r="E2025" s="3">
        <v>0</v>
      </c>
      <c r="F2025" s="3">
        <v>1</v>
      </c>
      <c r="G2025" s="3" t="s">
        <v>17</v>
      </c>
      <c r="H2025" s="3" t="s">
        <v>106</v>
      </c>
      <c r="I2025" s="3">
        <v>1</v>
      </c>
      <c r="J2025" s="3" t="s">
        <v>14</v>
      </c>
      <c r="K2025" s="3" t="s">
        <v>13</v>
      </c>
      <c r="L2025" s="3" t="s">
        <v>13</v>
      </c>
      <c r="M2025" s="3" t="s">
        <v>13</v>
      </c>
      <c r="N2025" s="3" t="s">
        <v>14</v>
      </c>
      <c r="O2025" s="3">
        <v>0</v>
      </c>
    </row>
    <row r="2026" spans="1:15" ht="15" customHeight="1" x14ac:dyDescent="0.25">
      <c r="A2026" s="2">
        <v>20</v>
      </c>
      <c r="B2026" s="2" t="s">
        <v>18</v>
      </c>
      <c r="C2026" s="2" t="s">
        <v>20</v>
      </c>
      <c r="D2026" s="2" t="s">
        <v>19</v>
      </c>
      <c r="E2026" s="2">
        <v>0</v>
      </c>
      <c r="F2026" s="2">
        <v>0</v>
      </c>
      <c r="G2026" s="2" t="s">
        <v>10</v>
      </c>
      <c r="H2026" s="2" t="s">
        <v>12</v>
      </c>
      <c r="I2026" s="2">
        <v>2</v>
      </c>
      <c r="J2026" s="2" t="s">
        <v>14</v>
      </c>
      <c r="K2026" s="2" t="s">
        <v>14</v>
      </c>
      <c r="L2026" s="2" t="s">
        <v>14</v>
      </c>
      <c r="M2026" s="2" t="s">
        <v>14</v>
      </c>
      <c r="N2026" s="2" t="s">
        <v>14</v>
      </c>
      <c r="O2026" s="2">
        <v>1</v>
      </c>
    </row>
    <row r="2027" spans="1:15" ht="15" customHeight="1" x14ac:dyDescent="0.25">
      <c r="A2027" s="3">
        <v>10</v>
      </c>
      <c r="B2027" s="3" t="s">
        <v>14</v>
      </c>
      <c r="C2027" s="3" t="s">
        <v>20</v>
      </c>
      <c r="D2027" s="3" t="s">
        <v>20</v>
      </c>
      <c r="E2027" s="3">
        <v>0</v>
      </c>
      <c r="F2027" s="3">
        <v>0</v>
      </c>
      <c r="G2027" s="3" t="s">
        <v>10</v>
      </c>
      <c r="H2027" s="3" t="s">
        <v>16</v>
      </c>
      <c r="I2027" s="3">
        <v>2</v>
      </c>
      <c r="J2027" s="3" t="s">
        <v>14</v>
      </c>
      <c r="K2027" s="3" t="s">
        <v>14</v>
      </c>
      <c r="L2027" s="3" t="s">
        <v>14</v>
      </c>
      <c r="M2027" s="3" t="s">
        <v>14</v>
      </c>
      <c r="N2027" s="3" t="s">
        <v>14</v>
      </c>
      <c r="O2027" s="3">
        <v>1</v>
      </c>
    </row>
    <row r="2028" spans="1:15" ht="15" customHeight="1" x14ac:dyDescent="0.25">
      <c r="A2028" s="2">
        <v>20</v>
      </c>
      <c r="B2028" s="2" t="s">
        <v>10</v>
      </c>
      <c r="C2028" s="2" t="s">
        <v>19</v>
      </c>
      <c r="D2028" s="2" t="s">
        <v>20</v>
      </c>
      <c r="E2028" s="2">
        <v>1</v>
      </c>
      <c r="F2028" s="2">
        <v>1</v>
      </c>
      <c r="G2028" s="2" t="s">
        <v>10</v>
      </c>
      <c r="H2028" s="2" t="s">
        <v>16</v>
      </c>
      <c r="I2028" s="2">
        <v>1</v>
      </c>
      <c r="J2028" s="2" t="s">
        <v>14</v>
      </c>
      <c r="K2028" s="2" t="s">
        <v>14</v>
      </c>
      <c r="L2028" s="2" t="s">
        <v>14</v>
      </c>
      <c r="M2028" s="2" t="s">
        <v>13</v>
      </c>
      <c r="N2028" s="2" t="s">
        <v>14</v>
      </c>
      <c r="O2028" s="2">
        <v>0</v>
      </c>
    </row>
    <row r="2029" spans="1:15" ht="15" customHeight="1" x14ac:dyDescent="0.25">
      <c r="A2029" s="3">
        <v>5</v>
      </c>
      <c r="B2029" s="3" t="s">
        <v>10</v>
      </c>
      <c r="C2029" s="3" t="s">
        <v>19</v>
      </c>
      <c r="D2029" s="3" t="s">
        <v>19</v>
      </c>
      <c r="E2029" s="3">
        <v>0</v>
      </c>
      <c r="F2029" s="3">
        <v>0</v>
      </c>
      <c r="G2029" s="3" t="s">
        <v>10</v>
      </c>
      <c r="H2029" s="3" t="s">
        <v>12</v>
      </c>
      <c r="I2029" s="3">
        <v>1</v>
      </c>
      <c r="J2029" s="3" t="s">
        <v>14</v>
      </c>
      <c r="K2029" s="3" t="s">
        <v>13</v>
      </c>
      <c r="L2029" s="3" t="s">
        <v>13</v>
      </c>
      <c r="M2029" s="3" t="s">
        <v>13</v>
      </c>
      <c r="N2029" s="3" t="s">
        <v>14</v>
      </c>
      <c r="O2029" s="3">
        <v>0</v>
      </c>
    </row>
    <row r="2030" spans="1:15" ht="15" customHeight="1" x14ac:dyDescent="0.25">
      <c r="A2030" s="2">
        <v>0</v>
      </c>
      <c r="B2030" s="2" t="s">
        <v>18</v>
      </c>
      <c r="C2030" s="2" t="s">
        <v>19</v>
      </c>
      <c r="D2030" s="2" t="s">
        <v>19</v>
      </c>
      <c r="E2030" s="2">
        <v>1</v>
      </c>
      <c r="F2030" s="2">
        <v>1</v>
      </c>
      <c r="G2030" s="2" t="s">
        <v>10</v>
      </c>
      <c r="H2030" s="2" t="s">
        <v>12</v>
      </c>
      <c r="I2030" s="2" t="s">
        <v>15</v>
      </c>
      <c r="J2030" s="2" t="s">
        <v>14</v>
      </c>
      <c r="K2030" s="2" t="s">
        <v>14</v>
      </c>
      <c r="L2030" s="2" t="s">
        <v>14</v>
      </c>
      <c r="M2030" s="2" t="s">
        <v>14</v>
      </c>
      <c r="N2030" s="2" t="s">
        <v>14</v>
      </c>
      <c r="O2030" s="2">
        <v>0</v>
      </c>
    </row>
    <row r="2031" spans="1:15" ht="15" customHeight="1" x14ac:dyDescent="0.25">
      <c r="A2031" s="3">
        <v>10</v>
      </c>
      <c r="B2031" s="3" t="s">
        <v>18</v>
      </c>
      <c r="C2031" s="3" t="s">
        <v>19</v>
      </c>
      <c r="D2031" s="3" t="s">
        <v>19</v>
      </c>
      <c r="E2031" s="3">
        <v>0</v>
      </c>
      <c r="F2031" s="3">
        <v>0</v>
      </c>
      <c r="G2031" s="3" t="s">
        <v>10</v>
      </c>
      <c r="H2031" s="3" t="s">
        <v>12</v>
      </c>
      <c r="I2031" s="3" t="s">
        <v>15</v>
      </c>
      <c r="J2031" s="3" t="s">
        <v>14</v>
      </c>
      <c r="K2031" s="3" t="s">
        <v>14</v>
      </c>
      <c r="L2031" s="3" t="s">
        <v>14</v>
      </c>
      <c r="M2031" s="3" t="s">
        <v>14</v>
      </c>
      <c r="N2031" s="3" t="s">
        <v>14</v>
      </c>
      <c r="O2031" s="3">
        <v>1</v>
      </c>
    </row>
    <row r="2032" spans="1:15" ht="15" customHeight="1" x14ac:dyDescent="0.25">
      <c r="A2032" s="2">
        <v>5</v>
      </c>
      <c r="B2032" s="2" t="s">
        <v>14</v>
      </c>
      <c r="C2032" s="2" t="s">
        <v>19</v>
      </c>
      <c r="D2032" s="2" t="s">
        <v>19</v>
      </c>
      <c r="E2032" s="2">
        <v>0</v>
      </c>
      <c r="F2032" s="2">
        <v>0</v>
      </c>
      <c r="G2032" s="2" t="s">
        <v>10</v>
      </c>
      <c r="H2032" s="2" t="s">
        <v>12</v>
      </c>
      <c r="I2032" s="2">
        <v>2</v>
      </c>
      <c r="J2032" s="2" t="s">
        <v>14</v>
      </c>
      <c r="K2032" s="2" t="s">
        <v>14</v>
      </c>
      <c r="L2032" s="2" t="s">
        <v>14</v>
      </c>
      <c r="M2032" s="2" t="s">
        <v>14</v>
      </c>
      <c r="N2032" s="2" t="s">
        <v>14</v>
      </c>
      <c r="O2032" s="2">
        <v>1</v>
      </c>
    </row>
    <row r="2033" spans="1:15" ht="15" customHeight="1" x14ac:dyDescent="0.25">
      <c r="A2033" s="3">
        <v>0</v>
      </c>
      <c r="B2033" s="3" t="s">
        <v>10</v>
      </c>
      <c r="C2033" s="3" t="s">
        <v>19</v>
      </c>
      <c r="D2033" s="3" t="s">
        <v>19</v>
      </c>
      <c r="E2033" s="3">
        <v>0</v>
      </c>
      <c r="F2033" s="3">
        <v>0</v>
      </c>
      <c r="G2033" s="3" t="s">
        <v>10</v>
      </c>
      <c r="H2033" s="3" t="s">
        <v>12</v>
      </c>
      <c r="I2033" s="3">
        <v>2</v>
      </c>
      <c r="J2033" s="3" t="s">
        <v>14</v>
      </c>
      <c r="K2033" s="3" t="s">
        <v>14</v>
      </c>
      <c r="L2033" s="3" t="s">
        <v>14</v>
      </c>
      <c r="M2033" s="3" t="s">
        <v>14</v>
      </c>
      <c r="N2033" s="3" t="s">
        <v>14</v>
      </c>
      <c r="O2033" s="3">
        <v>1</v>
      </c>
    </row>
    <row r="2034" spans="1:15" ht="15" customHeight="1" x14ac:dyDescent="0.25">
      <c r="A2034" s="2">
        <v>0</v>
      </c>
      <c r="B2034" s="2" t="s">
        <v>14</v>
      </c>
      <c r="C2034" s="2" t="s">
        <v>19</v>
      </c>
      <c r="D2034" s="2" t="s">
        <v>19</v>
      </c>
      <c r="E2034" s="2">
        <v>0</v>
      </c>
      <c r="F2034" s="2">
        <v>0</v>
      </c>
      <c r="G2034" s="2" t="s">
        <v>10</v>
      </c>
      <c r="H2034" s="2" t="s">
        <v>12</v>
      </c>
      <c r="I2034" s="2" t="s">
        <v>15</v>
      </c>
      <c r="J2034" s="2" t="s">
        <v>14</v>
      </c>
      <c r="K2034" s="2" t="s">
        <v>14</v>
      </c>
      <c r="L2034" s="2" t="s">
        <v>14</v>
      </c>
      <c r="M2034" s="2" t="s">
        <v>14</v>
      </c>
      <c r="N2034" s="2" t="s">
        <v>14</v>
      </c>
      <c r="O2034" s="2">
        <v>1</v>
      </c>
    </row>
    <row r="2035" spans="1:15" ht="15" customHeight="1" x14ac:dyDescent="0.25">
      <c r="A2035" s="3">
        <v>5</v>
      </c>
      <c r="B2035" s="3" t="s">
        <v>10</v>
      </c>
      <c r="C2035" s="3" t="s">
        <v>19</v>
      </c>
      <c r="D2035" s="3" t="s">
        <v>19</v>
      </c>
      <c r="E2035" s="3">
        <v>0</v>
      </c>
      <c r="F2035" s="3">
        <v>2</v>
      </c>
      <c r="G2035" s="3" t="s">
        <v>10</v>
      </c>
      <c r="H2035" s="3" t="s">
        <v>16</v>
      </c>
      <c r="I2035" s="3">
        <v>1</v>
      </c>
      <c r="J2035" s="3" t="s">
        <v>14</v>
      </c>
      <c r="K2035" s="3" t="s">
        <v>14</v>
      </c>
      <c r="L2035" s="3" t="s">
        <v>14</v>
      </c>
      <c r="M2035" s="3" t="s">
        <v>14</v>
      </c>
      <c r="N2035" s="3" t="s">
        <v>14</v>
      </c>
      <c r="O2035" s="3">
        <v>0</v>
      </c>
    </row>
    <row r="2036" spans="1:15" ht="15" customHeight="1" x14ac:dyDescent="0.25">
      <c r="A2036" s="2">
        <v>5</v>
      </c>
      <c r="B2036" s="2" t="s">
        <v>18</v>
      </c>
      <c r="C2036" s="2" t="s">
        <v>19</v>
      </c>
      <c r="D2036" s="2" t="s">
        <v>19</v>
      </c>
      <c r="E2036" s="2">
        <v>0</v>
      </c>
      <c r="F2036" s="2">
        <v>0</v>
      </c>
      <c r="G2036" s="2" t="s">
        <v>10</v>
      </c>
      <c r="H2036" s="2" t="s">
        <v>12</v>
      </c>
      <c r="I2036" s="2">
        <v>1</v>
      </c>
      <c r="J2036" s="2" t="s">
        <v>14</v>
      </c>
      <c r="K2036" s="2" t="s">
        <v>14</v>
      </c>
      <c r="L2036" s="2" t="s">
        <v>14</v>
      </c>
      <c r="M2036" s="2" t="s">
        <v>14</v>
      </c>
      <c r="N2036" s="2" t="s">
        <v>14</v>
      </c>
      <c r="O2036" s="2">
        <v>1</v>
      </c>
    </row>
    <row r="2037" spans="1:15" ht="15" customHeight="1" x14ac:dyDescent="0.25">
      <c r="A2037" s="2">
        <v>0</v>
      </c>
      <c r="B2037" s="2" t="s">
        <v>18</v>
      </c>
      <c r="C2037" s="2" t="s">
        <v>19</v>
      </c>
      <c r="D2037" s="2" t="s">
        <v>19</v>
      </c>
      <c r="E2037" s="2">
        <v>0</v>
      </c>
      <c r="F2037" s="2">
        <v>0</v>
      </c>
      <c r="G2037" s="2" t="s">
        <v>10</v>
      </c>
      <c r="H2037" s="2" t="s">
        <v>12</v>
      </c>
      <c r="I2037" s="2">
        <v>1</v>
      </c>
      <c r="J2037" s="2" t="s">
        <v>14</v>
      </c>
      <c r="K2037" s="2" t="s">
        <v>14</v>
      </c>
      <c r="L2037" s="2" t="s">
        <v>14</v>
      </c>
      <c r="M2037" s="2" t="s">
        <v>14</v>
      </c>
      <c r="N2037" s="2" t="s">
        <v>14</v>
      </c>
      <c r="O2037" s="2">
        <v>1</v>
      </c>
    </row>
    <row r="2038" spans="1:15" ht="15" customHeight="1" x14ac:dyDescent="0.25">
      <c r="A2038" s="3">
        <v>5</v>
      </c>
      <c r="B2038" s="3" t="s">
        <v>10</v>
      </c>
      <c r="C2038" s="3" t="s">
        <v>19</v>
      </c>
      <c r="D2038" s="3" t="s">
        <v>19</v>
      </c>
      <c r="E2038" s="3">
        <v>1</v>
      </c>
      <c r="F2038" s="3">
        <v>0</v>
      </c>
      <c r="G2038" s="3" t="s">
        <v>10</v>
      </c>
      <c r="H2038" s="3" t="s">
        <v>12</v>
      </c>
      <c r="I2038" s="3" t="s">
        <v>15</v>
      </c>
      <c r="J2038" s="3" t="s">
        <v>14</v>
      </c>
      <c r="K2038" s="3" t="s">
        <v>14</v>
      </c>
      <c r="L2038" s="3" t="s">
        <v>14</v>
      </c>
      <c r="M2038" s="3" t="s">
        <v>14</v>
      </c>
      <c r="N2038" s="3" t="s">
        <v>14</v>
      </c>
      <c r="O2038" s="3">
        <v>1</v>
      </c>
    </row>
    <row r="2039" spans="1:15" ht="15" customHeight="1" x14ac:dyDescent="0.25">
      <c r="A2039" s="2">
        <v>20</v>
      </c>
      <c r="B2039" s="2" t="s">
        <v>14</v>
      </c>
      <c r="C2039" s="2" t="s">
        <v>11</v>
      </c>
      <c r="D2039" s="2" t="s">
        <v>11</v>
      </c>
      <c r="E2039" s="2">
        <v>1</v>
      </c>
      <c r="F2039" s="2">
        <v>1</v>
      </c>
      <c r="G2039" s="2" t="s">
        <v>10</v>
      </c>
      <c r="H2039" s="2" t="s">
        <v>12</v>
      </c>
      <c r="I2039" s="2" t="s">
        <v>15</v>
      </c>
      <c r="J2039" s="2" t="s">
        <v>14</v>
      </c>
      <c r="K2039" s="2" t="s">
        <v>14</v>
      </c>
      <c r="L2039" s="2" t="s">
        <v>14</v>
      </c>
      <c r="M2039" s="2" t="s">
        <v>13</v>
      </c>
      <c r="N2039" s="2" t="s">
        <v>13</v>
      </c>
      <c r="O2039" s="2">
        <v>1</v>
      </c>
    </row>
    <row r="2040" spans="1:15" ht="15" customHeight="1" x14ac:dyDescent="0.25">
      <c r="A2040" s="3">
        <v>5</v>
      </c>
      <c r="B2040" s="3" t="s">
        <v>10</v>
      </c>
      <c r="C2040" s="3" t="s">
        <v>19</v>
      </c>
      <c r="D2040" s="3" t="s">
        <v>19</v>
      </c>
      <c r="E2040" s="3">
        <v>0</v>
      </c>
      <c r="F2040" s="3">
        <v>0</v>
      </c>
      <c r="G2040" s="3" t="s">
        <v>17</v>
      </c>
      <c r="H2040" s="3" t="s">
        <v>106</v>
      </c>
      <c r="I2040" s="3">
        <v>1</v>
      </c>
      <c r="J2040" s="3" t="s">
        <v>14</v>
      </c>
      <c r="K2040" s="3" t="s">
        <v>13</v>
      </c>
      <c r="L2040" s="3" t="s">
        <v>13</v>
      </c>
      <c r="M2040" s="3" t="s">
        <v>14</v>
      </c>
      <c r="N2040" s="3" t="s">
        <v>14</v>
      </c>
      <c r="O2040" s="3">
        <v>0</v>
      </c>
    </row>
    <row r="2041" spans="1:15" ht="15" customHeight="1" x14ac:dyDescent="0.25">
      <c r="A2041" s="2">
        <v>5</v>
      </c>
      <c r="B2041" s="2" t="s">
        <v>18</v>
      </c>
      <c r="C2041" s="2" t="s">
        <v>19</v>
      </c>
      <c r="D2041" s="2" t="s">
        <v>19</v>
      </c>
      <c r="E2041" s="2">
        <v>0</v>
      </c>
      <c r="F2041" s="2">
        <v>1</v>
      </c>
      <c r="G2041" s="2" t="s">
        <v>10</v>
      </c>
      <c r="H2041" s="2" t="s">
        <v>12</v>
      </c>
      <c r="I2041" s="2" t="s">
        <v>15</v>
      </c>
      <c r="J2041" s="2" t="s">
        <v>14</v>
      </c>
      <c r="K2041" s="2" t="s">
        <v>13</v>
      </c>
      <c r="L2041" s="2" t="s">
        <v>14</v>
      </c>
      <c r="M2041" s="2" t="s">
        <v>14</v>
      </c>
      <c r="N2041" s="2" t="s">
        <v>14</v>
      </c>
      <c r="O2041" s="2">
        <v>1</v>
      </c>
    </row>
    <row r="2042" spans="1:15" ht="15" customHeight="1" x14ac:dyDescent="0.25">
      <c r="A2042" s="3">
        <v>10</v>
      </c>
      <c r="B2042" s="3" t="s">
        <v>10</v>
      </c>
      <c r="C2042" s="3" t="s">
        <v>19</v>
      </c>
      <c r="D2042" s="3" t="s">
        <v>19</v>
      </c>
      <c r="E2042" s="3">
        <v>0</v>
      </c>
      <c r="F2042" s="3">
        <v>0</v>
      </c>
      <c r="G2042" s="3" t="s">
        <v>10</v>
      </c>
      <c r="H2042" s="3" t="s">
        <v>12</v>
      </c>
      <c r="I2042" s="3">
        <v>2</v>
      </c>
      <c r="J2042" s="3" t="s">
        <v>14</v>
      </c>
      <c r="K2042" s="3" t="s">
        <v>14</v>
      </c>
      <c r="L2042" s="3" t="s">
        <v>14</v>
      </c>
      <c r="M2042" s="3" t="s">
        <v>13</v>
      </c>
      <c r="N2042" s="3" t="s">
        <v>14</v>
      </c>
      <c r="O2042" s="3">
        <v>1</v>
      </c>
    </row>
    <row r="2043" spans="1:15" ht="15" customHeight="1" x14ac:dyDescent="0.25">
      <c r="A2043" s="2">
        <v>5</v>
      </c>
      <c r="B2043" s="2" t="s">
        <v>14</v>
      </c>
      <c r="C2043" s="2" t="s">
        <v>19</v>
      </c>
      <c r="D2043" s="2" t="s">
        <v>19</v>
      </c>
      <c r="E2043" s="2">
        <v>0</v>
      </c>
      <c r="F2043" s="2">
        <v>0</v>
      </c>
      <c r="G2043" s="2" t="s">
        <v>10</v>
      </c>
      <c r="H2043" s="2" t="s">
        <v>12</v>
      </c>
      <c r="I2043" s="2" t="s">
        <v>15</v>
      </c>
      <c r="J2043" s="2" t="s">
        <v>14</v>
      </c>
      <c r="K2043" s="2" t="s">
        <v>14</v>
      </c>
      <c r="L2043" s="2" t="s">
        <v>14</v>
      </c>
      <c r="M2043" s="2" t="s">
        <v>14</v>
      </c>
      <c r="N2043" s="2" t="s">
        <v>14</v>
      </c>
      <c r="O2043" s="2">
        <v>1</v>
      </c>
    </row>
    <row r="2044" spans="1:15" ht="15" customHeight="1" x14ac:dyDescent="0.25">
      <c r="A2044" s="3">
        <v>10</v>
      </c>
      <c r="B2044" s="3" t="s">
        <v>18</v>
      </c>
      <c r="C2044" s="3" t="s">
        <v>19</v>
      </c>
      <c r="D2044" s="3" t="s">
        <v>19</v>
      </c>
      <c r="E2044" s="3">
        <v>0</v>
      </c>
      <c r="F2044" s="3">
        <v>0</v>
      </c>
      <c r="G2044" s="3" t="s">
        <v>10</v>
      </c>
      <c r="H2044" s="3" t="s">
        <v>12</v>
      </c>
      <c r="I2044" s="3">
        <v>1</v>
      </c>
      <c r="J2044" s="3" t="s">
        <v>14</v>
      </c>
      <c r="K2044" s="3" t="s">
        <v>14</v>
      </c>
      <c r="L2044" s="3" t="s">
        <v>14</v>
      </c>
      <c r="M2044" s="3" t="s">
        <v>14</v>
      </c>
      <c r="N2044" s="3" t="s">
        <v>14</v>
      </c>
      <c r="O2044" s="3">
        <v>1</v>
      </c>
    </row>
    <row r="2045" spans="1:15" ht="15" customHeight="1" x14ac:dyDescent="0.25">
      <c r="A2045" s="2">
        <v>5</v>
      </c>
      <c r="B2045" s="2" t="s">
        <v>10</v>
      </c>
      <c r="C2045" s="2" t="s">
        <v>19</v>
      </c>
      <c r="D2045" s="2" t="s">
        <v>19</v>
      </c>
      <c r="E2045" s="2">
        <v>0</v>
      </c>
      <c r="F2045" s="2">
        <v>0</v>
      </c>
      <c r="G2045" s="2" t="s">
        <v>10</v>
      </c>
      <c r="H2045" s="2" t="s">
        <v>12</v>
      </c>
      <c r="I2045" s="2">
        <v>2</v>
      </c>
      <c r="J2045" s="2" t="s">
        <v>14</v>
      </c>
      <c r="K2045" s="2" t="s">
        <v>14</v>
      </c>
      <c r="L2045" s="2" t="s">
        <v>14</v>
      </c>
      <c r="M2045" s="2" t="s">
        <v>14</v>
      </c>
      <c r="N2045" s="2" t="s">
        <v>14</v>
      </c>
      <c r="O2045" s="2">
        <v>1</v>
      </c>
    </row>
    <row r="2046" spans="1:15" ht="15" customHeight="1" x14ac:dyDescent="0.25">
      <c r="A2046" s="3">
        <v>10</v>
      </c>
      <c r="B2046" s="3" t="s">
        <v>18</v>
      </c>
      <c r="C2046" s="3" t="s">
        <v>19</v>
      </c>
      <c r="D2046" s="3" t="s">
        <v>19</v>
      </c>
      <c r="E2046" s="3">
        <v>0</v>
      </c>
      <c r="F2046" s="3">
        <v>0</v>
      </c>
      <c r="G2046" s="3" t="s">
        <v>10</v>
      </c>
      <c r="H2046" s="3" t="s">
        <v>12</v>
      </c>
      <c r="I2046" s="3" t="s">
        <v>15</v>
      </c>
      <c r="J2046" s="2" t="s">
        <v>14</v>
      </c>
      <c r="K2046" s="2" t="s">
        <v>14</v>
      </c>
      <c r="L2046" s="2" t="s">
        <v>14</v>
      </c>
      <c r="M2046" s="2" t="s">
        <v>14</v>
      </c>
      <c r="N2046" s="2" t="s">
        <v>14</v>
      </c>
      <c r="O2046" s="3">
        <v>1</v>
      </c>
    </row>
    <row r="2047" spans="1:15" ht="15" customHeight="1" x14ac:dyDescent="0.25">
      <c r="A2047" s="2">
        <v>5</v>
      </c>
      <c r="B2047" s="2" t="s">
        <v>10</v>
      </c>
      <c r="C2047" s="2" t="s">
        <v>19</v>
      </c>
      <c r="D2047" s="2" t="s">
        <v>19</v>
      </c>
      <c r="E2047" s="2">
        <v>0</v>
      </c>
      <c r="F2047" s="2">
        <v>0</v>
      </c>
      <c r="G2047" s="2" t="s">
        <v>10</v>
      </c>
      <c r="H2047" s="2" t="s">
        <v>12</v>
      </c>
      <c r="I2047" s="2" t="s">
        <v>15</v>
      </c>
      <c r="J2047" s="2" t="s">
        <v>14</v>
      </c>
      <c r="K2047" s="2" t="s">
        <v>14</v>
      </c>
      <c r="L2047" s="2" t="s">
        <v>14</v>
      </c>
      <c r="M2047" s="2" t="s">
        <v>14</v>
      </c>
      <c r="N2047" s="2" t="s">
        <v>14</v>
      </c>
      <c r="O2047" s="2">
        <v>1</v>
      </c>
    </row>
    <row r="2048" spans="1:15" ht="15" customHeight="1" x14ac:dyDescent="0.25">
      <c r="A2048" s="3">
        <v>20</v>
      </c>
      <c r="B2048" s="3" t="s">
        <v>18</v>
      </c>
      <c r="C2048" s="3" t="s">
        <v>19</v>
      </c>
      <c r="D2048" s="3" t="s">
        <v>19</v>
      </c>
      <c r="E2048" s="3">
        <v>0</v>
      </c>
      <c r="F2048" s="3">
        <v>0</v>
      </c>
      <c r="G2048" s="3" t="s">
        <v>10</v>
      </c>
      <c r="H2048" s="3" t="s">
        <v>12</v>
      </c>
      <c r="I2048" s="3">
        <v>2</v>
      </c>
      <c r="J2048" s="2" t="s">
        <v>14</v>
      </c>
      <c r="K2048" s="2" t="s">
        <v>14</v>
      </c>
      <c r="L2048" s="2" t="s">
        <v>14</v>
      </c>
      <c r="M2048" s="2" t="s">
        <v>14</v>
      </c>
      <c r="N2048" s="2" t="s">
        <v>14</v>
      </c>
      <c r="O2048" s="3">
        <v>1</v>
      </c>
    </row>
    <row r="2049" spans="1:15" ht="15" customHeight="1" x14ac:dyDescent="0.25">
      <c r="A2049" s="2">
        <v>10</v>
      </c>
      <c r="B2049" s="2" t="s">
        <v>18</v>
      </c>
      <c r="C2049" s="2" t="s">
        <v>19</v>
      </c>
      <c r="D2049" s="2" t="s">
        <v>19</v>
      </c>
      <c r="E2049" s="2">
        <v>0</v>
      </c>
      <c r="F2049" s="2">
        <v>0</v>
      </c>
      <c r="G2049" s="2" t="s">
        <v>10</v>
      </c>
      <c r="H2049" s="2" t="s">
        <v>12</v>
      </c>
      <c r="I2049" s="2" t="s">
        <v>15</v>
      </c>
      <c r="J2049" s="2" t="s">
        <v>14</v>
      </c>
      <c r="K2049" s="2" t="s">
        <v>14</v>
      </c>
      <c r="L2049" s="2" t="s">
        <v>14</v>
      </c>
      <c r="M2049" s="2" t="s">
        <v>14</v>
      </c>
      <c r="N2049" s="2" t="s">
        <v>14</v>
      </c>
      <c r="O2049" s="2">
        <v>1</v>
      </c>
    </row>
    <row r="2050" spans="1:15" ht="15" customHeight="1" x14ac:dyDescent="0.25">
      <c r="A2050" s="3">
        <v>0</v>
      </c>
      <c r="B2050" s="3" t="s">
        <v>10</v>
      </c>
      <c r="C2050" s="3" t="s">
        <v>19</v>
      </c>
      <c r="D2050" s="3" t="s">
        <v>19</v>
      </c>
      <c r="E2050" s="3">
        <v>0</v>
      </c>
      <c r="F2050" s="3">
        <v>0</v>
      </c>
      <c r="G2050" s="3" t="s">
        <v>10</v>
      </c>
      <c r="H2050" s="3" t="s">
        <v>12</v>
      </c>
      <c r="I2050" s="3">
        <v>2</v>
      </c>
      <c r="J2050" s="3" t="s">
        <v>14</v>
      </c>
      <c r="K2050" s="2" t="s">
        <v>14</v>
      </c>
      <c r="L2050" s="2" t="s">
        <v>14</v>
      </c>
      <c r="M2050" s="2" t="s">
        <v>14</v>
      </c>
      <c r="N2050" s="2" t="s">
        <v>14</v>
      </c>
      <c r="O2050" s="3">
        <v>1</v>
      </c>
    </row>
    <row r="2051" spans="1:15" ht="15" customHeight="1" x14ac:dyDescent="0.25">
      <c r="A2051" s="2">
        <v>10</v>
      </c>
      <c r="B2051" s="2" t="s">
        <v>10</v>
      </c>
      <c r="C2051" s="2" t="s">
        <v>19</v>
      </c>
      <c r="D2051" s="2" t="s">
        <v>19</v>
      </c>
      <c r="E2051" s="2">
        <v>0</v>
      </c>
      <c r="F2051" s="2">
        <v>1</v>
      </c>
      <c r="G2051" s="2" t="s">
        <v>10</v>
      </c>
      <c r="H2051" s="2" t="s">
        <v>12</v>
      </c>
      <c r="I2051" s="2" t="s">
        <v>15</v>
      </c>
      <c r="J2051" s="2" t="s">
        <v>14</v>
      </c>
      <c r="K2051" s="2" t="s">
        <v>14</v>
      </c>
      <c r="L2051" s="2" t="s">
        <v>14</v>
      </c>
      <c r="M2051" s="2" t="s">
        <v>14</v>
      </c>
      <c r="N2051" s="2" t="s">
        <v>14</v>
      </c>
      <c r="O2051" s="2">
        <v>1</v>
      </c>
    </row>
    <row r="2052" spans="1:15" ht="15" customHeight="1" x14ac:dyDescent="0.25">
      <c r="A2052" s="3">
        <v>10</v>
      </c>
      <c r="B2052" s="3" t="s">
        <v>10</v>
      </c>
      <c r="C2052" s="3" t="s">
        <v>11</v>
      </c>
      <c r="D2052" s="3" t="s">
        <v>11</v>
      </c>
      <c r="E2052" s="3">
        <v>0</v>
      </c>
      <c r="F2052" s="3">
        <v>0</v>
      </c>
      <c r="G2052" s="3" t="s">
        <v>10</v>
      </c>
      <c r="H2052" s="3" t="s">
        <v>12</v>
      </c>
      <c r="I2052" s="3" t="s">
        <v>15</v>
      </c>
      <c r="J2052" s="2" t="s">
        <v>14</v>
      </c>
      <c r="K2052" s="2" t="s">
        <v>14</v>
      </c>
      <c r="L2052" s="2" t="s">
        <v>14</v>
      </c>
      <c r="M2052" s="2" t="s">
        <v>14</v>
      </c>
      <c r="N2052" s="2" t="s">
        <v>14</v>
      </c>
      <c r="O2052" s="3">
        <v>1</v>
      </c>
    </row>
    <row r="2053" spans="1:15" ht="15" customHeight="1" x14ac:dyDescent="0.25">
      <c r="A2053" s="2">
        <v>10</v>
      </c>
      <c r="B2053" s="2" t="s">
        <v>14</v>
      </c>
      <c r="C2053" s="2" t="s">
        <v>11</v>
      </c>
      <c r="D2053" s="2" t="s">
        <v>11</v>
      </c>
      <c r="E2053" s="2">
        <v>1</v>
      </c>
      <c r="F2053" s="2">
        <v>1</v>
      </c>
      <c r="G2053" s="2" t="s">
        <v>10</v>
      </c>
      <c r="H2053" s="2" t="s">
        <v>16</v>
      </c>
      <c r="I2053" s="2" t="s">
        <v>15</v>
      </c>
      <c r="J2053" s="2" t="s">
        <v>14</v>
      </c>
      <c r="K2053" s="2" t="s">
        <v>14</v>
      </c>
      <c r="L2053" s="2" t="s">
        <v>14</v>
      </c>
      <c r="M2053" s="2" t="s">
        <v>13</v>
      </c>
      <c r="N2053" s="2" t="s">
        <v>13</v>
      </c>
      <c r="O2053" s="2">
        <v>0</v>
      </c>
    </row>
    <row r="2054" spans="1:15" ht="15" customHeight="1" x14ac:dyDescent="0.25">
      <c r="A2054" s="3">
        <v>5</v>
      </c>
      <c r="B2054" s="3" t="s">
        <v>10</v>
      </c>
      <c r="C2054" s="3" t="s">
        <v>20</v>
      </c>
      <c r="D2054" s="3" t="s">
        <v>20</v>
      </c>
      <c r="E2054" s="3">
        <v>0</v>
      </c>
      <c r="F2054" s="3">
        <v>0</v>
      </c>
      <c r="G2054" s="3" t="s">
        <v>10</v>
      </c>
      <c r="H2054" s="3" t="s">
        <v>16</v>
      </c>
      <c r="I2054" s="3">
        <v>2</v>
      </c>
      <c r="J2054" s="2" t="s">
        <v>14</v>
      </c>
      <c r="K2054" s="3" t="s">
        <v>13</v>
      </c>
      <c r="L2054" s="2" t="s">
        <v>14</v>
      </c>
      <c r="M2054" s="2" t="s">
        <v>14</v>
      </c>
      <c r="N2054" s="2" t="s">
        <v>14</v>
      </c>
      <c r="O2054" s="3">
        <v>0</v>
      </c>
    </row>
    <row r="2055" spans="1:15" ht="15" customHeight="1" x14ac:dyDescent="0.25">
      <c r="A2055" s="2">
        <v>0</v>
      </c>
      <c r="B2055" s="2" t="s">
        <v>18</v>
      </c>
      <c r="C2055" s="2" t="s">
        <v>11</v>
      </c>
      <c r="D2055" s="2" t="s">
        <v>11</v>
      </c>
      <c r="E2055" s="2">
        <v>0</v>
      </c>
      <c r="F2055" s="2">
        <v>0</v>
      </c>
      <c r="G2055" s="2" t="s">
        <v>10</v>
      </c>
      <c r="H2055" s="2" t="s">
        <v>12</v>
      </c>
      <c r="I2055" s="2">
        <v>2</v>
      </c>
      <c r="J2055" s="2" t="s">
        <v>14</v>
      </c>
      <c r="K2055" s="2" t="s">
        <v>14</v>
      </c>
      <c r="L2055" s="2" t="s">
        <v>14</v>
      </c>
      <c r="M2055" s="2" t="s">
        <v>14</v>
      </c>
      <c r="N2055" s="2" t="s">
        <v>14</v>
      </c>
      <c r="O2055" s="2">
        <v>1</v>
      </c>
    </row>
    <row r="2056" spans="1:15" ht="15" customHeight="1" x14ac:dyDescent="0.25">
      <c r="A2056" s="3">
        <v>5</v>
      </c>
      <c r="B2056" s="3" t="s">
        <v>18</v>
      </c>
      <c r="C2056" s="3" t="s">
        <v>19</v>
      </c>
      <c r="D2056" s="3" t="s">
        <v>11</v>
      </c>
      <c r="E2056" s="3">
        <v>0</v>
      </c>
      <c r="F2056" s="3">
        <v>0</v>
      </c>
      <c r="G2056" s="3" t="s">
        <v>10</v>
      </c>
      <c r="H2056" s="3" t="s">
        <v>16</v>
      </c>
      <c r="I2056" s="3">
        <v>2</v>
      </c>
      <c r="J2056" s="2" t="s">
        <v>14</v>
      </c>
      <c r="K2056" s="2" t="s">
        <v>14</v>
      </c>
      <c r="L2056" s="2" t="s">
        <v>14</v>
      </c>
      <c r="M2056" s="2" t="s">
        <v>14</v>
      </c>
      <c r="N2056" s="2" t="s">
        <v>14</v>
      </c>
      <c r="O2056" s="3">
        <v>1</v>
      </c>
    </row>
    <row r="2057" spans="1:15" ht="15" customHeight="1" x14ac:dyDescent="0.25">
      <c r="A2057" s="2">
        <v>20</v>
      </c>
      <c r="B2057" s="2" t="s">
        <v>14</v>
      </c>
      <c r="C2057" s="2" t="s">
        <v>19</v>
      </c>
      <c r="D2057" s="2" t="s">
        <v>19</v>
      </c>
      <c r="E2057" s="2">
        <v>0</v>
      </c>
      <c r="F2057" s="2">
        <v>0</v>
      </c>
      <c r="G2057" s="2" t="s">
        <v>10</v>
      </c>
      <c r="H2057" s="2" t="s">
        <v>12</v>
      </c>
      <c r="I2057" s="2">
        <v>2</v>
      </c>
      <c r="J2057" s="2" t="s">
        <v>14</v>
      </c>
      <c r="K2057" s="2" t="s">
        <v>14</v>
      </c>
      <c r="L2057" s="2" t="s">
        <v>14</v>
      </c>
      <c r="M2057" s="2" t="s">
        <v>14</v>
      </c>
      <c r="N2057" s="2" t="s">
        <v>14</v>
      </c>
      <c r="O2057" s="2">
        <v>1</v>
      </c>
    </row>
    <row r="2058" spans="1:15" ht="15" customHeight="1" x14ac:dyDescent="0.25">
      <c r="A2058" s="3">
        <v>10</v>
      </c>
      <c r="B2058" s="3" t="s">
        <v>10</v>
      </c>
      <c r="C2058" s="3" t="s">
        <v>11</v>
      </c>
      <c r="D2058" s="3" t="s">
        <v>19</v>
      </c>
      <c r="E2058" s="3">
        <v>0</v>
      </c>
      <c r="F2058" s="3">
        <v>0</v>
      </c>
      <c r="G2058" s="3" t="s">
        <v>10</v>
      </c>
      <c r="H2058" s="3" t="s">
        <v>12</v>
      </c>
      <c r="I2058" s="3" t="s">
        <v>15</v>
      </c>
      <c r="J2058" s="2" t="s">
        <v>14</v>
      </c>
      <c r="K2058" s="2" t="s">
        <v>14</v>
      </c>
      <c r="L2058" s="2" t="s">
        <v>14</v>
      </c>
      <c r="M2058" s="2" t="s">
        <v>14</v>
      </c>
      <c r="N2058" s="2" t="s">
        <v>14</v>
      </c>
      <c r="O2058" s="3">
        <v>1</v>
      </c>
    </row>
    <row r="2059" spans="1:15" ht="15" customHeight="1" x14ac:dyDescent="0.25">
      <c r="A2059" s="2">
        <v>5</v>
      </c>
      <c r="B2059" s="2" t="s">
        <v>18</v>
      </c>
      <c r="C2059" s="2" t="s">
        <v>11</v>
      </c>
      <c r="D2059" s="2" t="s">
        <v>11</v>
      </c>
      <c r="E2059" s="2">
        <v>0</v>
      </c>
      <c r="F2059" s="2">
        <v>0</v>
      </c>
      <c r="G2059" s="2" t="s">
        <v>10</v>
      </c>
      <c r="H2059" s="2" t="s">
        <v>12</v>
      </c>
      <c r="I2059" s="2" t="s">
        <v>15</v>
      </c>
      <c r="J2059" s="2" t="s">
        <v>14</v>
      </c>
      <c r="K2059" s="2" t="s">
        <v>14</v>
      </c>
      <c r="L2059" s="2" t="s">
        <v>14</v>
      </c>
      <c r="M2059" s="2" t="s">
        <v>14</v>
      </c>
      <c r="N2059" s="2" t="s">
        <v>14</v>
      </c>
      <c r="O2059" s="2">
        <v>1</v>
      </c>
    </row>
    <row r="2060" spans="1:15" ht="15" customHeight="1" x14ac:dyDescent="0.25">
      <c r="A2060" s="3">
        <v>0</v>
      </c>
      <c r="B2060" s="3" t="s">
        <v>14</v>
      </c>
      <c r="C2060" s="3" t="s">
        <v>11</v>
      </c>
      <c r="D2060" s="3" t="s">
        <v>11</v>
      </c>
      <c r="E2060" s="3">
        <v>0</v>
      </c>
      <c r="F2060" s="3">
        <v>0</v>
      </c>
      <c r="G2060" s="3" t="s">
        <v>10</v>
      </c>
      <c r="H2060" s="3" t="s">
        <v>12</v>
      </c>
      <c r="I2060" s="3" t="s">
        <v>15</v>
      </c>
      <c r="J2060" s="2" t="s">
        <v>14</v>
      </c>
      <c r="K2060" s="2" t="s">
        <v>14</v>
      </c>
      <c r="L2060" s="2" t="s">
        <v>14</v>
      </c>
      <c r="M2060" s="2" t="s">
        <v>14</v>
      </c>
      <c r="N2060" s="2" t="s">
        <v>14</v>
      </c>
      <c r="O2060" s="3">
        <v>1</v>
      </c>
    </row>
    <row r="2061" spans="1:15" ht="15" customHeight="1" x14ac:dyDescent="0.25">
      <c r="A2061" s="2">
        <v>10</v>
      </c>
      <c r="B2061" s="2" t="s">
        <v>18</v>
      </c>
      <c r="C2061" s="2" t="s">
        <v>19</v>
      </c>
      <c r="D2061" s="2" t="s">
        <v>11</v>
      </c>
      <c r="E2061" s="2">
        <v>0</v>
      </c>
      <c r="F2061" s="2">
        <v>0</v>
      </c>
      <c r="G2061" s="2" t="s">
        <v>10</v>
      </c>
      <c r="H2061" s="2" t="s">
        <v>12</v>
      </c>
      <c r="I2061" s="2">
        <v>1</v>
      </c>
      <c r="J2061" s="2" t="s">
        <v>14</v>
      </c>
      <c r="K2061" s="2" t="s">
        <v>14</v>
      </c>
      <c r="L2061" s="2" t="s">
        <v>14</v>
      </c>
      <c r="M2061" s="2" t="s">
        <v>14</v>
      </c>
      <c r="N2061" s="2" t="s">
        <v>14</v>
      </c>
      <c r="O2061" s="2">
        <v>1</v>
      </c>
    </row>
    <row r="2062" spans="1:15" ht="15" customHeight="1" x14ac:dyDescent="0.25">
      <c r="A2062" s="3">
        <v>10</v>
      </c>
      <c r="B2062" s="3" t="s">
        <v>10</v>
      </c>
      <c r="C2062" s="3" t="s">
        <v>11</v>
      </c>
      <c r="D2062" s="3" t="s">
        <v>19</v>
      </c>
      <c r="E2062" s="3">
        <v>0</v>
      </c>
      <c r="F2062" s="3">
        <v>0</v>
      </c>
      <c r="G2062" s="3" t="s">
        <v>10</v>
      </c>
      <c r="H2062" s="3" t="s">
        <v>12</v>
      </c>
      <c r="I2062" s="3">
        <v>2</v>
      </c>
      <c r="J2062" s="2" t="s">
        <v>14</v>
      </c>
      <c r="K2062" s="2" t="s">
        <v>14</v>
      </c>
      <c r="L2062" s="2" t="s">
        <v>14</v>
      </c>
      <c r="M2062" s="2" t="s">
        <v>14</v>
      </c>
      <c r="N2062" s="2" t="s">
        <v>14</v>
      </c>
      <c r="O2062" s="3">
        <v>1</v>
      </c>
    </row>
    <row r="2063" spans="1:15" ht="15" customHeight="1" x14ac:dyDescent="0.25">
      <c r="A2063" s="2">
        <v>0</v>
      </c>
      <c r="B2063" s="2" t="s">
        <v>14</v>
      </c>
      <c r="C2063" s="2" t="s">
        <v>11</v>
      </c>
      <c r="D2063" s="2" t="s">
        <v>11</v>
      </c>
      <c r="E2063" s="2">
        <v>0</v>
      </c>
      <c r="F2063" s="2">
        <v>0</v>
      </c>
      <c r="G2063" s="2" t="s">
        <v>10</v>
      </c>
      <c r="H2063" s="2" t="s">
        <v>12</v>
      </c>
      <c r="I2063" s="2" t="s">
        <v>15</v>
      </c>
      <c r="J2063" s="2" t="s">
        <v>14</v>
      </c>
      <c r="K2063" s="2" t="s">
        <v>14</v>
      </c>
      <c r="L2063" s="2" t="s">
        <v>14</v>
      </c>
      <c r="M2063" s="2" t="s">
        <v>14</v>
      </c>
      <c r="N2063" s="2" t="s">
        <v>14</v>
      </c>
      <c r="O2063" s="2">
        <v>1</v>
      </c>
    </row>
    <row r="2064" spans="1:15" ht="15" customHeight="1" x14ac:dyDescent="0.25">
      <c r="A2064" s="3">
        <v>20</v>
      </c>
      <c r="B2064" s="3" t="s">
        <v>10</v>
      </c>
      <c r="C2064" s="3" t="s">
        <v>19</v>
      </c>
      <c r="D2064" s="3" t="s">
        <v>19</v>
      </c>
      <c r="E2064" s="3">
        <v>0</v>
      </c>
      <c r="F2064" s="3">
        <v>1</v>
      </c>
      <c r="G2064" s="3" t="s">
        <v>10</v>
      </c>
      <c r="H2064" s="3" t="s">
        <v>12</v>
      </c>
      <c r="I2064" s="3" t="s">
        <v>15</v>
      </c>
      <c r="J2064" s="2" t="s">
        <v>14</v>
      </c>
      <c r="K2064" s="2" t="s">
        <v>14</v>
      </c>
      <c r="L2064" s="2" t="s">
        <v>14</v>
      </c>
      <c r="M2064" s="2" t="s">
        <v>14</v>
      </c>
      <c r="N2064" s="2" t="s">
        <v>14</v>
      </c>
      <c r="O2064" s="3">
        <v>0</v>
      </c>
    </row>
    <row r="2065" spans="1:15" ht="15" customHeight="1" x14ac:dyDescent="0.25">
      <c r="A2065" s="2">
        <v>5</v>
      </c>
      <c r="B2065" s="2" t="s">
        <v>10</v>
      </c>
      <c r="C2065" s="2" t="s">
        <v>19</v>
      </c>
      <c r="D2065" s="2" t="s">
        <v>19</v>
      </c>
      <c r="E2065" s="2">
        <v>0</v>
      </c>
      <c r="F2065" s="2">
        <v>0</v>
      </c>
      <c r="G2065" s="2" t="s">
        <v>10</v>
      </c>
      <c r="H2065" s="2" t="s">
        <v>12</v>
      </c>
      <c r="I2065" s="2">
        <v>1</v>
      </c>
      <c r="J2065" s="2" t="s">
        <v>14</v>
      </c>
      <c r="K2065" s="2" t="s">
        <v>14</v>
      </c>
      <c r="L2065" s="2" t="s">
        <v>14</v>
      </c>
      <c r="M2065" s="2" t="s">
        <v>14</v>
      </c>
      <c r="N2065" s="2" t="s">
        <v>14</v>
      </c>
      <c r="O2065" s="2">
        <v>1</v>
      </c>
    </row>
    <row r="2066" spans="1:15" ht="15" customHeight="1" x14ac:dyDescent="0.25">
      <c r="A2066" s="3">
        <v>0</v>
      </c>
      <c r="B2066" s="3" t="s">
        <v>18</v>
      </c>
      <c r="C2066" s="3" t="s">
        <v>19</v>
      </c>
      <c r="D2066" s="3" t="s">
        <v>19</v>
      </c>
      <c r="E2066" s="3">
        <v>0</v>
      </c>
      <c r="F2066" s="3">
        <v>0</v>
      </c>
      <c r="G2066" s="3" t="s">
        <v>10</v>
      </c>
      <c r="H2066" s="3" t="s">
        <v>12</v>
      </c>
      <c r="I2066" s="3">
        <v>1</v>
      </c>
      <c r="J2066" s="2" t="s">
        <v>14</v>
      </c>
      <c r="K2066" s="2" t="s">
        <v>14</v>
      </c>
      <c r="L2066" s="2" t="s">
        <v>14</v>
      </c>
      <c r="M2066" s="2" t="s">
        <v>14</v>
      </c>
      <c r="N2066" s="2" t="s">
        <v>14</v>
      </c>
      <c r="O2066" s="3">
        <v>1</v>
      </c>
    </row>
    <row r="2067" spans="1:15" ht="15" customHeight="1" x14ac:dyDescent="0.25">
      <c r="A2067" s="2">
        <v>5</v>
      </c>
      <c r="B2067" s="2" t="s">
        <v>10</v>
      </c>
      <c r="C2067" s="2" t="s">
        <v>19</v>
      </c>
      <c r="D2067" s="2" t="s">
        <v>19</v>
      </c>
      <c r="E2067" s="2">
        <v>0</v>
      </c>
      <c r="F2067" s="2">
        <v>1</v>
      </c>
      <c r="G2067" s="2" t="s">
        <v>10</v>
      </c>
      <c r="H2067" s="2" t="s">
        <v>12</v>
      </c>
      <c r="I2067" s="2">
        <v>1</v>
      </c>
      <c r="J2067" s="2" t="s">
        <v>14</v>
      </c>
      <c r="K2067" s="2" t="s">
        <v>14</v>
      </c>
      <c r="L2067" s="2" t="s">
        <v>14</v>
      </c>
      <c r="M2067" s="2" t="s">
        <v>14</v>
      </c>
      <c r="N2067" s="2" t="s">
        <v>14</v>
      </c>
      <c r="O2067" s="2">
        <v>1</v>
      </c>
    </row>
    <row r="2068" spans="1:15" ht="15" customHeight="1" x14ac:dyDescent="0.25">
      <c r="A2068" s="3">
        <v>0</v>
      </c>
      <c r="B2068" s="3" t="s">
        <v>14</v>
      </c>
      <c r="C2068" s="3" t="s">
        <v>20</v>
      </c>
      <c r="D2068" s="3" t="s">
        <v>20</v>
      </c>
      <c r="E2068" s="3">
        <v>0</v>
      </c>
      <c r="F2068" s="3">
        <v>0</v>
      </c>
      <c r="G2068" s="3" t="s">
        <v>10</v>
      </c>
      <c r="H2068" s="3" t="s">
        <v>12</v>
      </c>
      <c r="I2068" s="3">
        <v>1</v>
      </c>
      <c r="J2068" s="2" t="s">
        <v>14</v>
      </c>
      <c r="K2068" s="3" t="s">
        <v>13</v>
      </c>
      <c r="L2068" s="3" t="s">
        <v>13</v>
      </c>
      <c r="M2068" s="3" t="s">
        <v>14</v>
      </c>
      <c r="N2068" s="2" t="s">
        <v>14</v>
      </c>
      <c r="O2068" s="3">
        <v>1</v>
      </c>
    </row>
    <row r="2069" spans="1:15" ht="15" customHeight="1" x14ac:dyDescent="0.25">
      <c r="A2069" s="2">
        <v>0</v>
      </c>
      <c r="B2069" s="2" t="s">
        <v>10</v>
      </c>
      <c r="C2069" s="2" t="s">
        <v>20</v>
      </c>
      <c r="D2069" s="2" t="s">
        <v>20</v>
      </c>
      <c r="E2069" s="2">
        <v>0</v>
      </c>
      <c r="F2069" s="2">
        <v>1</v>
      </c>
      <c r="G2069" s="2" t="s">
        <v>10</v>
      </c>
      <c r="H2069" s="2" t="s">
        <v>12</v>
      </c>
      <c r="I2069" s="2" t="s">
        <v>15</v>
      </c>
      <c r="J2069" s="2" t="s">
        <v>14</v>
      </c>
      <c r="K2069" s="2" t="s">
        <v>14</v>
      </c>
      <c r="L2069" s="2" t="s">
        <v>14</v>
      </c>
      <c r="M2069" s="2" t="s">
        <v>14</v>
      </c>
      <c r="N2069" s="2" t="s">
        <v>14</v>
      </c>
      <c r="O2069" s="2">
        <v>0</v>
      </c>
    </row>
    <row r="2070" spans="1:15" ht="15" customHeight="1" x14ac:dyDescent="0.25">
      <c r="A2070" s="3">
        <v>5</v>
      </c>
      <c r="B2070" s="3" t="s">
        <v>14</v>
      </c>
      <c r="C2070" s="3" t="s">
        <v>11</v>
      </c>
      <c r="D2070" s="3" t="s">
        <v>11</v>
      </c>
      <c r="E2070" s="3">
        <v>0</v>
      </c>
      <c r="F2070" s="3">
        <v>0</v>
      </c>
      <c r="G2070" s="3" t="s">
        <v>10</v>
      </c>
      <c r="H2070" s="3" t="s">
        <v>12</v>
      </c>
      <c r="I2070" s="3">
        <v>1</v>
      </c>
      <c r="J2070" s="2" t="s">
        <v>14</v>
      </c>
      <c r="K2070" s="2" t="s">
        <v>14</v>
      </c>
      <c r="L2070" s="2" t="s">
        <v>14</v>
      </c>
      <c r="M2070" s="2" t="s">
        <v>14</v>
      </c>
      <c r="N2070" s="2" t="s">
        <v>14</v>
      </c>
      <c r="O2070" s="3">
        <v>1</v>
      </c>
    </row>
    <row r="2071" spans="1:15" ht="15" customHeight="1" x14ac:dyDescent="0.25">
      <c r="A2071" s="2">
        <v>5</v>
      </c>
      <c r="B2071" s="2" t="s">
        <v>10</v>
      </c>
      <c r="C2071" s="2" t="s">
        <v>11</v>
      </c>
      <c r="D2071" s="2" t="s">
        <v>11</v>
      </c>
      <c r="E2071" s="2">
        <v>0</v>
      </c>
      <c r="F2071" s="2">
        <v>0</v>
      </c>
      <c r="G2071" s="2" t="s">
        <v>10</v>
      </c>
      <c r="H2071" s="2" t="s">
        <v>12</v>
      </c>
      <c r="I2071" s="2" t="s">
        <v>15</v>
      </c>
      <c r="J2071" s="2" t="s">
        <v>14</v>
      </c>
      <c r="K2071" s="2" t="s">
        <v>14</v>
      </c>
      <c r="L2071" s="2" t="s">
        <v>14</v>
      </c>
      <c r="M2071" s="2" t="s">
        <v>14</v>
      </c>
      <c r="N2071" s="2" t="s">
        <v>14</v>
      </c>
      <c r="O2071" s="2">
        <v>0</v>
      </c>
    </row>
    <row r="2072" spans="1:15" ht="15" customHeight="1" x14ac:dyDescent="0.25">
      <c r="A2072" s="3">
        <v>10</v>
      </c>
      <c r="B2072" s="3" t="s">
        <v>18</v>
      </c>
      <c r="C2072" s="3" t="s">
        <v>11</v>
      </c>
      <c r="D2072" s="3" t="s">
        <v>11</v>
      </c>
      <c r="E2072" s="3">
        <v>0</v>
      </c>
      <c r="F2072" s="3">
        <v>1</v>
      </c>
      <c r="G2072" s="3" t="s">
        <v>10</v>
      </c>
      <c r="H2072" s="3" t="s">
        <v>12</v>
      </c>
      <c r="I2072" s="3">
        <v>1</v>
      </c>
      <c r="J2072" s="2" t="s">
        <v>14</v>
      </c>
      <c r="K2072" s="2" t="s">
        <v>14</v>
      </c>
      <c r="L2072" s="2" t="s">
        <v>14</v>
      </c>
      <c r="M2072" s="2" t="s">
        <v>14</v>
      </c>
      <c r="N2072" s="2" t="s">
        <v>14</v>
      </c>
      <c r="O2072" s="3">
        <v>1</v>
      </c>
    </row>
    <row r="2073" spans="1:15" ht="15" customHeight="1" x14ac:dyDescent="0.25">
      <c r="A2073" s="2">
        <v>0</v>
      </c>
      <c r="B2073" s="2" t="s">
        <v>14</v>
      </c>
      <c r="C2073" s="2" t="s">
        <v>11</v>
      </c>
      <c r="D2073" s="2" t="s">
        <v>11</v>
      </c>
      <c r="E2073" s="2">
        <v>0</v>
      </c>
      <c r="F2073" s="2">
        <v>0</v>
      </c>
      <c r="G2073" s="2" t="s">
        <v>10</v>
      </c>
      <c r="H2073" s="2" t="s">
        <v>12</v>
      </c>
      <c r="I2073" s="2" t="s">
        <v>15</v>
      </c>
      <c r="J2073" s="2" t="s">
        <v>14</v>
      </c>
      <c r="K2073" s="2" t="s">
        <v>14</v>
      </c>
      <c r="L2073" s="2" t="s">
        <v>14</v>
      </c>
      <c r="M2073" s="2" t="s">
        <v>14</v>
      </c>
      <c r="N2073" s="2" t="s">
        <v>14</v>
      </c>
      <c r="O2073" s="2">
        <v>1</v>
      </c>
    </row>
    <row r="2074" spans="1:15" ht="15" customHeight="1" x14ac:dyDescent="0.25">
      <c r="A2074" s="3">
        <v>5</v>
      </c>
      <c r="B2074" s="3" t="s">
        <v>18</v>
      </c>
      <c r="C2074" s="3" t="s">
        <v>11</v>
      </c>
      <c r="D2074" s="3" t="s">
        <v>11</v>
      </c>
      <c r="E2074" s="3">
        <v>0</v>
      </c>
      <c r="F2074" s="3">
        <v>0</v>
      </c>
      <c r="G2074" s="3" t="s">
        <v>10</v>
      </c>
      <c r="H2074" s="3" t="s">
        <v>12</v>
      </c>
      <c r="I2074" s="3">
        <v>2</v>
      </c>
      <c r="J2074" s="2" t="s">
        <v>14</v>
      </c>
      <c r="K2074" s="2" t="s">
        <v>14</v>
      </c>
      <c r="L2074" s="2" t="s">
        <v>14</v>
      </c>
      <c r="M2074" s="2" t="s">
        <v>14</v>
      </c>
      <c r="N2074" s="2" t="s">
        <v>14</v>
      </c>
      <c r="O2074" s="3">
        <v>1</v>
      </c>
    </row>
    <row r="2075" spans="1:15" ht="15" customHeight="1" x14ac:dyDescent="0.25">
      <c r="A2075" s="2">
        <v>5</v>
      </c>
      <c r="B2075" s="2" t="s">
        <v>10</v>
      </c>
      <c r="C2075" s="2" t="s">
        <v>11</v>
      </c>
      <c r="D2075" s="2" t="s">
        <v>11</v>
      </c>
      <c r="E2075" s="2">
        <v>0</v>
      </c>
      <c r="F2075" s="2">
        <v>2</v>
      </c>
      <c r="G2075" s="2" t="s">
        <v>10</v>
      </c>
      <c r="H2075" s="2" t="s">
        <v>12</v>
      </c>
      <c r="I2075" s="2" t="s">
        <v>15</v>
      </c>
      <c r="J2075" s="2" t="s">
        <v>13</v>
      </c>
      <c r="K2075" s="2" t="s">
        <v>14</v>
      </c>
      <c r="L2075" s="2" t="s">
        <v>14</v>
      </c>
      <c r="M2075" s="2" t="s">
        <v>14</v>
      </c>
      <c r="N2075" s="2" t="s">
        <v>14</v>
      </c>
      <c r="O2075" s="2">
        <v>0</v>
      </c>
    </row>
    <row r="2076" spans="1:15" ht="15" customHeight="1" x14ac:dyDescent="0.25">
      <c r="A2076" s="3">
        <v>30</v>
      </c>
      <c r="B2076" s="3" t="s">
        <v>10</v>
      </c>
      <c r="C2076" s="3" t="s">
        <v>19</v>
      </c>
      <c r="D2076" s="3" t="s">
        <v>20</v>
      </c>
      <c r="E2076" s="3">
        <v>0</v>
      </c>
      <c r="F2076" s="3">
        <v>1</v>
      </c>
      <c r="G2076" s="3" t="s">
        <v>10</v>
      </c>
      <c r="H2076" s="3" t="s">
        <v>12</v>
      </c>
      <c r="I2076" s="3">
        <v>2</v>
      </c>
      <c r="J2076" s="3" t="s">
        <v>14</v>
      </c>
      <c r="K2076" s="3" t="s">
        <v>14</v>
      </c>
      <c r="L2076" s="3" t="s">
        <v>14</v>
      </c>
      <c r="M2076" s="3" t="s">
        <v>13</v>
      </c>
      <c r="N2076" s="3" t="s">
        <v>14</v>
      </c>
      <c r="O2076" s="3">
        <v>1</v>
      </c>
    </row>
    <row r="2077" spans="1:15" ht="15" customHeight="1" x14ac:dyDescent="0.25">
      <c r="A2077" s="2">
        <v>0</v>
      </c>
      <c r="B2077" s="2" t="s">
        <v>18</v>
      </c>
      <c r="C2077" s="2" t="s">
        <v>19</v>
      </c>
      <c r="D2077" s="2" t="s">
        <v>19</v>
      </c>
      <c r="E2077" s="2">
        <v>0</v>
      </c>
      <c r="F2077" s="2">
        <v>1</v>
      </c>
      <c r="G2077" s="2" t="s">
        <v>10</v>
      </c>
      <c r="H2077" s="2" t="s">
        <v>16</v>
      </c>
      <c r="I2077" s="2">
        <v>1</v>
      </c>
      <c r="J2077" s="2" t="s">
        <v>14</v>
      </c>
      <c r="K2077" s="2" t="s">
        <v>13</v>
      </c>
      <c r="L2077" s="2" t="s">
        <v>13</v>
      </c>
      <c r="M2077" s="2" t="s">
        <v>14</v>
      </c>
      <c r="N2077" s="2" t="s">
        <v>14</v>
      </c>
      <c r="O2077" s="2">
        <v>0</v>
      </c>
    </row>
    <row r="2078" spans="1:15" ht="15" customHeight="1" x14ac:dyDescent="0.25">
      <c r="A2078" s="3">
        <v>0</v>
      </c>
      <c r="B2078" s="3" t="s">
        <v>14</v>
      </c>
      <c r="C2078" s="3" t="s">
        <v>19</v>
      </c>
      <c r="D2078" s="3" t="s">
        <v>19</v>
      </c>
      <c r="E2078" s="3">
        <v>0</v>
      </c>
      <c r="F2078" s="3">
        <v>0</v>
      </c>
      <c r="G2078" s="3" t="s">
        <v>10</v>
      </c>
      <c r="H2078" s="3" t="s">
        <v>12</v>
      </c>
      <c r="I2078" s="3">
        <v>1</v>
      </c>
      <c r="J2078" s="2" t="s">
        <v>14</v>
      </c>
      <c r="K2078" s="3" t="s">
        <v>13</v>
      </c>
      <c r="L2078" s="3" t="s">
        <v>13</v>
      </c>
      <c r="M2078" s="3" t="s">
        <v>14</v>
      </c>
      <c r="N2078" s="2" t="s">
        <v>14</v>
      </c>
      <c r="O2078" s="3">
        <v>1</v>
      </c>
    </row>
    <row r="2079" spans="1:15" ht="15" customHeight="1" x14ac:dyDescent="0.25">
      <c r="A2079" s="2">
        <v>10</v>
      </c>
      <c r="B2079" s="2" t="s">
        <v>10</v>
      </c>
      <c r="C2079" s="2" t="s">
        <v>11</v>
      </c>
      <c r="D2079" s="2" t="s">
        <v>19</v>
      </c>
      <c r="E2079" s="2">
        <v>1</v>
      </c>
      <c r="F2079" s="2">
        <v>0</v>
      </c>
      <c r="G2079" s="2" t="s">
        <v>10</v>
      </c>
      <c r="H2079" s="2" t="s">
        <v>12</v>
      </c>
      <c r="I2079" s="2" t="s">
        <v>15</v>
      </c>
      <c r="J2079" s="2" t="s">
        <v>14</v>
      </c>
      <c r="K2079" s="2" t="s">
        <v>14</v>
      </c>
      <c r="L2079" s="2" t="s">
        <v>14</v>
      </c>
      <c r="M2079" s="2" t="s">
        <v>14</v>
      </c>
      <c r="N2079" s="2" t="s">
        <v>14</v>
      </c>
      <c r="O2079" s="2">
        <v>0</v>
      </c>
    </row>
    <row r="2080" spans="1:15" ht="15" customHeight="1" x14ac:dyDescent="0.25">
      <c r="A2080" s="3">
        <v>10</v>
      </c>
      <c r="B2080" s="3" t="s">
        <v>18</v>
      </c>
      <c r="C2080" s="3" t="s">
        <v>19</v>
      </c>
      <c r="D2080" s="3" t="s">
        <v>19</v>
      </c>
      <c r="E2080" s="3">
        <v>0</v>
      </c>
      <c r="F2080" s="3">
        <v>0</v>
      </c>
      <c r="G2080" s="3" t="s">
        <v>10</v>
      </c>
      <c r="H2080" s="3" t="s">
        <v>12</v>
      </c>
      <c r="I2080" s="3" t="s">
        <v>15</v>
      </c>
      <c r="J2080" s="2" t="s">
        <v>14</v>
      </c>
      <c r="K2080" s="2" t="s">
        <v>14</v>
      </c>
      <c r="L2080" s="2" t="s">
        <v>14</v>
      </c>
      <c r="M2080" s="2" t="s">
        <v>14</v>
      </c>
      <c r="N2080" s="2" t="s">
        <v>14</v>
      </c>
      <c r="O2080" s="3">
        <v>1</v>
      </c>
    </row>
    <row r="2081" spans="1:15" ht="15" customHeight="1" x14ac:dyDescent="0.25">
      <c r="A2081" s="2">
        <v>10</v>
      </c>
      <c r="B2081" s="2" t="s">
        <v>18</v>
      </c>
      <c r="C2081" s="2" t="s">
        <v>20</v>
      </c>
      <c r="D2081" s="2" t="s">
        <v>19</v>
      </c>
      <c r="E2081" s="2">
        <v>0</v>
      </c>
      <c r="F2081" s="2">
        <v>0</v>
      </c>
      <c r="G2081" s="2" t="s">
        <v>10</v>
      </c>
      <c r="H2081" s="2" t="s">
        <v>16</v>
      </c>
      <c r="I2081" s="2">
        <v>1</v>
      </c>
      <c r="J2081" s="2" t="s">
        <v>14</v>
      </c>
      <c r="K2081" s="2" t="s">
        <v>14</v>
      </c>
      <c r="L2081" s="2" t="s">
        <v>14</v>
      </c>
      <c r="M2081" s="2" t="s">
        <v>14</v>
      </c>
      <c r="N2081" s="2" t="s">
        <v>14</v>
      </c>
      <c r="O2081" s="2">
        <v>1</v>
      </c>
    </row>
    <row r="2082" spans="1:15" ht="15" customHeight="1" x14ac:dyDescent="0.25">
      <c r="A2082" s="3">
        <v>30</v>
      </c>
      <c r="B2082" s="3" t="s">
        <v>10</v>
      </c>
      <c r="C2082" s="3" t="s">
        <v>11</v>
      </c>
      <c r="D2082" s="3" t="s">
        <v>20</v>
      </c>
      <c r="E2082" s="3">
        <v>0</v>
      </c>
      <c r="F2082" s="3">
        <v>2</v>
      </c>
      <c r="G2082" s="3" t="s">
        <v>10</v>
      </c>
      <c r="H2082" s="3" t="s">
        <v>16</v>
      </c>
      <c r="I2082" s="3">
        <v>1</v>
      </c>
      <c r="J2082" s="2" t="s">
        <v>14</v>
      </c>
      <c r="K2082" s="2" t="s">
        <v>14</v>
      </c>
      <c r="L2082" s="2" t="s">
        <v>14</v>
      </c>
      <c r="M2082" s="3" t="s">
        <v>13</v>
      </c>
      <c r="N2082" s="3" t="s">
        <v>14</v>
      </c>
      <c r="O2082" s="3">
        <v>1</v>
      </c>
    </row>
    <row r="2083" spans="1:15" ht="15" customHeight="1" x14ac:dyDescent="0.25">
      <c r="A2083" s="2">
        <v>10</v>
      </c>
      <c r="B2083" s="2" t="s">
        <v>10</v>
      </c>
      <c r="C2083" s="2" t="s">
        <v>11</v>
      </c>
      <c r="D2083" s="2" t="s">
        <v>19</v>
      </c>
      <c r="E2083" s="2">
        <v>0</v>
      </c>
      <c r="F2083" s="2">
        <v>0</v>
      </c>
      <c r="G2083" s="2" t="s">
        <v>10</v>
      </c>
      <c r="H2083" s="2" t="s">
        <v>12</v>
      </c>
      <c r="I2083" s="2" t="s">
        <v>15</v>
      </c>
      <c r="J2083" s="2" t="s">
        <v>14</v>
      </c>
      <c r="K2083" s="2" t="s">
        <v>14</v>
      </c>
      <c r="L2083" s="2" t="s">
        <v>14</v>
      </c>
      <c r="M2083" s="2" t="s">
        <v>14</v>
      </c>
      <c r="N2083" s="2" t="s">
        <v>14</v>
      </c>
      <c r="O2083" s="2">
        <v>1</v>
      </c>
    </row>
    <row r="2084" spans="1:15" ht="15" customHeight="1" x14ac:dyDescent="0.25">
      <c r="A2084" s="3">
        <v>10</v>
      </c>
      <c r="B2084" s="3" t="s">
        <v>14</v>
      </c>
      <c r="C2084" s="3" t="s">
        <v>11</v>
      </c>
      <c r="D2084" s="3" t="s">
        <v>11</v>
      </c>
      <c r="E2084" s="3">
        <v>2</v>
      </c>
      <c r="F2084" s="3">
        <v>2</v>
      </c>
      <c r="G2084" s="3" t="s">
        <v>10</v>
      </c>
      <c r="H2084" s="3" t="s">
        <v>16</v>
      </c>
      <c r="I2084" s="3" t="s">
        <v>15</v>
      </c>
      <c r="J2084" s="2" t="s">
        <v>14</v>
      </c>
      <c r="K2084" s="2" t="s">
        <v>14</v>
      </c>
      <c r="L2084" s="2" t="s">
        <v>14</v>
      </c>
      <c r="M2084" s="3" t="s">
        <v>13</v>
      </c>
      <c r="N2084" s="3" t="s">
        <v>13</v>
      </c>
      <c r="O2084" s="3">
        <v>0</v>
      </c>
    </row>
    <row r="2085" spans="1:15" ht="15" customHeight="1" x14ac:dyDescent="0.25">
      <c r="A2085" s="2">
        <v>0</v>
      </c>
      <c r="B2085" s="2" t="s">
        <v>10</v>
      </c>
      <c r="C2085" s="2" t="s">
        <v>19</v>
      </c>
      <c r="D2085" s="2" t="s">
        <v>19</v>
      </c>
      <c r="E2085" s="2">
        <v>0</v>
      </c>
      <c r="F2085" s="2">
        <v>0</v>
      </c>
      <c r="G2085" s="2" t="s">
        <v>10</v>
      </c>
      <c r="H2085" s="2" t="s">
        <v>12</v>
      </c>
      <c r="I2085" s="2">
        <v>2</v>
      </c>
      <c r="J2085" s="2" t="s">
        <v>14</v>
      </c>
      <c r="K2085" s="2" t="s">
        <v>14</v>
      </c>
      <c r="L2085" s="2" t="s">
        <v>14</v>
      </c>
      <c r="M2085" s="2" t="s">
        <v>14</v>
      </c>
      <c r="N2085" s="2" t="s">
        <v>14</v>
      </c>
      <c r="O2085" s="2">
        <v>1</v>
      </c>
    </row>
    <row r="2086" spans="1:15" ht="15" customHeight="1" x14ac:dyDescent="0.25">
      <c r="A2086" s="3">
        <v>0</v>
      </c>
      <c r="B2086" s="3" t="s">
        <v>18</v>
      </c>
      <c r="C2086" s="3" t="s">
        <v>19</v>
      </c>
      <c r="D2086" s="3" t="s">
        <v>19</v>
      </c>
      <c r="E2086" s="3">
        <v>0</v>
      </c>
      <c r="F2086" s="3">
        <v>0</v>
      </c>
      <c r="G2086" s="3" t="s">
        <v>10</v>
      </c>
      <c r="H2086" s="3" t="s">
        <v>12</v>
      </c>
      <c r="I2086" s="3">
        <v>2</v>
      </c>
      <c r="J2086" s="2" t="s">
        <v>14</v>
      </c>
      <c r="K2086" s="2" t="s">
        <v>14</v>
      </c>
      <c r="L2086" s="2" t="s">
        <v>14</v>
      </c>
      <c r="M2086" s="2" t="s">
        <v>14</v>
      </c>
      <c r="N2086" s="2" t="s">
        <v>14</v>
      </c>
      <c r="O2086" s="3">
        <v>1</v>
      </c>
    </row>
    <row r="2087" spans="1:15" ht="15" customHeight="1" x14ac:dyDescent="0.25">
      <c r="A2087" s="2">
        <v>10</v>
      </c>
      <c r="B2087" s="2" t="s">
        <v>10</v>
      </c>
      <c r="C2087" s="2" t="s">
        <v>19</v>
      </c>
      <c r="D2087" s="2" t="s">
        <v>19</v>
      </c>
      <c r="E2087" s="2">
        <v>0</v>
      </c>
      <c r="F2087" s="2">
        <v>0</v>
      </c>
      <c r="G2087" s="2" t="s">
        <v>10</v>
      </c>
      <c r="H2087" s="2" t="s">
        <v>12</v>
      </c>
      <c r="I2087" s="2">
        <v>1</v>
      </c>
      <c r="J2087" s="2" t="s">
        <v>14</v>
      </c>
      <c r="K2087" s="2" t="s">
        <v>14</v>
      </c>
      <c r="L2087" s="2" t="s">
        <v>14</v>
      </c>
      <c r="M2087" s="2" t="s">
        <v>14</v>
      </c>
      <c r="N2087" s="2" t="s">
        <v>14</v>
      </c>
      <c r="O2087" s="2">
        <v>1</v>
      </c>
    </row>
    <row r="2088" spans="1:15" ht="15" customHeight="1" x14ac:dyDescent="0.25">
      <c r="A2088" s="3">
        <v>5</v>
      </c>
      <c r="B2088" s="3" t="s">
        <v>10</v>
      </c>
      <c r="C2088" s="3" t="s">
        <v>11</v>
      </c>
      <c r="D2088" s="3" t="s">
        <v>11</v>
      </c>
      <c r="E2088" s="3">
        <v>0</v>
      </c>
      <c r="F2088" s="3">
        <v>0</v>
      </c>
      <c r="G2088" s="3" t="s">
        <v>10</v>
      </c>
      <c r="H2088" s="3" t="s">
        <v>16</v>
      </c>
      <c r="I2088" s="3" t="s">
        <v>15</v>
      </c>
      <c r="J2088" s="2" t="s">
        <v>14</v>
      </c>
      <c r="K2088" s="2" t="s">
        <v>14</v>
      </c>
      <c r="L2088" s="2" t="s">
        <v>14</v>
      </c>
      <c r="M2088" s="2" t="s">
        <v>14</v>
      </c>
      <c r="N2088" s="2" t="s">
        <v>14</v>
      </c>
      <c r="O2088" s="3">
        <v>1</v>
      </c>
    </row>
    <row r="2089" spans="1:15" ht="15" customHeight="1" x14ac:dyDescent="0.25">
      <c r="A2089" s="2">
        <v>10</v>
      </c>
      <c r="B2089" s="2" t="s">
        <v>18</v>
      </c>
      <c r="C2089" s="2" t="s">
        <v>11</v>
      </c>
      <c r="D2089" s="2" t="s">
        <v>11</v>
      </c>
      <c r="E2089" s="2">
        <v>0</v>
      </c>
      <c r="F2089" s="2">
        <v>0</v>
      </c>
      <c r="G2089" s="2" t="s">
        <v>10</v>
      </c>
      <c r="H2089" s="2" t="s">
        <v>16</v>
      </c>
      <c r="I2089" s="2" t="s">
        <v>15</v>
      </c>
      <c r="J2089" s="2" t="s">
        <v>14</v>
      </c>
      <c r="K2089" s="2" t="s">
        <v>14</v>
      </c>
      <c r="L2089" s="2" t="s">
        <v>14</v>
      </c>
      <c r="M2089" s="2" t="s">
        <v>14</v>
      </c>
      <c r="N2089" s="2" t="s">
        <v>14</v>
      </c>
      <c r="O2089" s="2">
        <v>1</v>
      </c>
    </row>
    <row r="2090" spans="1:15" ht="15" customHeight="1" x14ac:dyDescent="0.25">
      <c r="A2090" s="3">
        <v>10</v>
      </c>
      <c r="B2090" s="3" t="s">
        <v>18</v>
      </c>
      <c r="C2090" s="3" t="s">
        <v>19</v>
      </c>
      <c r="D2090" s="3" t="s">
        <v>11</v>
      </c>
      <c r="E2090" s="3">
        <v>0</v>
      </c>
      <c r="F2090" s="3">
        <v>0</v>
      </c>
      <c r="G2090" s="3" t="s">
        <v>10</v>
      </c>
      <c r="H2090" s="3" t="s">
        <v>12</v>
      </c>
      <c r="I2090" s="3">
        <v>2</v>
      </c>
      <c r="J2090" s="2" t="s">
        <v>14</v>
      </c>
      <c r="K2090" s="2" t="s">
        <v>14</v>
      </c>
      <c r="L2090" s="2" t="s">
        <v>14</v>
      </c>
      <c r="M2090" s="2" t="s">
        <v>14</v>
      </c>
      <c r="N2090" s="2" t="s">
        <v>14</v>
      </c>
      <c r="O2090" s="3">
        <v>1</v>
      </c>
    </row>
    <row r="2091" spans="1:15" ht="15" customHeight="1" x14ac:dyDescent="0.25">
      <c r="A2091" s="2">
        <v>10</v>
      </c>
      <c r="B2091" s="2" t="s">
        <v>10</v>
      </c>
      <c r="C2091" s="2" t="s">
        <v>11</v>
      </c>
      <c r="D2091" s="2" t="s">
        <v>19</v>
      </c>
      <c r="E2091" s="2">
        <v>1</v>
      </c>
      <c r="F2091" s="2">
        <v>0</v>
      </c>
      <c r="G2091" s="2" t="s">
        <v>10</v>
      </c>
      <c r="H2091" s="2" t="s">
        <v>12</v>
      </c>
      <c r="I2091" s="2" t="s">
        <v>15</v>
      </c>
      <c r="J2091" s="2" t="s">
        <v>13</v>
      </c>
      <c r="K2091" s="2" t="s">
        <v>14</v>
      </c>
      <c r="L2091" s="2" t="s">
        <v>14</v>
      </c>
      <c r="M2091" s="2" t="s">
        <v>14</v>
      </c>
      <c r="N2091" s="2" t="s">
        <v>14</v>
      </c>
      <c r="O2091" s="2">
        <v>0</v>
      </c>
    </row>
    <row r="2092" spans="1:15" ht="15" customHeight="1" x14ac:dyDescent="0.25">
      <c r="A2092" s="3">
        <v>0</v>
      </c>
      <c r="B2092" s="3" t="s">
        <v>18</v>
      </c>
      <c r="C2092" s="3" t="s">
        <v>11</v>
      </c>
      <c r="D2092" s="3" t="s">
        <v>11</v>
      </c>
      <c r="E2092" s="3">
        <v>0</v>
      </c>
      <c r="F2092" s="3">
        <v>0</v>
      </c>
      <c r="G2092" s="3" t="s">
        <v>10</v>
      </c>
      <c r="H2092" s="3" t="s">
        <v>12</v>
      </c>
      <c r="I2092" s="3" t="s">
        <v>15</v>
      </c>
      <c r="J2092" s="2" t="s">
        <v>14</v>
      </c>
      <c r="K2092" s="2" t="s">
        <v>14</v>
      </c>
      <c r="L2092" s="2" t="s">
        <v>14</v>
      </c>
      <c r="M2092" s="2" t="s">
        <v>14</v>
      </c>
      <c r="N2092" s="2" t="s">
        <v>14</v>
      </c>
      <c r="O2092" s="3">
        <v>1</v>
      </c>
    </row>
    <row r="2093" spans="1:15" ht="15" customHeight="1" x14ac:dyDescent="0.25">
      <c r="A2093" s="2">
        <v>5</v>
      </c>
      <c r="B2093" s="2" t="s">
        <v>18</v>
      </c>
      <c r="C2093" s="2" t="s">
        <v>19</v>
      </c>
      <c r="D2093" s="2" t="s">
        <v>11</v>
      </c>
      <c r="E2093" s="2">
        <v>0</v>
      </c>
      <c r="F2093" s="2">
        <v>0</v>
      </c>
      <c r="G2093" s="2" t="s">
        <v>10</v>
      </c>
      <c r="H2093" s="2" t="s">
        <v>12</v>
      </c>
      <c r="I2093" s="2">
        <v>2</v>
      </c>
      <c r="J2093" s="2" t="s">
        <v>14</v>
      </c>
      <c r="K2093" s="2" t="s">
        <v>14</v>
      </c>
      <c r="L2093" s="2" t="s">
        <v>14</v>
      </c>
      <c r="M2093" s="2" t="s">
        <v>14</v>
      </c>
      <c r="N2093" s="2" t="s">
        <v>14</v>
      </c>
      <c r="O2093" s="2">
        <v>1</v>
      </c>
    </row>
    <row r="2094" spans="1:15" ht="15" customHeight="1" x14ac:dyDescent="0.25">
      <c r="A2094" s="3">
        <v>10</v>
      </c>
      <c r="B2094" s="3" t="s">
        <v>10</v>
      </c>
      <c r="C2094" s="3" t="s">
        <v>19</v>
      </c>
      <c r="D2094" s="3" t="s">
        <v>20</v>
      </c>
      <c r="E2094" s="3">
        <v>1</v>
      </c>
      <c r="F2094" s="3">
        <v>0</v>
      </c>
      <c r="G2094" s="3" t="s">
        <v>10</v>
      </c>
      <c r="H2094" s="3" t="s">
        <v>12</v>
      </c>
      <c r="I2094" s="3">
        <v>1</v>
      </c>
      <c r="J2094" s="2" t="s">
        <v>14</v>
      </c>
      <c r="K2094" s="2" t="s">
        <v>14</v>
      </c>
      <c r="L2094" s="2" t="s">
        <v>14</v>
      </c>
      <c r="M2094" s="2" t="s">
        <v>14</v>
      </c>
      <c r="N2094" s="2" t="s">
        <v>14</v>
      </c>
      <c r="O2094" s="3">
        <v>0</v>
      </c>
    </row>
    <row r="2095" spans="1:15" ht="15" customHeight="1" x14ac:dyDescent="0.25">
      <c r="A2095" s="2">
        <v>5</v>
      </c>
      <c r="B2095" s="2" t="s">
        <v>10</v>
      </c>
      <c r="C2095" s="2" t="s">
        <v>19</v>
      </c>
      <c r="D2095" s="2" t="s">
        <v>19</v>
      </c>
      <c r="E2095" s="2">
        <v>1</v>
      </c>
      <c r="F2095" s="2">
        <v>0</v>
      </c>
      <c r="G2095" s="2" t="s">
        <v>17</v>
      </c>
      <c r="H2095" s="2" t="s">
        <v>106</v>
      </c>
      <c r="I2095" s="2">
        <v>1</v>
      </c>
      <c r="J2095" s="2" t="s">
        <v>14</v>
      </c>
      <c r="K2095" s="2" t="s">
        <v>13</v>
      </c>
      <c r="L2095" s="2" t="s">
        <v>13</v>
      </c>
      <c r="M2095" s="2" t="s">
        <v>13</v>
      </c>
      <c r="N2095" s="2" t="s">
        <v>14</v>
      </c>
      <c r="O2095" s="2">
        <v>0</v>
      </c>
    </row>
    <row r="2096" spans="1:15" ht="15" customHeight="1" x14ac:dyDescent="0.25">
      <c r="A2096" s="3">
        <v>5</v>
      </c>
      <c r="B2096" s="3" t="s">
        <v>10</v>
      </c>
      <c r="C2096" s="3" t="s">
        <v>19</v>
      </c>
      <c r="D2096" s="3" t="s">
        <v>19</v>
      </c>
      <c r="E2096" s="3">
        <v>0</v>
      </c>
      <c r="F2096" s="3">
        <v>1</v>
      </c>
      <c r="G2096" s="3" t="s">
        <v>17</v>
      </c>
      <c r="H2096" s="3" t="s">
        <v>106</v>
      </c>
      <c r="I2096" s="3">
        <v>1</v>
      </c>
      <c r="J2096" s="2" t="s">
        <v>14</v>
      </c>
      <c r="K2096" s="3" t="s">
        <v>13</v>
      </c>
      <c r="L2096" s="3" t="s">
        <v>13</v>
      </c>
      <c r="M2096" s="3" t="s">
        <v>13</v>
      </c>
      <c r="N2096" s="2" t="s">
        <v>14</v>
      </c>
      <c r="O2096" s="3">
        <v>1</v>
      </c>
    </row>
    <row r="2097" spans="1:15" ht="15" customHeight="1" x14ac:dyDescent="0.25">
      <c r="A2097" s="2">
        <v>5</v>
      </c>
      <c r="B2097" s="2" t="s">
        <v>14</v>
      </c>
      <c r="C2097" s="2" t="s">
        <v>19</v>
      </c>
      <c r="D2097" s="2" t="s">
        <v>19</v>
      </c>
      <c r="E2097" s="2">
        <v>1</v>
      </c>
      <c r="F2097" s="2">
        <v>0</v>
      </c>
      <c r="G2097" s="2" t="s">
        <v>17</v>
      </c>
      <c r="H2097" s="2" t="s">
        <v>106</v>
      </c>
      <c r="I2097" s="2">
        <v>1</v>
      </c>
      <c r="J2097" s="2" t="s">
        <v>14</v>
      </c>
      <c r="K2097" s="2" t="s">
        <v>13</v>
      </c>
      <c r="L2097" s="2" t="s">
        <v>13</v>
      </c>
      <c r="M2097" s="2" t="s">
        <v>13</v>
      </c>
      <c r="N2097" s="2" t="s">
        <v>14</v>
      </c>
      <c r="O2097" s="2">
        <v>0</v>
      </c>
    </row>
    <row r="2098" spans="1:15" ht="15" customHeight="1" x14ac:dyDescent="0.25">
      <c r="A2098" s="3">
        <v>10</v>
      </c>
      <c r="B2098" s="3" t="s">
        <v>18</v>
      </c>
      <c r="C2098" s="3" t="s">
        <v>19</v>
      </c>
      <c r="D2098" s="3" t="s">
        <v>19</v>
      </c>
      <c r="E2098" s="3">
        <v>0</v>
      </c>
      <c r="F2098" s="3">
        <v>0</v>
      </c>
      <c r="G2098" s="3" t="s">
        <v>10</v>
      </c>
      <c r="H2098" s="3" t="s">
        <v>16</v>
      </c>
      <c r="I2098" s="3" t="s">
        <v>15</v>
      </c>
      <c r="J2098" s="2" t="s">
        <v>14</v>
      </c>
      <c r="K2098" s="2" t="s">
        <v>14</v>
      </c>
      <c r="L2098" s="2" t="s">
        <v>14</v>
      </c>
      <c r="M2098" s="2" t="s">
        <v>14</v>
      </c>
      <c r="N2098" s="2" t="s">
        <v>14</v>
      </c>
      <c r="O2098" s="3">
        <v>1</v>
      </c>
    </row>
    <row r="2099" spans="1:15" ht="15" customHeight="1" x14ac:dyDescent="0.25">
      <c r="A2099" s="2">
        <v>10</v>
      </c>
      <c r="B2099" s="2" t="s">
        <v>18</v>
      </c>
      <c r="C2099" s="2" t="s">
        <v>20</v>
      </c>
      <c r="D2099" s="2" t="s">
        <v>19</v>
      </c>
      <c r="E2099" s="2">
        <v>0</v>
      </c>
      <c r="F2099" s="2">
        <v>0</v>
      </c>
      <c r="G2099" s="2" t="s">
        <v>10</v>
      </c>
      <c r="H2099" s="2" t="s">
        <v>16</v>
      </c>
      <c r="I2099" s="2" t="s">
        <v>15</v>
      </c>
      <c r="J2099" s="2" t="s">
        <v>14</v>
      </c>
      <c r="K2099" s="2" t="s">
        <v>14</v>
      </c>
      <c r="L2099" s="2" t="s">
        <v>14</v>
      </c>
      <c r="M2099" s="2" t="s">
        <v>14</v>
      </c>
      <c r="N2099" s="2" t="s">
        <v>14</v>
      </c>
      <c r="O2099" s="2">
        <v>1</v>
      </c>
    </row>
    <row r="2100" spans="1:15" ht="15" customHeight="1" x14ac:dyDescent="0.25">
      <c r="A2100" s="3">
        <v>5</v>
      </c>
      <c r="B2100" s="3" t="s">
        <v>10</v>
      </c>
      <c r="C2100" s="3" t="s">
        <v>20</v>
      </c>
      <c r="D2100" s="3" t="s">
        <v>20</v>
      </c>
      <c r="E2100" s="3">
        <v>0</v>
      </c>
      <c r="F2100" s="3">
        <v>0</v>
      </c>
      <c r="G2100" s="3" t="s">
        <v>10</v>
      </c>
      <c r="H2100" s="3" t="s">
        <v>16</v>
      </c>
      <c r="I2100" s="3">
        <v>2</v>
      </c>
      <c r="J2100" s="2" t="s">
        <v>14</v>
      </c>
      <c r="K2100" s="2" t="s">
        <v>14</v>
      </c>
      <c r="L2100" s="2" t="s">
        <v>14</v>
      </c>
      <c r="M2100" s="2" t="s">
        <v>14</v>
      </c>
      <c r="N2100" s="2" t="s">
        <v>14</v>
      </c>
      <c r="O2100" s="3">
        <v>1</v>
      </c>
    </row>
    <row r="2101" spans="1:15" ht="15" customHeight="1" x14ac:dyDescent="0.25">
      <c r="A2101" s="2">
        <v>20</v>
      </c>
      <c r="B2101" s="2" t="s">
        <v>10</v>
      </c>
      <c r="C2101" s="2" t="s">
        <v>19</v>
      </c>
      <c r="D2101" s="2" t="s">
        <v>20</v>
      </c>
      <c r="E2101" s="2">
        <v>0</v>
      </c>
      <c r="F2101" s="2">
        <v>2</v>
      </c>
      <c r="G2101" s="2" t="s">
        <v>10</v>
      </c>
      <c r="H2101" s="2" t="s">
        <v>12</v>
      </c>
      <c r="I2101" s="2">
        <v>2</v>
      </c>
      <c r="J2101" s="2" t="s">
        <v>14</v>
      </c>
      <c r="K2101" s="2" t="s">
        <v>14</v>
      </c>
      <c r="L2101" s="2" t="s">
        <v>14</v>
      </c>
      <c r="M2101" s="2" t="s">
        <v>13</v>
      </c>
      <c r="N2101" s="2" t="s">
        <v>14</v>
      </c>
      <c r="O2101" s="2">
        <v>0</v>
      </c>
    </row>
    <row r="2102" spans="1:15" ht="15" customHeight="1" x14ac:dyDescent="0.25">
      <c r="A2102" s="3">
        <v>5</v>
      </c>
      <c r="B2102" s="3" t="s">
        <v>10</v>
      </c>
      <c r="C2102" s="3" t="s">
        <v>19</v>
      </c>
      <c r="D2102" s="3" t="s">
        <v>19</v>
      </c>
      <c r="E2102" s="3">
        <v>0</v>
      </c>
      <c r="F2102" s="3">
        <v>0</v>
      </c>
      <c r="G2102" s="3" t="s">
        <v>17</v>
      </c>
      <c r="H2102" s="3" t="s">
        <v>106</v>
      </c>
      <c r="I2102" s="3">
        <v>1</v>
      </c>
      <c r="J2102" s="2" t="s">
        <v>14</v>
      </c>
      <c r="K2102" s="3" t="s">
        <v>13</v>
      </c>
      <c r="L2102" s="3" t="s">
        <v>13</v>
      </c>
      <c r="M2102" s="3" t="s">
        <v>14</v>
      </c>
      <c r="N2102" s="2" t="s">
        <v>14</v>
      </c>
      <c r="O2102" s="3">
        <v>1</v>
      </c>
    </row>
    <row r="2103" spans="1:15" ht="15" customHeight="1" x14ac:dyDescent="0.25">
      <c r="A2103" s="2">
        <v>0</v>
      </c>
      <c r="B2103" s="2" t="s">
        <v>14</v>
      </c>
      <c r="C2103" s="2" t="s">
        <v>19</v>
      </c>
      <c r="D2103" s="2" t="s">
        <v>19</v>
      </c>
      <c r="E2103" s="2">
        <v>0</v>
      </c>
      <c r="F2103" s="2">
        <v>0</v>
      </c>
      <c r="G2103" s="2" t="s">
        <v>10</v>
      </c>
      <c r="H2103" s="2" t="s">
        <v>12</v>
      </c>
      <c r="I2103" s="2">
        <v>2</v>
      </c>
      <c r="J2103" s="2" t="s">
        <v>14</v>
      </c>
      <c r="K2103" s="2" t="s">
        <v>14</v>
      </c>
      <c r="L2103" s="2" t="s">
        <v>14</v>
      </c>
      <c r="M2103" s="2" t="s">
        <v>14</v>
      </c>
      <c r="N2103" s="2" t="s">
        <v>14</v>
      </c>
      <c r="O2103" s="2">
        <v>1</v>
      </c>
    </row>
    <row r="2104" spans="1:15" ht="15" customHeight="1" x14ac:dyDescent="0.25">
      <c r="A2104" s="3">
        <v>0</v>
      </c>
      <c r="B2104" s="3" t="s">
        <v>18</v>
      </c>
      <c r="C2104" s="3" t="s">
        <v>19</v>
      </c>
      <c r="D2104" s="3" t="s">
        <v>19</v>
      </c>
      <c r="E2104" s="3">
        <v>0</v>
      </c>
      <c r="F2104" s="3">
        <v>0</v>
      </c>
      <c r="G2104" s="3" t="s">
        <v>10</v>
      </c>
      <c r="H2104" s="3" t="s">
        <v>12</v>
      </c>
      <c r="I2104" s="3" t="s">
        <v>15</v>
      </c>
      <c r="J2104" s="2" t="s">
        <v>14</v>
      </c>
      <c r="K2104" s="2" t="s">
        <v>14</v>
      </c>
      <c r="L2104" s="2" t="s">
        <v>14</v>
      </c>
      <c r="M2104" s="2" t="s">
        <v>14</v>
      </c>
      <c r="N2104" s="2" t="s">
        <v>14</v>
      </c>
      <c r="O2104" s="3">
        <v>1</v>
      </c>
    </row>
    <row r="2105" spans="1:15" ht="15" customHeight="1" x14ac:dyDescent="0.25">
      <c r="A2105" s="2">
        <v>0</v>
      </c>
      <c r="B2105" s="2" t="s">
        <v>18</v>
      </c>
      <c r="C2105" s="2" t="s">
        <v>20</v>
      </c>
      <c r="D2105" s="2" t="s">
        <v>19</v>
      </c>
      <c r="E2105" s="2">
        <v>0</v>
      </c>
      <c r="F2105" s="2">
        <v>0</v>
      </c>
      <c r="G2105" s="2" t="s">
        <v>10</v>
      </c>
      <c r="H2105" s="2" t="s">
        <v>12</v>
      </c>
      <c r="I2105" s="2">
        <v>1</v>
      </c>
      <c r="J2105" s="2" t="s">
        <v>14</v>
      </c>
      <c r="K2105" s="2" t="s">
        <v>14</v>
      </c>
      <c r="L2105" s="2" t="s">
        <v>14</v>
      </c>
      <c r="M2105" s="2" t="s">
        <v>14</v>
      </c>
      <c r="N2105" s="2" t="s">
        <v>14</v>
      </c>
      <c r="O2105" s="2">
        <v>1</v>
      </c>
    </row>
    <row r="2106" spans="1:15" ht="15" customHeight="1" x14ac:dyDescent="0.25">
      <c r="A2106" s="3">
        <v>20</v>
      </c>
      <c r="B2106" s="3" t="s">
        <v>18</v>
      </c>
      <c r="C2106" s="3" t="s">
        <v>20</v>
      </c>
      <c r="D2106" s="3" t="s">
        <v>20</v>
      </c>
      <c r="E2106" s="3">
        <v>0</v>
      </c>
      <c r="F2106" s="3">
        <v>0</v>
      </c>
      <c r="G2106" s="3" t="s">
        <v>10</v>
      </c>
      <c r="H2106" s="3" t="s">
        <v>12</v>
      </c>
      <c r="I2106" s="3">
        <v>2</v>
      </c>
      <c r="J2106" s="2" t="s">
        <v>14</v>
      </c>
      <c r="K2106" s="2" t="s">
        <v>14</v>
      </c>
      <c r="L2106" s="2" t="s">
        <v>14</v>
      </c>
      <c r="M2106" s="2" t="s">
        <v>14</v>
      </c>
      <c r="N2106" s="2" t="s">
        <v>14</v>
      </c>
      <c r="O2106" s="3">
        <v>1</v>
      </c>
    </row>
    <row r="2107" spans="1:15" ht="15" customHeight="1" x14ac:dyDescent="0.25">
      <c r="A2107" s="2">
        <v>10</v>
      </c>
      <c r="B2107" s="2" t="s">
        <v>10</v>
      </c>
      <c r="C2107" s="2" t="s">
        <v>20</v>
      </c>
      <c r="D2107" s="2" t="s">
        <v>20</v>
      </c>
      <c r="E2107" s="2">
        <v>0</v>
      </c>
      <c r="F2107" s="2">
        <v>0</v>
      </c>
      <c r="G2107" s="2" t="s">
        <v>10</v>
      </c>
      <c r="H2107" s="2" t="s">
        <v>12</v>
      </c>
      <c r="I2107" s="2" t="s">
        <v>15</v>
      </c>
      <c r="J2107" s="2" t="s">
        <v>14</v>
      </c>
      <c r="K2107" s="2" t="s">
        <v>14</v>
      </c>
      <c r="L2107" s="2" t="s">
        <v>14</v>
      </c>
      <c r="M2107" s="2" t="s">
        <v>14</v>
      </c>
      <c r="N2107" s="2" t="s">
        <v>14</v>
      </c>
      <c r="O2107" s="2">
        <v>1</v>
      </c>
    </row>
    <row r="2108" spans="1:15" ht="15" customHeight="1" x14ac:dyDescent="0.25">
      <c r="A2108" s="3">
        <v>10</v>
      </c>
      <c r="B2108" s="3" t="s">
        <v>10</v>
      </c>
      <c r="C2108" s="3" t="s">
        <v>19</v>
      </c>
      <c r="D2108" s="3" t="s">
        <v>20</v>
      </c>
      <c r="E2108" s="3">
        <v>0</v>
      </c>
      <c r="F2108" s="3">
        <v>0</v>
      </c>
      <c r="G2108" s="3" t="s">
        <v>10</v>
      </c>
      <c r="H2108" s="3" t="s">
        <v>12</v>
      </c>
      <c r="I2108" s="3">
        <v>2</v>
      </c>
      <c r="J2108" s="2" t="s">
        <v>14</v>
      </c>
      <c r="K2108" s="2" t="s">
        <v>14</v>
      </c>
      <c r="L2108" s="2" t="s">
        <v>14</v>
      </c>
      <c r="M2108" s="2" t="s">
        <v>14</v>
      </c>
      <c r="N2108" s="2" t="s">
        <v>14</v>
      </c>
      <c r="O2108" s="3">
        <v>1</v>
      </c>
    </row>
    <row r="2109" spans="1:15" ht="15" customHeight="1" x14ac:dyDescent="0.25">
      <c r="A2109" s="2">
        <v>10</v>
      </c>
      <c r="B2109" s="2" t="s">
        <v>10</v>
      </c>
      <c r="C2109" s="2" t="s">
        <v>19</v>
      </c>
      <c r="D2109" s="2" t="s">
        <v>19</v>
      </c>
      <c r="E2109" s="2">
        <v>0</v>
      </c>
      <c r="F2109" s="2">
        <v>1</v>
      </c>
      <c r="G2109" s="2" t="s">
        <v>10</v>
      </c>
      <c r="H2109" s="2" t="s">
        <v>12</v>
      </c>
      <c r="I2109" s="2">
        <v>2</v>
      </c>
      <c r="J2109" s="2" t="s">
        <v>14</v>
      </c>
      <c r="K2109" s="2" t="s">
        <v>14</v>
      </c>
      <c r="L2109" s="2" t="s">
        <v>14</v>
      </c>
      <c r="M2109" s="2" t="s">
        <v>14</v>
      </c>
      <c r="N2109" s="2" t="s">
        <v>14</v>
      </c>
      <c r="O2109" s="2">
        <v>0</v>
      </c>
    </row>
    <row r="2110" spans="1:15" ht="15" customHeight="1" x14ac:dyDescent="0.25">
      <c r="A2110" s="3">
        <v>5</v>
      </c>
      <c r="B2110" s="3" t="s">
        <v>10</v>
      </c>
      <c r="C2110" s="3" t="s">
        <v>19</v>
      </c>
      <c r="D2110" s="3" t="s">
        <v>19</v>
      </c>
      <c r="E2110" s="3">
        <v>0</v>
      </c>
      <c r="F2110" s="3">
        <v>0</v>
      </c>
      <c r="G2110" s="3" t="s">
        <v>10</v>
      </c>
      <c r="H2110" s="3" t="s">
        <v>16</v>
      </c>
      <c r="I2110" s="3">
        <v>1</v>
      </c>
      <c r="J2110" s="2" t="s">
        <v>14</v>
      </c>
      <c r="K2110" s="2" t="s">
        <v>14</v>
      </c>
      <c r="L2110" s="2" t="s">
        <v>14</v>
      </c>
      <c r="M2110" s="2" t="s">
        <v>14</v>
      </c>
      <c r="N2110" s="2" t="s">
        <v>14</v>
      </c>
      <c r="O2110" s="3">
        <v>1</v>
      </c>
    </row>
    <row r="2111" spans="1:15" ht="15" customHeight="1" x14ac:dyDescent="0.25">
      <c r="A2111" s="2">
        <v>20</v>
      </c>
      <c r="B2111" s="2" t="s">
        <v>10</v>
      </c>
      <c r="C2111" s="2" t="s">
        <v>19</v>
      </c>
      <c r="D2111" s="2" t="s">
        <v>19</v>
      </c>
      <c r="E2111" s="2">
        <v>0</v>
      </c>
      <c r="F2111" s="2">
        <v>0</v>
      </c>
      <c r="G2111" s="2" t="s">
        <v>10</v>
      </c>
      <c r="H2111" s="2" t="s">
        <v>12</v>
      </c>
      <c r="I2111" s="2" t="s">
        <v>15</v>
      </c>
      <c r="J2111" s="2" t="s">
        <v>14</v>
      </c>
      <c r="K2111" s="2" t="s">
        <v>14</v>
      </c>
      <c r="L2111" s="2" t="s">
        <v>14</v>
      </c>
      <c r="M2111" s="2" t="s">
        <v>14</v>
      </c>
      <c r="N2111" s="2" t="s">
        <v>14</v>
      </c>
      <c r="O2111" s="2">
        <v>1</v>
      </c>
    </row>
    <row r="2112" spans="1:15" ht="15" customHeight="1" x14ac:dyDescent="0.25">
      <c r="A2112" s="3">
        <v>10</v>
      </c>
      <c r="B2112" s="3" t="s">
        <v>10</v>
      </c>
      <c r="C2112" s="3" t="s">
        <v>11</v>
      </c>
      <c r="D2112" s="3" t="s">
        <v>19</v>
      </c>
      <c r="E2112" s="3">
        <v>0</v>
      </c>
      <c r="F2112" s="3">
        <v>0</v>
      </c>
      <c r="G2112" s="3" t="s">
        <v>10</v>
      </c>
      <c r="H2112" s="3" t="s">
        <v>12</v>
      </c>
      <c r="I2112" s="3" t="s">
        <v>15</v>
      </c>
      <c r="J2112" s="2" t="s">
        <v>14</v>
      </c>
      <c r="K2112" s="2" t="s">
        <v>14</v>
      </c>
      <c r="L2112" s="2" t="s">
        <v>14</v>
      </c>
      <c r="M2112" s="2" t="s">
        <v>14</v>
      </c>
      <c r="N2112" s="2" t="s">
        <v>14</v>
      </c>
      <c r="O2112" s="3">
        <v>1</v>
      </c>
    </row>
    <row r="2113" spans="1:15" ht="15" customHeight="1" x14ac:dyDescent="0.25">
      <c r="A2113" s="2">
        <v>5</v>
      </c>
      <c r="B2113" s="2" t="s">
        <v>14</v>
      </c>
      <c r="C2113" s="2" t="s">
        <v>11</v>
      </c>
      <c r="D2113" s="2" t="s">
        <v>11</v>
      </c>
      <c r="E2113" s="2">
        <v>0</v>
      </c>
      <c r="F2113" s="2">
        <v>1</v>
      </c>
      <c r="G2113" s="2" t="s">
        <v>10</v>
      </c>
      <c r="H2113" s="2" t="s">
        <v>16</v>
      </c>
      <c r="I2113" s="2" t="s">
        <v>15</v>
      </c>
      <c r="J2113" s="2" t="s">
        <v>14</v>
      </c>
      <c r="K2113" s="2" t="s">
        <v>14</v>
      </c>
      <c r="L2113" s="2" t="s">
        <v>14</v>
      </c>
      <c r="M2113" s="2" t="s">
        <v>14</v>
      </c>
      <c r="N2113" s="2" t="s">
        <v>14</v>
      </c>
      <c r="O2113" s="2">
        <v>1</v>
      </c>
    </row>
    <row r="2114" spans="1:15" ht="15" customHeight="1" x14ac:dyDescent="0.25">
      <c r="A2114" s="3">
        <v>0</v>
      </c>
      <c r="B2114" s="3" t="s">
        <v>10</v>
      </c>
      <c r="C2114" s="3" t="s">
        <v>11</v>
      </c>
      <c r="D2114" s="3" t="s">
        <v>11</v>
      </c>
      <c r="E2114" s="3">
        <v>0</v>
      </c>
      <c r="F2114" s="3">
        <v>0</v>
      </c>
      <c r="G2114" s="3" t="s">
        <v>10</v>
      </c>
      <c r="H2114" s="3" t="s">
        <v>12</v>
      </c>
      <c r="I2114" s="3">
        <v>2</v>
      </c>
      <c r="J2114" s="2" t="s">
        <v>14</v>
      </c>
      <c r="K2114" s="3" t="s">
        <v>13</v>
      </c>
      <c r="L2114" s="3" t="s">
        <v>14</v>
      </c>
      <c r="M2114" s="3" t="s">
        <v>14</v>
      </c>
      <c r="N2114" s="2" t="s">
        <v>14</v>
      </c>
      <c r="O2114" s="3">
        <v>1</v>
      </c>
    </row>
    <row r="2115" spans="1:15" ht="15" customHeight="1" x14ac:dyDescent="0.25">
      <c r="A2115" s="2">
        <v>5</v>
      </c>
      <c r="B2115" s="2" t="s">
        <v>18</v>
      </c>
      <c r="C2115" s="2" t="s">
        <v>11</v>
      </c>
      <c r="D2115" s="2" t="s">
        <v>11</v>
      </c>
      <c r="E2115" s="2">
        <v>0</v>
      </c>
      <c r="F2115" s="2">
        <v>0</v>
      </c>
      <c r="G2115" s="2" t="s">
        <v>10</v>
      </c>
      <c r="H2115" s="2" t="s">
        <v>12</v>
      </c>
      <c r="I2115" s="2" t="s">
        <v>15</v>
      </c>
      <c r="J2115" s="2" t="s">
        <v>14</v>
      </c>
      <c r="K2115" s="2" t="s">
        <v>14</v>
      </c>
      <c r="L2115" s="2" t="s">
        <v>14</v>
      </c>
      <c r="M2115" s="2" t="s">
        <v>14</v>
      </c>
      <c r="N2115" s="2" t="s">
        <v>14</v>
      </c>
      <c r="O2115" s="2">
        <v>1</v>
      </c>
    </row>
    <row r="2116" spans="1:15" ht="15" customHeight="1" x14ac:dyDescent="0.25">
      <c r="A2116" s="3">
        <v>5</v>
      </c>
      <c r="B2116" s="3" t="s">
        <v>18</v>
      </c>
      <c r="C2116" s="3" t="s">
        <v>19</v>
      </c>
      <c r="D2116" s="3" t="s">
        <v>19</v>
      </c>
      <c r="E2116" s="3">
        <v>0</v>
      </c>
      <c r="F2116" s="3">
        <v>0</v>
      </c>
      <c r="G2116" s="3" t="s">
        <v>10</v>
      </c>
      <c r="H2116" s="3" t="s">
        <v>12</v>
      </c>
      <c r="I2116" s="3">
        <v>2</v>
      </c>
      <c r="J2116" s="2" t="s">
        <v>14</v>
      </c>
      <c r="K2116" s="2" t="s">
        <v>14</v>
      </c>
      <c r="L2116" s="2" t="s">
        <v>14</v>
      </c>
      <c r="M2116" s="2" t="s">
        <v>14</v>
      </c>
      <c r="N2116" s="2" t="s">
        <v>14</v>
      </c>
      <c r="O2116" s="3">
        <v>1</v>
      </c>
    </row>
    <row r="2117" spans="1:15" ht="15" customHeight="1" x14ac:dyDescent="0.25">
      <c r="A2117" s="2">
        <v>10</v>
      </c>
      <c r="B2117" s="2" t="s">
        <v>14</v>
      </c>
      <c r="C2117" s="2" t="s">
        <v>19</v>
      </c>
      <c r="D2117" s="2" t="s">
        <v>19</v>
      </c>
      <c r="E2117" s="2">
        <v>0</v>
      </c>
      <c r="F2117" s="2">
        <v>0</v>
      </c>
      <c r="G2117" s="2" t="s">
        <v>10</v>
      </c>
      <c r="H2117" s="2" t="s">
        <v>12</v>
      </c>
      <c r="I2117" s="2">
        <v>2</v>
      </c>
      <c r="J2117" s="2" t="s">
        <v>14</v>
      </c>
      <c r="K2117" s="2" t="s">
        <v>14</v>
      </c>
      <c r="L2117" s="2" t="s">
        <v>14</v>
      </c>
      <c r="M2117" s="2" t="s">
        <v>14</v>
      </c>
      <c r="N2117" s="2" t="s">
        <v>14</v>
      </c>
      <c r="O2117" s="2">
        <v>1</v>
      </c>
    </row>
    <row r="2118" spans="1:15" ht="15" customHeight="1" x14ac:dyDescent="0.25">
      <c r="A2118" s="3">
        <v>20</v>
      </c>
      <c r="B2118" s="3" t="s">
        <v>10</v>
      </c>
      <c r="C2118" s="3" t="s">
        <v>11</v>
      </c>
      <c r="D2118" s="3" t="s">
        <v>19</v>
      </c>
      <c r="E2118" s="3">
        <v>0</v>
      </c>
      <c r="F2118" s="3">
        <v>0</v>
      </c>
      <c r="G2118" s="3" t="s">
        <v>10</v>
      </c>
      <c r="H2118" s="3" t="s">
        <v>12</v>
      </c>
      <c r="I2118" s="3">
        <v>2</v>
      </c>
      <c r="J2118" s="2" t="s">
        <v>14</v>
      </c>
      <c r="K2118" s="2" t="s">
        <v>14</v>
      </c>
      <c r="L2118" s="2" t="s">
        <v>14</v>
      </c>
      <c r="M2118" s="2" t="s">
        <v>14</v>
      </c>
      <c r="N2118" s="2" t="s">
        <v>14</v>
      </c>
      <c r="O2118" s="3">
        <v>1</v>
      </c>
    </row>
    <row r="2119" spans="1:15" ht="15" customHeight="1" x14ac:dyDescent="0.25">
      <c r="A2119" s="2">
        <v>5</v>
      </c>
      <c r="B2119" s="2" t="s">
        <v>18</v>
      </c>
      <c r="C2119" s="2" t="s">
        <v>19</v>
      </c>
      <c r="D2119" s="2" t="s">
        <v>11</v>
      </c>
      <c r="E2119" s="2">
        <v>0</v>
      </c>
      <c r="F2119" s="2">
        <v>1</v>
      </c>
      <c r="G2119" s="2" t="s">
        <v>10</v>
      </c>
      <c r="H2119" s="2" t="s">
        <v>12</v>
      </c>
      <c r="I2119" s="2" t="s">
        <v>15</v>
      </c>
      <c r="J2119" s="2" t="s">
        <v>14</v>
      </c>
      <c r="K2119" s="2" t="s">
        <v>14</v>
      </c>
      <c r="L2119" s="2" t="s">
        <v>14</v>
      </c>
      <c r="M2119" s="2" t="s">
        <v>14</v>
      </c>
      <c r="N2119" s="2" t="s">
        <v>14</v>
      </c>
      <c r="O2119" s="2">
        <v>1</v>
      </c>
    </row>
    <row r="2120" spans="1:15" ht="15" customHeight="1" x14ac:dyDescent="0.25">
      <c r="A2120" s="3">
        <v>5</v>
      </c>
      <c r="B2120" s="3" t="s">
        <v>18</v>
      </c>
      <c r="C2120" s="3" t="s">
        <v>19</v>
      </c>
      <c r="D2120" s="3" t="s">
        <v>19</v>
      </c>
      <c r="E2120" s="3">
        <v>0</v>
      </c>
      <c r="F2120" s="3">
        <v>0</v>
      </c>
      <c r="G2120" s="3" t="s">
        <v>10</v>
      </c>
      <c r="H2120" s="3" t="s">
        <v>12</v>
      </c>
      <c r="I2120" s="3" t="s">
        <v>15</v>
      </c>
      <c r="J2120" s="2" t="s">
        <v>14</v>
      </c>
      <c r="K2120" s="2" t="s">
        <v>14</v>
      </c>
      <c r="L2120" s="2" t="s">
        <v>14</v>
      </c>
      <c r="M2120" s="2" t="s">
        <v>14</v>
      </c>
      <c r="N2120" s="2" t="s">
        <v>14</v>
      </c>
      <c r="O2120" s="3">
        <v>1</v>
      </c>
    </row>
    <row r="2121" spans="1:15" ht="15" customHeight="1" x14ac:dyDescent="0.25">
      <c r="A2121" s="2">
        <v>5</v>
      </c>
      <c r="B2121" s="2" t="s">
        <v>10</v>
      </c>
      <c r="C2121" s="2" t="s">
        <v>19</v>
      </c>
      <c r="D2121" s="2" t="s">
        <v>19</v>
      </c>
      <c r="E2121" s="2">
        <v>0</v>
      </c>
      <c r="F2121" s="2">
        <v>0</v>
      </c>
      <c r="G2121" s="2" t="s">
        <v>10</v>
      </c>
      <c r="H2121" s="2" t="s">
        <v>12</v>
      </c>
      <c r="I2121" s="2">
        <v>2</v>
      </c>
      <c r="J2121" s="2" t="s">
        <v>14</v>
      </c>
      <c r="K2121" s="2" t="s">
        <v>14</v>
      </c>
      <c r="L2121" s="2" t="s">
        <v>14</v>
      </c>
      <c r="M2121" s="2" t="s">
        <v>14</v>
      </c>
      <c r="N2121" s="2" t="s">
        <v>14</v>
      </c>
      <c r="O2121" s="2">
        <v>1</v>
      </c>
    </row>
    <row r="2122" spans="1:15" ht="15" customHeight="1" x14ac:dyDescent="0.25">
      <c r="A2122" s="3">
        <v>0</v>
      </c>
      <c r="B2122" s="3" t="s">
        <v>10</v>
      </c>
      <c r="C2122" s="3" t="s">
        <v>11</v>
      </c>
      <c r="D2122" s="3" t="s">
        <v>19</v>
      </c>
      <c r="E2122" s="3">
        <v>0</v>
      </c>
      <c r="F2122" s="3">
        <v>0</v>
      </c>
      <c r="G2122" s="3" t="s">
        <v>10</v>
      </c>
      <c r="H2122" s="3" t="s">
        <v>12</v>
      </c>
      <c r="I2122" s="3">
        <v>2</v>
      </c>
      <c r="J2122" s="2" t="s">
        <v>14</v>
      </c>
      <c r="K2122" s="2" t="s">
        <v>14</v>
      </c>
      <c r="L2122" s="2" t="s">
        <v>14</v>
      </c>
      <c r="M2122" s="2" t="s">
        <v>14</v>
      </c>
      <c r="N2122" s="2" t="s">
        <v>14</v>
      </c>
      <c r="O2122" s="3">
        <v>1</v>
      </c>
    </row>
    <row r="2123" spans="1:15" ht="15" customHeight="1" x14ac:dyDescent="0.25">
      <c r="A2123" s="2">
        <v>0</v>
      </c>
      <c r="B2123" s="2" t="s">
        <v>18</v>
      </c>
      <c r="C2123" s="2" t="s">
        <v>19</v>
      </c>
      <c r="D2123" s="2" t="s">
        <v>11</v>
      </c>
      <c r="E2123" s="2">
        <v>0</v>
      </c>
      <c r="F2123" s="2">
        <v>0</v>
      </c>
      <c r="G2123" s="2" t="s">
        <v>10</v>
      </c>
      <c r="H2123" s="2" t="s">
        <v>12</v>
      </c>
      <c r="I2123" s="2">
        <v>1</v>
      </c>
      <c r="J2123" s="2" t="s">
        <v>14</v>
      </c>
      <c r="K2123" s="2" t="s">
        <v>14</v>
      </c>
      <c r="L2123" s="2" t="s">
        <v>14</v>
      </c>
      <c r="M2123" s="2" t="s">
        <v>14</v>
      </c>
      <c r="N2123" s="2" t="s">
        <v>14</v>
      </c>
      <c r="O2123" s="2">
        <v>1</v>
      </c>
    </row>
    <row r="2124" spans="1:15" ht="15" customHeight="1" x14ac:dyDescent="0.25">
      <c r="A2124" s="3">
        <v>5</v>
      </c>
      <c r="B2124" s="3" t="s">
        <v>14</v>
      </c>
      <c r="C2124" s="3" t="s">
        <v>19</v>
      </c>
      <c r="D2124" s="3" t="s">
        <v>19</v>
      </c>
      <c r="E2124" s="3">
        <v>0</v>
      </c>
      <c r="F2124" s="3">
        <v>0</v>
      </c>
      <c r="G2124" s="3" t="s">
        <v>10</v>
      </c>
      <c r="H2124" s="3" t="s">
        <v>12</v>
      </c>
      <c r="I2124" s="3">
        <v>2</v>
      </c>
      <c r="J2124" s="2" t="s">
        <v>14</v>
      </c>
      <c r="K2124" s="2" t="s">
        <v>14</v>
      </c>
      <c r="L2124" s="2" t="s">
        <v>14</v>
      </c>
      <c r="M2124" s="2" t="s">
        <v>14</v>
      </c>
      <c r="N2124" s="2" t="s">
        <v>14</v>
      </c>
      <c r="O2124" s="3">
        <v>1</v>
      </c>
    </row>
    <row r="2125" spans="1:15" ht="15" customHeight="1" x14ac:dyDescent="0.25">
      <c r="A2125" s="2">
        <v>10</v>
      </c>
      <c r="B2125" s="2" t="s">
        <v>14</v>
      </c>
      <c r="C2125" s="2" t="s">
        <v>19</v>
      </c>
      <c r="D2125" s="2" t="s">
        <v>19</v>
      </c>
      <c r="E2125" s="2">
        <v>0</v>
      </c>
      <c r="F2125" s="2">
        <v>0</v>
      </c>
      <c r="G2125" s="2" t="s">
        <v>10</v>
      </c>
      <c r="H2125" s="2" t="s">
        <v>12</v>
      </c>
      <c r="I2125" s="2">
        <v>2</v>
      </c>
      <c r="J2125" s="2" t="s">
        <v>14</v>
      </c>
      <c r="K2125" s="2" t="s">
        <v>14</v>
      </c>
      <c r="L2125" s="2" t="s">
        <v>14</v>
      </c>
      <c r="M2125" s="2" t="s">
        <v>14</v>
      </c>
      <c r="N2125" s="2" t="s">
        <v>14</v>
      </c>
      <c r="O2125" s="2">
        <v>1</v>
      </c>
    </row>
    <row r="2126" spans="1:15" ht="15" customHeight="1" x14ac:dyDescent="0.25">
      <c r="A2126" s="3">
        <v>5</v>
      </c>
      <c r="B2126" s="3" t="s">
        <v>18</v>
      </c>
      <c r="C2126" s="3" t="s">
        <v>19</v>
      </c>
      <c r="D2126" s="3" t="s">
        <v>19</v>
      </c>
      <c r="E2126" s="3">
        <v>0</v>
      </c>
      <c r="F2126" s="3">
        <v>0</v>
      </c>
      <c r="G2126" s="3" t="s">
        <v>10</v>
      </c>
      <c r="H2126" s="3" t="s">
        <v>12</v>
      </c>
      <c r="I2126" s="3">
        <v>1</v>
      </c>
      <c r="J2126" s="2" t="s">
        <v>14</v>
      </c>
      <c r="K2126" s="2" t="s">
        <v>14</v>
      </c>
      <c r="L2126" s="2" t="s">
        <v>14</v>
      </c>
      <c r="M2126" s="2" t="s">
        <v>14</v>
      </c>
      <c r="N2126" s="2" t="s">
        <v>14</v>
      </c>
      <c r="O2126" s="3">
        <v>1</v>
      </c>
    </row>
    <row r="2127" spans="1:15" ht="15" customHeight="1" x14ac:dyDescent="0.25">
      <c r="A2127" s="2">
        <v>10</v>
      </c>
      <c r="B2127" s="2" t="s">
        <v>14</v>
      </c>
      <c r="C2127" s="2" t="s">
        <v>19</v>
      </c>
      <c r="D2127" s="2" t="s">
        <v>19</v>
      </c>
      <c r="E2127" s="2">
        <v>0</v>
      </c>
      <c r="F2127" s="2">
        <v>0</v>
      </c>
      <c r="G2127" s="2" t="s">
        <v>10</v>
      </c>
      <c r="H2127" s="2" t="s">
        <v>12</v>
      </c>
      <c r="I2127" s="2">
        <v>2</v>
      </c>
      <c r="J2127" s="2" t="s">
        <v>14</v>
      </c>
      <c r="K2127" s="2" t="s">
        <v>14</v>
      </c>
      <c r="L2127" s="2" t="s">
        <v>14</v>
      </c>
      <c r="M2127" s="2" t="s">
        <v>14</v>
      </c>
      <c r="N2127" s="2" t="s">
        <v>14</v>
      </c>
      <c r="O2127" s="2">
        <v>1</v>
      </c>
    </row>
    <row r="2128" spans="1:15" ht="15" customHeight="1" x14ac:dyDescent="0.25">
      <c r="A2128" s="3">
        <v>10</v>
      </c>
      <c r="B2128" s="3" t="s">
        <v>10</v>
      </c>
      <c r="C2128" s="3" t="s">
        <v>19</v>
      </c>
      <c r="D2128" s="3" t="s">
        <v>19</v>
      </c>
      <c r="E2128" s="3">
        <v>0</v>
      </c>
      <c r="F2128" s="3">
        <v>0</v>
      </c>
      <c r="G2128" s="3" t="s">
        <v>10</v>
      </c>
      <c r="H2128" s="3" t="s">
        <v>12</v>
      </c>
      <c r="I2128" s="3">
        <v>2</v>
      </c>
      <c r="J2128" s="2" t="s">
        <v>14</v>
      </c>
      <c r="K2128" s="2" t="s">
        <v>14</v>
      </c>
      <c r="L2128" s="2" t="s">
        <v>14</v>
      </c>
      <c r="M2128" s="2" t="s">
        <v>14</v>
      </c>
      <c r="N2128" s="2" t="s">
        <v>14</v>
      </c>
      <c r="O2128" s="3">
        <v>1</v>
      </c>
    </row>
    <row r="2129" spans="1:15" ht="15" customHeight="1" x14ac:dyDescent="0.25">
      <c r="A2129" s="2">
        <v>5</v>
      </c>
      <c r="B2129" s="2" t="s">
        <v>10</v>
      </c>
      <c r="C2129" s="2" t="s">
        <v>19</v>
      </c>
      <c r="D2129" s="2" t="s">
        <v>19</v>
      </c>
      <c r="E2129" s="2">
        <v>0</v>
      </c>
      <c r="F2129" s="2">
        <v>0</v>
      </c>
      <c r="G2129" s="2" t="s">
        <v>10</v>
      </c>
      <c r="H2129" s="2" t="s">
        <v>12</v>
      </c>
      <c r="I2129" s="2">
        <v>2</v>
      </c>
      <c r="J2129" s="2" t="s">
        <v>14</v>
      </c>
      <c r="K2129" s="2" t="s">
        <v>14</v>
      </c>
      <c r="L2129" s="2" t="s">
        <v>14</v>
      </c>
      <c r="M2129" s="2" t="s">
        <v>14</v>
      </c>
      <c r="N2129" s="2" t="s">
        <v>14</v>
      </c>
      <c r="O2129" s="2">
        <v>1</v>
      </c>
    </row>
    <row r="2130" spans="1:15" ht="15" customHeight="1" x14ac:dyDescent="0.25">
      <c r="A2130" s="3">
        <v>10</v>
      </c>
      <c r="B2130" s="3" t="s">
        <v>10</v>
      </c>
      <c r="C2130" s="3" t="s">
        <v>11</v>
      </c>
      <c r="D2130" s="3" t="s">
        <v>19</v>
      </c>
      <c r="E2130" s="3">
        <v>0</v>
      </c>
      <c r="F2130" s="3">
        <v>0</v>
      </c>
      <c r="G2130" s="3" t="s">
        <v>10</v>
      </c>
      <c r="H2130" s="3" t="s">
        <v>12</v>
      </c>
      <c r="I2130" s="3">
        <v>1</v>
      </c>
      <c r="J2130" s="2" t="s">
        <v>14</v>
      </c>
      <c r="K2130" s="2" t="s">
        <v>14</v>
      </c>
      <c r="L2130" s="2" t="s">
        <v>14</v>
      </c>
      <c r="M2130" s="2" t="s">
        <v>14</v>
      </c>
      <c r="N2130" s="2" t="s">
        <v>14</v>
      </c>
      <c r="O2130" s="3">
        <v>1</v>
      </c>
    </row>
    <row r="2131" spans="1:15" ht="15" customHeight="1" x14ac:dyDescent="0.25">
      <c r="A2131" s="2">
        <v>10</v>
      </c>
      <c r="B2131" s="2" t="s">
        <v>18</v>
      </c>
      <c r="C2131" s="2" t="s">
        <v>19</v>
      </c>
      <c r="D2131" s="2" t="s">
        <v>11</v>
      </c>
      <c r="E2131" s="2">
        <v>0</v>
      </c>
      <c r="F2131" s="2">
        <v>0</v>
      </c>
      <c r="G2131" s="2" t="s">
        <v>10</v>
      </c>
      <c r="H2131" s="2" t="s">
        <v>12</v>
      </c>
      <c r="I2131" s="2" t="s">
        <v>15</v>
      </c>
      <c r="J2131" s="2" t="s">
        <v>14</v>
      </c>
      <c r="K2131" s="2" t="s">
        <v>14</v>
      </c>
      <c r="L2131" s="2" t="s">
        <v>14</v>
      </c>
      <c r="M2131" s="2" t="s">
        <v>14</v>
      </c>
      <c r="N2131" s="2" t="s">
        <v>14</v>
      </c>
      <c r="O2131" s="2">
        <v>1</v>
      </c>
    </row>
    <row r="2132" spans="1:15" ht="15" customHeight="1" x14ac:dyDescent="0.25">
      <c r="A2132" s="3">
        <v>0</v>
      </c>
      <c r="B2132" s="3" t="s">
        <v>10</v>
      </c>
      <c r="C2132" s="3" t="s">
        <v>19</v>
      </c>
      <c r="D2132" s="3" t="s">
        <v>19</v>
      </c>
      <c r="E2132" s="3">
        <v>0</v>
      </c>
      <c r="F2132" s="3">
        <v>0</v>
      </c>
      <c r="G2132" s="3" t="s">
        <v>10</v>
      </c>
      <c r="H2132" s="3" t="s">
        <v>16</v>
      </c>
      <c r="I2132" s="3">
        <v>2</v>
      </c>
      <c r="J2132" s="2" t="s">
        <v>14</v>
      </c>
      <c r="K2132" s="2" t="s">
        <v>14</v>
      </c>
      <c r="L2132" s="2" t="s">
        <v>14</v>
      </c>
      <c r="M2132" s="2" t="s">
        <v>14</v>
      </c>
      <c r="N2132" s="2" t="s">
        <v>14</v>
      </c>
      <c r="O2132" s="3">
        <v>1</v>
      </c>
    </row>
    <row r="2133" spans="1:15" ht="15" customHeight="1" x14ac:dyDescent="0.25">
      <c r="A2133" s="2">
        <v>10</v>
      </c>
      <c r="B2133" s="2" t="s">
        <v>18</v>
      </c>
      <c r="C2133" s="2" t="s">
        <v>19</v>
      </c>
      <c r="D2133" s="2" t="s">
        <v>19</v>
      </c>
      <c r="E2133" s="2">
        <v>0</v>
      </c>
      <c r="F2133" s="2">
        <v>0</v>
      </c>
      <c r="G2133" s="2" t="s">
        <v>10</v>
      </c>
      <c r="H2133" s="2" t="s">
        <v>12</v>
      </c>
      <c r="I2133" s="2">
        <v>2</v>
      </c>
      <c r="J2133" s="2" t="s">
        <v>14</v>
      </c>
      <c r="K2133" s="2" t="s">
        <v>14</v>
      </c>
      <c r="L2133" s="2" t="s">
        <v>14</v>
      </c>
      <c r="M2133" s="2" t="s">
        <v>14</v>
      </c>
      <c r="N2133" s="2" t="s">
        <v>14</v>
      </c>
      <c r="O2133" s="2">
        <v>1</v>
      </c>
    </row>
    <row r="2134" spans="1:15" ht="15" customHeight="1" x14ac:dyDescent="0.25">
      <c r="A2134" s="3">
        <v>20</v>
      </c>
      <c r="B2134" s="3" t="s">
        <v>10</v>
      </c>
      <c r="C2134" s="3" t="s">
        <v>11</v>
      </c>
      <c r="D2134" s="3" t="s">
        <v>19</v>
      </c>
      <c r="E2134" s="3">
        <v>0</v>
      </c>
      <c r="F2134" s="3">
        <v>1</v>
      </c>
      <c r="G2134" s="3" t="s">
        <v>10</v>
      </c>
      <c r="H2134" s="3" t="s">
        <v>12</v>
      </c>
      <c r="I2134" s="3">
        <v>2</v>
      </c>
      <c r="J2134" s="2" t="s">
        <v>14</v>
      </c>
      <c r="K2134" s="2" t="s">
        <v>14</v>
      </c>
      <c r="L2134" s="2" t="s">
        <v>14</v>
      </c>
      <c r="M2134" s="2" t="s">
        <v>14</v>
      </c>
      <c r="N2134" s="2" t="s">
        <v>14</v>
      </c>
      <c r="O2134" s="3">
        <v>1</v>
      </c>
    </row>
    <row r="2135" spans="1:15" ht="15" customHeight="1" x14ac:dyDescent="0.25">
      <c r="A2135" s="2">
        <v>5</v>
      </c>
      <c r="B2135" s="2" t="s">
        <v>18</v>
      </c>
      <c r="C2135" s="2" t="s">
        <v>11</v>
      </c>
      <c r="D2135" s="2" t="s">
        <v>11</v>
      </c>
      <c r="E2135" s="2">
        <v>0</v>
      </c>
      <c r="F2135" s="2">
        <v>0</v>
      </c>
      <c r="G2135" s="2" t="s">
        <v>10</v>
      </c>
      <c r="H2135" s="2" t="s">
        <v>12</v>
      </c>
      <c r="I2135" s="2" t="s">
        <v>15</v>
      </c>
      <c r="J2135" s="2" t="s">
        <v>14</v>
      </c>
      <c r="K2135" s="2" t="s">
        <v>14</v>
      </c>
      <c r="L2135" s="2" t="s">
        <v>14</v>
      </c>
      <c r="M2135" s="2" t="s">
        <v>14</v>
      </c>
      <c r="N2135" s="2" t="s">
        <v>14</v>
      </c>
      <c r="O2135" s="2">
        <v>1</v>
      </c>
    </row>
    <row r="2136" spans="1:15" ht="15" customHeight="1" x14ac:dyDescent="0.25">
      <c r="A2136" s="3">
        <v>10</v>
      </c>
      <c r="B2136" s="3" t="s">
        <v>10</v>
      </c>
      <c r="C2136" s="3" t="s">
        <v>11</v>
      </c>
      <c r="D2136" s="3" t="s">
        <v>11</v>
      </c>
      <c r="E2136" s="3">
        <v>1</v>
      </c>
      <c r="F2136" s="3">
        <v>0</v>
      </c>
      <c r="G2136" s="3" t="s">
        <v>10</v>
      </c>
      <c r="H2136" s="3" t="s">
        <v>12</v>
      </c>
      <c r="I2136" s="3">
        <v>1</v>
      </c>
      <c r="J2136" s="2" t="s">
        <v>14</v>
      </c>
      <c r="K2136" s="2" t="s">
        <v>14</v>
      </c>
      <c r="L2136" s="2" t="s">
        <v>14</v>
      </c>
      <c r="M2136" s="3" t="s">
        <v>13</v>
      </c>
      <c r="N2136" s="3" t="s">
        <v>13</v>
      </c>
      <c r="O2136" s="3">
        <v>0</v>
      </c>
    </row>
    <row r="2137" spans="1:15" ht="15" customHeight="1" x14ac:dyDescent="0.25">
      <c r="A2137" s="2">
        <v>10</v>
      </c>
      <c r="B2137" s="2" t="s">
        <v>18</v>
      </c>
      <c r="C2137" s="2" t="s">
        <v>19</v>
      </c>
      <c r="D2137" s="2" t="s">
        <v>19</v>
      </c>
      <c r="E2137" s="2">
        <v>0</v>
      </c>
      <c r="F2137" s="2">
        <v>0</v>
      </c>
      <c r="G2137" s="2" t="s">
        <v>10</v>
      </c>
      <c r="H2137" s="2" t="s">
        <v>12</v>
      </c>
      <c r="I2137" s="2" t="s">
        <v>15</v>
      </c>
      <c r="J2137" s="2" t="s">
        <v>14</v>
      </c>
      <c r="K2137" s="2" t="s">
        <v>14</v>
      </c>
      <c r="L2137" s="2" t="s">
        <v>14</v>
      </c>
      <c r="M2137" s="2" t="s">
        <v>14</v>
      </c>
      <c r="N2137" s="2" t="s">
        <v>14</v>
      </c>
      <c r="O2137" s="2">
        <v>1</v>
      </c>
    </row>
    <row r="2138" spans="1:15" ht="15" customHeight="1" x14ac:dyDescent="0.25">
      <c r="A2138" s="3">
        <v>10</v>
      </c>
      <c r="B2138" s="3" t="s">
        <v>14</v>
      </c>
      <c r="C2138" s="3" t="s">
        <v>19</v>
      </c>
      <c r="D2138" s="3" t="s">
        <v>19</v>
      </c>
      <c r="E2138" s="3">
        <v>0</v>
      </c>
      <c r="F2138" s="3">
        <v>0</v>
      </c>
      <c r="G2138" s="3" t="s">
        <v>10</v>
      </c>
      <c r="H2138" s="3" t="s">
        <v>12</v>
      </c>
      <c r="I2138" s="3">
        <v>2</v>
      </c>
      <c r="J2138" s="2" t="s">
        <v>14</v>
      </c>
      <c r="K2138" s="2" t="s">
        <v>14</v>
      </c>
      <c r="L2138" s="2" t="s">
        <v>14</v>
      </c>
      <c r="M2138" s="2" t="s">
        <v>14</v>
      </c>
      <c r="N2138" s="2" t="s">
        <v>14</v>
      </c>
      <c r="O2138" s="3">
        <v>1</v>
      </c>
    </row>
    <row r="2139" spans="1:15" ht="15" customHeight="1" x14ac:dyDescent="0.25">
      <c r="A2139" s="2">
        <v>10</v>
      </c>
      <c r="B2139" s="2" t="s">
        <v>10</v>
      </c>
      <c r="C2139" s="2" t="s">
        <v>19</v>
      </c>
      <c r="D2139" s="2" t="s">
        <v>19</v>
      </c>
      <c r="E2139" s="2">
        <v>0</v>
      </c>
      <c r="F2139" s="2">
        <v>0</v>
      </c>
      <c r="G2139" s="2" t="s">
        <v>10</v>
      </c>
      <c r="H2139" s="2" t="s">
        <v>12</v>
      </c>
      <c r="I2139" s="2">
        <v>2</v>
      </c>
      <c r="J2139" s="2" t="s">
        <v>14</v>
      </c>
      <c r="K2139" s="2" t="s">
        <v>14</v>
      </c>
      <c r="L2139" s="2" t="s">
        <v>14</v>
      </c>
      <c r="M2139" s="2" t="s">
        <v>14</v>
      </c>
      <c r="N2139" s="2" t="s">
        <v>14</v>
      </c>
      <c r="O2139" s="2">
        <v>1</v>
      </c>
    </row>
    <row r="2140" spans="1:15" ht="15" customHeight="1" x14ac:dyDescent="0.25">
      <c r="A2140" s="3">
        <v>10</v>
      </c>
      <c r="B2140" s="3" t="s">
        <v>10</v>
      </c>
      <c r="C2140" s="3" t="s">
        <v>19</v>
      </c>
      <c r="D2140" s="3" t="s">
        <v>19</v>
      </c>
      <c r="E2140" s="3">
        <v>0</v>
      </c>
      <c r="F2140" s="3">
        <v>0</v>
      </c>
      <c r="G2140" s="3" t="s">
        <v>10</v>
      </c>
      <c r="H2140" s="3" t="s">
        <v>12</v>
      </c>
      <c r="I2140" s="3" t="s">
        <v>15</v>
      </c>
      <c r="J2140" s="2" t="s">
        <v>14</v>
      </c>
      <c r="K2140" s="2" t="s">
        <v>14</v>
      </c>
      <c r="L2140" s="2" t="s">
        <v>14</v>
      </c>
      <c r="M2140" s="2" t="s">
        <v>14</v>
      </c>
      <c r="N2140" s="2" t="s">
        <v>14</v>
      </c>
      <c r="O2140" s="3">
        <v>1</v>
      </c>
    </row>
    <row r="2141" spans="1:15" ht="15" customHeight="1" x14ac:dyDescent="0.25">
      <c r="A2141" s="2">
        <v>10</v>
      </c>
      <c r="B2141" s="2" t="s">
        <v>18</v>
      </c>
      <c r="C2141" s="2" t="s">
        <v>19</v>
      </c>
      <c r="D2141" s="2" t="s">
        <v>19</v>
      </c>
      <c r="E2141" s="2">
        <v>0</v>
      </c>
      <c r="F2141" s="2">
        <v>0</v>
      </c>
      <c r="G2141" s="2" t="s">
        <v>10</v>
      </c>
      <c r="H2141" s="2" t="s">
        <v>12</v>
      </c>
      <c r="I2141" s="2" t="s">
        <v>15</v>
      </c>
      <c r="J2141" s="2" t="s">
        <v>14</v>
      </c>
      <c r="K2141" s="2" t="s">
        <v>14</v>
      </c>
      <c r="L2141" s="2" t="s">
        <v>14</v>
      </c>
      <c r="M2141" s="2" t="s">
        <v>14</v>
      </c>
      <c r="N2141" s="2" t="s">
        <v>14</v>
      </c>
      <c r="O2141" s="2">
        <v>1</v>
      </c>
    </row>
    <row r="2142" spans="1:15" ht="15" customHeight="1" x14ac:dyDescent="0.25">
      <c r="A2142" s="3">
        <v>20</v>
      </c>
      <c r="B2142" s="3" t="s">
        <v>18</v>
      </c>
      <c r="C2142" s="3" t="s">
        <v>19</v>
      </c>
      <c r="D2142" s="3" t="s">
        <v>19</v>
      </c>
      <c r="E2142" s="3">
        <v>0</v>
      </c>
      <c r="F2142" s="3">
        <v>0</v>
      </c>
      <c r="G2142" s="3" t="s">
        <v>10</v>
      </c>
      <c r="H2142" s="3" t="s">
        <v>12</v>
      </c>
      <c r="I2142" s="3">
        <v>2</v>
      </c>
      <c r="J2142" s="2" t="s">
        <v>14</v>
      </c>
      <c r="K2142" s="2" t="s">
        <v>14</v>
      </c>
      <c r="L2142" s="2" t="s">
        <v>14</v>
      </c>
      <c r="M2142" s="2" t="s">
        <v>14</v>
      </c>
      <c r="N2142" s="2" t="s">
        <v>14</v>
      </c>
      <c r="O2142" s="3">
        <v>1</v>
      </c>
    </row>
    <row r="2143" spans="1:15" ht="15" customHeight="1" x14ac:dyDescent="0.25">
      <c r="A2143" s="2">
        <v>10</v>
      </c>
      <c r="B2143" s="2" t="s">
        <v>14</v>
      </c>
      <c r="C2143" s="2" t="s">
        <v>19</v>
      </c>
      <c r="D2143" s="2" t="s">
        <v>19</v>
      </c>
      <c r="E2143" s="2">
        <v>0</v>
      </c>
      <c r="F2143" s="2">
        <v>0</v>
      </c>
      <c r="G2143" s="2" t="s">
        <v>10</v>
      </c>
      <c r="H2143" s="2" t="s">
        <v>12</v>
      </c>
      <c r="I2143" s="2">
        <v>2</v>
      </c>
      <c r="J2143" s="2" t="s">
        <v>14</v>
      </c>
      <c r="K2143" s="2" t="s">
        <v>14</v>
      </c>
      <c r="L2143" s="2" t="s">
        <v>14</v>
      </c>
      <c r="M2143" s="2" t="s">
        <v>14</v>
      </c>
      <c r="N2143" s="2" t="s">
        <v>14</v>
      </c>
      <c r="O2143" s="2">
        <v>1</v>
      </c>
    </row>
    <row r="2144" spans="1:15" ht="15" customHeight="1" x14ac:dyDescent="0.25">
      <c r="A2144" s="3">
        <v>5</v>
      </c>
      <c r="B2144" s="3" t="s">
        <v>10</v>
      </c>
      <c r="C2144" s="3" t="s">
        <v>19</v>
      </c>
      <c r="D2144" s="3" t="s">
        <v>19</v>
      </c>
      <c r="E2144" s="3">
        <v>0</v>
      </c>
      <c r="F2144" s="3">
        <v>0</v>
      </c>
      <c r="G2144" s="3" t="s">
        <v>10</v>
      </c>
      <c r="H2144" s="3" t="s">
        <v>12</v>
      </c>
      <c r="I2144" s="3">
        <v>2</v>
      </c>
      <c r="J2144" s="2" t="s">
        <v>14</v>
      </c>
      <c r="K2144" s="2" t="s">
        <v>14</v>
      </c>
      <c r="L2144" s="2" t="s">
        <v>14</v>
      </c>
      <c r="M2144" s="2" t="s">
        <v>14</v>
      </c>
      <c r="N2144" s="2" t="s">
        <v>14</v>
      </c>
      <c r="O2144" s="3">
        <v>1</v>
      </c>
    </row>
    <row r="2145" spans="1:15" ht="15" customHeight="1" x14ac:dyDescent="0.25">
      <c r="A2145" s="2">
        <v>10</v>
      </c>
      <c r="B2145" s="2" t="s">
        <v>10</v>
      </c>
      <c r="C2145" s="2" t="s">
        <v>19</v>
      </c>
      <c r="D2145" s="2" t="s">
        <v>19</v>
      </c>
      <c r="E2145" s="2">
        <v>0</v>
      </c>
      <c r="F2145" s="2">
        <v>0</v>
      </c>
      <c r="G2145" s="2" t="s">
        <v>10</v>
      </c>
      <c r="H2145" s="2" t="s">
        <v>12</v>
      </c>
      <c r="I2145" s="2">
        <v>2</v>
      </c>
      <c r="J2145" s="2" t="s">
        <v>14</v>
      </c>
      <c r="K2145" s="2" t="s">
        <v>14</v>
      </c>
      <c r="L2145" s="2" t="s">
        <v>14</v>
      </c>
      <c r="M2145" s="2" t="s">
        <v>14</v>
      </c>
      <c r="N2145" s="2" t="s">
        <v>14</v>
      </c>
      <c r="O2145" s="2">
        <v>1</v>
      </c>
    </row>
    <row r="2146" spans="1:15" ht="15" customHeight="1" x14ac:dyDescent="0.25">
      <c r="A2146" s="3">
        <v>20</v>
      </c>
      <c r="B2146" s="3" t="s">
        <v>10</v>
      </c>
      <c r="C2146" s="3" t="s">
        <v>19</v>
      </c>
      <c r="D2146" s="3" t="s">
        <v>19</v>
      </c>
      <c r="E2146" s="3">
        <v>0</v>
      </c>
      <c r="F2146" s="3">
        <v>0</v>
      </c>
      <c r="G2146" s="3" t="s">
        <v>10</v>
      </c>
      <c r="H2146" s="3" t="s">
        <v>16</v>
      </c>
      <c r="I2146" s="3" t="s">
        <v>15</v>
      </c>
      <c r="J2146" s="2" t="s">
        <v>14</v>
      </c>
      <c r="K2146" s="2" t="s">
        <v>14</v>
      </c>
      <c r="L2146" s="2" t="s">
        <v>14</v>
      </c>
      <c r="M2146" s="2" t="s">
        <v>14</v>
      </c>
      <c r="N2146" s="2" t="s">
        <v>14</v>
      </c>
      <c r="O2146" s="3">
        <v>1</v>
      </c>
    </row>
    <row r="2147" spans="1:15" ht="15" customHeight="1" x14ac:dyDescent="0.25">
      <c r="A2147" s="2">
        <v>0</v>
      </c>
      <c r="B2147" s="2" t="s">
        <v>14</v>
      </c>
      <c r="C2147" s="2" t="s">
        <v>19</v>
      </c>
      <c r="D2147" s="2" t="s">
        <v>19</v>
      </c>
      <c r="E2147" s="2">
        <v>0</v>
      </c>
      <c r="F2147" s="2">
        <v>0</v>
      </c>
      <c r="G2147" s="2" t="s">
        <v>10</v>
      </c>
      <c r="H2147" s="2" t="s">
        <v>12</v>
      </c>
      <c r="I2147" s="2">
        <v>2</v>
      </c>
      <c r="J2147" s="2" t="s">
        <v>14</v>
      </c>
      <c r="K2147" s="2" t="s">
        <v>14</v>
      </c>
      <c r="L2147" s="2" t="s">
        <v>14</v>
      </c>
      <c r="M2147" s="2" t="s">
        <v>14</v>
      </c>
      <c r="N2147" s="2" t="s">
        <v>14</v>
      </c>
      <c r="O2147" s="2">
        <v>1</v>
      </c>
    </row>
    <row r="2148" spans="1:15" ht="15" customHeight="1" x14ac:dyDescent="0.25">
      <c r="A2148" s="3">
        <v>5</v>
      </c>
      <c r="B2148" s="3" t="s">
        <v>10</v>
      </c>
      <c r="C2148" s="3" t="s">
        <v>11</v>
      </c>
      <c r="D2148" s="3" t="s">
        <v>19</v>
      </c>
      <c r="E2148" s="3">
        <v>0</v>
      </c>
      <c r="F2148" s="3">
        <v>0</v>
      </c>
      <c r="G2148" s="3" t="s">
        <v>10</v>
      </c>
      <c r="H2148" s="3" t="s">
        <v>12</v>
      </c>
      <c r="I2148" s="3" t="s">
        <v>15</v>
      </c>
      <c r="J2148" s="2" t="s">
        <v>14</v>
      </c>
      <c r="K2148" s="2" t="s">
        <v>14</v>
      </c>
      <c r="L2148" s="2" t="s">
        <v>14</v>
      </c>
      <c r="M2148" s="2" t="s">
        <v>14</v>
      </c>
      <c r="N2148" s="2" t="s">
        <v>14</v>
      </c>
      <c r="O2148" s="3">
        <v>1</v>
      </c>
    </row>
    <row r="2149" spans="1:15" ht="15" customHeight="1" x14ac:dyDescent="0.25">
      <c r="A2149" s="2">
        <v>5</v>
      </c>
      <c r="B2149" s="2" t="s">
        <v>10</v>
      </c>
      <c r="C2149" s="2" t="s">
        <v>11</v>
      </c>
      <c r="D2149" s="2" t="s">
        <v>11</v>
      </c>
      <c r="E2149" s="2">
        <v>0</v>
      </c>
      <c r="F2149" s="2">
        <v>1</v>
      </c>
      <c r="G2149" s="2" t="s">
        <v>10</v>
      </c>
      <c r="H2149" s="2" t="s">
        <v>16</v>
      </c>
      <c r="I2149" s="2">
        <v>1</v>
      </c>
      <c r="J2149" s="2" t="s">
        <v>14</v>
      </c>
      <c r="K2149" s="2" t="s">
        <v>14</v>
      </c>
      <c r="L2149" s="2" t="s">
        <v>14</v>
      </c>
      <c r="M2149" s="2" t="s">
        <v>14</v>
      </c>
      <c r="N2149" s="2" t="s">
        <v>14</v>
      </c>
      <c r="O2149" s="2">
        <v>1</v>
      </c>
    </row>
    <row r="2150" spans="1:15" ht="15" customHeight="1" x14ac:dyDescent="0.25">
      <c r="A2150" s="3">
        <v>5</v>
      </c>
      <c r="B2150" s="3" t="s">
        <v>18</v>
      </c>
      <c r="C2150" s="3" t="s">
        <v>11</v>
      </c>
      <c r="D2150" s="3" t="s">
        <v>11</v>
      </c>
      <c r="E2150" s="3">
        <v>0</v>
      </c>
      <c r="F2150" s="3">
        <v>0</v>
      </c>
      <c r="G2150" s="3" t="s">
        <v>10</v>
      </c>
      <c r="H2150" s="3" t="s">
        <v>16</v>
      </c>
      <c r="I2150" s="3" t="s">
        <v>15</v>
      </c>
      <c r="J2150" s="2" t="s">
        <v>14</v>
      </c>
      <c r="K2150" s="2" t="s">
        <v>14</v>
      </c>
      <c r="L2150" s="2" t="s">
        <v>14</v>
      </c>
      <c r="M2150" s="2" t="s">
        <v>14</v>
      </c>
      <c r="N2150" s="2" t="s">
        <v>14</v>
      </c>
      <c r="O2150" s="3">
        <v>1</v>
      </c>
    </row>
    <row r="2151" spans="1:15" ht="15" customHeight="1" x14ac:dyDescent="0.25">
      <c r="A2151" s="2">
        <v>5</v>
      </c>
      <c r="B2151" s="2" t="s">
        <v>14</v>
      </c>
      <c r="C2151" s="2" t="s">
        <v>11</v>
      </c>
      <c r="D2151" s="2" t="s">
        <v>11</v>
      </c>
      <c r="E2151" s="2">
        <v>0</v>
      </c>
      <c r="F2151" s="2">
        <v>2</v>
      </c>
      <c r="G2151" s="2" t="s">
        <v>10</v>
      </c>
      <c r="H2151" s="2" t="s">
        <v>12</v>
      </c>
      <c r="I2151" s="2" t="s">
        <v>15</v>
      </c>
      <c r="J2151" s="2" t="s">
        <v>14</v>
      </c>
      <c r="K2151" s="2" t="s">
        <v>14</v>
      </c>
      <c r="L2151" s="2" t="s">
        <v>14</v>
      </c>
      <c r="M2151" s="2" t="s">
        <v>14</v>
      </c>
      <c r="N2151" s="2" t="s">
        <v>14</v>
      </c>
      <c r="O2151" s="2">
        <v>0</v>
      </c>
    </row>
    <row r="2152" spans="1:15" ht="15" customHeight="1" x14ac:dyDescent="0.25">
      <c r="A2152" s="3">
        <v>5</v>
      </c>
      <c r="B2152" s="3" t="s">
        <v>10</v>
      </c>
      <c r="C2152" s="3" t="s">
        <v>19</v>
      </c>
      <c r="D2152" s="3" t="s">
        <v>20</v>
      </c>
      <c r="E2152" s="3">
        <v>1</v>
      </c>
      <c r="F2152" s="3">
        <v>0</v>
      </c>
      <c r="G2152" s="3" t="s">
        <v>10</v>
      </c>
      <c r="H2152" s="3" t="s">
        <v>12</v>
      </c>
      <c r="I2152" s="3">
        <v>1</v>
      </c>
      <c r="J2152" s="2" t="s">
        <v>14</v>
      </c>
      <c r="K2152" s="2" t="s">
        <v>14</v>
      </c>
      <c r="L2152" s="2" t="s">
        <v>14</v>
      </c>
      <c r="M2152" s="2" t="s">
        <v>14</v>
      </c>
      <c r="N2152" s="2" t="s">
        <v>14</v>
      </c>
      <c r="O2152" s="3">
        <v>0</v>
      </c>
    </row>
    <row r="2153" spans="1:15" ht="15" customHeight="1" x14ac:dyDescent="0.25">
      <c r="A2153" s="2">
        <v>10</v>
      </c>
      <c r="B2153" s="2" t="s">
        <v>10</v>
      </c>
      <c r="C2153" s="2" t="s">
        <v>19</v>
      </c>
      <c r="D2153" s="2" t="s">
        <v>20</v>
      </c>
      <c r="E2153" s="2">
        <v>0</v>
      </c>
      <c r="F2153" s="2">
        <v>1</v>
      </c>
      <c r="G2153" s="2" t="s">
        <v>10</v>
      </c>
      <c r="H2153" s="2" t="s">
        <v>16</v>
      </c>
      <c r="I2153" s="2">
        <v>1</v>
      </c>
      <c r="J2153" s="2" t="s">
        <v>14</v>
      </c>
      <c r="K2153" s="2" t="s">
        <v>14</v>
      </c>
      <c r="L2153" s="2" t="s">
        <v>14</v>
      </c>
      <c r="M2153" s="2" t="s">
        <v>14</v>
      </c>
      <c r="N2153" s="2" t="s">
        <v>14</v>
      </c>
      <c r="O2153" s="2">
        <v>0</v>
      </c>
    </row>
    <row r="2154" spans="1:15" ht="15" customHeight="1" x14ac:dyDescent="0.25">
      <c r="A2154" s="3">
        <v>10</v>
      </c>
      <c r="B2154" s="3" t="s">
        <v>10</v>
      </c>
      <c r="C2154" s="3" t="s">
        <v>19</v>
      </c>
      <c r="D2154" s="3" t="s">
        <v>19</v>
      </c>
      <c r="E2154" s="3">
        <v>1</v>
      </c>
      <c r="F2154" s="3">
        <v>0</v>
      </c>
      <c r="G2154" s="3" t="s">
        <v>10</v>
      </c>
      <c r="H2154" s="3" t="s">
        <v>12</v>
      </c>
      <c r="I2154" s="3">
        <v>1</v>
      </c>
      <c r="J2154" s="2" t="s">
        <v>14</v>
      </c>
      <c r="K2154" s="2" t="s">
        <v>14</v>
      </c>
      <c r="L2154" s="2" t="s">
        <v>14</v>
      </c>
      <c r="M2154" s="2" t="s">
        <v>14</v>
      </c>
      <c r="N2154" s="2" t="s">
        <v>14</v>
      </c>
      <c r="O2154" s="3">
        <v>1</v>
      </c>
    </row>
    <row r="2155" spans="1:15" ht="15" customHeight="1" x14ac:dyDescent="0.25">
      <c r="A2155" s="2">
        <v>5</v>
      </c>
      <c r="B2155" s="2" t="s">
        <v>10</v>
      </c>
      <c r="C2155" s="2" t="s">
        <v>11</v>
      </c>
      <c r="D2155" s="2" t="s">
        <v>19</v>
      </c>
      <c r="E2155" s="2">
        <v>0</v>
      </c>
      <c r="F2155" s="2">
        <v>0</v>
      </c>
      <c r="G2155" s="2" t="s">
        <v>10</v>
      </c>
      <c r="H2155" s="2" t="s">
        <v>12</v>
      </c>
      <c r="I2155" s="2" t="s">
        <v>15</v>
      </c>
      <c r="J2155" s="2" t="s">
        <v>14</v>
      </c>
      <c r="K2155" s="2" t="s">
        <v>14</v>
      </c>
      <c r="L2155" s="2" t="s">
        <v>14</v>
      </c>
      <c r="M2155" s="2" t="s">
        <v>14</v>
      </c>
      <c r="N2155" s="2" t="s">
        <v>14</v>
      </c>
      <c r="O2155" s="2">
        <v>1</v>
      </c>
    </row>
    <row r="2156" spans="1:15" ht="15" customHeight="1" x14ac:dyDescent="0.25">
      <c r="A2156" s="3">
        <v>20</v>
      </c>
      <c r="B2156" s="3" t="s">
        <v>14</v>
      </c>
      <c r="C2156" s="3" t="s">
        <v>11</v>
      </c>
      <c r="D2156" s="3" t="s">
        <v>11</v>
      </c>
      <c r="E2156" s="3">
        <v>1</v>
      </c>
      <c r="F2156" s="3">
        <v>1</v>
      </c>
      <c r="G2156" s="3" t="s">
        <v>10</v>
      </c>
      <c r="H2156" s="3" t="s">
        <v>12</v>
      </c>
      <c r="I2156" s="3" t="s">
        <v>15</v>
      </c>
      <c r="J2156" s="2" t="s">
        <v>14</v>
      </c>
      <c r="K2156" s="2" t="s">
        <v>14</v>
      </c>
      <c r="L2156" s="2" t="s">
        <v>14</v>
      </c>
      <c r="M2156" s="3" t="s">
        <v>13</v>
      </c>
      <c r="N2156" s="3" t="s">
        <v>13</v>
      </c>
      <c r="O2156" s="3">
        <v>0</v>
      </c>
    </row>
    <row r="2157" spans="1:15" ht="15" customHeight="1" x14ac:dyDescent="0.25">
      <c r="A2157" s="2">
        <v>0</v>
      </c>
      <c r="B2157" s="2" t="s">
        <v>10</v>
      </c>
      <c r="C2157" s="2" t="s">
        <v>19</v>
      </c>
      <c r="D2157" s="2" t="s">
        <v>19</v>
      </c>
      <c r="E2157" s="2">
        <v>0</v>
      </c>
      <c r="F2157" s="2">
        <v>1</v>
      </c>
      <c r="G2157" s="2" t="s">
        <v>17</v>
      </c>
      <c r="H2157" s="2" t="s">
        <v>106</v>
      </c>
      <c r="I2157" s="2">
        <v>1</v>
      </c>
      <c r="J2157" s="2" t="s">
        <v>14</v>
      </c>
      <c r="K2157" s="2" t="s">
        <v>13</v>
      </c>
      <c r="L2157" s="2" t="s">
        <v>13</v>
      </c>
      <c r="M2157" s="2" t="s">
        <v>13</v>
      </c>
      <c r="N2157" s="2" t="s">
        <v>14</v>
      </c>
      <c r="O2157" s="2">
        <v>1</v>
      </c>
    </row>
    <row r="2158" spans="1:15" ht="15" customHeight="1" x14ac:dyDescent="0.25">
      <c r="A2158" s="3">
        <v>10</v>
      </c>
      <c r="B2158" s="3" t="s">
        <v>18</v>
      </c>
      <c r="C2158" s="3" t="s">
        <v>19</v>
      </c>
      <c r="D2158" s="3" t="s">
        <v>19</v>
      </c>
      <c r="E2158" s="3">
        <v>0</v>
      </c>
      <c r="F2158" s="3">
        <v>1</v>
      </c>
      <c r="G2158" s="3" t="s">
        <v>10</v>
      </c>
      <c r="H2158" s="3" t="s">
        <v>12</v>
      </c>
      <c r="I2158" s="3">
        <v>2</v>
      </c>
      <c r="J2158" s="2" t="s">
        <v>14</v>
      </c>
      <c r="K2158" s="3" t="s">
        <v>13</v>
      </c>
      <c r="L2158" s="3" t="s">
        <v>13</v>
      </c>
      <c r="M2158" s="3" t="s">
        <v>14</v>
      </c>
      <c r="N2158" s="2" t="s">
        <v>14</v>
      </c>
      <c r="O2158" s="3">
        <v>1</v>
      </c>
    </row>
    <row r="2159" spans="1:15" ht="15" customHeight="1" x14ac:dyDescent="0.25">
      <c r="A2159" s="2">
        <v>20</v>
      </c>
      <c r="B2159" s="2" t="s">
        <v>10</v>
      </c>
      <c r="C2159" s="2" t="s">
        <v>19</v>
      </c>
      <c r="D2159" s="2" t="s">
        <v>19</v>
      </c>
      <c r="E2159" s="2">
        <v>0</v>
      </c>
      <c r="F2159" s="2">
        <v>3</v>
      </c>
      <c r="G2159" s="2" t="s">
        <v>10</v>
      </c>
      <c r="H2159" s="2" t="s">
        <v>16</v>
      </c>
      <c r="I2159" s="2">
        <v>1</v>
      </c>
      <c r="J2159" s="2" t="s">
        <v>14</v>
      </c>
      <c r="K2159" s="2" t="s">
        <v>14</v>
      </c>
      <c r="L2159" s="2" t="s">
        <v>14</v>
      </c>
      <c r="M2159" s="2" t="s">
        <v>13</v>
      </c>
      <c r="N2159" s="2" t="s">
        <v>14</v>
      </c>
      <c r="O2159" s="2">
        <v>0</v>
      </c>
    </row>
    <row r="2160" spans="1:15" ht="15" customHeight="1" x14ac:dyDescent="0.25">
      <c r="A2160" s="3">
        <v>0</v>
      </c>
      <c r="B2160" s="3" t="s">
        <v>14</v>
      </c>
      <c r="C2160" s="3" t="s">
        <v>19</v>
      </c>
      <c r="D2160" s="3" t="s">
        <v>19</v>
      </c>
      <c r="E2160" s="3">
        <v>0</v>
      </c>
      <c r="F2160" s="3">
        <v>0</v>
      </c>
      <c r="G2160" s="3" t="s">
        <v>10</v>
      </c>
      <c r="H2160" s="3" t="s">
        <v>12</v>
      </c>
      <c r="I2160" s="3">
        <v>1</v>
      </c>
      <c r="J2160" s="2" t="s">
        <v>14</v>
      </c>
      <c r="K2160" s="3" t="s">
        <v>13</v>
      </c>
      <c r="L2160" s="3" t="s">
        <v>13</v>
      </c>
      <c r="M2160" s="3" t="s">
        <v>13</v>
      </c>
      <c r="N2160" s="2" t="s">
        <v>14</v>
      </c>
      <c r="O2160" s="3">
        <v>0</v>
      </c>
    </row>
    <row r="2161" spans="1:15" ht="15" customHeight="1" x14ac:dyDescent="0.25">
      <c r="A2161" s="2">
        <v>5</v>
      </c>
      <c r="B2161" s="2" t="s">
        <v>10</v>
      </c>
      <c r="C2161" s="2" t="s">
        <v>19</v>
      </c>
      <c r="D2161" s="2" t="s">
        <v>19</v>
      </c>
      <c r="E2161" s="2">
        <v>0</v>
      </c>
      <c r="F2161" s="2">
        <v>0</v>
      </c>
      <c r="G2161" s="2" t="s">
        <v>10</v>
      </c>
      <c r="H2161" s="2" t="s">
        <v>12</v>
      </c>
      <c r="I2161" s="2" t="s">
        <v>15</v>
      </c>
      <c r="J2161" s="2" t="s">
        <v>14</v>
      </c>
      <c r="K2161" s="2" t="s">
        <v>14</v>
      </c>
      <c r="L2161" s="2" t="s">
        <v>14</v>
      </c>
      <c r="M2161" s="2" t="s">
        <v>14</v>
      </c>
      <c r="N2161" s="2" t="s">
        <v>14</v>
      </c>
      <c r="O2161" s="2">
        <v>1</v>
      </c>
    </row>
    <row r="2162" spans="1:15" ht="15" customHeight="1" x14ac:dyDescent="0.25">
      <c r="A2162" s="3">
        <v>5</v>
      </c>
      <c r="B2162" s="3" t="s">
        <v>10</v>
      </c>
      <c r="C2162" s="3" t="s">
        <v>19</v>
      </c>
      <c r="D2162" s="3" t="s">
        <v>19</v>
      </c>
      <c r="E2162" s="3">
        <v>0</v>
      </c>
      <c r="F2162" s="3">
        <v>1</v>
      </c>
      <c r="G2162" s="3" t="s">
        <v>10</v>
      </c>
      <c r="H2162" s="3" t="s">
        <v>12</v>
      </c>
      <c r="I2162" s="3" t="s">
        <v>15</v>
      </c>
      <c r="J2162" s="2" t="s">
        <v>14</v>
      </c>
      <c r="K2162" s="2" t="s">
        <v>14</v>
      </c>
      <c r="L2162" s="2" t="s">
        <v>14</v>
      </c>
      <c r="M2162" s="2" t="s">
        <v>14</v>
      </c>
      <c r="N2162" s="2" t="s">
        <v>14</v>
      </c>
      <c r="O2162" s="3">
        <v>1</v>
      </c>
    </row>
    <row r="2163" spans="1:15" ht="15" customHeight="1" x14ac:dyDescent="0.25">
      <c r="A2163" s="2">
        <v>0</v>
      </c>
      <c r="B2163" s="2" t="s">
        <v>18</v>
      </c>
      <c r="C2163" s="2" t="s">
        <v>19</v>
      </c>
      <c r="D2163" s="2" t="s">
        <v>19</v>
      </c>
      <c r="E2163" s="2">
        <v>0</v>
      </c>
      <c r="F2163" s="2">
        <v>0</v>
      </c>
      <c r="G2163" s="2" t="s">
        <v>10</v>
      </c>
      <c r="H2163" s="2" t="s">
        <v>12</v>
      </c>
      <c r="I2163" s="2">
        <v>2</v>
      </c>
      <c r="J2163" s="2" t="s">
        <v>14</v>
      </c>
      <c r="K2163" s="2" t="s">
        <v>13</v>
      </c>
      <c r="L2163" s="2" t="s">
        <v>14</v>
      </c>
      <c r="M2163" s="2" t="s">
        <v>14</v>
      </c>
      <c r="N2163" s="2" t="s">
        <v>14</v>
      </c>
      <c r="O2163" s="2">
        <v>1</v>
      </c>
    </row>
    <row r="2164" spans="1:15" ht="15" customHeight="1" x14ac:dyDescent="0.25">
      <c r="A2164" s="3">
        <v>0</v>
      </c>
      <c r="B2164" s="3" t="s">
        <v>10</v>
      </c>
      <c r="C2164" s="3" t="s">
        <v>19</v>
      </c>
      <c r="D2164" s="3" t="s">
        <v>19</v>
      </c>
      <c r="E2164" s="3">
        <v>0</v>
      </c>
      <c r="F2164" s="3">
        <v>1</v>
      </c>
      <c r="G2164" s="3" t="s">
        <v>10</v>
      </c>
      <c r="H2164" s="3" t="s">
        <v>12</v>
      </c>
      <c r="I2164" s="3">
        <v>1</v>
      </c>
      <c r="J2164" s="2" t="s">
        <v>14</v>
      </c>
      <c r="K2164" s="2" t="s">
        <v>14</v>
      </c>
      <c r="L2164" s="2" t="s">
        <v>14</v>
      </c>
      <c r="M2164" s="2" t="s">
        <v>14</v>
      </c>
      <c r="N2164" s="2" t="s">
        <v>14</v>
      </c>
      <c r="O2164" s="3">
        <v>1</v>
      </c>
    </row>
    <row r="2165" spans="1:15" ht="15" customHeight="1" x14ac:dyDescent="0.25">
      <c r="A2165" s="2">
        <v>5</v>
      </c>
      <c r="B2165" s="2" t="s">
        <v>10</v>
      </c>
      <c r="C2165" s="2" t="s">
        <v>19</v>
      </c>
      <c r="D2165" s="2" t="s">
        <v>19</v>
      </c>
      <c r="E2165" s="2">
        <v>0</v>
      </c>
      <c r="F2165" s="2">
        <v>2</v>
      </c>
      <c r="G2165" s="2" t="s">
        <v>10</v>
      </c>
      <c r="H2165" s="2" t="s">
        <v>12</v>
      </c>
      <c r="I2165" s="2" t="s">
        <v>15</v>
      </c>
      <c r="J2165" s="2" t="s">
        <v>14</v>
      </c>
      <c r="K2165" s="2" t="s">
        <v>14</v>
      </c>
      <c r="L2165" s="2" t="s">
        <v>14</v>
      </c>
      <c r="M2165" s="2" t="s">
        <v>14</v>
      </c>
      <c r="N2165" s="2" t="s">
        <v>14</v>
      </c>
      <c r="O2165" s="2">
        <v>1</v>
      </c>
    </row>
    <row r="2166" spans="1:15" ht="15" customHeight="1" x14ac:dyDescent="0.25">
      <c r="A2166" s="3">
        <v>0</v>
      </c>
      <c r="B2166" s="3" t="s">
        <v>10</v>
      </c>
      <c r="C2166" s="3" t="s">
        <v>19</v>
      </c>
      <c r="D2166" s="3" t="s">
        <v>19</v>
      </c>
      <c r="E2166" s="3">
        <v>0</v>
      </c>
      <c r="F2166" s="3">
        <v>0</v>
      </c>
      <c r="G2166" s="3" t="s">
        <v>10</v>
      </c>
      <c r="H2166" s="3" t="s">
        <v>12</v>
      </c>
      <c r="I2166" s="3">
        <v>1</v>
      </c>
      <c r="J2166" s="2" t="s">
        <v>14</v>
      </c>
      <c r="K2166" s="2" t="s">
        <v>14</v>
      </c>
      <c r="L2166" s="2" t="s">
        <v>14</v>
      </c>
      <c r="M2166" s="2" t="s">
        <v>14</v>
      </c>
      <c r="N2166" s="2" t="s">
        <v>14</v>
      </c>
      <c r="O2166" s="3">
        <v>1</v>
      </c>
    </row>
    <row r="2167" spans="1:15" ht="15" customHeight="1" x14ac:dyDescent="0.25">
      <c r="A2167" s="2">
        <v>10</v>
      </c>
      <c r="B2167" s="2" t="s">
        <v>18</v>
      </c>
      <c r="C2167" s="2" t="s">
        <v>20</v>
      </c>
      <c r="D2167" s="2" t="s">
        <v>19</v>
      </c>
      <c r="E2167" s="2">
        <v>0</v>
      </c>
      <c r="F2167" s="2">
        <v>0</v>
      </c>
      <c r="G2167" s="2" t="s">
        <v>10</v>
      </c>
      <c r="H2167" s="2" t="s">
        <v>12</v>
      </c>
      <c r="I2167" s="2" t="s">
        <v>15</v>
      </c>
      <c r="J2167" s="2" t="s">
        <v>14</v>
      </c>
      <c r="K2167" s="2" t="s">
        <v>14</v>
      </c>
      <c r="L2167" s="2" t="s">
        <v>14</v>
      </c>
      <c r="M2167" s="2" t="s">
        <v>14</v>
      </c>
      <c r="N2167" s="2" t="s">
        <v>14</v>
      </c>
      <c r="O2167" s="2">
        <v>1</v>
      </c>
    </row>
    <row r="2168" spans="1:15" ht="15" customHeight="1" x14ac:dyDescent="0.25">
      <c r="A2168" s="3">
        <v>0</v>
      </c>
      <c r="B2168" s="3" t="s">
        <v>18</v>
      </c>
      <c r="C2168" s="3" t="s">
        <v>19</v>
      </c>
      <c r="D2168" s="3" t="s">
        <v>19</v>
      </c>
      <c r="E2168" s="3">
        <v>0</v>
      </c>
      <c r="F2168" s="3">
        <v>0</v>
      </c>
      <c r="G2168" s="3" t="s">
        <v>10</v>
      </c>
      <c r="H2168" s="3" t="s">
        <v>12</v>
      </c>
      <c r="I2168" s="3">
        <v>1</v>
      </c>
      <c r="J2168" s="2" t="s">
        <v>14</v>
      </c>
      <c r="K2168" s="2" t="s">
        <v>14</v>
      </c>
      <c r="L2168" s="2" t="s">
        <v>14</v>
      </c>
      <c r="M2168" s="2" t="s">
        <v>14</v>
      </c>
      <c r="N2168" s="2" t="s">
        <v>14</v>
      </c>
      <c r="O2168" s="3">
        <v>1</v>
      </c>
    </row>
    <row r="2169" spans="1:15" ht="15" customHeight="1" x14ac:dyDescent="0.25">
      <c r="A2169" s="2">
        <v>20</v>
      </c>
      <c r="B2169" s="2" t="s">
        <v>10</v>
      </c>
      <c r="C2169" s="2" t="s">
        <v>19</v>
      </c>
      <c r="D2169" s="2" t="s">
        <v>19</v>
      </c>
      <c r="E2169" s="2">
        <v>1</v>
      </c>
      <c r="F2169" s="2">
        <v>0</v>
      </c>
      <c r="G2169" s="2" t="s">
        <v>10</v>
      </c>
      <c r="H2169" s="2" t="s">
        <v>12</v>
      </c>
      <c r="I2169" s="2">
        <v>2</v>
      </c>
      <c r="J2169" s="2" t="s">
        <v>14</v>
      </c>
      <c r="K2169" s="2" t="s">
        <v>14</v>
      </c>
      <c r="L2169" s="2" t="s">
        <v>14</v>
      </c>
      <c r="M2169" s="2" t="s">
        <v>13</v>
      </c>
      <c r="N2169" s="2" t="s">
        <v>14</v>
      </c>
      <c r="O2169" s="2">
        <v>0</v>
      </c>
    </row>
    <row r="2170" spans="1:15" ht="15" customHeight="1" x14ac:dyDescent="0.25">
      <c r="A2170" s="3">
        <v>10</v>
      </c>
      <c r="B2170" s="3" t="s">
        <v>18</v>
      </c>
      <c r="C2170" s="3" t="s">
        <v>20</v>
      </c>
      <c r="D2170" s="3" t="s">
        <v>20</v>
      </c>
      <c r="E2170" s="3">
        <v>0</v>
      </c>
      <c r="F2170" s="3">
        <v>0</v>
      </c>
      <c r="G2170" s="3" t="s">
        <v>10</v>
      </c>
      <c r="H2170" s="3" t="s">
        <v>12</v>
      </c>
      <c r="I2170" s="3">
        <v>1</v>
      </c>
      <c r="J2170" s="2" t="s">
        <v>14</v>
      </c>
      <c r="K2170" s="2" t="s">
        <v>14</v>
      </c>
      <c r="L2170" s="2" t="s">
        <v>14</v>
      </c>
      <c r="M2170" s="2" t="s">
        <v>14</v>
      </c>
      <c r="N2170" s="2" t="s">
        <v>14</v>
      </c>
      <c r="O2170" s="3">
        <v>1</v>
      </c>
    </row>
    <row r="2171" spans="1:15" ht="15" customHeight="1" x14ac:dyDescent="0.25">
      <c r="A2171" s="2">
        <v>30</v>
      </c>
      <c r="B2171" s="2" t="s">
        <v>10</v>
      </c>
      <c r="C2171" s="2" t="s">
        <v>19</v>
      </c>
      <c r="D2171" s="2" t="s">
        <v>19</v>
      </c>
      <c r="E2171" s="2">
        <v>0</v>
      </c>
      <c r="F2171" s="2">
        <v>1</v>
      </c>
      <c r="G2171" s="2" t="s">
        <v>10</v>
      </c>
      <c r="H2171" s="2" t="s">
        <v>12</v>
      </c>
      <c r="I2171" s="2">
        <v>2</v>
      </c>
      <c r="J2171" s="2" t="s">
        <v>14</v>
      </c>
      <c r="K2171" s="2" t="s">
        <v>14</v>
      </c>
      <c r="L2171" s="2" t="s">
        <v>14</v>
      </c>
      <c r="M2171" s="2" t="s">
        <v>13</v>
      </c>
      <c r="N2171" s="2" t="s">
        <v>14</v>
      </c>
      <c r="O2171" s="2">
        <v>1</v>
      </c>
    </row>
    <row r="2172" spans="1:15" ht="15" customHeight="1" x14ac:dyDescent="0.25">
      <c r="A2172" s="3">
        <v>5</v>
      </c>
      <c r="B2172" s="3" t="s">
        <v>18</v>
      </c>
      <c r="C2172" s="3" t="s">
        <v>19</v>
      </c>
      <c r="D2172" s="3" t="s">
        <v>19</v>
      </c>
      <c r="E2172" s="3">
        <v>0</v>
      </c>
      <c r="F2172" s="3">
        <v>1</v>
      </c>
      <c r="G2172" s="3" t="s">
        <v>10</v>
      </c>
      <c r="H2172" s="3" t="s">
        <v>12</v>
      </c>
      <c r="I2172" s="3" t="s">
        <v>15</v>
      </c>
      <c r="J2172" s="2" t="s">
        <v>14</v>
      </c>
      <c r="K2172" s="3" t="s">
        <v>13</v>
      </c>
      <c r="L2172" s="2" t="s">
        <v>14</v>
      </c>
      <c r="M2172" s="2" t="s">
        <v>14</v>
      </c>
      <c r="N2172" s="2" t="s">
        <v>14</v>
      </c>
      <c r="O2172" s="3">
        <v>1</v>
      </c>
    </row>
    <row r="2173" spans="1:15" ht="15" customHeight="1" x14ac:dyDescent="0.25">
      <c r="A2173" s="2">
        <v>5</v>
      </c>
      <c r="B2173" s="2" t="s">
        <v>14</v>
      </c>
      <c r="C2173" s="2" t="s">
        <v>19</v>
      </c>
      <c r="D2173" s="2" t="s">
        <v>19</v>
      </c>
      <c r="E2173" s="2">
        <v>0</v>
      </c>
      <c r="F2173" s="2">
        <v>0</v>
      </c>
      <c r="G2173" s="2" t="s">
        <v>10</v>
      </c>
      <c r="H2173" s="2" t="s">
        <v>12</v>
      </c>
      <c r="I2173" s="2">
        <v>2</v>
      </c>
      <c r="J2173" s="2" t="s">
        <v>14</v>
      </c>
      <c r="K2173" s="2" t="s">
        <v>14</v>
      </c>
      <c r="L2173" s="2" t="s">
        <v>14</v>
      </c>
      <c r="M2173" s="2" t="s">
        <v>14</v>
      </c>
      <c r="N2173" s="2" t="s">
        <v>14</v>
      </c>
      <c r="O2173" s="2">
        <v>1</v>
      </c>
    </row>
    <row r="2174" spans="1:15" ht="15" customHeight="1" x14ac:dyDescent="0.25">
      <c r="A2174" s="3">
        <v>5</v>
      </c>
      <c r="B2174" s="3" t="s">
        <v>14</v>
      </c>
      <c r="C2174" s="3" t="s">
        <v>11</v>
      </c>
      <c r="D2174" s="3" t="s">
        <v>11</v>
      </c>
      <c r="E2174" s="3">
        <v>0</v>
      </c>
      <c r="F2174" s="3">
        <v>0</v>
      </c>
      <c r="G2174" s="3" t="s">
        <v>10</v>
      </c>
      <c r="H2174" s="3" t="s">
        <v>12</v>
      </c>
      <c r="I2174" s="3" t="s">
        <v>15</v>
      </c>
      <c r="J2174" s="2" t="s">
        <v>14</v>
      </c>
      <c r="K2174" s="2" t="s">
        <v>14</v>
      </c>
      <c r="L2174" s="2" t="s">
        <v>14</v>
      </c>
      <c r="M2174" s="2" t="s">
        <v>14</v>
      </c>
      <c r="N2174" s="2" t="s">
        <v>14</v>
      </c>
      <c r="O2174" s="3">
        <v>1</v>
      </c>
    </row>
    <row r="2175" spans="1:15" ht="15" customHeight="1" x14ac:dyDescent="0.25">
      <c r="A2175" s="2">
        <v>20</v>
      </c>
      <c r="B2175" s="2" t="s">
        <v>10</v>
      </c>
      <c r="C2175" s="2" t="s">
        <v>11</v>
      </c>
      <c r="D2175" s="2" t="s">
        <v>11</v>
      </c>
      <c r="E2175" s="2">
        <v>1</v>
      </c>
      <c r="F2175" s="2">
        <v>0</v>
      </c>
      <c r="G2175" s="2" t="s">
        <v>10</v>
      </c>
      <c r="H2175" s="2" t="s">
        <v>12</v>
      </c>
      <c r="I2175" s="2" t="s">
        <v>15</v>
      </c>
      <c r="J2175" s="2" t="s">
        <v>14</v>
      </c>
      <c r="K2175" s="2" t="s">
        <v>14</v>
      </c>
      <c r="L2175" s="2" t="s">
        <v>14</v>
      </c>
      <c r="M2175" s="2" t="s">
        <v>13</v>
      </c>
      <c r="N2175" s="2" t="s">
        <v>13</v>
      </c>
      <c r="O2175" s="2">
        <v>0</v>
      </c>
    </row>
    <row r="2176" spans="1:15" ht="15" customHeight="1" x14ac:dyDescent="0.25">
      <c r="A2176" s="3">
        <v>10</v>
      </c>
      <c r="B2176" s="3" t="s">
        <v>10</v>
      </c>
      <c r="C2176" s="3" t="s">
        <v>20</v>
      </c>
      <c r="D2176" s="3" t="s">
        <v>20</v>
      </c>
      <c r="E2176" s="3">
        <v>0</v>
      </c>
      <c r="F2176" s="3">
        <v>0</v>
      </c>
      <c r="G2176" s="3" t="s">
        <v>17</v>
      </c>
      <c r="H2176" s="3" t="s">
        <v>106</v>
      </c>
      <c r="I2176" s="3">
        <v>1</v>
      </c>
      <c r="J2176" s="2" t="s">
        <v>14</v>
      </c>
      <c r="K2176" s="3" t="s">
        <v>13</v>
      </c>
      <c r="L2176" s="3" t="s">
        <v>13</v>
      </c>
      <c r="M2176" s="3" t="s">
        <v>13</v>
      </c>
      <c r="N2176" s="2" t="s">
        <v>14</v>
      </c>
      <c r="O2176" s="3">
        <v>1</v>
      </c>
    </row>
    <row r="2177" spans="1:15" ht="15" customHeight="1" x14ac:dyDescent="0.25">
      <c r="A2177" s="2">
        <v>10</v>
      </c>
      <c r="B2177" s="2" t="s">
        <v>10</v>
      </c>
      <c r="C2177" s="2" t="s">
        <v>19</v>
      </c>
      <c r="D2177" s="2" t="s">
        <v>20</v>
      </c>
      <c r="E2177" s="2">
        <v>1</v>
      </c>
      <c r="F2177" s="2">
        <v>0</v>
      </c>
      <c r="G2177" s="2" t="s">
        <v>17</v>
      </c>
      <c r="H2177" s="2" t="s">
        <v>106</v>
      </c>
      <c r="I2177" s="2">
        <v>1</v>
      </c>
      <c r="J2177" s="2" t="s">
        <v>14</v>
      </c>
      <c r="K2177" s="2" t="s">
        <v>13</v>
      </c>
      <c r="L2177" s="2" t="s">
        <v>13</v>
      </c>
      <c r="M2177" s="2" t="s">
        <v>13</v>
      </c>
      <c r="N2177" s="2" t="s">
        <v>14</v>
      </c>
      <c r="O2177" s="2">
        <v>0</v>
      </c>
    </row>
    <row r="2178" spans="1:15" ht="15" customHeight="1" x14ac:dyDescent="0.25">
      <c r="A2178" s="3">
        <v>10</v>
      </c>
      <c r="B2178" s="3" t="s">
        <v>14</v>
      </c>
      <c r="C2178" s="3" t="s">
        <v>19</v>
      </c>
      <c r="D2178" s="3" t="s">
        <v>19</v>
      </c>
      <c r="E2178" s="3">
        <v>0</v>
      </c>
      <c r="F2178" s="3">
        <v>1</v>
      </c>
      <c r="G2178" s="3" t="s">
        <v>10</v>
      </c>
      <c r="H2178" s="3" t="s">
        <v>12</v>
      </c>
      <c r="I2178" s="3">
        <v>2</v>
      </c>
      <c r="J2178" s="2" t="s">
        <v>14</v>
      </c>
      <c r="K2178" s="3" t="s">
        <v>13</v>
      </c>
      <c r="L2178" s="3" t="s">
        <v>13</v>
      </c>
      <c r="M2178" s="3" t="s">
        <v>13</v>
      </c>
      <c r="N2178" s="2" t="s">
        <v>14</v>
      </c>
      <c r="O2178" s="3">
        <v>1</v>
      </c>
    </row>
    <row r="2179" spans="1:15" ht="15" customHeight="1" x14ac:dyDescent="0.25">
      <c r="A2179" s="2">
        <v>5</v>
      </c>
      <c r="B2179" s="2" t="s">
        <v>10</v>
      </c>
      <c r="C2179" s="2" t="s">
        <v>19</v>
      </c>
      <c r="D2179" s="2" t="s">
        <v>19</v>
      </c>
      <c r="E2179" s="2">
        <v>0</v>
      </c>
      <c r="F2179" s="2">
        <v>0</v>
      </c>
      <c r="G2179" s="2" t="s">
        <v>10</v>
      </c>
      <c r="H2179" s="2" t="s">
        <v>12</v>
      </c>
      <c r="I2179" s="2">
        <v>1</v>
      </c>
      <c r="J2179" s="2" t="s">
        <v>14</v>
      </c>
      <c r="K2179" s="2" t="s">
        <v>13</v>
      </c>
      <c r="L2179" s="2" t="s">
        <v>13</v>
      </c>
      <c r="M2179" s="2" t="s">
        <v>13</v>
      </c>
      <c r="N2179" s="2" t="s">
        <v>14</v>
      </c>
      <c r="O2179" s="2">
        <v>1</v>
      </c>
    </row>
    <row r="2180" spans="1:15" ht="15" customHeight="1" x14ac:dyDescent="0.25">
      <c r="A2180" s="3">
        <v>0</v>
      </c>
      <c r="B2180" s="3" t="s">
        <v>14</v>
      </c>
      <c r="C2180" s="3" t="s">
        <v>19</v>
      </c>
      <c r="D2180" s="3" t="s">
        <v>19</v>
      </c>
      <c r="E2180" s="3">
        <v>0</v>
      </c>
      <c r="F2180" s="3">
        <v>0</v>
      </c>
      <c r="G2180" s="3" t="s">
        <v>10</v>
      </c>
      <c r="H2180" s="3" t="s">
        <v>12</v>
      </c>
      <c r="I2180" s="3" t="s">
        <v>15</v>
      </c>
      <c r="J2180" s="2" t="s">
        <v>14</v>
      </c>
      <c r="K2180" s="2" t="s">
        <v>14</v>
      </c>
      <c r="L2180" s="2" t="s">
        <v>14</v>
      </c>
      <c r="M2180" s="2" t="s">
        <v>14</v>
      </c>
      <c r="N2180" s="2" t="s">
        <v>14</v>
      </c>
      <c r="O2180" s="3">
        <v>1</v>
      </c>
    </row>
    <row r="2181" spans="1:15" ht="15" customHeight="1" x14ac:dyDescent="0.25">
      <c r="A2181" s="2">
        <v>5</v>
      </c>
      <c r="B2181" s="2" t="s">
        <v>14</v>
      </c>
      <c r="C2181" s="2" t="s">
        <v>19</v>
      </c>
      <c r="D2181" s="2" t="s">
        <v>19</v>
      </c>
      <c r="E2181" s="2">
        <v>0</v>
      </c>
      <c r="F2181" s="2">
        <v>0</v>
      </c>
      <c r="G2181" s="2" t="s">
        <v>10</v>
      </c>
      <c r="H2181" s="2" t="s">
        <v>12</v>
      </c>
      <c r="I2181" s="2">
        <v>2</v>
      </c>
      <c r="J2181" s="2" t="s">
        <v>14</v>
      </c>
      <c r="K2181" s="2" t="s">
        <v>14</v>
      </c>
      <c r="L2181" s="2" t="s">
        <v>14</v>
      </c>
      <c r="M2181" s="2" t="s">
        <v>14</v>
      </c>
      <c r="N2181" s="2" t="s">
        <v>14</v>
      </c>
      <c r="O2181" s="2">
        <v>1</v>
      </c>
    </row>
    <row r="2182" spans="1:15" ht="15" customHeight="1" x14ac:dyDescent="0.25">
      <c r="A2182" s="3">
        <v>0</v>
      </c>
      <c r="B2182" s="3" t="s">
        <v>18</v>
      </c>
      <c r="C2182" s="3" t="s">
        <v>19</v>
      </c>
      <c r="D2182" s="3" t="s">
        <v>19</v>
      </c>
      <c r="E2182" s="3">
        <v>0</v>
      </c>
      <c r="F2182" s="3">
        <v>0</v>
      </c>
      <c r="G2182" s="3" t="s">
        <v>10</v>
      </c>
      <c r="H2182" s="3" t="s">
        <v>12</v>
      </c>
      <c r="I2182" s="3">
        <v>2</v>
      </c>
      <c r="J2182" s="2" t="s">
        <v>14</v>
      </c>
      <c r="K2182" s="2" t="s">
        <v>14</v>
      </c>
      <c r="L2182" s="2" t="s">
        <v>14</v>
      </c>
      <c r="M2182" s="2" t="s">
        <v>14</v>
      </c>
      <c r="N2182" s="2" t="s">
        <v>14</v>
      </c>
      <c r="O2182" s="3">
        <v>1</v>
      </c>
    </row>
    <row r="2183" spans="1:15" ht="15" customHeight="1" x14ac:dyDescent="0.25">
      <c r="A2183" s="2">
        <v>10</v>
      </c>
      <c r="B2183" s="2" t="s">
        <v>10</v>
      </c>
      <c r="C2183" s="2" t="s">
        <v>11</v>
      </c>
      <c r="D2183" s="2" t="s">
        <v>19</v>
      </c>
      <c r="E2183" s="2">
        <v>0</v>
      </c>
      <c r="F2183" s="2">
        <v>0</v>
      </c>
      <c r="G2183" s="2" t="s">
        <v>10</v>
      </c>
      <c r="H2183" s="2" t="s">
        <v>12</v>
      </c>
      <c r="I2183" s="2">
        <v>1</v>
      </c>
      <c r="J2183" s="2" t="s">
        <v>14</v>
      </c>
      <c r="K2183" s="2" t="s">
        <v>14</v>
      </c>
      <c r="L2183" s="2" t="s">
        <v>14</v>
      </c>
      <c r="M2183" s="2" t="s">
        <v>14</v>
      </c>
      <c r="N2183" s="2" t="s">
        <v>14</v>
      </c>
      <c r="O2183" s="2">
        <v>1</v>
      </c>
    </row>
    <row r="2184" spans="1:15" ht="15" customHeight="1" x14ac:dyDescent="0.25">
      <c r="A2184" s="3">
        <v>10</v>
      </c>
      <c r="B2184" s="3" t="s">
        <v>10</v>
      </c>
      <c r="C2184" s="3" t="s">
        <v>11</v>
      </c>
      <c r="D2184" s="3" t="s">
        <v>11</v>
      </c>
      <c r="E2184" s="3">
        <v>0</v>
      </c>
      <c r="F2184" s="3">
        <v>2</v>
      </c>
      <c r="G2184" s="3" t="s">
        <v>10</v>
      </c>
      <c r="H2184" s="3" t="s">
        <v>12</v>
      </c>
      <c r="I2184" s="3" t="s">
        <v>15</v>
      </c>
      <c r="J2184" s="2" t="s">
        <v>14</v>
      </c>
      <c r="K2184" s="2" t="s">
        <v>14</v>
      </c>
      <c r="L2184" s="2" t="s">
        <v>14</v>
      </c>
      <c r="M2184" s="3" t="s">
        <v>13</v>
      </c>
      <c r="N2184" s="3" t="s">
        <v>13</v>
      </c>
      <c r="O2184" s="3">
        <v>0</v>
      </c>
    </row>
    <row r="2185" spans="1:15" ht="15" customHeight="1" x14ac:dyDescent="0.25">
      <c r="A2185" s="2">
        <v>5</v>
      </c>
      <c r="B2185" s="2" t="s">
        <v>18</v>
      </c>
      <c r="C2185" s="2" t="s">
        <v>20</v>
      </c>
      <c r="D2185" s="2" t="s">
        <v>19</v>
      </c>
      <c r="E2185" s="2">
        <v>0</v>
      </c>
      <c r="F2185" s="2">
        <v>0</v>
      </c>
      <c r="G2185" s="2" t="s">
        <v>10</v>
      </c>
      <c r="H2185" s="2" t="s">
        <v>12</v>
      </c>
      <c r="I2185" s="2">
        <v>1</v>
      </c>
      <c r="J2185" s="2" t="s">
        <v>14</v>
      </c>
      <c r="K2185" s="2" t="s">
        <v>13</v>
      </c>
      <c r="L2185" s="2" t="s">
        <v>13</v>
      </c>
      <c r="M2185" s="2" t="s">
        <v>14</v>
      </c>
      <c r="N2185" s="2" t="s">
        <v>14</v>
      </c>
      <c r="O2185" s="2">
        <v>1</v>
      </c>
    </row>
    <row r="2186" spans="1:15" ht="15" customHeight="1" x14ac:dyDescent="0.25">
      <c r="A2186" s="3">
        <v>10</v>
      </c>
      <c r="B2186" s="3" t="s">
        <v>10</v>
      </c>
      <c r="C2186" s="3" t="s">
        <v>19</v>
      </c>
      <c r="D2186" s="3" t="s">
        <v>19</v>
      </c>
      <c r="E2186" s="3">
        <v>1</v>
      </c>
      <c r="F2186" s="3">
        <v>0</v>
      </c>
      <c r="G2186" s="3" t="s">
        <v>17</v>
      </c>
      <c r="H2186" s="3" t="s">
        <v>106</v>
      </c>
      <c r="I2186" s="3">
        <v>1</v>
      </c>
      <c r="J2186" s="2" t="s">
        <v>14</v>
      </c>
      <c r="K2186" s="3" t="s">
        <v>13</v>
      </c>
      <c r="L2186" s="3" t="s">
        <v>13</v>
      </c>
      <c r="M2186" s="3" t="s">
        <v>13</v>
      </c>
      <c r="N2186" s="2" t="s">
        <v>14</v>
      </c>
      <c r="O2186" s="3">
        <v>1</v>
      </c>
    </row>
    <row r="2187" spans="1:15" ht="15" customHeight="1" x14ac:dyDescent="0.25">
      <c r="A2187" s="2">
        <v>20</v>
      </c>
      <c r="B2187" s="2" t="s">
        <v>10</v>
      </c>
      <c r="C2187" s="2" t="s">
        <v>19</v>
      </c>
      <c r="D2187" s="2" t="s">
        <v>20</v>
      </c>
      <c r="E2187" s="2">
        <v>0</v>
      </c>
      <c r="F2187" s="2">
        <v>0</v>
      </c>
      <c r="G2187" s="2" t="s">
        <v>10</v>
      </c>
      <c r="H2187" s="2" t="s">
        <v>12</v>
      </c>
      <c r="I2187" s="2">
        <v>1</v>
      </c>
      <c r="J2187" s="2" t="s">
        <v>14</v>
      </c>
      <c r="K2187" s="2" t="s">
        <v>14</v>
      </c>
      <c r="L2187" s="2" t="s">
        <v>14</v>
      </c>
      <c r="M2187" s="2" t="s">
        <v>14</v>
      </c>
      <c r="N2187" s="2" t="s">
        <v>14</v>
      </c>
      <c r="O2187" s="2">
        <v>1</v>
      </c>
    </row>
    <row r="2188" spans="1:15" ht="15" customHeight="1" x14ac:dyDescent="0.25">
      <c r="A2188" s="3">
        <v>10</v>
      </c>
      <c r="B2188" s="3" t="s">
        <v>10</v>
      </c>
      <c r="C2188" s="3" t="s">
        <v>11</v>
      </c>
      <c r="D2188" s="3" t="s">
        <v>19</v>
      </c>
      <c r="E2188" s="3">
        <v>0</v>
      </c>
      <c r="F2188" s="3">
        <v>0</v>
      </c>
      <c r="G2188" s="3" t="s">
        <v>10</v>
      </c>
      <c r="H2188" s="3" t="s">
        <v>12</v>
      </c>
      <c r="I2188" s="3" t="s">
        <v>15</v>
      </c>
      <c r="J2188" s="3" t="s">
        <v>13</v>
      </c>
      <c r="K2188" s="2" t="s">
        <v>14</v>
      </c>
      <c r="L2188" s="2" t="s">
        <v>14</v>
      </c>
      <c r="M2188" s="2" t="s">
        <v>14</v>
      </c>
      <c r="N2188" s="2" t="s">
        <v>14</v>
      </c>
      <c r="O2188" s="3">
        <v>1</v>
      </c>
    </row>
    <row r="2189" spans="1:15" ht="15" customHeight="1" x14ac:dyDescent="0.25">
      <c r="A2189" s="2">
        <v>10</v>
      </c>
      <c r="B2189" s="2" t="s">
        <v>10</v>
      </c>
      <c r="C2189" s="2" t="s">
        <v>19</v>
      </c>
      <c r="D2189" s="2" t="s">
        <v>19</v>
      </c>
      <c r="E2189" s="2">
        <v>0</v>
      </c>
      <c r="F2189" s="2">
        <v>0</v>
      </c>
      <c r="G2189" s="2" t="s">
        <v>17</v>
      </c>
      <c r="H2189" s="2" t="s">
        <v>106</v>
      </c>
      <c r="I2189" s="2">
        <v>1</v>
      </c>
      <c r="J2189" s="2" t="s">
        <v>13</v>
      </c>
      <c r="K2189" s="2" t="s">
        <v>13</v>
      </c>
      <c r="L2189" s="2" t="s">
        <v>13</v>
      </c>
      <c r="M2189" s="2" t="s">
        <v>13</v>
      </c>
      <c r="N2189" s="2" t="s">
        <v>14</v>
      </c>
      <c r="O2189" s="2">
        <v>1</v>
      </c>
    </row>
    <row r="2190" spans="1:15" ht="15" customHeight="1" x14ac:dyDescent="0.25">
      <c r="A2190" s="3">
        <v>10</v>
      </c>
      <c r="B2190" s="3" t="s">
        <v>10</v>
      </c>
      <c r="C2190" s="3" t="s">
        <v>11</v>
      </c>
      <c r="D2190" s="3" t="s">
        <v>11</v>
      </c>
      <c r="E2190" s="3">
        <v>0</v>
      </c>
      <c r="F2190" s="3">
        <v>1</v>
      </c>
      <c r="G2190" s="3" t="s">
        <v>10</v>
      </c>
      <c r="H2190" s="3" t="s">
        <v>12</v>
      </c>
      <c r="I2190" s="3" t="s">
        <v>15</v>
      </c>
      <c r="J2190" s="2" t="s">
        <v>14</v>
      </c>
      <c r="K2190" s="2" t="s">
        <v>14</v>
      </c>
      <c r="L2190" s="2" t="s">
        <v>14</v>
      </c>
      <c r="M2190" s="2" t="s">
        <v>14</v>
      </c>
      <c r="N2190" s="2" t="s">
        <v>14</v>
      </c>
      <c r="O2190" s="3">
        <v>1</v>
      </c>
    </row>
    <row r="2191" spans="1:15" ht="15" customHeight="1" x14ac:dyDescent="0.25">
      <c r="A2191" s="2">
        <v>10</v>
      </c>
      <c r="B2191" s="2" t="s">
        <v>10</v>
      </c>
      <c r="C2191" s="2" t="s">
        <v>19</v>
      </c>
      <c r="D2191" s="2" t="s">
        <v>19</v>
      </c>
      <c r="E2191" s="2">
        <v>0</v>
      </c>
      <c r="F2191" s="2">
        <v>0</v>
      </c>
      <c r="G2191" s="2" t="s">
        <v>10</v>
      </c>
      <c r="H2191" s="2" t="s">
        <v>12</v>
      </c>
      <c r="I2191" s="2" t="s">
        <v>15</v>
      </c>
      <c r="J2191" s="2" t="s">
        <v>14</v>
      </c>
      <c r="K2191" s="2" t="s">
        <v>14</v>
      </c>
      <c r="L2191" s="2" t="s">
        <v>14</v>
      </c>
      <c r="M2191" s="2" t="s">
        <v>13</v>
      </c>
      <c r="N2191" s="2" t="s">
        <v>14</v>
      </c>
      <c r="O2191" s="2">
        <v>1</v>
      </c>
    </row>
    <row r="2192" spans="1:15" ht="15" customHeight="1" x14ac:dyDescent="0.25">
      <c r="A2192" s="3">
        <v>10</v>
      </c>
      <c r="B2192" s="3" t="s">
        <v>18</v>
      </c>
      <c r="C2192" s="3" t="s">
        <v>19</v>
      </c>
      <c r="D2192" s="3" t="s">
        <v>19</v>
      </c>
      <c r="E2192" s="3">
        <v>0</v>
      </c>
      <c r="F2192" s="3">
        <v>0</v>
      </c>
      <c r="G2192" s="3" t="s">
        <v>10</v>
      </c>
      <c r="H2192" s="3" t="s">
        <v>12</v>
      </c>
      <c r="I2192" s="3">
        <v>2</v>
      </c>
      <c r="J2192" s="2" t="s">
        <v>14</v>
      </c>
      <c r="K2192" s="2" t="s">
        <v>14</v>
      </c>
      <c r="L2192" s="2" t="s">
        <v>14</v>
      </c>
      <c r="M2192" s="2" t="s">
        <v>14</v>
      </c>
      <c r="N2192" s="2" t="s">
        <v>14</v>
      </c>
      <c r="O2192" s="3">
        <v>1</v>
      </c>
    </row>
    <row r="2193" spans="1:15" ht="15" customHeight="1" x14ac:dyDescent="0.25">
      <c r="A2193" s="2">
        <v>10</v>
      </c>
      <c r="B2193" s="2" t="s">
        <v>18</v>
      </c>
      <c r="C2193" s="2" t="s">
        <v>19</v>
      </c>
      <c r="D2193" s="2" t="s">
        <v>19</v>
      </c>
      <c r="E2193" s="2">
        <v>0</v>
      </c>
      <c r="F2193" s="2">
        <v>0</v>
      </c>
      <c r="G2193" s="2" t="s">
        <v>10</v>
      </c>
      <c r="H2193" s="2" t="s">
        <v>12</v>
      </c>
      <c r="I2193" s="2">
        <v>2</v>
      </c>
      <c r="J2193" s="2" t="s">
        <v>14</v>
      </c>
      <c r="K2193" s="2" t="s">
        <v>14</v>
      </c>
      <c r="L2193" s="2" t="s">
        <v>14</v>
      </c>
      <c r="M2193" s="2" t="s">
        <v>14</v>
      </c>
      <c r="N2193" s="2" t="s">
        <v>14</v>
      </c>
      <c r="O2193" s="2">
        <v>1</v>
      </c>
    </row>
    <row r="2194" spans="1:15" ht="15" customHeight="1" x14ac:dyDescent="0.25">
      <c r="A2194" s="3">
        <v>10</v>
      </c>
      <c r="B2194" s="3" t="s">
        <v>14</v>
      </c>
      <c r="C2194" s="3" t="s">
        <v>19</v>
      </c>
      <c r="D2194" s="3" t="s">
        <v>19</v>
      </c>
      <c r="E2194" s="3">
        <v>0</v>
      </c>
      <c r="F2194" s="3">
        <v>0</v>
      </c>
      <c r="G2194" s="3" t="s">
        <v>10</v>
      </c>
      <c r="H2194" s="3" t="s">
        <v>12</v>
      </c>
      <c r="I2194" s="3">
        <v>2</v>
      </c>
      <c r="J2194" s="2" t="s">
        <v>14</v>
      </c>
      <c r="K2194" s="2" t="s">
        <v>14</v>
      </c>
      <c r="L2194" s="2" t="s">
        <v>14</v>
      </c>
      <c r="M2194" s="2" t="s">
        <v>14</v>
      </c>
      <c r="N2194" s="2" t="s">
        <v>14</v>
      </c>
      <c r="O2194" s="3">
        <v>1</v>
      </c>
    </row>
    <row r="2195" spans="1:15" ht="15" customHeight="1" x14ac:dyDescent="0.25">
      <c r="A2195" s="2">
        <v>10</v>
      </c>
      <c r="B2195" s="2" t="s">
        <v>14</v>
      </c>
      <c r="C2195" s="2" t="s">
        <v>19</v>
      </c>
      <c r="D2195" s="2" t="s">
        <v>19</v>
      </c>
      <c r="E2195" s="2">
        <v>0</v>
      </c>
      <c r="F2195" s="2">
        <v>0</v>
      </c>
      <c r="G2195" s="2" t="s">
        <v>10</v>
      </c>
      <c r="H2195" s="2" t="s">
        <v>12</v>
      </c>
      <c r="I2195" s="2" t="s">
        <v>15</v>
      </c>
      <c r="J2195" s="2" t="s">
        <v>14</v>
      </c>
      <c r="K2195" s="2" t="s">
        <v>14</v>
      </c>
      <c r="L2195" s="2" t="s">
        <v>14</v>
      </c>
      <c r="M2195" s="2" t="s">
        <v>14</v>
      </c>
      <c r="N2195" s="2" t="s">
        <v>14</v>
      </c>
      <c r="O2195" s="2">
        <v>1</v>
      </c>
    </row>
    <row r="2196" spans="1:15" ht="15" customHeight="1" x14ac:dyDescent="0.25">
      <c r="A2196" s="3">
        <v>0</v>
      </c>
      <c r="B2196" s="3" t="s">
        <v>10</v>
      </c>
      <c r="C2196" s="3" t="s">
        <v>19</v>
      </c>
      <c r="D2196" s="3" t="s">
        <v>19</v>
      </c>
      <c r="E2196" s="3">
        <v>0</v>
      </c>
      <c r="F2196" s="3">
        <v>0</v>
      </c>
      <c r="G2196" s="3" t="s">
        <v>10</v>
      </c>
      <c r="H2196" s="3" t="s">
        <v>12</v>
      </c>
      <c r="I2196" s="3" t="s">
        <v>15</v>
      </c>
      <c r="J2196" s="2" t="s">
        <v>14</v>
      </c>
      <c r="K2196" s="2" t="s">
        <v>14</v>
      </c>
      <c r="L2196" s="2" t="s">
        <v>14</v>
      </c>
      <c r="M2196" s="2" t="s">
        <v>14</v>
      </c>
      <c r="N2196" s="2" t="s">
        <v>14</v>
      </c>
      <c r="O2196" s="3">
        <v>1</v>
      </c>
    </row>
    <row r="2197" spans="1:15" ht="15" customHeight="1" x14ac:dyDescent="0.25">
      <c r="A2197" s="2">
        <v>20</v>
      </c>
      <c r="B2197" s="2" t="s">
        <v>14</v>
      </c>
      <c r="C2197" s="2" t="s">
        <v>19</v>
      </c>
      <c r="D2197" s="2" t="s">
        <v>19</v>
      </c>
      <c r="E2197" s="2">
        <v>0</v>
      </c>
      <c r="F2197" s="2">
        <v>0</v>
      </c>
      <c r="G2197" s="2" t="s">
        <v>10</v>
      </c>
      <c r="H2197" s="2" t="s">
        <v>12</v>
      </c>
      <c r="I2197" s="2">
        <v>2</v>
      </c>
      <c r="J2197" s="2" t="s">
        <v>14</v>
      </c>
      <c r="K2197" s="2" t="s">
        <v>14</v>
      </c>
      <c r="L2197" s="2" t="s">
        <v>14</v>
      </c>
      <c r="M2197" s="2" t="s">
        <v>14</v>
      </c>
      <c r="N2197" s="2" t="s">
        <v>14</v>
      </c>
      <c r="O2197" s="2">
        <v>1</v>
      </c>
    </row>
    <row r="2198" spans="1:15" ht="15" customHeight="1" x14ac:dyDescent="0.25">
      <c r="A2198" s="3">
        <v>10</v>
      </c>
      <c r="B2198" s="3" t="s">
        <v>18</v>
      </c>
      <c r="C2198" s="3" t="s">
        <v>19</v>
      </c>
      <c r="D2198" s="3" t="s">
        <v>19</v>
      </c>
      <c r="E2198" s="3">
        <v>0</v>
      </c>
      <c r="F2198" s="3">
        <v>0</v>
      </c>
      <c r="G2198" s="3" t="s">
        <v>10</v>
      </c>
      <c r="H2198" s="3" t="s">
        <v>16</v>
      </c>
      <c r="I2198" s="3">
        <v>2</v>
      </c>
      <c r="J2198" s="2" t="s">
        <v>14</v>
      </c>
      <c r="K2198" s="2" t="s">
        <v>14</v>
      </c>
      <c r="L2198" s="2" t="s">
        <v>14</v>
      </c>
      <c r="M2198" s="2" t="s">
        <v>14</v>
      </c>
      <c r="N2198" s="2" t="s">
        <v>14</v>
      </c>
      <c r="O2198" s="3">
        <v>1</v>
      </c>
    </row>
    <row r="2199" spans="1:15" ht="15" customHeight="1" x14ac:dyDescent="0.25">
      <c r="A2199" s="2">
        <v>5</v>
      </c>
      <c r="B2199" s="2" t="s">
        <v>10</v>
      </c>
      <c r="C2199" s="2" t="s">
        <v>19</v>
      </c>
      <c r="D2199" s="2" t="s">
        <v>19</v>
      </c>
      <c r="E2199" s="2">
        <v>0</v>
      </c>
      <c r="F2199" s="2">
        <v>0</v>
      </c>
      <c r="G2199" s="2" t="s">
        <v>10</v>
      </c>
      <c r="H2199" s="2" t="s">
        <v>16</v>
      </c>
      <c r="I2199" s="2">
        <v>2</v>
      </c>
      <c r="J2199" s="2" t="s">
        <v>14</v>
      </c>
      <c r="K2199" s="2" t="s">
        <v>14</v>
      </c>
      <c r="L2199" s="2" t="s">
        <v>14</v>
      </c>
      <c r="M2199" s="2" t="s">
        <v>14</v>
      </c>
      <c r="N2199" s="2" t="s">
        <v>14</v>
      </c>
      <c r="O2199" s="2">
        <v>1</v>
      </c>
    </row>
    <row r="2200" spans="1:15" ht="15" customHeight="1" x14ac:dyDescent="0.25">
      <c r="A2200" s="3">
        <v>5</v>
      </c>
      <c r="B2200" s="3" t="s">
        <v>10</v>
      </c>
      <c r="C2200" s="3" t="s">
        <v>19</v>
      </c>
      <c r="D2200" s="3" t="s">
        <v>19</v>
      </c>
      <c r="E2200" s="3">
        <v>0</v>
      </c>
      <c r="F2200" s="3">
        <v>0</v>
      </c>
      <c r="G2200" s="3" t="s">
        <v>10</v>
      </c>
      <c r="H2200" s="3" t="s">
        <v>12</v>
      </c>
      <c r="I2200" s="3" t="s">
        <v>15</v>
      </c>
      <c r="J2200" s="2" t="s">
        <v>14</v>
      </c>
      <c r="K2200" s="2" t="s">
        <v>14</v>
      </c>
      <c r="L2200" s="2" t="s">
        <v>14</v>
      </c>
      <c r="M2200" s="2" t="s">
        <v>14</v>
      </c>
      <c r="N2200" s="2" t="s">
        <v>14</v>
      </c>
      <c r="O2200" s="3">
        <v>1</v>
      </c>
    </row>
    <row r="2201" spans="1:15" ht="15" customHeight="1" x14ac:dyDescent="0.25">
      <c r="A2201" s="2">
        <v>5</v>
      </c>
      <c r="B2201" s="2" t="s">
        <v>18</v>
      </c>
      <c r="C2201" s="2" t="s">
        <v>19</v>
      </c>
      <c r="D2201" s="2" t="s">
        <v>19</v>
      </c>
      <c r="E2201" s="2">
        <v>0</v>
      </c>
      <c r="F2201" s="2">
        <v>0</v>
      </c>
      <c r="G2201" s="2" t="s">
        <v>10</v>
      </c>
      <c r="H2201" s="2" t="s">
        <v>16</v>
      </c>
      <c r="I2201" s="2">
        <v>2</v>
      </c>
      <c r="J2201" s="2" t="s">
        <v>14</v>
      </c>
      <c r="K2201" s="2" t="s">
        <v>14</v>
      </c>
      <c r="L2201" s="2" t="s">
        <v>14</v>
      </c>
      <c r="M2201" s="2" t="s">
        <v>14</v>
      </c>
      <c r="N2201" s="2" t="s">
        <v>14</v>
      </c>
      <c r="O2201" s="2">
        <v>1</v>
      </c>
    </row>
    <row r="2202" spans="1:15" ht="15" customHeight="1" x14ac:dyDescent="0.25">
      <c r="A2202" s="3">
        <v>20</v>
      </c>
      <c r="B2202" s="3" t="s">
        <v>18</v>
      </c>
      <c r="C2202" s="3" t="s">
        <v>19</v>
      </c>
      <c r="D2202" s="3" t="s">
        <v>19</v>
      </c>
      <c r="E2202" s="3">
        <v>0</v>
      </c>
      <c r="F2202" s="3">
        <v>0</v>
      </c>
      <c r="G2202" s="3" t="s">
        <v>10</v>
      </c>
      <c r="H2202" s="3" t="s">
        <v>12</v>
      </c>
      <c r="I2202" s="3">
        <v>2</v>
      </c>
      <c r="J2202" s="2" t="s">
        <v>14</v>
      </c>
      <c r="K2202" s="2" t="s">
        <v>14</v>
      </c>
      <c r="L2202" s="2" t="s">
        <v>14</v>
      </c>
      <c r="M2202" s="2" t="s">
        <v>14</v>
      </c>
      <c r="N2202" s="2" t="s">
        <v>14</v>
      </c>
      <c r="O2202" s="3">
        <v>1</v>
      </c>
    </row>
    <row r="2203" spans="1:15" ht="15" customHeight="1" x14ac:dyDescent="0.25">
      <c r="A2203" s="2">
        <v>20</v>
      </c>
      <c r="B2203" s="2" t="s">
        <v>14</v>
      </c>
      <c r="C2203" s="2" t="s">
        <v>19</v>
      </c>
      <c r="D2203" s="2" t="s">
        <v>19</v>
      </c>
      <c r="E2203" s="2">
        <v>0</v>
      </c>
      <c r="F2203" s="2">
        <v>0</v>
      </c>
      <c r="G2203" s="2" t="s">
        <v>10</v>
      </c>
      <c r="H2203" s="2" t="s">
        <v>16</v>
      </c>
      <c r="I2203" s="2" t="s">
        <v>15</v>
      </c>
      <c r="J2203" s="2" t="s">
        <v>14</v>
      </c>
      <c r="K2203" s="2" t="s">
        <v>14</v>
      </c>
      <c r="L2203" s="2" t="s">
        <v>14</v>
      </c>
      <c r="M2203" s="2" t="s">
        <v>14</v>
      </c>
      <c r="N2203" s="2" t="s">
        <v>14</v>
      </c>
      <c r="O2203" s="2">
        <v>1</v>
      </c>
    </row>
    <row r="2204" spans="1:15" ht="15" customHeight="1" x14ac:dyDescent="0.25">
      <c r="A2204" s="3">
        <v>10</v>
      </c>
      <c r="B2204" s="3" t="s">
        <v>10</v>
      </c>
      <c r="C2204" s="3" t="s">
        <v>19</v>
      </c>
      <c r="D2204" s="3" t="s">
        <v>19</v>
      </c>
      <c r="E2204" s="3">
        <v>0</v>
      </c>
      <c r="F2204" s="3">
        <v>0</v>
      </c>
      <c r="G2204" s="3" t="s">
        <v>10</v>
      </c>
      <c r="H2204" s="3" t="s">
        <v>12</v>
      </c>
      <c r="I2204" s="3">
        <v>2</v>
      </c>
      <c r="J2204" s="2" t="s">
        <v>14</v>
      </c>
      <c r="K2204" s="2" t="s">
        <v>14</v>
      </c>
      <c r="L2204" s="2" t="s">
        <v>14</v>
      </c>
      <c r="M2204" s="2" t="s">
        <v>14</v>
      </c>
      <c r="N2204" s="2" t="s">
        <v>14</v>
      </c>
      <c r="O2204" s="3">
        <v>1</v>
      </c>
    </row>
    <row r="2205" spans="1:15" ht="15" customHeight="1" x14ac:dyDescent="0.25">
      <c r="A2205" s="2">
        <v>10</v>
      </c>
      <c r="B2205" s="2" t="s">
        <v>18</v>
      </c>
      <c r="C2205" s="2" t="s">
        <v>20</v>
      </c>
      <c r="D2205" s="2" t="s">
        <v>19</v>
      </c>
      <c r="E2205" s="2">
        <v>0</v>
      </c>
      <c r="F2205" s="2">
        <v>0</v>
      </c>
      <c r="G2205" s="2" t="s">
        <v>10</v>
      </c>
      <c r="H2205" s="2" t="s">
        <v>16</v>
      </c>
      <c r="I2205" s="2" t="s">
        <v>15</v>
      </c>
      <c r="J2205" s="2" t="s">
        <v>14</v>
      </c>
      <c r="K2205" s="2" t="s">
        <v>14</v>
      </c>
      <c r="L2205" s="2" t="s">
        <v>14</v>
      </c>
      <c r="M2205" s="2" t="s">
        <v>14</v>
      </c>
      <c r="N2205" s="2" t="s">
        <v>14</v>
      </c>
      <c r="O2205" s="2">
        <v>1</v>
      </c>
    </row>
    <row r="2206" spans="1:15" ht="15" customHeight="1" x14ac:dyDescent="0.25">
      <c r="A2206" s="3">
        <v>10</v>
      </c>
      <c r="B2206" s="3" t="s">
        <v>18</v>
      </c>
      <c r="C2206" s="3" t="s">
        <v>20</v>
      </c>
      <c r="D2206" s="3" t="s">
        <v>20</v>
      </c>
      <c r="E2206" s="3">
        <v>0</v>
      </c>
      <c r="F2206" s="3">
        <v>0</v>
      </c>
      <c r="G2206" s="3" t="s">
        <v>10</v>
      </c>
      <c r="H2206" s="3" t="s">
        <v>12</v>
      </c>
      <c r="I2206" s="3">
        <v>2</v>
      </c>
      <c r="J2206" s="2" t="s">
        <v>14</v>
      </c>
      <c r="K2206" s="2" t="s">
        <v>14</v>
      </c>
      <c r="L2206" s="2" t="s">
        <v>14</v>
      </c>
      <c r="M2206" s="2" t="s">
        <v>14</v>
      </c>
      <c r="N2206" s="2" t="s">
        <v>14</v>
      </c>
      <c r="O2206" s="3">
        <v>1</v>
      </c>
    </row>
    <row r="2207" spans="1:15" ht="15" customHeight="1" x14ac:dyDescent="0.25">
      <c r="A2207" s="2">
        <v>20</v>
      </c>
      <c r="B2207" s="2" t="s">
        <v>10</v>
      </c>
      <c r="C2207" s="2" t="s">
        <v>19</v>
      </c>
      <c r="D2207" s="2" t="s">
        <v>20</v>
      </c>
      <c r="E2207" s="2">
        <v>0</v>
      </c>
      <c r="F2207" s="2">
        <v>0</v>
      </c>
      <c r="G2207" s="2" t="s">
        <v>10</v>
      </c>
      <c r="H2207" s="2" t="s">
        <v>12</v>
      </c>
      <c r="I2207" s="2">
        <v>1</v>
      </c>
      <c r="J2207" s="2" t="s">
        <v>14</v>
      </c>
      <c r="K2207" s="2" t="s">
        <v>14</v>
      </c>
      <c r="L2207" s="2" t="s">
        <v>14</v>
      </c>
      <c r="M2207" s="2" t="s">
        <v>14</v>
      </c>
      <c r="N2207" s="2" t="s">
        <v>14</v>
      </c>
      <c r="O2207" s="2">
        <v>0</v>
      </c>
    </row>
    <row r="2208" spans="1:15" ht="15" customHeight="1" x14ac:dyDescent="0.25">
      <c r="A2208" s="3">
        <v>10</v>
      </c>
      <c r="B2208" s="3" t="s">
        <v>10</v>
      </c>
      <c r="C2208" s="3" t="s">
        <v>11</v>
      </c>
      <c r="D2208" s="3" t="s">
        <v>19</v>
      </c>
      <c r="E2208" s="3">
        <v>0</v>
      </c>
      <c r="F2208" s="3">
        <v>1</v>
      </c>
      <c r="G2208" s="3" t="s">
        <v>10</v>
      </c>
      <c r="H2208" s="3" t="s">
        <v>12</v>
      </c>
      <c r="I2208" s="3" t="s">
        <v>15</v>
      </c>
      <c r="J2208" s="3" t="s">
        <v>13</v>
      </c>
      <c r="K2208" s="2" t="s">
        <v>14</v>
      </c>
      <c r="L2208" s="2" t="s">
        <v>14</v>
      </c>
      <c r="M2208" s="2" t="s">
        <v>14</v>
      </c>
      <c r="N2208" s="2" t="s">
        <v>14</v>
      </c>
      <c r="O2208" s="3">
        <v>1</v>
      </c>
    </row>
    <row r="2209" spans="1:15" ht="15" customHeight="1" x14ac:dyDescent="0.25">
      <c r="A2209" s="2">
        <v>10</v>
      </c>
      <c r="B2209" s="2" t="s">
        <v>10</v>
      </c>
      <c r="C2209" s="2" t="s">
        <v>11</v>
      </c>
      <c r="D2209" s="2" t="s">
        <v>11</v>
      </c>
      <c r="E2209" s="2">
        <v>0</v>
      </c>
      <c r="F2209" s="2">
        <v>2</v>
      </c>
      <c r="G2209" s="2" t="s">
        <v>10</v>
      </c>
      <c r="H2209" s="2" t="s">
        <v>16</v>
      </c>
      <c r="I2209" s="2">
        <v>1</v>
      </c>
      <c r="J2209" s="2" t="s">
        <v>14</v>
      </c>
      <c r="K2209" s="2" t="s">
        <v>14</v>
      </c>
      <c r="L2209" s="2" t="s">
        <v>14</v>
      </c>
      <c r="M2209" s="2" t="s">
        <v>14</v>
      </c>
      <c r="N2209" s="2" t="s">
        <v>13</v>
      </c>
      <c r="O2209" s="2">
        <v>0</v>
      </c>
    </row>
    <row r="2210" spans="1:15" ht="15" customHeight="1" x14ac:dyDescent="0.25">
      <c r="A2210" s="3">
        <v>5</v>
      </c>
      <c r="B2210" s="3" t="s">
        <v>14</v>
      </c>
      <c r="C2210" s="3" t="s">
        <v>11</v>
      </c>
      <c r="D2210" s="3" t="s">
        <v>11</v>
      </c>
      <c r="E2210" s="3">
        <v>0</v>
      </c>
      <c r="F2210" s="3">
        <v>1</v>
      </c>
      <c r="G2210" s="3" t="s">
        <v>10</v>
      </c>
      <c r="H2210" s="3" t="s">
        <v>12</v>
      </c>
      <c r="I2210" s="3" t="s">
        <v>15</v>
      </c>
      <c r="J2210" s="2" t="s">
        <v>14</v>
      </c>
      <c r="K2210" s="2" t="s">
        <v>14</v>
      </c>
      <c r="L2210" s="2" t="s">
        <v>14</v>
      </c>
      <c r="M2210" s="2" t="s">
        <v>14</v>
      </c>
      <c r="N2210" s="2" t="s">
        <v>14</v>
      </c>
      <c r="O2210" s="3">
        <v>1</v>
      </c>
    </row>
    <row r="2211" spans="1:15" ht="15" customHeight="1" x14ac:dyDescent="0.25">
      <c r="A2211" s="2">
        <v>10</v>
      </c>
      <c r="B2211" s="2" t="s">
        <v>18</v>
      </c>
      <c r="C2211" s="2" t="s">
        <v>11</v>
      </c>
      <c r="D2211" s="2" t="s">
        <v>11</v>
      </c>
      <c r="E2211" s="2">
        <v>2</v>
      </c>
      <c r="F2211" s="2">
        <v>0</v>
      </c>
      <c r="G2211" s="2" t="s">
        <v>10</v>
      </c>
      <c r="H2211" s="2" t="s">
        <v>12</v>
      </c>
      <c r="I2211" s="2">
        <v>2</v>
      </c>
      <c r="J2211" s="2" t="s">
        <v>14</v>
      </c>
      <c r="K2211" s="2" t="s">
        <v>14</v>
      </c>
      <c r="L2211" s="2" t="s">
        <v>14</v>
      </c>
      <c r="M2211" s="2" t="s">
        <v>14</v>
      </c>
      <c r="N2211" s="2" t="s">
        <v>14</v>
      </c>
      <c r="O2211" s="2">
        <v>0</v>
      </c>
    </row>
    <row r="2212" spans="1:15" ht="15" customHeight="1" x14ac:dyDescent="0.25">
      <c r="A2212" s="3">
        <v>5</v>
      </c>
      <c r="B2212" s="3" t="s">
        <v>14</v>
      </c>
      <c r="C2212" s="3" t="s">
        <v>19</v>
      </c>
      <c r="D2212" s="3" t="s">
        <v>19</v>
      </c>
      <c r="E2212" s="3">
        <v>0</v>
      </c>
      <c r="F2212" s="3">
        <v>0</v>
      </c>
      <c r="G2212" s="3" t="s">
        <v>10</v>
      </c>
      <c r="H2212" s="3" t="s">
        <v>12</v>
      </c>
      <c r="I2212" s="3" t="s">
        <v>15</v>
      </c>
      <c r="J2212" s="2" t="s">
        <v>14</v>
      </c>
      <c r="K2212" s="2" t="s">
        <v>14</v>
      </c>
      <c r="L2212" s="2" t="s">
        <v>14</v>
      </c>
      <c r="M2212" s="2" t="s">
        <v>14</v>
      </c>
      <c r="N2212" s="2" t="s">
        <v>14</v>
      </c>
      <c r="O2212" s="3">
        <v>1</v>
      </c>
    </row>
    <row r="2213" spans="1:15" ht="15" customHeight="1" x14ac:dyDescent="0.25">
      <c r="A2213" s="2">
        <v>0</v>
      </c>
      <c r="B2213" s="2" t="s">
        <v>10</v>
      </c>
      <c r="C2213" s="2" t="s">
        <v>19</v>
      </c>
      <c r="D2213" s="2" t="s">
        <v>19</v>
      </c>
      <c r="E2213" s="2">
        <v>0</v>
      </c>
      <c r="F2213" s="2">
        <v>0</v>
      </c>
      <c r="G2213" s="2" t="s">
        <v>10</v>
      </c>
      <c r="H2213" s="2" t="s">
        <v>12</v>
      </c>
      <c r="I2213" s="2">
        <v>1</v>
      </c>
      <c r="J2213" s="2" t="s">
        <v>14</v>
      </c>
      <c r="K2213" s="2" t="s">
        <v>14</v>
      </c>
      <c r="L2213" s="2" t="s">
        <v>14</v>
      </c>
      <c r="M2213" s="2" t="s">
        <v>14</v>
      </c>
      <c r="N2213" s="2" t="s">
        <v>14</v>
      </c>
      <c r="O2213" s="2">
        <v>1</v>
      </c>
    </row>
    <row r="2214" spans="1:15" ht="15" customHeight="1" x14ac:dyDescent="0.25">
      <c r="A2214" s="3">
        <v>10</v>
      </c>
      <c r="B2214" s="3" t="s">
        <v>18</v>
      </c>
      <c r="C2214" s="3" t="s">
        <v>20</v>
      </c>
      <c r="D2214" s="3" t="s">
        <v>19</v>
      </c>
      <c r="E2214" s="3">
        <v>0</v>
      </c>
      <c r="F2214" s="3">
        <v>0</v>
      </c>
      <c r="G2214" s="3" t="s">
        <v>10</v>
      </c>
      <c r="H2214" s="3" t="s">
        <v>12</v>
      </c>
      <c r="I2214" s="3" t="s">
        <v>15</v>
      </c>
      <c r="J2214" s="2" t="s">
        <v>14</v>
      </c>
      <c r="K2214" s="2" t="s">
        <v>14</v>
      </c>
      <c r="L2214" s="2" t="s">
        <v>14</v>
      </c>
      <c r="M2214" s="2" t="s">
        <v>14</v>
      </c>
      <c r="N2214" s="2" t="s">
        <v>14</v>
      </c>
      <c r="O2214" s="3">
        <v>1</v>
      </c>
    </row>
    <row r="2215" spans="1:15" ht="15" customHeight="1" x14ac:dyDescent="0.25">
      <c r="A2215" s="2">
        <v>10</v>
      </c>
      <c r="B2215" s="2" t="s">
        <v>18</v>
      </c>
      <c r="C2215" s="2" t="s">
        <v>20</v>
      </c>
      <c r="D2215" s="2" t="s">
        <v>20</v>
      </c>
      <c r="E2215" s="2">
        <v>0</v>
      </c>
      <c r="F2215" s="2">
        <v>0</v>
      </c>
      <c r="G2215" s="2" t="s">
        <v>10</v>
      </c>
      <c r="H2215" s="2" t="s">
        <v>12</v>
      </c>
      <c r="I2215" s="2">
        <v>1</v>
      </c>
      <c r="J2215" s="2" t="s">
        <v>14</v>
      </c>
      <c r="K2215" s="2" t="s">
        <v>14</v>
      </c>
      <c r="L2215" s="2" t="s">
        <v>14</v>
      </c>
      <c r="M2215" s="2" t="s">
        <v>14</v>
      </c>
      <c r="N2215" s="2" t="s">
        <v>14</v>
      </c>
      <c r="O2215" s="2">
        <v>1</v>
      </c>
    </row>
    <row r="2216" spans="1:15" ht="15" customHeight="1" x14ac:dyDescent="0.25">
      <c r="A2216" s="3">
        <v>20</v>
      </c>
      <c r="B2216" s="3" t="s">
        <v>18</v>
      </c>
      <c r="C2216" s="3" t="s">
        <v>20</v>
      </c>
      <c r="D2216" s="3" t="s">
        <v>20</v>
      </c>
      <c r="E2216" s="3">
        <v>0</v>
      </c>
      <c r="F2216" s="3">
        <v>0</v>
      </c>
      <c r="G2216" s="3" t="s">
        <v>10</v>
      </c>
      <c r="H2216" s="3" t="s">
        <v>12</v>
      </c>
      <c r="I2216" s="3">
        <v>2</v>
      </c>
      <c r="J2216" s="2" t="s">
        <v>14</v>
      </c>
      <c r="K2216" s="2" t="s">
        <v>14</v>
      </c>
      <c r="L2216" s="2" t="s">
        <v>14</v>
      </c>
      <c r="M2216" s="2" t="s">
        <v>14</v>
      </c>
      <c r="N2216" s="2" t="s">
        <v>14</v>
      </c>
      <c r="O2216" s="3">
        <v>1</v>
      </c>
    </row>
    <row r="2217" spans="1:15" ht="15" customHeight="1" x14ac:dyDescent="0.25">
      <c r="A2217" s="2">
        <v>30</v>
      </c>
      <c r="B2217" s="2" t="s">
        <v>10</v>
      </c>
      <c r="C2217" s="2" t="s">
        <v>19</v>
      </c>
      <c r="D2217" s="2" t="s">
        <v>20</v>
      </c>
      <c r="E2217" s="2">
        <v>0</v>
      </c>
      <c r="F2217" s="2">
        <v>1</v>
      </c>
      <c r="G2217" s="2" t="s">
        <v>10</v>
      </c>
      <c r="H2217" s="2" t="s">
        <v>12</v>
      </c>
      <c r="I2217" s="2">
        <v>2</v>
      </c>
      <c r="J2217" s="2" t="s">
        <v>14</v>
      </c>
      <c r="K2217" s="2" t="s">
        <v>14</v>
      </c>
      <c r="L2217" s="2" t="s">
        <v>14</v>
      </c>
      <c r="M2217" s="2" t="s">
        <v>13</v>
      </c>
      <c r="N2217" s="2" t="s">
        <v>14</v>
      </c>
      <c r="O2217" s="2">
        <v>0</v>
      </c>
    </row>
    <row r="2218" spans="1:15" ht="15" customHeight="1" x14ac:dyDescent="0.25">
      <c r="A2218" s="3">
        <v>10</v>
      </c>
      <c r="B2218" s="3" t="s">
        <v>10</v>
      </c>
      <c r="C2218" s="3" t="s">
        <v>19</v>
      </c>
      <c r="D2218" s="3" t="s">
        <v>19</v>
      </c>
      <c r="E2218" s="3">
        <v>0</v>
      </c>
      <c r="F2218" s="3">
        <v>1</v>
      </c>
      <c r="G2218" s="3" t="s">
        <v>17</v>
      </c>
      <c r="H2218" s="3" t="s">
        <v>106</v>
      </c>
      <c r="I2218" s="3">
        <v>1</v>
      </c>
      <c r="J2218" s="2" t="s">
        <v>14</v>
      </c>
      <c r="K2218" s="3" t="s">
        <v>13</v>
      </c>
      <c r="L2218" s="3" t="s">
        <v>13</v>
      </c>
      <c r="M2218" s="3" t="s">
        <v>13</v>
      </c>
      <c r="N2218" s="2" t="s">
        <v>14</v>
      </c>
      <c r="O2218" s="3">
        <v>1</v>
      </c>
    </row>
    <row r="2219" spans="1:15" ht="15" customHeight="1" x14ac:dyDescent="0.25">
      <c r="A2219" s="2">
        <v>20</v>
      </c>
      <c r="B2219" s="2" t="s">
        <v>18</v>
      </c>
      <c r="C2219" s="2" t="s">
        <v>20</v>
      </c>
      <c r="D2219" s="2" t="s">
        <v>20</v>
      </c>
      <c r="E2219" s="2">
        <v>0</v>
      </c>
      <c r="F2219" s="2">
        <v>0</v>
      </c>
      <c r="G2219" s="2" t="s">
        <v>10</v>
      </c>
      <c r="H2219" s="2" t="s">
        <v>16</v>
      </c>
      <c r="I2219" s="2">
        <v>1</v>
      </c>
      <c r="J2219" s="2" t="s">
        <v>14</v>
      </c>
      <c r="K2219" s="2" t="s">
        <v>14</v>
      </c>
      <c r="L2219" s="2" t="s">
        <v>14</v>
      </c>
      <c r="M2219" s="2" t="s">
        <v>14</v>
      </c>
      <c r="N2219" s="2" t="s">
        <v>14</v>
      </c>
      <c r="O2219" s="2">
        <v>1</v>
      </c>
    </row>
    <row r="2220" spans="1:15" ht="15" customHeight="1" x14ac:dyDescent="0.25">
      <c r="A2220" s="3">
        <v>20</v>
      </c>
      <c r="B2220" s="3" t="s">
        <v>10</v>
      </c>
      <c r="C2220" s="3" t="s">
        <v>19</v>
      </c>
      <c r="D2220" s="3" t="s">
        <v>20</v>
      </c>
      <c r="E2220" s="3">
        <v>1</v>
      </c>
      <c r="F2220" s="3">
        <v>0</v>
      </c>
      <c r="G2220" s="3" t="s">
        <v>10</v>
      </c>
      <c r="H2220" s="3" t="s">
        <v>12</v>
      </c>
      <c r="I2220" s="3">
        <v>1</v>
      </c>
      <c r="J2220" s="2" t="s">
        <v>14</v>
      </c>
      <c r="K2220" s="2" t="s">
        <v>14</v>
      </c>
      <c r="L2220" s="2" t="s">
        <v>14</v>
      </c>
      <c r="M2220" s="3" t="s">
        <v>13</v>
      </c>
      <c r="N2220" s="2" t="s">
        <v>14</v>
      </c>
      <c r="O2220" s="3">
        <v>0</v>
      </c>
    </row>
    <row r="2221" spans="1:15" ht="15" customHeight="1" x14ac:dyDescent="0.25">
      <c r="A2221" s="2">
        <v>0</v>
      </c>
      <c r="B2221" s="2" t="s">
        <v>14</v>
      </c>
      <c r="C2221" s="2" t="s">
        <v>19</v>
      </c>
      <c r="D2221" s="2" t="s">
        <v>19</v>
      </c>
      <c r="E2221" s="2">
        <v>0</v>
      </c>
      <c r="F2221" s="2">
        <v>1</v>
      </c>
      <c r="G2221" s="2" t="s">
        <v>10</v>
      </c>
      <c r="H2221" s="2" t="s">
        <v>12</v>
      </c>
      <c r="I2221" s="2">
        <v>2</v>
      </c>
      <c r="J2221" s="2" t="s">
        <v>14</v>
      </c>
      <c r="K2221" s="2" t="s">
        <v>13</v>
      </c>
      <c r="L2221" s="2" t="s">
        <v>14</v>
      </c>
      <c r="M2221" s="2" t="s">
        <v>14</v>
      </c>
      <c r="N2221" s="2" t="s">
        <v>14</v>
      </c>
      <c r="O2221" s="2">
        <v>1</v>
      </c>
    </row>
    <row r="2222" spans="1:15" ht="15" customHeight="1" x14ac:dyDescent="0.25">
      <c r="A2222" s="3">
        <v>5</v>
      </c>
      <c r="B2222" s="3" t="s">
        <v>10</v>
      </c>
      <c r="C2222" s="3" t="s">
        <v>11</v>
      </c>
      <c r="D2222" s="3" t="s">
        <v>11</v>
      </c>
      <c r="E2222" s="3">
        <v>0</v>
      </c>
      <c r="F2222" s="3">
        <v>0</v>
      </c>
      <c r="G2222" s="3" t="s">
        <v>10</v>
      </c>
      <c r="H2222" s="3" t="s">
        <v>12</v>
      </c>
      <c r="I2222" s="3" t="s">
        <v>15</v>
      </c>
      <c r="J2222" s="2" t="s">
        <v>14</v>
      </c>
      <c r="K2222" s="2" t="s">
        <v>14</v>
      </c>
      <c r="L2222" s="2" t="s">
        <v>14</v>
      </c>
      <c r="M2222" s="2" t="s">
        <v>14</v>
      </c>
      <c r="N2222" s="2" t="s">
        <v>14</v>
      </c>
      <c r="O2222" s="3">
        <v>1</v>
      </c>
    </row>
    <row r="2223" spans="1:15" ht="15" customHeight="1" x14ac:dyDescent="0.25">
      <c r="A2223" s="2">
        <v>20</v>
      </c>
      <c r="B2223" s="2" t="s">
        <v>14</v>
      </c>
      <c r="C2223" s="2" t="s">
        <v>11</v>
      </c>
      <c r="D2223" s="2" t="s">
        <v>11</v>
      </c>
      <c r="E2223" s="2">
        <v>2</v>
      </c>
      <c r="F2223" s="2">
        <v>1</v>
      </c>
      <c r="G2223" s="2" t="s">
        <v>10</v>
      </c>
      <c r="H2223" s="2" t="s">
        <v>12</v>
      </c>
      <c r="I2223" s="2">
        <v>2</v>
      </c>
      <c r="J2223" s="2" t="s">
        <v>14</v>
      </c>
      <c r="K2223" s="2" t="s">
        <v>14</v>
      </c>
      <c r="L2223" s="2" t="s">
        <v>14</v>
      </c>
      <c r="M2223" s="2" t="s">
        <v>13</v>
      </c>
      <c r="N2223" s="2" t="s">
        <v>13</v>
      </c>
      <c r="O2223" s="2">
        <v>0</v>
      </c>
    </row>
    <row r="2224" spans="1:15" ht="15" customHeight="1" x14ac:dyDescent="0.25">
      <c r="A2224" s="3">
        <v>10</v>
      </c>
      <c r="B2224" s="3" t="s">
        <v>10</v>
      </c>
      <c r="C2224" s="3" t="s">
        <v>19</v>
      </c>
      <c r="D2224" s="3" t="s">
        <v>20</v>
      </c>
      <c r="E2224" s="3">
        <v>0</v>
      </c>
      <c r="F2224" s="3">
        <v>0</v>
      </c>
      <c r="G2224" s="3" t="s">
        <v>17</v>
      </c>
      <c r="H2224" s="3" t="s">
        <v>106</v>
      </c>
      <c r="I2224" s="3">
        <v>1</v>
      </c>
      <c r="J2224" s="2" t="s">
        <v>14</v>
      </c>
      <c r="K2224" s="3" t="s">
        <v>13</v>
      </c>
      <c r="L2224" s="3" t="s">
        <v>13</v>
      </c>
      <c r="M2224" s="3" t="s">
        <v>14</v>
      </c>
      <c r="N2224" s="2" t="s">
        <v>14</v>
      </c>
      <c r="O2224" s="3">
        <v>1</v>
      </c>
    </row>
    <row r="2225" spans="1:15" ht="15" customHeight="1" x14ac:dyDescent="0.25">
      <c r="A2225" s="2">
        <v>10</v>
      </c>
      <c r="B2225" s="2" t="s">
        <v>10</v>
      </c>
      <c r="C2225" s="2" t="s">
        <v>19</v>
      </c>
      <c r="D2225" s="2" t="s">
        <v>19</v>
      </c>
      <c r="E2225" s="2">
        <v>0</v>
      </c>
      <c r="F2225" s="2">
        <v>0</v>
      </c>
      <c r="G2225" s="2" t="s">
        <v>10</v>
      </c>
      <c r="H2225" s="2" t="s">
        <v>12</v>
      </c>
      <c r="I2225" s="2">
        <v>1</v>
      </c>
      <c r="J2225" s="2" t="s">
        <v>14</v>
      </c>
      <c r="K2225" s="2" t="s">
        <v>13</v>
      </c>
      <c r="L2225" s="2" t="s">
        <v>13</v>
      </c>
      <c r="M2225" s="2" t="s">
        <v>13</v>
      </c>
      <c r="N2225" s="2" t="s">
        <v>14</v>
      </c>
      <c r="O2225" s="2">
        <v>0</v>
      </c>
    </row>
    <row r="2226" spans="1:15" ht="15" customHeight="1" x14ac:dyDescent="0.25">
      <c r="A2226" s="3">
        <v>30</v>
      </c>
      <c r="B2226" s="3" t="s">
        <v>10</v>
      </c>
      <c r="C2226" s="3" t="s">
        <v>11</v>
      </c>
      <c r="D2226" s="3" t="s">
        <v>19</v>
      </c>
      <c r="E2226" s="3">
        <v>1</v>
      </c>
      <c r="F2226" s="3">
        <v>0</v>
      </c>
      <c r="G2226" s="3" t="s">
        <v>10</v>
      </c>
      <c r="H2226" s="3" t="s">
        <v>12</v>
      </c>
      <c r="I2226" s="3">
        <v>1</v>
      </c>
      <c r="J2226" s="2" t="s">
        <v>14</v>
      </c>
      <c r="K2226" s="2" t="s">
        <v>14</v>
      </c>
      <c r="L2226" s="2" t="s">
        <v>14</v>
      </c>
      <c r="M2226" s="3" t="s">
        <v>13</v>
      </c>
      <c r="N2226" s="3" t="s">
        <v>13</v>
      </c>
      <c r="O2226" s="3">
        <v>0</v>
      </c>
    </row>
    <row r="2227" spans="1:15" ht="15" customHeight="1" x14ac:dyDescent="0.25">
      <c r="A2227" s="2">
        <v>10</v>
      </c>
      <c r="B2227" s="2" t="s">
        <v>10</v>
      </c>
      <c r="C2227" s="2" t="s">
        <v>19</v>
      </c>
      <c r="D2227" s="2" t="s">
        <v>20</v>
      </c>
      <c r="E2227" s="2">
        <v>0</v>
      </c>
      <c r="F2227" s="2">
        <v>0</v>
      </c>
      <c r="G2227" s="2" t="s">
        <v>17</v>
      </c>
      <c r="H2227" s="2" t="s">
        <v>106</v>
      </c>
      <c r="I2227" s="2">
        <v>1</v>
      </c>
      <c r="J2227" s="2" t="s">
        <v>14</v>
      </c>
      <c r="K2227" s="2" t="s">
        <v>13</v>
      </c>
      <c r="L2227" s="2" t="s">
        <v>13</v>
      </c>
      <c r="M2227" s="2" t="s">
        <v>13</v>
      </c>
      <c r="N2227" s="2" t="s">
        <v>14</v>
      </c>
      <c r="O2227" s="2">
        <v>1</v>
      </c>
    </row>
    <row r="2228" spans="1:15" ht="15" customHeight="1" x14ac:dyDescent="0.25">
      <c r="A2228" s="3">
        <v>30</v>
      </c>
      <c r="B2228" s="3" t="s">
        <v>10</v>
      </c>
      <c r="C2228" s="3" t="s">
        <v>11</v>
      </c>
      <c r="D2228" s="3" t="s">
        <v>19</v>
      </c>
      <c r="E2228" s="3">
        <v>0</v>
      </c>
      <c r="F2228" s="3">
        <v>1</v>
      </c>
      <c r="G2228" s="3" t="s">
        <v>10</v>
      </c>
      <c r="H2228" s="3" t="s">
        <v>12</v>
      </c>
      <c r="I2228" s="3" t="s">
        <v>15</v>
      </c>
      <c r="J2228" s="3" t="s">
        <v>13</v>
      </c>
      <c r="K2228" s="2" t="s">
        <v>14</v>
      </c>
      <c r="L2228" s="2" t="s">
        <v>14</v>
      </c>
      <c r="M2228" s="3" t="s">
        <v>13</v>
      </c>
      <c r="N2228" s="2" t="s">
        <v>14</v>
      </c>
      <c r="O2228" s="3">
        <v>0</v>
      </c>
    </row>
    <row r="2229" spans="1:15" ht="15" customHeight="1" x14ac:dyDescent="0.25">
      <c r="A2229" s="2">
        <v>20</v>
      </c>
      <c r="B2229" s="2" t="s">
        <v>10</v>
      </c>
      <c r="C2229" s="2" t="s">
        <v>19</v>
      </c>
      <c r="D2229" s="2" t="s">
        <v>20</v>
      </c>
      <c r="E2229" s="2">
        <v>0</v>
      </c>
      <c r="F2229" s="2">
        <v>0</v>
      </c>
      <c r="G2229" s="2" t="s">
        <v>10</v>
      </c>
      <c r="H2229" s="2" t="s">
        <v>12</v>
      </c>
      <c r="I2229" s="2">
        <v>2</v>
      </c>
      <c r="J2229" s="2" t="s">
        <v>14</v>
      </c>
      <c r="K2229" s="2" t="s">
        <v>14</v>
      </c>
      <c r="L2229" s="2" t="s">
        <v>14</v>
      </c>
      <c r="M2229" s="2" t="s">
        <v>14</v>
      </c>
      <c r="N2229" s="2" t="s">
        <v>14</v>
      </c>
      <c r="O2229" s="2">
        <v>1</v>
      </c>
    </row>
    <row r="2230" spans="1:15" ht="15" customHeight="1" x14ac:dyDescent="0.25">
      <c r="A2230" s="3">
        <v>5</v>
      </c>
      <c r="B2230" s="3" t="s">
        <v>10</v>
      </c>
      <c r="C2230" s="3" t="s">
        <v>11</v>
      </c>
      <c r="D2230" s="3" t="s">
        <v>19</v>
      </c>
      <c r="E2230" s="3">
        <v>0</v>
      </c>
      <c r="F2230" s="3">
        <v>1</v>
      </c>
      <c r="G2230" s="3" t="s">
        <v>10</v>
      </c>
      <c r="H2230" s="3" t="s">
        <v>12</v>
      </c>
      <c r="I2230" s="3" t="s">
        <v>15</v>
      </c>
      <c r="J2230" s="2" t="s">
        <v>14</v>
      </c>
      <c r="K2230" s="2" t="s">
        <v>14</v>
      </c>
      <c r="L2230" s="2" t="s">
        <v>14</v>
      </c>
      <c r="M2230" s="2" t="s">
        <v>14</v>
      </c>
      <c r="N2230" s="2" t="s">
        <v>14</v>
      </c>
      <c r="O2230" s="3">
        <v>1</v>
      </c>
    </row>
    <row r="2231" spans="1:15" ht="15" customHeight="1" x14ac:dyDescent="0.25">
      <c r="A2231" s="2">
        <v>10</v>
      </c>
      <c r="B2231" s="2" t="s">
        <v>18</v>
      </c>
      <c r="C2231" s="2" t="s">
        <v>20</v>
      </c>
      <c r="D2231" s="2" t="s">
        <v>20</v>
      </c>
      <c r="E2231" s="2">
        <v>0</v>
      </c>
      <c r="F2231" s="2">
        <v>0</v>
      </c>
      <c r="G2231" s="2" t="s">
        <v>10</v>
      </c>
      <c r="H2231" s="2" t="s">
        <v>12</v>
      </c>
      <c r="I2231" s="2">
        <v>1</v>
      </c>
      <c r="J2231" s="2" t="s">
        <v>14</v>
      </c>
      <c r="K2231" s="2" t="s">
        <v>14</v>
      </c>
      <c r="L2231" s="2" t="s">
        <v>14</v>
      </c>
      <c r="M2231" s="2" t="s">
        <v>14</v>
      </c>
      <c r="N2231" s="2" t="s">
        <v>14</v>
      </c>
      <c r="O2231" s="2">
        <v>1</v>
      </c>
    </row>
    <row r="2232" spans="1:15" ht="15" customHeight="1" x14ac:dyDescent="0.25">
      <c r="A2232" s="3">
        <v>20</v>
      </c>
      <c r="B2232" s="3" t="s">
        <v>10</v>
      </c>
      <c r="C2232" s="3" t="s">
        <v>19</v>
      </c>
      <c r="D2232" s="3" t="s">
        <v>20</v>
      </c>
      <c r="E2232" s="3">
        <v>0</v>
      </c>
      <c r="F2232" s="3">
        <v>0</v>
      </c>
      <c r="G2232" s="3" t="s">
        <v>10</v>
      </c>
      <c r="H2232" s="3" t="s">
        <v>12</v>
      </c>
      <c r="I2232" s="3">
        <v>2</v>
      </c>
      <c r="J2232" s="2" t="s">
        <v>14</v>
      </c>
      <c r="K2232" s="2" t="s">
        <v>14</v>
      </c>
      <c r="L2232" s="2" t="s">
        <v>14</v>
      </c>
      <c r="M2232" s="2" t="s">
        <v>14</v>
      </c>
      <c r="N2232" s="2" t="s">
        <v>14</v>
      </c>
      <c r="O2232" s="3">
        <v>1</v>
      </c>
    </row>
    <row r="2233" spans="1:15" ht="15" customHeight="1" x14ac:dyDescent="0.25">
      <c r="A2233" s="2">
        <v>30</v>
      </c>
      <c r="B2233" s="2" t="s">
        <v>10</v>
      </c>
      <c r="C2233" s="2" t="s">
        <v>11</v>
      </c>
      <c r="D2233" s="2" t="s">
        <v>19</v>
      </c>
      <c r="E2233" s="2">
        <v>1</v>
      </c>
      <c r="F2233" s="2">
        <v>0</v>
      </c>
      <c r="G2233" s="2" t="s">
        <v>10</v>
      </c>
      <c r="H2233" s="2" t="s">
        <v>12</v>
      </c>
      <c r="I2233" s="2">
        <v>2</v>
      </c>
      <c r="J2233" s="2" t="s">
        <v>14</v>
      </c>
      <c r="K2233" s="2" t="s">
        <v>14</v>
      </c>
      <c r="L2233" s="2" t="s">
        <v>14</v>
      </c>
      <c r="M2233" s="2" t="s">
        <v>13</v>
      </c>
      <c r="N2233" s="2" t="s">
        <v>14</v>
      </c>
      <c r="O2233" s="2">
        <v>0</v>
      </c>
    </row>
    <row r="2234" spans="1:15" ht="15" customHeight="1" x14ac:dyDescent="0.25">
      <c r="A2234" s="3">
        <v>5</v>
      </c>
      <c r="B2234" s="3" t="s">
        <v>10</v>
      </c>
      <c r="C2234" s="3" t="s">
        <v>19</v>
      </c>
      <c r="D2234" s="3" t="s">
        <v>20</v>
      </c>
      <c r="E2234" s="3">
        <v>0</v>
      </c>
      <c r="F2234" s="3">
        <v>0</v>
      </c>
      <c r="G2234" s="3" t="s">
        <v>17</v>
      </c>
      <c r="H2234" s="3" t="s">
        <v>106</v>
      </c>
      <c r="I2234" s="3">
        <v>1</v>
      </c>
      <c r="J2234" s="2" t="s">
        <v>14</v>
      </c>
      <c r="K2234" s="3" t="s">
        <v>13</v>
      </c>
      <c r="L2234" s="3" t="s">
        <v>13</v>
      </c>
      <c r="M2234" s="3" t="s">
        <v>14</v>
      </c>
      <c r="N2234" s="2" t="s">
        <v>14</v>
      </c>
      <c r="O2234" s="3">
        <v>1</v>
      </c>
    </row>
    <row r="2235" spans="1:15" ht="15" customHeight="1" x14ac:dyDescent="0.25">
      <c r="A2235" s="2">
        <v>5</v>
      </c>
      <c r="B2235" s="2" t="s">
        <v>10</v>
      </c>
      <c r="C2235" s="2" t="s">
        <v>19</v>
      </c>
      <c r="D2235" s="2" t="s">
        <v>19</v>
      </c>
      <c r="E2235" s="2">
        <v>0</v>
      </c>
      <c r="F2235" s="2">
        <v>0</v>
      </c>
      <c r="G2235" s="2" t="s">
        <v>10</v>
      </c>
      <c r="H2235" s="2" t="s">
        <v>12</v>
      </c>
      <c r="I2235" s="2" t="s">
        <v>15</v>
      </c>
      <c r="J2235" s="2" t="s">
        <v>14</v>
      </c>
      <c r="K2235" s="2" t="s">
        <v>14</v>
      </c>
      <c r="L2235" s="2" t="s">
        <v>14</v>
      </c>
      <c r="M2235" s="2" t="s">
        <v>14</v>
      </c>
      <c r="N2235" s="2" t="s">
        <v>14</v>
      </c>
      <c r="O2235" s="2">
        <v>1</v>
      </c>
    </row>
    <row r="2236" spans="1:15" ht="15" customHeight="1" x14ac:dyDescent="0.25">
      <c r="A2236" s="3">
        <v>5</v>
      </c>
      <c r="B2236" s="3" t="s">
        <v>10</v>
      </c>
      <c r="C2236" s="3" t="s">
        <v>11</v>
      </c>
      <c r="D2236" s="3" t="s">
        <v>19</v>
      </c>
      <c r="E2236" s="3">
        <v>0</v>
      </c>
      <c r="F2236" s="3">
        <v>0</v>
      </c>
      <c r="G2236" s="3" t="s">
        <v>10</v>
      </c>
      <c r="H2236" s="3" t="s">
        <v>12</v>
      </c>
      <c r="I2236" s="3">
        <v>1</v>
      </c>
      <c r="J2236" s="2" t="s">
        <v>14</v>
      </c>
      <c r="K2236" s="2" t="s">
        <v>14</v>
      </c>
      <c r="L2236" s="2" t="s">
        <v>14</v>
      </c>
      <c r="M2236" s="2" t="s">
        <v>14</v>
      </c>
      <c r="N2236" s="2" t="s">
        <v>14</v>
      </c>
      <c r="O2236" s="3">
        <v>0</v>
      </c>
    </row>
    <row r="2237" spans="1:15" ht="15" customHeight="1" x14ac:dyDescent="0.25">
      <c r="A2237" s="2">
        <v>10</v>
      </c>
      <c r="B2237" s="2" t="s">
        <v>10</v>
      </c>
      <c r="C2237" s="2" t="s">
        <v>11</v>
      </c>
      <c r="D2237" s="2" t="s">
        <v>11</v>
      </c>
      <c r="E2237" s="2">
        <v>1</v>
      </c>
      <c r="F2237" s="2">
        <v>1</v>
      </c>
      <c r="G2237" s="2" t="s">
        <v>10</v>
      </c>
      <c r="H2237" s="2" t="s">
        <v>12</v>
      </c>
      <c r="I2237" s="2" t="s">
        <v>15</v>
      </c>
      <c r="J2237" s="2" t="s">
        <v>14</v>
      </c>
      <c r="K2237" s="2" t="s">
        <v>14</v>
      </c>
      <c r="L2237" s="2" t="s">
        <v>14</v>
      </c>
      <c r="M2237" s="2" t="s">
        <v>13</v>
      </c>
      <c r="N2237" s="2" t="s">
        <v>13</v>
      </c>
      <c r="O2237" s="2">
        <v>0</v>
      </c>
    </row>
    <row r="2238" spans="1:15" ht="15" customHeight="1" x14ac:dyDescent="0.25">
      <c r="A2238" s="3">
        <v>20</v>
      </c>
      <c r="B2238" s="3" t="s">
        <v>10</v>
      </c>
      <c r="C2238" s="3" t="s">
        <v>19</v>
      </c>
      <c r="D2238" s="3" t="s">
        <v>20</v>
      </c>
      <c r="E2238" s="3">
        <v>0</v>
      </c>
      <c r="F2238" s="3">
        <v>1</v>
      </c>
      <c r="G2238" s="3" t="s">
        <v>10</v>
      </c>
      <c r="H2238" s="3" t="s">
        <v>12</v>
      </c>
      <c r="I2238" s="3">
        <v>1</v>
      </c>
      <c r="J2238" s="2" t="s">
        <v>14</v>
      </c>
      <c r="K2238" s="2" t="s">
        <v>14</v>
      </c>
      <c r="L2238" s="2" t="s">
        <v>14</v>
      </c>
      <c r="M2238" s="3" t="s">
        <v>13</v>
      </c>
      <c r="N2238" s="3" t="s">
        <v>14</v>
      </c>
      <c r="O2238" s="3">
        <v>0</v>
      </c>
    </row>
    <row r="2239" spans="1:15" ht="15" customHeight="1" x14ac:dyDescent="0.25">
      <c r="A2239" s="2">
        <v>10</v>
      </c>
      <c r="B2239" s="2" t="s">
        <v>14</v>
      </c>
      <c r="C2239" s="2" t="s">
        <v>11</v>
      </c>
      <c r="D2239" s="2" t="s">
        <v>11</v>
      </c>
      <c r="E2239" s="2">
        <v>0</v>
      </c>
      <c r="F2239" s="2">
        <v>0</v>
      </c>
      <c r="G2239" s="2" t="s">
        <v>10</v>
      </c>
      <c r="H2239" s="2" t="s">
        <v>12</v>
      </c>
      <c r="I2239" s="2" t="s">
        <v>15</v>
      </c>
      <c r="J2239" s="2" t="s">
        <v>14</v>
      </c>
      <c r="K2239" s="2" t="s">
        <v>14</v>
      </c>
      <c r="L2239" s="2" t="s">
        <v>14</v>
      </c>
      <c r="M2239" s="2" t="s">
        <v>14</v>
      </c>
      <c r="N2239" s="2" t="s">
        <v>14</v>
      </c>
      <c r="O2239" s="2">
        <v>1</v>
      </c>
    </row>
    <row r="2240" spans="1:15" ht="15" customHeight="1" x14ac:dyDescent="0.25">
      <c r="A2240" s="3">
        <v>5</v>
      </c>
      <c r="B2240" s="3" t="s">
        <v>10</v>
      </c>
      <c r="C2240" s="3" t="s">
        <v>11</v>
      </c>
      <c r="D2240" s="3" t="s">
        <v>11</v>
      </c>
      <c r="E2240" s="3">
        <v>1</v>
      </c>
      <c r="F2240" s="3">
        <v>1</v>
      </c>
      <c r="G2240" s="3" t="s">
        <v>10</v>
      </c>
      <c r="H2240" s="3" t="s">
        <v>12</v>
      </c>
      <c r="I2240" s="3" t="s">
        <v>15</v>
      </c>
      <c r="J2240" s="2" t="s">
        <v>14</v>
      </c>
      <c r="K2240" s="2" t="s">
        <v>14</v>
      </c>
      <c r="L2240" s="2" t="s">
        <v>14</v>
      </c>
      <c r="M2240" s="3" t="s">
        <v>13</v>
      </c>
      <c r="N2240" s="2" t="s">
        <v>14</v>
      </c>
      <c r="O2240" s="3">
        <v>0</v>
      </c>
    </row>
    <row r="2241" spans="1:15" ht="15" customHeight="1" x14ac:dyDescent="0.25">
      <c r="A2241" s="2">
        <v>20</v>
      </c>
      <c r="B2241" s="2" t="s">
        <v>10</v>
      </c>
      <c r="C2241" s="2" t="s">
        <v>11</v>
      </c>
      <c r="D2241" s="2" t="s">
        <v>19</v>
      </c>
      <c r="E2241" s="2">
        <v>0</v>
      </c>
      <c r="F2241" s="2">
        <v>2</v>
      </c>
      <c r="G2241" s="2" t="s">
        <v>10</v>
      </c>
      <c r="H2241" s="2" t="s">
        <v>12</v>
      </c>
      <c r="I2241" s="2" t="s">
        <v>15</v>
      </c>
      <c r="J2241" s="2" t="s">
        <v>13</v>
      </c>
      <c r="K2241" s="2" t="s">
        <v>14</v>
      </c>
      <c r="L2241" s="2" t="s">
        <v>14</v>
      </c>
      <c r="M2241" s="2" t="s">
        <v>14</v>
      </c>
      <c r="N2241" s="2" t="s">
        <v>14</v>
      </c>
      <c r="O2241" s="2">
        <v>0</v>
      </c>
    </row>
    <row r="2242" spans="1:15" ht="15" customHeight="1" x14ac:dyDescent="0.25">
      <c r="A2242" s="3">
        <v>5</v>
      </c>
      <c r="B2242" s="3" t="s">
        <v>10</v>
      </c>
      <c r="C2242" s="3" t="s">
        <v>19</v>
      </c>
      <c r="D2242" s="3" t="s">
        <v>19</v>
      </c>
      <c r="E2242" s="3">
        <v>0</v>
      </c>
      <c r="F2242" s="3">
        <v>0</v>
      </c>
      <c r="G2242" s="3" t="s">
        <v>10</v>
      </c>
      <c r="H2242" s="3" t="s">
        <v>12</v>
      </c>
      <c r="I2242" s="3">
        <v>2</v>
      </c>
      <c r="J2242" s="2" t="s">
        <v>14</v>
      </c>
      <c r="K2242" s="2" t="s">
        <v>14</v>
      </c>
      <c r="L2242" s="2" t="s">
        <v>14</v>
      </c>
      <c r="M2242" s="2" t="s">
        <v>14</v>
      </c>
      <c r="N2242" s="2" t="s">
        <v>14</v>
      </c>
      <c r="O2242" s="3">
        <v>1</v>
      </c>
    </row>
    <row r="2243" spans="1:15" ht="15" customHeight="1" x14ac:dyDescent="0.25">
      <c r="A2243" s="2">
        <v>10</v>
      </c>
      <c r="B2243" s="2" t="s">
        <v>10</v>
      </c>
      <c r="C2243" s="2" t="s">
        <v>19</v>
      </c>
      <c r="D2243" s="2" t="s">
        <v>19</v>
      </c>
      <c r="E2243" s="2">
        <v>0</v>
      </c>
      <c r="F2243" s="2">
        <v>0</v>
      </c>
      <c r="G2243" s="2" t="s">
        <v>10</v>
      </c>
      <c r="H2243" s="2" t="s">
        <v>12</v>
      </c>
      <c r="I2243" s="2">
        <v>2</v>
      </c>
      <c r="J2243" s="2" t="s">
        <v>14</v>
      </c>
      <c r="K2243" s="2" t="s">
        <v>14</v>
      </c>
      <c r="L2243" s="2" t="s">
        <v>14</v>
      </c>
      <c r="M2243" s="2" t="s">
        <v>14</v>
      </c>
      <c r="N2243" s="2" t="s">
        <v>14</v>
      </c>
      <c r="O2243" s="2">
        <v>1</v>
      </c>
    </row>
    <row r="2244" spans="1:15" ht="15" customHeight="1" x14ac:dyDescent="0.25">
      <c r="A2244" s="3">
        <v>5</v>
      </c>
      <c r="B2244" s="3" t="s">
        <v>14</v>
      </c>
      <c r="C2244" s="3" t="s">
        <v>11</v>
      </c>
      <c r="D2244" s="3" t="s">
        <v>11</v>
      </c>
      <c r="E2244" s="3">
        <v>0</v>
      </c>
      <c r="F2244" s="3">
        <v>1</v>
      </c>
      <c r="G2244" s="3" t="s">
        <v>10</v>
      </c>
      <c r="H2244" s="3" t="s">
        <v>12</v>
      </c>
      <c r="I2244" s="3" t="s">
        <v>15</v>
      </c>
      <c r="J2244" s="2" t="s">
        <v>14</v>
      </c>
      <c r="K2244" s="2" t="s">
        <v>14</v>
      </c>
      <c r="L2244" s="2" t="s">
        <v>14</v>
      </c>
      <c r="M2244" s="2" t="s">
        <v>14</v>
      </c>
      <c r="N2244" s="2" t="s">
        <v>14</v>
      </c>
      <c r="O2244" s="3">
        <v>1</v>
      </c>
    </row>
    <row r="2245" spans="1:15" ht="15" customHeight="1" x14ac:dyDescent="0.25">
      <c r="A2245" s="2">
        <v>10</v>
      </c>
      <c r="B2245" s="2" t="s">
        <v>10</v>
      </c>
      <c r="C2245" s="2" t="s">
        <v>19</v>
      </c>
      <c r="D2245" s="2" t="s">
        <v>19</v>
      </c>
      <c r="E2245" s="2">
        <v>0</v>
      </c>
      <c r="F2245" s="2">
        <v>0</v>
      </c>
      <c r="G2245" s="2" t="s">
        <v>10</v>
      </c>
      <c r="H2245" s="2" t="s">
        <v>12</v>
      </c>
      <c r="I2245" s="2">
        <v>2</v>
      </c>
      <c r="J2245" s="2" t="s">
        <v>14</v>
      </c>
      <c r="K2245" s="2" t="s">
        <v>14</v>
      </c>
      <c r="L2245" s="2" t="s">
        <v>14</v>
      </c>
      <c r="M2245" s="2" t="s">
        <v>14</v>
      </c>
      <c r="N2245" s="2" t="s">
        <v>14</v>
      </c>
      <c r="O2245" s="2">
        <v>1</v>
      </c>
    </row>
    <row r="2246" spans="1:15" ht="15" customHeight="1" x14ac:dyDescent="0.25">
      <c r="A2246" s="3">
        <v>20</v>
      </c>
      <c r="B2246" s="3" t="s">
        <v>18</v>
      </c>
      <c r="C2246" s="3" t="s">
        <v>19</v>
      </c>
      <c r="D2246" s="3" t="s">
        <v>19</v>
      </c>
      <c r="E2246" s="3">
        <v>0</v>
      </c>
      <c r="F2246" s="3">
        <v>0</v>
      </c>
      <c r="G2246" s="3" t="s">
        <v>10</v>
      </c>
      <c r="H2246" s="3" t="s">
        <v>12</v>
      </c>
      <c r="I2246" s="3">
        <v>2</v>
      </c>
      <c r="J2246" s="2" t="s">
        <v>14</v>
      </c>
      <c r="K2246" s="2" t="s">
        <v>14</v>
      </c>
      <c r="L2246" s="2" t="s">
        <v>14</v>
      </c>
      <c r="M2246" s="2" t="s">
        <v>14</v>
      </c>
      <c r="N2246" s="2" t="s">
        <v>14</v>
      </c>
      <c r="O2246" s="3">
        <v>1</v>
      </c>
    </row>
    <row r="2247" spans="1:15" ht="15" customHeight="1" x14ac:dyDescent="0.25">
      <c r="A2247" s="2">
        <v>5</v>
      </c>
      <c r="B2247" s="2" t="s">
        <v>10</v>
      </c>
      <c r="C2247" s="2" t="s">
        <v>19</v>
      </c>
      <c r="D2247" s="2" t="s">
        <v>19</v>
      </c>
      <c r="E2247" s="2">
        <v>0</v>
      </c>
      <c r="F2247" s="2">
        <v>0</v>
      </c>
      <c r="G2247" s="2" t="s">
        <v>10</v>
      </c>
      <c r="H2247" s="2" t="s">
        <v>16</v>
      </c>
      <c r="I2247" s="2" t="s">
        <v>15</v>
      </c>
      <c r="J2247" s="2" t="s">
        <v>14</v>
      </c>
      <c r="K2247" s="2" t="s">
        <v>14</v>
      </c>
      <c r="L2247" s="2" t="s">
        <v>14</v>
      </c>
      <c r="M2247" s="2" t="s">
        <v>14</v>
      </c>
      <c r="N2247" s="2" t="s">
        <v>14</v>
      </c>
      <c r="O2247" s="2">
        <v>1</v>
      </c>
    </row>
    <row r="2248" spans="1:15" ht="15" customHeight="1" x14ac:dyDescent="0.25">
      <c r="A2248" s="3">
        <v>10</v>
      </c>
      <c r="B2248" s="3" t="s">
        <v>18</v>
      </c>
      <c r="C2248" s="3" t="s">
        <v>19</v>
      </c>
      <c r="D2248" s="3" t="s">
        <v>19</v>
      </c>
      <c r="E2248" s="3">
        <v>0</v>
      </c>
      <c r="F2248" s="3">
        <v>0</v>
      </c>
      <c r="G2248" s="3" t="s">
        <v>10</v>
      </c>
      <c r="H2248" s="3" t="s">
        <v>12</v>
      </c>
      <c r="I2248" s="3" t="s">
        <v>15</v>
      </c>
      <c r="J2248" s="2" t="s">
        <v>14</v>
      </c>
      <c r="K2248" s="2" t="s">
        <v>14</v>
      </c>
      <c r="L2248" s="2" t="s">
        <v>14</v>
      </c>
      <c r="M2248" s="2" t="s">
        <v>14</v>
      </c>
      <c r="N2248" s="2" t="s">
        <v>14</v>
      </c>
      <c r="O2248" s="3">
        <v>1</v>
      </c>
    </row>
    <row r="2249" spans="1:15" ht="15" customHeight="1" x14ac:dyDescent="0.25">
      <c r="A2249" s="2">
        <v>10</v>
      </c>
      <c r="B2249" s="2" t="s">
        <v>10</v>
      </c>
      <c r="C2249" s="2" t="s">
        <v>19</v>
      </c>
      <c r="D2249" s="2" t="s">
        <v>19</v>
      </c>
      <c r="E2249" s="2">
        <v>0</v>
      </c>
      <c r="F2249" s="2">
        <v>0</v>
      </c>
      <c r="G2249" s="2" t="s">
        <v>10</v>
      </c>
      <c r="H2249" s="2" t="s">
        <v>12</v>
      </c>
      <c r="I2249" s="2">
        <v>2</v>
      </c>
      <c r="J2249" s="2" t="s">
        <v>14</v>
      </c>
      <c r="K2249" s="2" t="s">
        <v>14</v>
      </c>
      <c r="L2249" s="2" t="s">
        <v>14</v>
      </c>
      <c r="M2249" s="2" t="s">
        <v>14</v>
      </c>
      <c r="N2249" s="2" t="s">
        <v>14</v>
      </c>
      <c r="O2249" s="2">
        <v>1</v>
      </c>
    </row>
    <row r="2250" spans="1:15" ht="15" customHeight="1" x14ac:dyDescent="0.25">
      <c r="A2250" s="3">
        <v>10</v>
      </c>
      <c r="B2250" s="3" t="s">
        <v>18</v>
      </c>
      <c r="C2250" s="3" t="s">
        <v>19</v>
      </c>
      <c r="D2250" s="3" t="s">
        <v>19</v>
      </c>
      <c r="E2250" s="3">
        <v>0</v>
      </c>
      <c r="F2250" s="3">
        <v>0</v>
      </c>
      <c r="G2250" s="3" t="s">
        <v>10</v>
      </c>
      <c r="H2250" s="3" t="s">
        <v>12</v>
      </c>
      <c r="I2250" s="3" t="s">
        <v>15</v>
      </c>
      <c r="J2250" s="2" t="s">
        <v>14</v>
      </c>
      <c r="K2250" s="2" t="s">
        <v>14</v>
      </c>
      <c r="L2250" s="2" t="s">
        <v>14</v>
      </c>
      <c r="M2250" s="2" t="s">
        <v>14</v>
      </c>
      <c r="N2250" s="2" t="s">
        <v>14</v>
      </c>
      <c r="O2250" s="3">
        <v>1</v>
      </c>
    </row>
    <row r="2251" spans="1:15" ht="15" customHeight="1" x14ac:dyDescent="0.25">
      <c r="A2251" s="2">
        <v>10</v>
      </c>
      <c r="B2251" s="2" t="s">
        <v>10</v>
      </c>
      <c r="C2251" s="2" t="s">
        <v>19</v>
      </c>
      <c r="D2251" s="2" t="s">
        <v>19</v>
      </c>
      <c r="E2251" s="2">
        <v>0</v>
      </c>
      <c r="F2251" s="2">
        <v>0</v>
      </c>
      <c r="G2251" s="2" t="s">
        <v>10</v>
      </c>
      <c r="H2251" s="2" t="s">
        <v>12</v>
      </c>
      <c r="I2251" s="2" t="s">
        <v>15</v>
      </c>
      <c r="J2251" s="2" t="s">
        <v>14</v>
      </c>
      <c r="K2251" s="2" t="s">
        <v>14</v>
      </c>
      <c r="L2251" s="2" t="s">
        <v>14</v>
      </c>
      <c r="M2251" s="2" t="s">
        <v>14</v>
      </c>
      <c r="N2251" s="2" t="s">
        <v>14</v>
      </c>
      <c r="O2251" s="2">
        <v>1</v>
      </c>
    </row>
    <row r="2252" spans="1:15" ht="15" customHeight="1" x14ac:dyDescent="0.25">
      <c r="A2252" s="3">
        <v>10</v>
      </c>
      <c r="B2252" s="3" t="s">
        <v>10</v>
      </c>
      <c r="C2252" s="3" t="s">
        <v>11</v>
      </c>
      <c r="D2252" s="3" t="s">
        <v>19</v>
      </c>
      <c r="E2252" s="3">
        <v>0</v>
      </c>
      <c r="F2252" s="3">
        <v>0</v>
      </c>
      <c r="G2252" s="3" t="s">
        <v>10</v>
      </c>
      <c r="H2252" s="3" t="s">
        <v>12</v>
      </c>
      <c r="I2252" s="3" t="s">
        <v>15</v>
      </c>
      <c r="J2252" s="2" t="s">
        <v>14</v>
      </c>
      <c r="K2252" s="2" t="s">
        <v>14</v>
      </c>
      <c r="L2252" s="2" t="s">
        <v>14</v>
      </c>
      <c r="M2252" s="2" t="s">
        <v>14</v>
      </c>
      <c r="N2252" s="2" t="s">
        <v>14</v>
      </c>
      <c r="O2252" s="3">
        <v>1</v>
      </c>
    </row>
    <row r="2253" spans="1:15" ht="15" customHeight="1" x14ac:dyDescent="0.25">
      <c r="A2253" s="2">
        <v>10</v>
      </c>
      <c r="B2253" s="2" t="s">
        <v>14</v>
      </c>
      <c r="C2253" s="2" t="s">
        <v>11</v>
      </c>
      <c r="D2253" s="2" t="s">
        <v>11</v>
      </c>
      <c r="E2253" s="2">
        <v>0</v>
      </c>
      <c r="F2253" s="2">
        <v>0</v>
      </c>
      <c r="G2253" s="2" t="s">
        <v>10</v>
      </c>
      <c r="H2253" s="2" t="s">
        <v>12</v>
      </c>
      <c r="I2253" s="2" t="s">
        <v>15</v>
      </c>
      <c r="J2253" s="2" t="s">
        <v>14</v>
      </c>
      <c r="K2253" s="2" t="s">
        <v>14</v>
      </c>
      <c r="L2253" s="2" t="s">
        <v>14</v>
      </c>
      <c r="M2253" s="2" t="s">
        <v>14</v>
      </c>
      <c r="N2253" s="2" t="s">
        <v>14</v>
      </c>
      <c r="O2253" s="2">
        <v>1</v>
      </c>
    </row>
    <row r="2254" spans="1:15" ht="15" customHeight="1" x14ac:dyDescent="0.25">
      <c r="A2254" s="3">
        <v>5</v>
      </c>
      <c r="B2254" s="3" t="s">
        <v>18</v>
      </c>
      <c r="C2254" s="3" t="s">
        <v>19</v>
      </c>
      <c r="D2254" s="3" t="s">
        <v>19</v>
      </c>
      <c r="E2254" s="3">
        <v>0</v>
      </c>
      <c r="F2254" s="3">
        <v>0</v>
      </c>
      <c r="G2254" s="3" t="s">
        <v>10</v>
      </c>
      <c r="H2254" s="3" t="s">
        <v>12</v>
      </c>
      <c r="I2254" s="3">
        <v>2</v>
      </c>
      <c r="J2254" s="2" t="s">
        <v>14</v>
      </c>
      <c r="K2254" s="2" t="s">
        <v>14</v>
      </c>
      <c r="L2254" s="2" t="s">
        <v>14</v>
      </c>
      <c r="M2254" s="2" t="s">
        <v>14</v>
      </c>
      <c r="N2254" s="2" t="s">
        <v>14</v>
      </c>
      <c r="O2254" s="3">
        <v>1</v>
      </c>
    </row>
    <row r="2255" spans="1:15" ht="15" customHeight="1" x14ac:dyDescent="0.25">
      <c r="A2255" s="2">
        <v>20</v>
      </c>
      <c r="B2255" s="2" t="s">
        <v>10</v>
      </c>
      <c r="C2255" s="2" t="s">
        <v>19</v>
      </c>
      <c r="D2255" s="2" t="s">
        <v>19</v>
      </c>
      <c r="E2255" s="2">
        <v>0</v>
      </c>
      <c r="F2255" s="2">
        <v>0</v>
      </c>
      <c r="G2255" s="2" t="s">
        <v>10</v>
      </c>
      <c r="H2255" s="2" t="s">
        <v>12</v>
      </c>
      <c r="I2255" s="2">
        <v>2</v>
      </c>
      <c r="J2255" s="2" t="s">
        <v>14</v>
      </c>
      <c r="K2255" s="2" t="s">
        <v>14</v>
      </c>
      <c r="L2255" s="2" t="s">
        <v>14</v>
      </c>
      <c r="M2255" s="2" t="s">
        <v>13</v>
      </c>
      <c r="N2255" s="2" t="s">
        <v>13</v>
      </c>
      <c r="O2255" s="2">
        <v>1</v>
      </c>
    </row>
    <row r="2256" spans="1:15" ht="15" customHeight="1" x14ac:dyDescent="0.25">
      <c r="A2256" s="3">
        <v>5</v>
      </c>
      <c r="B2256" s="3" t="s">
        <v>10</v>
      </c>
      <c r="C2256" s="3" t="s">
        <v>19</v>
      </c>
      <c r="D2256" s="3" t="s">
        <v>19</v>
      </c>
      <c r="E2256" s="3">
        <v>0</v>
      </c>
      <c r="F2256" s="3">
        <v>0</v>
      </c>
      <c r="G2256" s="3" t="s">
        <v>10</v>
      </c>
      <c r="H2256" s="3" t="s">
        <v>12</v>
      </c>
      <c r="I2256" s="3">
        <v>2</v>
      </c>
      <c r="J2256" s="2" t="s">
        <v>14</v>
      </c>
      <c r="K2256" s="3" t="s">
        <v>13</v>
      </c>
      <c r="L2256" s="2" t="s">
        <v>14</v>
      </c>
      <c r="M2256" s="2" t="s">
        <v>14</v>
      </c>
      <c r="N2256" s="2" t="s">
        <v>14</v>
      </c>
      <c r="O2256" s="3">
        <v>1</v>
      </c>
    </row>
    <row r="2257" spans="1:15" ht="15" customHeight="1" x14ac:dyDescent="0.25">
      <c r="A2257" s="2">
        <v>10</v>
      </c>
      <c r="B2257" s="2" t="s">
        <v>14</v>
      </c>
      <c r="C2257" s="2" t="s">
        <v>11</v>
      </c>
      <c r="D2257" s="2" t="s">
        <v>11</v>
      </c>
      <c r="E2257" s="2">
        <v>0</v>
      </c>
      <c r="F2257" s="2">
        <v>0</v>
      </c>
      <c r="G2257" s="2" t="s">
        <v>10</v>
      </c>
      <c r="H2257" s="2" t="s">
        <v>16</v>
      </c>
      <c r="I2257" s="2" t="s">
        <v>15</v>
      </c>
      <c r="J2257" s="2" t="s">
        <v>14</v>
      </c>
      <c r="K2257" s="2" t="s">
        <v>14</v>
      </c>
      <c r="L2257" s="2" t="s">
        <v>14</v>
      </c>
      <c r="M2257" s="2" t="s">
        <v>14</v>
      </c>
      <c r="N2257" s="2" t="s">
        <v>14</v>
      </c>
      <c r="O2257" s="2">
        <v>1</v>
      </c>
    </row>
    <row r="2258" spans="1:15" ht="15" customHeight="1" x14ac:dyDescent="0.25">
      <c r="A2258" s="3">
        <v>20</v>
      </c>
      <c r="B2258" s="3" t="s">
        <v>10</v>
      </c>
      <c r="C2258" s="3" t="s">
        <v>11</v>
      </c>
      <c r="D2258" s="3" t="s">
        <v>11</v>
      </c>
      <c r="E2258" s="3">
        <v>0</v>
      </c>
      <c r="F2258" s="3">
        <v>0</v>
      </c>
      <c r="G2258" s="3" t="s">
        <v>10</v>
      </c>
      <c r="H2258" s="3" t="s">
        <v>12</v>
      </c>
      <c r="I2258" s="3">
        <v>1</v>
      </c>
      <c r="J2258" s="2" t="s">
        <v>14</v>
      </c>
      <c r="K2258" s="2" t="s">
        <v>14</v>
      </c>
      <c r="L2258" s="2" t="s">
        <v>14</v>
      </c>
      <c r="M2258" s="3" t="s">
        <v>13</v>
      </c>
      <c r="N2258" s="3" t="s">
        <v>13</v>
      </c>
      <c r="O2258" s="3">
        <v>1</v>
      </c>
    </row>
    <row r="2259" spans="1:15" ht="15" customHeight="1" x14ac:dyDescent="0.25">
      <c r="A2259" s="2">
        <v>5</v>
      </c>
      <c r="B2259" s="2" t="s">
        <v>18</v>
      </c>
      <c r="C2259" s="2" t="s">
        <v>11</v>
      </c>
      <c r="D2259" s="2" t="s">
        <v>11</v>
      </c>
      <c r="E2259" s="2">
        <v>1</v>
      </c>
      <c r="F2259" s="2">
        <v>1</v>
      </c>
      <c r="G2259" s="2" t="s">
        <v>17</v>
      </c>
      <c r="H2259" s="2" t="s">
        <v>106</v>
      </c>
      <c r="I2259" s="2">
        <v>1</v>
      </c>
      <c r="J2259" s="2" t="s">
        <v>14</v>
      </c>
      <c r="K2259" s="2" t="s">
        <v>13</v>
      </c>
      <c r="L2259" s="2" t="s">
        <v>13</v>
      </c>
      <c r="M2259" s="2" t="s">
        <v>13</v>
      </c>
      <c r="N2259" s="2" t="s">
        <v>14</v>
      </c>
      <c r="O2259" s="2">
        <v>0</v>
      </c>
    </row>
    <row r="2260" spans="1:15" ht="15" customHeight="1" x14ac:dyDescent="0.25">
      <c r="A2260" s="3">
        <v>10</v>
      </c>
      <c r="B2260" s="3" t="s">
        <v>14</v>
      </c>
      <c r="C2260" s="3" t="s">
        <v>19</v>
      </c>
      <c r="D2260" s="3" t="s">
        <v>19</v>
      </c>
      <c r="E2260" s="3">
        <v>0</v>
      </c>
      <c r="F2260" s="3">
        <v>0</v>
      </c>
      <c r="G2260" s="3" t="s">
        <v>17</v>
      </c>
      <c r="H2260" s="3" t="s">
        <v>106</v>
      </c>
      <c r="I2260" s="3">
        <v>1</v>
      </c>
      <c r="J2260" s="2" t="s">
        <v>14</v>
      </c>
      <c r="K2260" s="3" t="s">
        <v>13</v>
      </c>
      <c r="L2260" s="3" t="s">
        <v>13</v>
      </c>
      <c r="M2260" s="3" t="s">
        <v>14</v>
      </c>
      <c r="N2260" s="2" t="s">
        <v>14</v>
      </c>
      <c r="O2260" s="3">
        <v>1</v>
      </c>
    </row>
    <row r="2261" spans="1:15" ht="15" customHeight="1" x14ac:dyDescent="0.25">
      <c r="A2261" s="2">
        <v>10</v>
      </c>
      <c r="B2261" s="2" t="s">
        <v>18</v>
      </c>
      <c r="C2261" s="2" t="s">
        <v>19</v>
      </c>
      <c r="D2261" s="2" t="s">
        <v>19</v>
      </c>
      <c r="E2261" s="2">
        <v>0</v>
      </c>
      <c r="F2261" s="2">
        <v>0</v>
      </c>
      <c r="G2261" s="2" t="s">
        <v>10</v>
      </c>
      <c r="H2261" s="2" t="s">
        <v>12</v>
      </c>
      <c r="I2261" s="2" t="s">
        <v>15</v>
      </c>
      <c r="J2261" s="2" t="s">
        <v>14</v>
      </c>
      <c r="K2261" s="2" t="s">
        <v>14</v>
      </c>
      <c r="L2261" s="2" t="s">
        <v>14</v>
      </c>
      <c r="M2261" s="2" t="s">
        <v>14</v>
      </c>
      <c r="N2261" s="2" t="s">
        <v>14</v>
      </c>
      <c r="O2261" s="2">
        <v>1</v>
      </c>
    </row>
    <row r="2262" spans="1:15" ht="15" customHeight="1" x14ac:dyDescent="0.25">
      <c r="A2262" s="3">
        <v>20</v>
      </c>
      <c r="B2262" s="3" t="s">
        <v>14</v>
      </c>
      <c r="C2262" s="3" t="s">
        <v>19</v>
      </c>
      <c r="D2262" s="3" t="s">
        <v>19</v>
      </c>
      <c r="E2262" s="3">
        <v>0</v>
      </c>
      <c r="F2262" s="3">
        <v>0</v>
      </c>
      <c r="G2262" s="3" t="s">
        <v>10</v>
      </c>
      <c r="H2262" s="3" t="s">
        <v>12</v>
      </c>
      <c r="I2262" s="3">
        <v>2</v>
      </c>
      <c r="J2262" s="2" t="s">
        <v>14</v>
      </c>
      <c r="K2262" s="2" t="s">
        <v>14</v>
      </c>
      <c r="L2262" s="2" t="s">
        <v>14</v>
      </c>
      <c r="M2262" s="2" t="s">
        <v>14</v>
      </c>
      <c r="N2262" s="2" t="s">
        <v>14</v>
      </c>
      <c r="O2262" s="3">
        <v>1</v>
      </c>
    </row>
    <row r="2263" spans="1:15" ht="15" customHeight="1" x14ac:dyDescent="0.25">
      <c r="A2263" s="2">
        <v>20</v>
      </c>
      <c r="B2263" s="2" t="s">
        <v>10</v>
      </c>
      <c r="C2263" s="2" t="s">
        <v>11</v>
      </c>
      <c r="D2263" s="2" t="s">
        <v>19</v>
      </c>
      <c r="E2263" s="2">
        <v>0</v>
      </c>
      <c r="F2263" s="2">
        <v>0</v>
      </c>
      <c r="G2263" s="2" t="s">
        <v>10</v>
      </c>
      <c r="H2263" s="2" t="s">
        <v>12</v>
      </c>
      <c r="I2263" s="2">
        <v>2</v>
      </c>
      <c r="J2263" s="2" t="s">
        <v>14</v>
      </c>
      <c r="K2263" s="2" t="s">
        <v>14</v>
      </c>
      <c r="L2263" s="2" t="s">
        <v>14</v>
      </c>
      <c r="M2263" s="2" t="s">
        <v>14</v>
      </c>
      <c r="N2263" s="2" t="s">
        <v>14</v>
      </c>
      <c r="O2263" s="2">
        <v>1</v>
      </c>
    </row>
    <row r="2264" spans="1:15" ht="15" customHeight="1" x14ac:dyDescent="0.25">
      <c r="A2264" s="3">
        <v>5</v>
      </c>
      <c r="B2264" s="3" t="s">
        <v>10</v>
      </c>
      <c r="C2264" s="3" t="s">
        <v>11</v>
      </c>
      <c r="D2264" s="3" t="s">
        <v>11</v>
      </c>
      <c r="E2264" s="3">
        <v>0</v>
      </c>
      <c r="F2264" s="3">
        <v>1</v>
      </c>
      <c r="G2264" s="3" t="s">
        <v>10</v>
      </c>
      <c r="H2264" s="3" t="s">
        <v>12</v>
      </c>
      <c r="I2264" s="3" t="s">
        <v>15</v>
      </c>
      <c r="J2264" s="3" t="s">
        <v>13</v>
      </c>
      <c r="K2264" s="2" t="s">
        <v>14</v>
      </c>
      <c r="L2264" s="2" t="s">
        <v>14</v>
      </c>
      <c r="M2264" s="2" t="s">
        <v>14</v>
      </c>
      <c r="N2264" s="2" t="s">
        <v>14</v>
      </c>
      <c r="O2264" s="3">
        <v>1</v>
      </c>
    </row>
    <row r="2265" spans="1:15" ht="15" customHeight="1" x14ac:dyDescent="0.25">
      <c r="A2265" s="2">
        <v>0</v>
      </c>
      <c r="B2265" s="2" t="s">
        <v>14</v>
      </c>
      <c r="C2265" s="2" t="s">
        <v>11</v>
      </c>
      <c r="D2265" s="2" t="s">
        <v>11</v>
      </c>
      <c r="E2265" s="2">
        <v>0</v>
      </c>
      <c r="F2265" s="2">
        <v>0</v>
      </c>
      <c r="G2265" s="2" t="s">
        <v>10</v>
      </c>
      <c r="H2265" s="2" t="s">
        <v>12</v>
      </c>
      <c r="I2265" s="2">
        <v>2</v>
      </c>
      <c r="J2265" s="2" t="s">
        <v>14</v>
      </c>
      <c r="K2265" s="2" t="s">
        <v>14</v>
      </c>
      <c r="L2265" s="2" t="s">
        <v>14</v>
      </c>
      <c r="M2265" s="2" t="s">
        <v>14</v>
      </c>
      <c r="N2265" s="2" t="s">
        <v>14</v>
      </c>
      <c r="O2265" s="2">
        <v>1</v>
      </c>
    </row>
    <row r="2266" spans="1:15" ht="15" customHeight="1" x14ac:dyDescent="0.25">
      <c r="A2266" s="3">
        <v>20</v>
      </c>
      <c r="B2266" s="3" t="s">
        <v>10</v>
      </c>
      <c r="C2266" s="3" t="s">
        <v>11</v>
      </c>
      <c r="D2266" s="3" t="s">
        <v>11</v>
      </c>
      <c r="E2266" s="3">
        <v>0</v>
      </c>
      <c r="F2266" s="3">
        <v>1</v>
      </c>
      <c r="G2266" s="3" t="s">
        <v>10</v>
      </c>
      <c r="H2266" s="3" t="s">
        <v>12</v>
      </c>
      <c r="I2266" s="3" t="s">
        <v>15</v>
      </c>
      <c r="J2266" s="2" t="s">
        <v>14</v>
      </c>
      <c r="K2266" s="2" t="s">
        <v>14</v>
      </c>
      <c r="L2266" s="2" t="s">
        <v>14</v>
      </c>
      <c r="M2266" s="3" t="s">
        <v>13</v>
      </c>
      <c r="N2266" s="3" t="s">
        <v>13</v>
      </c>
      <c r="O2266" s="3">
        <v>0</v>
      </c>
    </row>
    <row r="2267" spans="1:15" ht="15" customHeight="1" x14ac:dyDescent="0.25">
      <c r="A2267" s="2">
        <v>20</v>
      </c>
      <c r="B2267" s="2" t="s">
        <v>10</v>
      </c>
      <c r="C2267" s="2" t="s">
        <v>11</v>
      </c>
      <c r="D2267" s="2" t="s">
        <v>11</v>
      </c>
      <c r="E2267" s="2">
        <v>1</v>
      </c>
      <c r="F2267" s="2">
        <v>0</v>
      </c>
      <c r="G2267" s="2" t="s">
        <v>10</v>
      </c>
      <c r="H2267" s="2" t="s">
        <v>12</v>
      </c>
      <c r="I2267" s="2" t="s">
        <v>15</v>
      </c>
      <c r="J2267" s="2" t="s">
        <v>14</v>
      </c>
      <c r="K2267" s="2" t="s">
        <v>14</v>
      </c>
      <c r="L2267" s="2" t="s">
        <v>14</v>
      </c>
      <c r="M2267" s="2" t="s">
        <v>13</v>
      </c>
      <c r="N2267" s="2" t="s">
        <v>13</v>
      </c>
      <c r="O2267" s="2">
        <v>0</v>
      </c>
    </row>
    <row r="2268" spans="1:15" ht="15" customHeight="1" x14ac:dyDescent="0.25">
      <c r="A2268" s="3">
        <v>10</v>
      </c>
      <c r="B2268" s="3" t="s">
        <v>10</v>
      </c>
      <c r="C2268" s="3" t="s">
        <v>19</v>
      </c>
      <c r="D2268" s="3" t="s">
        <v>19</v>
      </c>
      <c r="E2268" s="3">
        <v>0</v>
      </c>
      <c r="F2268" s="3">
        <v>1</v>
      </c>
      <c r="G2268" s="3" t="s">
        <v>10</v>
      </c>
      <c r="H2268" s="3" t="s">
        <v>12</v>
      </c>
      <c r="I2268" s="3">
        <v>1</v>
      </c>
      <c r="J2268" s="2" t="s">
        <v>14</v>
      </c>
      <c r="K2268" s="2" t="s">
        <v>14</v>
      </c>
      <c r="L2268" s="2" t="s">
        <v>14</v>
      </c>
      <c r="M2268" s="3" t="s">
        <v>13</v>
      </c>
      <c r="N2268" s="2" t="s">
        <v>14</v>
      </c>
      <c r="O2268" s="3">
        <v>1</v>
      </c>
    </row>
    <row r="2269" spans="1:15" ht="15" customHeight="1" x14ac:dyDescent="0.25">
      <c r="A2269" s="2">
        <v>10</v>
      </c>
      <c r="B2269" s="2" t="s">
        <v>10</v>
      </c>
      <c r="C2269" s="2" t="s">
        <v>19</v>
      </c>
      <c r="D2269" s="2" t="s">
        <v>19</v>
      </c>
      <c r="E2269" s="2">
        <v>0</v>
      </c>
      <c r="F2269" s="2">
        <v>0</v>
      </c>
      <c r="G2269" s="2" t="s">
        <v>10</v>
      </c>
      <c r="H2269" s="2" t="s">
        <v>12</v>
      </c>
      <c r="I2269" s="2">
        <v>2</v>
      </c>
      <c r="J2269" s="2" t="s">
        <v>14</v>
      </c>
      <c r="K2269" s="2" t="s">
        <v>13</v>
      </c>
      <c r="L2269" s="2" t="s">
        <v>13</v>
      </c>
      <c r="M2269" s="2" t="s">
        <v>13</v>
      </c>
      <c r="N2269" s="2" t="s">
        <v>14</v>
      </c>
      <c r="O2269" s="2">
        <v>1</v>
      </c>
    </row>
    <row r="2270" spans="1:15" ht="15" customHeight="1" x14ac:dyDescent="0.25">
      <c r="A2270" s="3">
        <v>10</v>
      </c>
      <c r="B2270" s="3" t="s">
        <v>10</v>
      </c>
      <c r="C2270" s="3" t="s">
        <v>19</v>
      </c>
      <c r="D2270" s="3" t="s">
        <v>19</v>
      </c>
      <c r="E2270" s="3">
        <v>0</v>
      </c>
      <c r="F2270" s="3">
        <v>0</v>
      </c>
      <c r="G2270" s="3" t="s">
        <v>10</v>
      </c>
      <c r="H2270" s="3" t="s">
        <v>12</v>
      </c>
      <c r="I2270" s="3">
        <v>2</v>
      </c>
      <c r="J2270" s="2" t="s">
        <v>14</v>
      </c>
      <c r="K2270" s="2" t="s">
        <v>14</v>
      </c>
      <c r="L2270" s="2" t="s">
        <v>14</v>
      </c>
      <c r="M2270" s="2" t="s">
        <v>14</v>
      </c>
      <c r="N2270" s="2" t="s">
        <v>14</v>
      </c>
      <c r="O2270" s="3">
        <v>1</v>
      </c>
    </row>
    <row r="2271" spans="1:15" ht="15" customHeight="1" x14ac:dyDescent="0.25">
      <c r="A2271" s="2">
        <v>5</v>
      </c>
      <c r="B2271" s="2" t="s">
        <v>10</v>
      </c>
      <c r="C2271" s="2" t="s">
        <v>19</v>
      </c>
      <c r="D2271" s="2" t="s">
        <v>19</v>
      </c>
      <c r="E2271" s="2">
        <v>0</v>
      </c>
      <c r="F2271" s="2">
        <v>0</v>
      </c>
      <c r="G2271" s="2" t="s">
        <v>10</v>
      </c>
      <c r="H2271" s="2" t="s">
        <v>12</v>
      </c>
      <c r="I2271" s="2">
        <v>2</v>
      </c>
      <c r="J2271" s="2" t="s">
        <v>14</v>
      </c>
      <c r="K2271" s="2" t="s">
        <v>14</v>
      </c>
      <c r="L2271" s="2" t="s">
        <v>14</v>
      </c>
      <c r="M2271" s="2" t="s">
        <v>14</v>
      </c>
      <c r="N2271" s="2" t="s">
        <v>14</v>
      </c>
      <c r="O2271" s="2">
        <v>1</v>
      </c>
    </row>
    <row r="2272" spans="1:15" ht="15" customHeight="1" x14ac:dyDescent="0.25">
      <c r="A2272" s="3">
        <v>5</v>
      </c>
      <c r="B2272" s="3" t="s">
        <v>18</v>
      </c>
      <c r="C2272" s="3" t="s">
        <v>19</v>
      </c>
      <c r="D2272" s="3" t="s">
        <v>19</v>
      </c>
      <c r="E2272" s="3">
        <v>0</v>
      </c>
      <c r="F2272" s="3">
        <v>0</v>
      </c>
      <c r="G2272" s="3" t="s">
        <v>10</v>
      </c>
      <c r="H2272" s="3" t="s">
        <v>12</v>
      </c>
      <c r="I2272" s="3">
        <v>2</v>
      </c>
      <c r="J2272" s="2" t="s">
        <v>14</v>
      </c>
      <c r="K2272" s="2" t="s">
        <v>14</v>
      </c>
      <c r="L2272" s="2" t="s">
        <v>14</v>
      </c>
      <c r="M2272" s="2" t="s">
        <v>14</v>
      </c>
      <c r="N2272" s="2" t="s">
        <v>14</v>
      </c>
      <c r="O2272" s="3">
        <v>1</v>
      </c>
    </row>
    <row r="2273" spans="1:15" ht="15" customHeight="1" x14ac:dyDescent="0.25">
      <c r="A2273" s="2">
        <v>10</v>
      </c>
      <c r="B2273" s="2" t="s">
        <v>10</v>
      </c>
      <c r="C2273" s="2" t="s">
        <v>19</v>
      </c>
      <c r="D2273" s="2" t="s">
        <v>19</v>
      </c>
      <c r="E2273" s="2">
        <v>0</v>
      </c>
      <c r="F2273" s="2">
        <v>0</v>
      </c>
      <c r="G2273" s="2" t="s">
        <v>10</v>
      </c>
      <c r="H2273" s="2" t="s">
        <v>12</v>
      </c>
      <c r="I2273" s="2" t="s">
        <v>15</v>
      </c>
      <c r="J2273" s="2" t="s">
        <v>14</v>
      </c>
      <c r="K2273" s="2" t="s">
        <v>14</v>
      </c>
      <c r="L2273" s="2" t="s">
        <v>14</v>
      </c>
      <c r="M2273" s="2" t="s">
        <v>14</v>
      </c>
      <c r="N2273" s="2" t="s">
        <v>14</v>
      </c>
      <c r="O2273" s="2">
        <v>1</v>
      </c>
    </row>
    <row r="2274" spans="1:15" ht="15" customHeight="1" x14ac:dyDescent="0.25">
      <c r="A2274" s="3">
        <v>5</v>
      </c>
      <c r="B2274" s="3" t="s">
        <v>10</v>
      </c>
      <c r="C2274" s="3" t="s">
        <v>19</v>
      </c>
      <c r="D2274" s="3" t="s">
        <v>19</v>
      </c>
      <c r="E2274" s="3">
        <v>0</v>
      </c>
      <c r="F2274" s="3">
        <v>1</v>
      </c>
      <c r="G2274" s="3" t="s">
        <v>10</v>
      </c>
      <c r="H2274" s="3" t="s">
        <v>12</v>
      </c>
      <c r="I2274" s="3">
        <v>1</v>
      </c>
      <c r="J2274" s="2" t="s">
        <v>14</v>
      </c>
      <c r="K2274" s="2" t="s">
        <v>14</v>
      </c>
      <c r="L2274" s="2" t="s">
        <v>14</v>
      </c>
      <c r="M2274" s="2" t="s">
        <v>14</v>
      </c>
      <c r="N2274" s="2" t="s">
        <v>14</v>
      </c>
      <c r="O2274" s="3">
        <v>1</v>
      </c>
    </row>
    <row r="2275" spans="1:15" ht="15" customHeight="1" x14ac:dyDescent="0.25">
      <c r="A2275" s="2">
        <v>10</v>
      </c>
      <c r="B2275" s="2" t="s">
        <v>10</v>
      </c>
      <c r="C2275" s="2" t="s">
        <v>11</v>
      </c>
      <c r="D2275" s="2" t="s">
        <v>19</v>
      </c>
      <c r="E2275" s="2">
        <v>1</v>
      </c>
      <c r="F2275" s="2">
        <v>0</v>
      </c>
      <c r="G2275" s="2" t="s">
        <v>10</v>
      </c>
      <c r="H2275" s="2" t="s">
        <v>16</v>
      </c>
      <c r="I2275" s="2">
        <v>2</v>
      </c>
      <c r="J2275" s="2" t="s">
        <v>13</v>
      </c>
      <c r="K2275" s="2" t="s">
        <v>14</v>
      </c>
      <c r="L2275" s="2" t="s">
        <v>14</v>
      </c>
      <c r="M2275" s="2" t="s">
        <v>14</v>
      </c>
      <c r="N2275" s="2" t="s">
        <v>14</v>
      </c>
      <c r="O2275" s="2">
        <v>0</v>
      </c>
    </row>
    <row r="2276" spans="1:15" ht="15" customHeight="1" x14ac:dyDescent="0.25">
      <c r="A2276" s="3">
        <v>5</v>
      </c>
      <c r="B2276" s="3" t="s">
        <v>18</v>
      </c>
      <c r="C2276" s="3" t="s">
        <v>20</v>
      </c>
      <c r="D2276" s="3" t="s">
        <v>20</v>
      </c>
      <c r="E2276" s="3">
        <v>0</v>
      </c>
      <c r="F2276" s="3">
        <v>0</v>
      </c>
      <c r="G2276" s="3" t="s">
        <v>10</v>
      </c>
      <c r="H2276" s="3" t="s">
        <v>12</v>
      </c>
      <c r="I2276" s="3" t="s">
        <v>15</v>
      </c>
      <c r="J2276" s="2" t="s">
        <v>14</v>
      </c>
      <c r="K2276" s="2" t="s">
        <v>14</v>
      </c>
      <c r="L2276" s="2" t="s">
        <v>14</v>
      </c>
      <c r="M2276" s="2" t="s">
        <v>14</v>
      </c>
      <c r="N2276" s="2" t="s">
        <v>14</v>
      </c>
      <c r="O2276" s="3">
        <v>1</v>
      </c>
    </row>
    <row r="2277" spans="1:15" ht="15" customHeight="1" x14ac:dyDescent="0.25">
      <c r="A2277" s="2">
        <v>10</v>
      </c>
      <c r="B2277" s="2" t="s">
        <v>10</v>
      </c>
      <c r="C2277" s="2" t="s">
        <v>19</v>
      </c>
      <c r="D2277" s="2" t="s">
        <v>19</v>
      </c>
      <c r="E2277" s="2">
        <v>0</v>
      </c>
      <c r="F2277" s="2">
        <v>0</v>
      </c>
      <c r="G2277" s="2" t="s">
        <v>17</v>
      </c>
      <c r="H2277" s="2" t="s">
        <v>106</v>
      </c>
      <c r="I2277" s="2">
        <v>1</v>
      </c>
      <c r="J2277" s="2" t="s">
        <v>14</v>
      </c>
      <c r="K2277" s="2" t="s">
        <v>13</v>
      </c>
      <c r="L2277" s="2" t="s">
        <v>13</v>
      </c>
      <c r="M2277" s="2" t="s">
        <v>13</v>
      </c>
      <c r="N2277" s="2" t="s">
        <v>14</v>
      </c>
      <c r="O2277" s="2">
        <v>1</v>
      </c>
    </row>
    <row r="2278" spans="1:15" ht="15" customHeight="1" x14ac:dyDescent="0.25">
      <c r="A2278" s="3">
        <v>5</v>
      </c>
      <c r="B2278" s="3" t="s">
        <v>10</v>
      </c>
      <c r="C2278" s="3" t="s">
        <v>11</v>
      </c>
      <c r="D2278" s="3" t="s">
        <v>19</v>
      </c>
      <c r="E2278" s="3">
        <v>0</v>
      </c>
      <c r="F2278" s="3">
        <v>0</v>
      </c>
      <c r="G2278" s="3" t="s">
        <v>10</v>
      </c>
      <c r="H2278" s="3" t="s">
        <v>12</v>
      </c>
      <c r="I2278" s="3">
        <v>2</v>
      </c>
      <c r="J2278" s="2" t="s">
        <v>14</v>
      </c>
      <c r="K2278" s="3" t="s">
        <v>13</v>
      </c>
      <c r="L2278" s="3" t="s">
        <v>13</v>
      </c>
      <c r="M2278" s="3" t="s">
        <v>13</v>
      </c>
      <c r="N2278" s="2" t="s">
        <v>14</v>
      </c>
      <c r="O2278" s="3">
        <v>1</v>
      </c>
    </row>
    <row r="2279" spans="1:15" ht="15" customHeight="1" x14ac:dyDescent="0.25">
      <c r="A2279" s="2">
        <v>0</v>
      </c>
      <c r="B2279" s="2" t="s">
        <v>10</v>
      </c>
      <c r="C2279" s="2" t="s">
        <v>11</v>
      </c>
      <c r="D2279" s="2" t="s">
        <v>11</v>
      </c>
      <c r="E2279" s="2">
        <v>0</v>
      </c>
      <c r="F2279" s="2">
        <v>1</v>
      </c>
      <c r="G2279" s="2" t="s">
        <v>17</v>
      </c>
      <c r="H2279" s="2" t="s">
        <v>106</v>
      </c>
      <c r="I2279" s="2">
        <v>1</v>
      </c>
      <c r="J2279" s="2" t="s">
        <v>14</v>
      </c>
      <c r="K2279" s="2" t="s">
        <v>13</v>
      </c>
      <c r="L2279" s="2" t="s">
        <v>13</v>
      </c>
      <c r="M2279" s="2" t="s">
        <v>14</v>
      </c>
      <c r="N2279" s="2" t="s">
        <v>14</v>
      </c>
      <c r="O2279" s="2">
        <v>0</v>
      </c>
    </row>
    <row r="2280" spans="1:15" ht="15" customHeight="1" x14ac:dyDescent="0.25">
      <c r="A2280" s="3">
        <v>5</v>
      </c>
      <c r="B2280" s="3" t="s">
        <v>10</v>
      </c>
      <c r="C2280" s="3" t="s">
        <v>19</v>
      </c>
      <c r="D2280" s="3" t="s">
        <v>19</v>
      </c>
      <c r="E2280" s="3">
        <v>0</v>
      </c>
      <c r="F2280" s="3">
        <v>1</v>
      </c>
      <c r="G2280" s="3" t="s">
        <v>10</v>
      </c>
      <c r="H2280" s="3" t="s">
        <v>16</v>
      </c>
      <c r="I2280" s="3">
        <v>1</v>
      </c>
      <c r="J2280" s="2" t="s">
        <v>14</v>
      </c>
      <c r="K2280" s="3" t="s">
        <v>13</v>
      </c>
      <c r="L2280" s="3" t="s">
        <v>13</v>
      </c>
      <c r="M2280" s="3" t="s">
        <v>14</v>
      </c>
      <c r="N2280" s="2" t="s">
        <v>14</v>
      </c>
      <c r="O2280" s="3">
        <v>1</v>
      </c>
    </row>
    <row r="2281" spans="1:15" ht="15" customHeight="1" x14ac:dyDescent="0.25">
      <c r="A2281" s="2">
        <v>10</v>
      </c>
      <c r="B2281" s="2" t="s">
        <v>14</v>
      </c>
      <c r="C2281" s="2" t="s">
        <v>19</v>
      </c>
      <c r="D2281" s="2" t="s">
        <v>19</v>
      </c>
      <c r="E2281" s="2">
        <v>1</v>
      </c>
      <c r="F2281" s="2">
        <v>0</v>
      </c>
      <c r="G2281" s="2" t="s">
        <v>10</v>
      </c>
      <c r="H2281" s="2" t="s">
        <v>12</v>
      </c>
      <c r="I2281" s="2" t="s">
        <v>15</v>
      </c>
      <c r="J2281" s="2" t="s">
        <v>14</v>
      </c>
      <c r="K2281" s="2" t="s">
        <v>14</v>
      </c>
      <c r="L2281" s="2" t="s">
        <v>14</v>
      </c>
      <c r="M2281" s="2" t="s">
        <v>14</v>
      </c>
      <c r="N2281" s="2" t="s">
        <v>14</v>
      </c>
      <c r="O2281" s="2">
        <v>0</v>
      </c>
    </row>
    <row r="2282" spans="1:15" ht="15" customHeight="1" x14ac:dyDescent="0.25">
      <c r="A2282" s="3">
        <v>10</v>
      </c>
      <c r="B2282" s="3" t="s">
        <v>10</v>
      </c>
      <c r="C2282" s="3" t="s">
        <v>19</v>
      </c>
      <c r="D2282" s="3" t="s">
        <v>19</v>
      </c>
      <c r="E2282" s="3">
        <v>0</v>
      </c>
      <c r="F2282" s="3">
        <v>1</v>
      </c>
      <c r="G2282" s="3" t="s">
        <v>10</v>
      </c>
      <c r="H2282" s="3" t="s">
        <v>12</v>
      </c>
      <c r="I2282" s="3">
        <v>1</v>
      </c>
      <c r="J2282" s="2" t="s">
        <v>14</v>
      </c>
      <c r="K2282" s="2" t="s">
        <v>14</v>
      </c>
      <c r="L2282" s="2" t="s">
        <v>14</v>
      </c>
      <c r="M2282" s="3" t="s">
        <v>13</v>
      </c>
      <c r="N2282" s="2" t="s">
        <v>14</v>
      </c>
      <c r="O2282" s="3">
        <v>1</v>
      </c>
    </row>
    <row r="2283" spans="1:15" ht="15" customHeight="1" x14ac:dyDescent="0.25">
      <c r="A2283" s="2">
        <v>5</v>
      </c>
      <c r="B2283" s="2" t="s">
        <v>10</v>
      </c>
      <c r="C2283" s="2" t="s">
        <v>11</v>
      </c>
      <c r="D2283" s="2" t="s">
        <v>19</v>
      </c>
      <c r="E2283" s="2">
        <v>0</v>
      </c>
      <c r="F2283" s="2">
        <v>0</v>
      </c>
      <c r="G2283" s="2" t="s">
        <v>10</v>
      </c>
      <c r="H2283" s="2" t="s">
        <v>12</v>
      </c>
      <c r="I2283" s="2" t="s">
        <v>15</v>
      </c>
      <c r="J2283" s="2" t="s">
        <v>14</v>
      </c>
      <c r="K2283" s="2" t="s">
        <v>13</v>
      </c>
      <c r="L2283" s="2" t="s">
        <v>14</v>
      </c>
      <c r="M2283" s="2" t="s">
        <v>14</v>
      </c>
      <c r="N2283" s="2" t="s">
        <v>14</v>
      </c>
      <c r="O2283" s="2">
        <v>1</v>
      </c>
    </row>
    <row r="2284" spans="1:15" ht="15" customHeight="1" x14ac:dyDescent="0.25">
      <c r="A2284" s="3">
        <v>5</v>
      </c>
      <c r="B2284" s="3" t="s">
        <v>18</v>
      </c>
      <c r="C2284" s="3" t="s">
        <v>11</v>
      </c>
      <c r="D2284" s="3" t="s">
        <v>11</v>
      </c>
      <c r="E2284" s="3">
        <v>0</v>
      </c>
      <c r="F2284" s="3">
        <v>0</v>
      </c>
      <c r="G2284" s="3" t="s">
        <v>10</v>
      </c>
      <c r="H2284" s="3" t="s">
        <v>12</v>
      </c>
      <c r="I2284" s="3">
        <v>2</v>
      </c>
      <c r="J2284" s="2" t="s">
        <v>14</v>
      </c>
      <c r="K2284" s="2" t="s">
        <v>14</v>
      </c>
      <c r="L2284" s="2" t="s">
        <v>14</v>
      </c>
      <c r="M2284" s="2" t="s">
        <v>14</v>
      </c>
      <c r="N2284" s="2" t="s">
        <v>14</v>
      </c>
      <c r="O2284" s="3">
        <v>1</v>
      </c>
    </row>
    <row r="2285" spans="1:15" ht="15" customHeight="1" x14ac:dyDescent="0.25">
      <c r="A2285" s="2">
        <v>5</v>
      </c>
      <c r="B2285" s="2" t="s">
        <v>18</v>
      </c>
      <c r="C2285" s="2" t="s">
        <v>19</v>
      </c>
      <c r="D2285" s="2" t="s">
        <v>11</v>
      </c>
      <c r="E2285" s="2">
        <v>0</v>
      </c>
      <c r="F2285" s="2">
        <v>0</v>
      </c>
      <c r="G2285" s="2" t="s">
        <v>10</v>
      </c>
      <c r="H2285" s="2" t="s">
        <v>12</v>
      </c>
      <c r="I2285" s="2" t="s">
        <v>15</v>
      </c>
      <c r="J2285" s="2" t="s">
        <v>14</v>
      </c>
      <c r="K2285" s="2" t="s">
        <v>14</v>
      </c>
      <c r="L2285" s="2" t="s">
        <v>14</v>
      </c>
      <c r="M2285" s="2" t="s">
        <v>14</v>
      </c>
      <c r="N2285" s="2" t="s">
        <v>14</v>
      </c>
      <c r="O2285" s="2">
        <v>1</v>
      </c>
    </row>
    <row r="2286" spans="1:15" ht="15" customHeight="1" x14ac:dyDescent="0.25">
      <c r="A2286" s="3">
        <v>20</v>
      </c>
      <c r="B2286" s="3" t="s">
        <v>10</v>
      </c>
      <c r="C2286" s="3" t="s">
        <v>11</v>
      </c>
      <c r="D2286" s="3" t="s">
        <v>19</v>
      </c>
      <c r="E2286" s="3">
        <v>2</v>
      </c>
      <c r="F2286" s="3">
        <v>0</v>
      </c>
      <c r="G2286" s="3" t="s">
        <v>10</v>
      </c>
      <c r="H2286" s="3" t="s">
        <v>16</v>
      </c>
      <c r="I2286" s="3" t="s">
        <v>15</v>
      </c>
      <c r="J2286" s="2" t="s">
        <v>14</v>
      </c>
      <c r="K2286" s="2" t="s">
        <v>14</v>
      </c>
      <c r="L2286" s="2" t="s">
        <v>14</v>
      </c>
      <c r="M2286" s="3" t="s">
        <v>13</v>
      </c>
      <c r="N2286" s="3" t="s">
        <v>13</v>
      </c>
      <c r="O2286" s="3">
        <v>0</v>
      </c>
    </row>
    <row r="2287" spans="1:15" ht="15" customHeight="1" x14ac:dyDescent="0.25">
      <c r="A2287" s="2">
        <v>5</v>
      </c>
      <c r="B2287" s="2" t="s">
        <v>10</v>
      </c>
      <c r="C2287" s="2" t="s">
        <v>20</v>
      </c>
      <c r="D2287" s="2" t="s">
        <v>20</v>
      </c>
      <c r="E2287" s="2">
        <v>0</v>
      </c>
      <c r="F2287" s="2">
        <v>0</v>
      </c>
      <c r="G2287" s="2" t="s">
        <v>17</v>
      </c>
      <c r="H2287" s="2" t="s">
        <v>106</v>
      </c>
      <c r="I2287" s="2">
        <v>1</v>
      </c>
      <c r="J2287" s="2" t="s">
        <v>14</v>
      </c>
      <c r="K2287" s="2" t="s">
        <v>13</v>
      </c>
      <c r="L2287" s="2" t="s">
        <v>13</v>
      </c>
      <c r="M2287" s="2" t="s">
        <v>13</v>
      </c>
      <c r="N2287" s="2" t="s">
        <v>14</v>
      </c>
      <c r="O2287" s="2">
        <v>0</v>
      </c>
    </row>
    <row r="2288" spans="1:15" ht="15" customHeight="1" x14ac:dyDescent="0.25">
      <c r="A2288" s="3">
        <v>5</v>
      </c>
      <c r="B2288" s="3" t="s">
        <v>18</v>
      </c>
      <c r="C2288" s="3" t="s">
        <v>19</v>
      </c>
      <c r="D2288" s="3" t="s">
        <v>19</v>
      </c>
      <c r="E2288" s="3">
        <v>0</v>
      </c>
      <c r="F2288" s="3">
        <v>0</v>
      </c>
      <c r="G2288" s="3" t="s">
        <v>10</v>
      </c>
      <c r="H2288" s="3" t="s">
        <v>12</v>
      </c>
      <c r="I2288" s="3">
        <v>1</v>
      </c>
      <c r="J2288" s="2" t="s">
        <v>14</v>
      </c>
      <c r="K2288" s="3" t="s">
        <v>13</v>
      </c>
      <c r="L2288" s="3" t="s">
        <v>13</v>
      </c>
      <c r="M2288" s="3" t="s">
        <v>14</v>
      </c>
      <c r="N2288" s="2" t="s">
        <v>14</v>
      </c>
      <c r="O2288" s="3">
        <v>0</v>
      </c>
    </row>
    <row r="2289" spans="1:15" ht="15" customHeight="1" x14ac:dyDescent="0.25">
      <c r="A2289" s="2">
        <v>0</v>
      </c>
      <c r="B2289" s="2" t="s">
        <v>14</v>
      </c>
      <c r="C2289" s="2" t="s">
        <v>19</v>
      </c>
      <c r="D2289" s="2" t="s">
        <v>19</v>
      </c>
      <c r="E2289" s="2">
        <v>0</v>
      </c>
      <c r="F2289" s="2">
        <v>0</v>
      </c>
      <c r="G2289" s="2" t="s">
        <v>10</v>
      </c>
      <c r="H2289" s="2" t="s">
        <v>16</v>
      </c>
      <c r="I2289" s="2" t="s">
        <v>15</v>
      </c>
      <c r="J2289" s="2" t="s">
        <v>14</v>
      </c>
      <c r="K2289" s="2" t="s">
        <v>14</v>
      </c>
      <c r="L2289" s="2" t="s">
        <v>14</v>
      </c>
      <c r="M2289" s="2" t="s">
        <v>14</v>
      </c>
      <c r="N2289" s="2" t="s">
        <v>14</v>
      </c>
      <c r="O2289" s="2">
        <v>1</v>
      </c>
    </row>
    <row r="2290" spans="1:15" ht="15" customHeight="1" x14ac:dyDescent="0.25">
      <c r="A2290" s="3">
        <v>0</v>
      </c>
      <c r="B2290" s="3" t="s">
        <v>10</v>
      </c>
      <c r="C2290" s="3" t="s">
        <v>19</v>
      </c>
      <c r="D2290" s="3" t="s">
        <v>19</v>
      </c>
      <c r="E2290" s="3">
        <v>0</v>
      </c>
      <c r="F2290" s="3">
        <v>0</v>
      </c>
      <c r="G2290" s="3" t="s">
        <v>10</v>
      </c>
      <c r="H2290" s="3" t="s">
        <v>12</v>
      </c>
      <c r="I2290" s="3" t="s">
        <v>15</v>
      </c>
      <c r="J2290" s="2" t="s">
        <v>14</v>
      </c>
      <c r="K2290" s="2" t="s">
        <v>14</v>
      </c>
      <c r="L2290" s="2" t="s">
        <v>14</v>
      </c>
      <c r="M2290" s="2" t="s">
        <v>14</v>
      </c>
      <c r="N2290" s="2" t="s">
        <v>14</v>
      </c>
      <c r="O2290" s="3">
        <v>1</v>
      </c>
    </row>
    <row r="2291" spans="1:15" ht="15" customHeight="1" x14ac:dyDescent="0.25">
      <c r="A2291" s="2">
        <v>10</v>
      </c>
      <c r="B2291" s="2" t="s">
        <v>18</v>
      </c>
      <c r="C2291" s="2" t="s">
        <v>19</v>
      </c>
      <c r="D2291" s="2" t="s">
        <v>19</v>
      </c>
      <c r="E2291" s="2">
        <v>0</v>
      </c>
      <c r="F2291" s="2">
        <v>0</v>
      </c>
      <c r="G2291" s="2" t="s">
        <v>10</v>
      </c>
      <c r="H2291" s="2" t="s">
        <v>12</v>
      </c>
      <c r="I2291" s="2" t="s">
        <v>15</v>
      </c>
      <c r="J2291" s="2" t="s">
        <v>14</v>
      </c>
      <c r="K2291" s="2" t="s">
        <v>14</v>
      </c>
      <c r="L2291" s="2" t="s">
        <v>14</v>
      </c>
      <c r="M2291" s="2" t="s">
        <v>14</v>
      </c>
      <c r="N2291" s="2" t="s">
        <v>14</v>
      </c>
      <c r="O2291" s="2">
        <v>1</v>
      </c>
    </row>
    <row r="2292" spans="1:15" ht="15" customHeight="1" x14ac:dyDescent="0.25">
      <c r="A2292" s="3">
        <v>10</v>
      </c>
      <c r="B2292" s="3" t="s">
        <v>14</v>
      </c>
      <c r="C2292" s="3" t="s">
        <v>19</v>
      </c>
      <c r="D2292" s="3" t="s">
        <v>19</v>
      </c>
      <c r="E2292" s="3">
        <v>0</v>
      </c>
      <c r="F2292" s="3">
        <v>0</v>
      </c>
      <c r="G2292" s="3" t="s">
        <v>10</v>
      </c>
      <c r="H2292" s="3" t="s">
        <v>12</v>
      </c>
      <c r="I2292" s="3">
        <v>2</v>
      </c>
      <c r="J2292" s="2" t="s">
        <v>14</v>
      </c>
      <c r="K2292" s="2" t="s">
        <v>14</v>
      </c>
      <c r="L2292" s="2" t="s">
        <v>14</v>
      </c>
      <c r="M2292" s="2" t="s">
        <v>14</v>
      </c>
      <c r="N2292" s="2" t="s">
        <v>14</v>
      </c>
      <c r="O2292" s="3">
        <v>1</v>
      </c>
    </row>
    <row r="2293" spans="1:15" ht="15" customHeight="1" x14ac:dyDescent="0.25">
      <c r="A2293" s="2">
        <v>5</v>
      </c>
      <c r="B2293" s="2" t="s">
        <v>10</v>
      </c>
      <c r="C2293" s="2" t="s">
        <v>19</v>
      </c>
      <c r="D2293" s="2" t="s">
        <v>19</v>
      </c>
      <c r="E2293" s="2">
        <v>0</v>
      </c>
      <c r="F2293" s="2">
        <v>0</v>
      </c>
      <c r="G2293" s="2" t="s">
        <v>10</v>
      </c>
      <c r="H2293" s="2" t="s">
        <v>12</v>
      </c>
      <c r="I2293" s="2">
        <v>2</v>
      </c>
      <c r="J2293" s="2" t="s">
        <v>14</v>
      </c>
      <c r="K2293" s="2" t="s">
        <v>14</v>
      </c>
      <c r="L2293" s="2" t="s">
        <v>14</v>
      </c>
      <c r="M2293" s="2" t="s">
        <v>14</v>
      </c>
      <c r="N2293" s="2" t="s">
        <v>14</v>
      </c>
      <c r="O2293" s="2">
        <v>1</v>
      </c>
    </row>
    <row r="2294" spans="1:15" ht="15" customHeight="1" x14ac:dyDescent="0.25">
      <c r="A2294" s="3">
        <v>0</v>
      </c>
      <c r="B2294" s="3" t="s">
        <v>18</v>
      </c>
      <c r="C2294" s="3" t="s">
        <v>19</v>
      </c>
      <c r="D2294" s="3" t="s">
        <v>19</v>
      </c>
      <c r="E2294" s="3">
        <v>0</v>
      </c>
      <c r="F2294" s="3">
        <v>0</v>
      </c>
      <c r="G2294" s="3" t="s">
        <v>10</v>
      </c>
      <c r="H2294" s="3" t="s">
        <v>12</v>
      </c>
      <c r="I2294" s="3" t="s">
        <v>15</v>
      </c>
      <c r="J2294" s="2" t="s">
        <v>14</v>
      </c>
      <c r="K2294" s="2" t="s">
        <v>14</v>
      </c>
      <c r="L2294" s="2" t="s">
        <v>14</v>
      </c>
      <c r="M2294" s="2" t="s">
        <v>14</v>
      </c>
      <c r="N2294" s="2" t="s">
        <v>14</v>
      </c>
      <c r="O2294" s="3">
        <v>1</v>
      </c>
    </row>
    <row r="2295" spans="1:15" ht="15" customHeight="1" x14ac:dyDescent="0.25">
      <c r="A2295" s="2">
        <v>5</v>
      </c>
      <c r="B2295" s="2" t="s">
        <v>10</v>
      </c>
      <c r="C2295" s="2" t="s">
        <v>19</v>
      </c>
      <c r="D2295" s="2" t="s">
        <v>19</v>
      </c>
      <c r="E2295" s="2">
        <v>0</v>
      </c>
      <c r="F2295" s="2">
        <v>0</v>
      </c>
      <c r="G2295" s="2" t="s">
        <v>10</v>
      </c>
      <c r="H2295" s="2" t="s">
        <v>12</v>
      </c>
      <c r="I2295" s="2">
        <v>2</v>
      </c>
      <c r="J2295" s="2" t="s">
        <v>14</v>
      </c>
      <c r="K2295" s="2" t="s">
        <v>14</v>
      </c>
      <c r="L2295" s="2" t="s">
        <v>14</v>
      </c>
      <c r="M2295" s="2" t="s">
        <v>14</v>
      </c>
      <c r="N2295" s="2" t="s">
        <v>14</v>
      </c>
      <c r="O2295" s="2">
        <v>1</v>
      </c>
    </row>
    <row r="2296" spans="1:15" ht="15" customHeight="1" x14ac:dyDescent="0.25">
      <c r="A2296" s="3">
        <v>5</v>
      </c>
      <c r="B2296" s="3" t="s">
        <v>18</v>
      </c>
      <c r="C2296" s="3" t="s">
        <v>19</v>
      </c>
      <c r="D2296" s="3" t="s">
        <v>19</v>
      </c>
      <c r="E2296" s="3">
        <v>0</v>
      </c>
      <c r="F2296" s="3">
        <v>0</v>
      </c>
      <c r="G2296" s="3" t="s">
        <v>10</v>
      </c>
      <c r="H2296" s="3" t="s">
        <v>12</v>
      </c>
      <c r="I2296" s="3">
        <v>1</v>
      </c>
      <c r="J2296" s="2" t="s">
        <v>14</v>
      </c>
      <c r="K2296" s="2" t="s">
        <v>14</v>
      </c>
      <c r="L2296" s="2" t="s">
        <v>14</v>
      </c>
      <c r="M2296" s="2" t="s">
        <v>14</v>
      </c>
      <c r="N2296" s="2" t="s">
        <v>14</v>
      </c>
      <c r="O2296" s="3">
        <v>1</v>
      </c>
    </row>
    <row r="2297" spans="1:15" ht="15" customHeight="1" x14ac:dyDescent="0.25">
      <c r="A2297" s="2">
        <v>10</v>
      </c>
      <c r="B2297" s="2" t="s">
        <v>10</v>
      </c>
      <c r="C2297" s="2" t="s">
        <v>19</v>
      </c>
      <c r="D2297" s="2" t="s">
        <v>19</v>
      </c>
      <c r="E2297" s="2">
        <v>0</v>
      </c>
      <c r="F2297" s="2">
        <v>0</v>
      </c>
      <c r="G2297" s="2" t="s">
        <v>10</v>
      </c>
      <c r="H2297" s="2" t="s">
        <v>12</v>
      </c>
      <c r="I2297" s="2">
        <v>2</v>
      </c>
      <c r="J2297" s="2" t="s">
        <v>14</v>
      </c>
      <c r="K2297" s="2" t="s">
        <v>14</v>
      </c>
      <c r="L2297" s="2" t="s">
        <v>14</v>
      </c>
      <c r="M2297" s="2" t="s">
        <v>14</v>
      </c>
      <c r="N2297" s="2" t="s">
        <v>14</v>
      </c>
      <c r="O2297" s="2">
        <v>1</v>
      </c>
    </row>
    <row r="2298" spans="1:15" ht="15" customHeight="1" x14ac:dyDescent="0.25">
      <c r="A2298" s="3">
        <v>0</v>
      </c>
      <c r="B2298" s="3" t="s">
        <v>14</v>
      </c>
      <c r="C2298" s="3" t="s">
        <v>19</v>
      </c>
      <c r="D2298" s="3" t="s">
        <v>19</v>
      </c>
      <c r="E2298" s="3">
        <v>0</v>
      </c>
      <c r="F2298" s="3">
        <v>0</v>
      </c>
      <c r="G2298" s="3" t="s">
        <v>10</v>
      </c>
      <c r="H2298" s="3" t="s">
        <v>12</v>
      </c>
      <c r="I2298" s="3" t="s">
        <v>15</v>
      </c>
      <c r="J2298" s="2" t="s">
        <v>14</v>
      </c>
      <c r="K2298" s="2" t="s">
        <v>14</v>
      </c>
      <c r="L2298" s="2" t="s">
        <v>14</v>
      </c>
      <c r="M2298" s="2" t="s">
        <v>14</v>
      </c>
      <c r="N2298" s="2" t="s">
        <v>14</v>
      </c>
      <c r="O2298" s="3">
        <v>1</v>
      </c>
    </row>
    <row r="2299" spans="1:15" ht="15" customHeight="1" x14ac:dyDescent="0.25">
      <c r="A2299" s="2">
        <v>0</v>
      </c>
      <c r="B2299" s="2" t="s">
        <v>10</v>
      </c>
      <c r="C2299" s="2" t="s">
        <v>20</v>
      </c>
      <c r="D2299" s="2" t="s">
        <v>20</v>
      </c>
      <c r="E2299" s="2">
        <v>0</v>
      </c>
      <c r="F2299" s="2">
        <v>0</v>
      </c>
      <c r="G2299" s="2" t="s">
        <v>10</v>
      </c>
      <c r="H2299" s="2" t="s">
        <v>12</v>
      </c>
      <c r="I2299" s="2">
        <v>1</v>
      </c>
      <c r="J2299" s="2" t="s">
        <v>14</v>
      </c>
      <c r="K2299" s="2" t="s">
        <v>14</v>
      </c>
      <c r="L2299" s="2" t="s">
        <v>14</v>
      </c>
      <c r="M2299" s="2" t="s">
        <v>14</v>
      </c>
      <c r="N2299" s="2" t="s">
        <v>14</v>
      </c>
      <c r="O2299" s="2">
        <v>1</v>
      </c>
    </row>
    <row r="2300" spans="1:15" ht="15" customHeight="1" x14ac:dyDescent="0.25">
      <c r="A2300" s="3">
        <v>10</v>
      </c>
      <c r="B2300" s="3" t="s">
        <v>14</v>
      </c>
      <c r="C2300" s="3" t="s">
        <v>19</v>
      </c>
      <c r="D2300" s="3" t="s">
        <v>19</v>
      </c>
      <c r="E2300" s="3">
        <v>0</v>
      </c>
      <c r="F2300" s="3">
        <v>0</v>
      </c>
      <c r="G2300" s="3" t="s">
        <v>10</v>
      </c>
      <c r="H2300" s="3" t="s">
        <v>16</v>
      </c>
      <c r="I2300" s="3" t="s">
        <v>15</v>
      </c>
      <c r="J2300" s="2" t="s">
        <v>14</v>
      </c>
      <c r="K2300" s="2" t="s">
        <v>14</v>
      </c>
      <c r="L2300" s="2" t="s">
        <v>14</v>
      </c>
      <c r="M2300" s="2" t="s">
        <v>14</v>
      </c>
      <c r="N2300" s="2" t="s">
        <v>14</v>
      </c>
      <c r="O2300" s="3">
        <v>1</v>
      </c>
    </row>
    <row r="2301" spans="1:15" ht="15" customHeight="1" x14ac:dyDescent="0.25">
      <c r="A2301" s="2">
        <v>10</v>
      </c>
      <c r="B2301" s="2" t="s">
        <v>10</v>
      </c>
      <c r="C2301" s="2" t="s">
        <v>19</v>
      </c>
      <c r="D2301" s="2" t="s">
        <v>19</v>
      </c>
      <c r="E2301" s="2">
        <v>0</v>
      </c>
      <c r="F2301" s="2">
        <v>0</v>
      </c>
      <c r="G2301" s="2" t="s">
        <v>10</v>
      </c>
      <c r="H2301" s="2" t="s">
        <v>12</v>
      </c>
      <c r="I2301" s="2">
        <v>2</v>
      </c>
      <c r="J2301" s="2" t="s">
        <v>14</v>
      </c>
      <c r="K2301" s="2" t="s">
        <v>14</v>
      </c>
      <c r="L2301" s="2" t="s">
        <v>14</v>
      </c>
      <c r="M2301" s="2" t="s">
        <v>14</v>
      </c>
      <c r="N2301" s="2" t="s">
        <v>14</v>
      </c>
      <c r="O2301" s="2">
        <v>1</v>
      </c>
    </row>
    <row r="2302" spans="1:15" ht="15" customHeight="1" x14ac:dyDescent="0.25">
      <c r="A2302" s="3">
        <v>5</v>
      </c>
      <c r="B2302" s="3" t="s">
        <v>18</v>
      </c>
      <c r="C2302" s="3" t="s">
        <v>19</v>
      </c>
      <c r="D2302" s="3" t="s">
        <v>19</v>
      </c>
      <c r="E2302" s="3">
        <v>0</v>
      </c>
      <c r="F2302" s="3">
        <v>0</v>
      </c>
      <c r="G2302" s="3" t="s">
        <v>10</v>
      </c>
      <c r="H2302" s="3" t="s">
        <v>16</v>
      </c>
      <c r="I2302" s="3" t="s">
        <v>15</v>
      </c>
      <c r="J2302" s="2" t="s">
        <v>14</v>
      </c>
      <c r="K2302" s="2" t="s">
        <v>14</v>
      </c>
      <c r="L2302" s="2" t="s">
        <v>14</v>
      </c>
      <c r="M2302" s="2" t="s">
        <v>14</v>
      </c>
      <c r="N2302" s="2" t="s">
        <v>14</v>
      </c>
      <c r="O2302" s="3">
        <v>1</v>
      </c>
    </row>
    <row r="2303" spans="1:15" ht="15" customHeight="1" x14ac:dyDescent="0.25">
      <c r="A2303" s="2">
        <v>0</v>
      </c>
      <c r="B2303" s="2" t="s">
        <v>14</v>
      </c>
      <c r="C2303" s="2" t="s">
        <v>19</v>
      </c>
      <c r="D2303" s="2" t="s">
        <v>19</v>
      </c>
      <c r="E2303" s="2">
        <v>0</v>
      </c>
      <c r="F2303" s="2">
        <v>0</v>
      </c>
      <c r="G2303" s="2" t="s">
        <v>10</v>
      </c>
      <c r="H2303" s="2" t="s">
        <v>12</v>
      </c>
      <c r="I2303" s="2">
        <v>2</v>
      </c>
      <c r="J2303" s="2" t="s">
        <v>14</v>
      </c>
      <c r="K2303" s="2" t="s">
        <v>14</v>
      </c>
      <c r="L2303" s="2" t="s">
        <v>14</v>
      </c>
      <c r="M2303" s="2" t="s">
        <v>14</v>
      </c>
      <c r="N2303" s="2" t="s">
        <v>14</v>
      </c>
      <c r="O2303" s="2">
        <v>1</v>
      </c>
    </row>
    <row r="2304" spans="1:15" ht="15" customHeight="1" x14ac:dyDescent="0.25">
      <c r="A2304" s="3">
        <v>10</v>
      </c>
      <c r="B2304" s="3" t="s">
        <v>10</v>
      </c>
      <c r="C2304" s="3" t="s">
        <v>19</v>
      </c>
      <c r="D2304" s="3" t="s">
        <v>19</v>
      </c>
      <c r="E2304" s="3">
        <v>0</v>
      </c>
      <c r="F2304" s="3">
        <v>0</v>
      </c>
      <c r="G2304" s="3" t="s">
        <v>10</v>
      </c>
      <c r="H2304" s="3" t="s">
        <v>12</v>
      </c>
      <c r="I2304" s="3">
        <v>2</v>
      </c>
      <c r="J2304" s="2" t="s">
        <v>14</v>
      </c>
      <c r="K2304" s="2" t="s">
        <v>14</v>
      </c>
      <c r="L2304" s="2" t="s">
        <v>14</v>
      </c>
      <c r="M2304" s="2" t="s">
        <v>14</v>
      </c>
      <c r="N2304" s="2" t="s">
        <v>14</v>
      </c>
      <c r="O2304" s="3">
        <v>1</v>
      </c>
    </row>
    <row r="2305" spans="1:15" ht="15" customHeight="1" x14ac:dyDescent="0.25">
      <c r="A2305" s="2">
        <v>0</v>
      </c>
      <c r="B2305" s="2" t="s">
        <v>18</v>
      </c>
      <c r="C2305" s="2" t="s">
        <v>19</v>
      </c>
      <c r="D2305" s="2" t="s">
        <v>19</v>
      </c>
      <c r="E2305" s="2">
        <v>0</v>
      </c>
      <c r="F2305" s="2">
        <v>0</v>
      </c>
      <c r="G2305" s="2" t="s">
        <v>10</v>
      </c>
      <c r="H2305" s="2" t="s">
        <v>12</v>
      </c>
      <c r="I2305" s="2" t="s">
        <v>15</v>
      </c>
      <c r="J2305" s="2" t="s">
        <v>14</v>
      </c>
      <c r="K2305" s="2" t="s">
        <v>14</v>
      </c>
      <c r="L2305" s="2" t="s">
        <v>14</v>
      </c>
      <c r="M2305" s="2" t="s">
        <v>14</v>
      </c>
      <c r="N2305" s="2" t="s">
        <v>14</v>
      </c>
      <c r="O2305" s="2">
        <v>1</v>
      </c>
    </row>
    <row r="2306" spans="1:15" ht="15" customHeight="1" x14ac:dyDescent="0.25">
      <c r="A2306" s="3">
        <v>20</v>
      </c>
      <c r="B2306" s="3" t="s">
        <v>18</v>
      </c>
      <c r="C2306" s="3" t="s">
        <v>19</v>
      </c>
      <c r="D2306" s="3" t="s">
        <v>19</v>
      </c>
      <c r="E2306" s="3">
        <v>0</v>
      </c>
      <c r="F2306" s="3">
        <v>0</v>
      </c>
      <c r="G2306" s="3" t="s">
        <v>10</v>
      </c>
      <c r="H2306" s="3" t="s">
        <v>12</v>
      </c>
      <c r="I2306" s="3" t="s">
        <v>15</v>
      </c>
      <c r="J2306" s="2" t="s">
        <v>14</v>
      </c>
      <c r="K2306" s="2" t="s">
        <v>14</v>
      </c>
      <c r="L2306" s="2" t="s">
        <v>14</v>
      </c>
      <c r="M2306" s="2" t="s">
        <v>14</v>
      </c>
      <c r="N2306" s="2" t="s">
        <v>14</v>
      </c>
      <c r="O2306" s="3">
        <v>1</v>
      </c>
    </row>
    <row r="2307" spans="1:15" ht="15" customHeight="1" x14ac:dyDescent="0.25">
      <c r="A2307" s="2">
        <v>10</v>
      </c>
      <c r="B2307" s="2" t="s">
        <v>10</v>
      </c>
      <c r="C2307" s="2" t="s">
        <v>19</v>
      </c>
      <c r="D2307" s="2" t="s">
        <v>19</v>
      </c>
      <c r="E2307" s="2">
        <v>0</v>
      </c>
      <c r="F2307" s="2">
        <v>0</v>
      </c>
      <c r="G2307" s="2" t="s">
        <v>10</v>
      </c>
      <c r="H2307" s="2" t="s">
        <v>12</v>
      </c>
      <c r="I2307" s="2">
        <v>2</v>
      </c>
      <c r="J2307" s="2" t="s">
        <v>14</v>
      </c>
      <c r="K2307" s="2" t="s">
        <v>14</v>
      </c>
      <c r="L2307" s="2" t="s">
        <v>14</v>
      </c>
      <c r="M2307" s="2" t="s">
        <v>14</v>
      </c>
      <c r="N2307" s="2" t="s">
        <v>14</v>
      </c>
      <c r="O2307" s="2">
        <v>1</v>
      </c>
    </row>
    <row r="2308" spans="1:15" ht="15" customHeight="1" x14ac:dyDescent="0.25">
      <c r="A2308" s="3">
        <v>10</v>
      </c>
      <c r="B2308" s="3" t="s">
        <v>18</v>
      </c>
      <c r="C2308" s="3" t="s">
        <v>19</v>
      </c>
      <c r="D2308" s="3" t="s">
        <v>19</v>
      </c>
      <c r="E2308" s="3">
        <v>0</v>
      </c>
      <c r="F2308" s="3">
        <v>0</v>
      </c>
      <c r="G2308" s="3" t="s">
        <v>10</v>
      </c>
      <c r="H2308" s="3" t="s">
        <v>12</v>
      </c>
      <c r="I2308" s="3">
        <v>2</v>
      </c>
      <c r="J2308" s="2" t="s">
        <v>14</v>
      </c>
      <c r="K2308" s="2" t="s">
        <v>14</v>
      </c>
      <c r="L2308" s="2" t="s">
        <v>14</v>
      </c>
      <c r="M2308" s="2" t="s">
        <v>14</v>
      </c>
      <c r="N2308" s="2" t="s">
        <v>14</v>
      </c>
      <c r="O2308" s="3">
        <v>1</v>
      </c>
    </row>
    <row r="2309" spans="1:15" ht="15" customHeight="1" x14ac:dyDescent="0.25">
      <c r="A2309" s="2">
        <v>20</v>
      </c>
      <c r="B2309" s="2" t="s">
        <v>14</v>
      </c>
      <c r="C2309" s="2" t="s">
        <v>19</v>
      </c>
      <c r="D2309" s="2" t="s">
        <v>19</v>
      </c>
      <c r="E2309" s="2">
        <v>0</v>
      </c>
      <c r="F2309" s="2">
        <v>0</v>
      </c>
      <c r="G2309" s="2" t="s">
        <v>10</v>
      </c>
      <c r="H2309" s="2" t="s">
        <v>12</v>
      </c>
      <c r="I2309" s="2">
        <v>2</v>
      </c>
      <c r="J2309" s="2" t="s">
        <v>14</v>
      </c>
      <c r="K2309" s="2" t="s">
        <v>14</v>
      </c>
      <c r="L2309" s="2" t="s">
        <v>14</v>
      </c>
      <c r="M2309" s="2" t="s">
        <v>14</v>
      </c>
      <c r="N2309" s="2" t="s">
        <v>14</v>
      </c>
      <c r="O2309" s="2">
        <v>1</v>
      </c>
    </row>
    <row r="2310" spans="1:15" ht="15" customHeight="1" x14ac:dyDescent="0.25">
      <c r="A2310" s="3">
        <v>5</v>
      </c>
      <c r="B2310" s="3" t="s">
        <v>18</v>
      </c>
      <c r="C2310" s="3" t="s">
        <v>19</v>
      </c>
      <c r="D2310" s="3" t="s">
        <v>19</v>
      </c>
      <c r="E2310" s="3">
        <v>0</v>
      </c>
      <c r="F2310" s="3">
        <v>0</v>
      </c>
      <c r="G2310" s="3" t="s">
        <v>10</v>
      </c>
      <c r="H2310" s="3" t="s">
        <v>12</v>
      </c>
      <c r="I2310" s="3" t="s">
        <v>15</v>
      </c>
      <c r="J2310" s="2" t="s">
        <v>14</v>
      </c>
      <c r="K2310" s="2" t="s">
        <v>14</v>
      </c>
      <c r="L2310" s="2" t="s">
        <v>14</v>
      </c>
      <c r="M2310" s="2" t="s">
        <v>14</v>
      </c>
      <c r="N2310" s="2" t="s">
        <v>14</v>
      </c>
      <c r="O2310" s="3">
        <v>1</v>
      </c>
    </row>
    <row r="2311" spans="1:15" ht="15" customHeight="1" x14ac:dyDescent="0.25">
      <c r="A2311" s="2">
        <v>10</v>
      </c>
      <c r="B2311" s="2" t="s">
        <v>14</v>
      </c>
      <c r="C2311" s="2" t="s">
        <v>19</v>
      </c>
      <c r="D2311" s="2" t="s">
        <v>19</v>
      </c>
      <c r="E2311" s="2">
        <v>0</v>
      </c>
      <c r="F2311" s="2">
        <v>0</v>
      </c>
      <c r="G2311" s="2" t="s">
        <v>10</v>
      </c>
      <c r="H2311" s="2" t="s">
        <v>12</v>
      </c>
      <c r="I2311" s="2">
        <v>2</v>
      </c>
      <c r="J2311" s="2" t="s">
        <v>14</v>
      </c>
      <c r="K2311" s="2" t="s">
        <v>14</v>
      </c>
      <c r="L2311" s="2" t="s">
        <v>14</v>
      </c>
      <c r="M2311" s="2" t="s">
        <v>14</v>
      </c>
      <c r="N2311" s="2" t="s">
        <v>14</v>
      </c>
      <c r="O2311" s="2">
        <v>1</v>
      </c>
    </row>
    <row r="2312" spans="1:15" ht="15" customHeight="1" x14ac:dyDescent="0.25">
      <c r="A2312" s="3">
        <v>20</v>
      </c>
      <c r="B2312" s="3" t="s">
        <v>10</v>
      </c>
      <c r="C2312" s="3" t="s">
        <v>11</v>
      </c>
      <c r="D2312" s="3" t="s">
        <v>19</v>
      </c>
      <c r="E2312" s="3">
        <v>1</v>
      </c>
      <c r="F2312" s="3">
        <v>0</v>
      </c>
      <c r="G2312" s="3" t="s">
        <v>10</v>
      </c>
      <c r="H2312" s="3" t="s">
        <v>16</v>
      </c>
      <c r="I2312" s="3">
        <v>2</v>
      </c>
      <c r="J2312" s="2" t="s">
        <v>14</v>
      </c>
      <c r="K2312" s="2" t="s">
        <v>14</v>
      </c>
      <c r="L2312" s="2" t="s">
        <v>14</v>
      </c>
      <c r="M2312" s="3" t="s">
        <v>13</v>
      </c>
      <c r="N2312" s="3" t="s">
        <v>14</v>
      </c>
      <c r="O2312" s="3">
        <v>0</v>
      </c>
    </row>
    <row r="2313" spans="1:15" ht="15" customHeight="1" x14ac:dyDescent="0.25">
      <c r="A2313" s="2">
        <v>0</v>
      </c>
      <c r="B2313" s="2" t="s">
        <v>10</v>
      </c>
      <c r="C2313" s="2" t="s">
        <v>20</v>
      </c>
      <c r="D2313" s="2" t="s">
        <v>20</v>
      </c>
      <c r="E2313" s="2">
        <v>0</v>
      </c>
      <c r="F2313" s="2">
        <v>1</v>
      </c>
      <c r="G2313" s="2" t="s">
        <v>10</v>
      </c>
      <c r="H2313" s="2" t="s">
        <v>12</v>
      </c>
      <c r="I2313" s="2" t="s">
        <v>15</v>
      </c>
      <c r="J2313" s="2" t="s">
        <v>14</v>
      </c>
      <c r="K2313" s="2" t="s">
        <v>14</v>
      </c>
      <c r="L2313" s="2" t="s">
        <v>14</v>
      </c>
      <c r="M2313" s="2" t="s">
        <v>14</v>
      </c>
      <c r="N2313" s="2" t="s">
        <v>14</v>
      </c>
      <c r="O2313" s="2">
        <v>1</v>
      </c>
    </row>
    <row r="2314" spans="1:15" ht="15" customHeight="1" x14ac:dyDescent="0.25">
      <c r="A2314" s="3">
        <v>10</v>
      </c>
      <c r="B2314" s="3" t="s">
        <v>18</v>
      </c>
      <c r="C2314" s="3" t="s">
        <v>20</v>
      </c>
      <c r="D2314" s="3" t="s">
        <v>20</v>
      </c>
      <c r="E2314" s="3">
        <v>0</v>
      </c>
      <c r="F2314" s="3">
        <v>0</v>
      </c>
      <c r="G2314" s="3" t="s">
        <v>10</v>
      </c>
      <c r="H2314" s="3" t="s">
        <v>12</v>
      </c>
      <c r="I2314" s="3" t="s">
        <v>15</v>
      </c>
      <c r="J2314" s="2" t="s">
        <v>14</v>
      </c>
      <c r="K2314" s="2" t="s">
        <v>14</v>
      </c>
      <c r="L2314" s="2" t="s">
        <v>14</v>
      </c>
      <c r="M2314" s="2" t="s">
        <v>14</v>
      </c>
      <c r="N2314" s="2" t="s">
        <v>14</v>
      </c>
      <c r="O2314" s="3">
        <v>1</v>
      </c>
    </row>
    <row r="2315" spans="1:15" ht="15" customHeight="1" x14ac:dyDescent="0.25">
      <c r="A2315" s="2">
        <v>10</v>
      </c>
      <c r="B2315" s="2" t="s">
        <v>14</v>
      </c>
      <c r="C2315" s="2" t="s">
        <v>20</v>
      </c>
      <c r="D2315" s="2" t="s">
        <v>20</v>
      </c>
      <c r="E2315" s="2">
        <v>0</v>
      </c>
      <c r="F2315" s="2">
        <v>0</v>
      </c>
      <c r="G2315" s="2" t="s">
        <v>10</v>
      </c>
      <c r="H2315" s="2" t="s">
        <v>12</v>
      </c>
      <c r="I2315" s="2" t="s">
        <v>15</v>
      </c>
      <c r="J2315" s="2" t="s">
        <v>14</v>
      </c>
      <c r="K2315" s="2" t="s">
        <v>14</v>
      </c>
      <c r="L2315" s="2" t="s">
        <v>14</v>
      </c>
      <c r="M2315" s="2" t="s">
        <v>14</v>
      </c>
      <c r="N2315" s="2" t="s">
        <v>14</v>
      </c>
      <c r="O2315" s="2">
        <v>0</v>
      </c>
    </row>
    <row r="2316" spans="1:15" ht="15" customHeight="1" x14ac:dyDescent="0.25">
      <c r="A2316" s="3">
        <v>10</v>
      </c>
      <c r="B2316" s="3" t="s">
        <v>14</v>
      </c>
      <c r="C2316" s="3" t="s">
        <v>11</v>
      </c>
      <c r="D2316" s="3" t="s">
        <v>11</v>
      </c>
      <c r="E2316" s="3">
        <v>2</v>
      </c>
      <c r="F2316" s="3">
        <v>0</v>
      </c>
      <c r="G2316" s="3" t="s">
        <v>10</v>
      </c>
      <c r="H2316" s="3" t="s">
        <v>16</v>
      </c>
      <c r="I2316" s="3" t="s">
        <v>15</v>
      </c>
      <c r="J2316" s="2" t="s">
        <v>14</v>
      </c>
      <c r="K2316" s="2" t="s">
        <v>14</v>
      </c>
      <c r="L2316" s="2" t="s">
        <v>14</v>
      </c>
      <c r="M2316" s="3" t="s">
        <v>13</v>
      </c>
      <c r="N2316" s="3" t="s">
        <v>13</v>
      </c>
      <c r="O2316" s="3">
        <v>0</v>
      </c>
    </row>
    <row r="2317" spans="1:15" ht="15" customHeight="1" x14ac:dyDescent="0.25">
      <c r="A2317" s="2">
        <v>10</v>
      </c>
      <c r="B2317" s="2" t="s">
        <v>18</v>
      </c>
      <c r="C2317" s="2" t="s">
        <v>19</v>
      </c>
      <c r="D2317" s="2" t="s">
        <v>19</v>
      </c>
      <c r="E2317" s="2">
        <v>0</v>
      </c>
      <c r="F2317" s="2">
        <v>0</v>
      </c>
      <c r="G2317" s="2" t="s">
        <v>10</v>
      </c>
      <c r="H2317" s="2" t="s">
        <v>16</v>
      </c>
      <c r="I2317" s="2">
        <v>1</v>
      </c>
      <c r="J2317" s="2" t="s">
        <v>14</v>
      </c>
      <c r="K2317" s="2" t="s">
        <v>13</v>
      </c>
      <c r="L2317" s="2" t="s">
        <v>13</v>
      </c>
      <c r="M2317" s="2" t="s">
        <v>13</v>
      </c>
      <c r="N2317" s="2" t="s">
        <v>14</v>
      </c>
      <c r="O2317" s="2">
        <v>0</v>
      </c>
    </row>
    <row r="2318" spans="1:15" ht="15" customHeight="1" x14ac:dyDescent="0.25">
      <c r="A2318" s="3">
        <v>0</v>
      </c>
      <c r="B2318" s="3" t="s">
        <v>14</v>
      </c>
      <c r="C2318" s="3" t="s">
        <v>19</v>
      </c>
      <c r="D2318" s="3" t="s">
        <v>19</v>
      </c>
      <c r="E2318" s="3">
        <v>0</v>
      </c>
      <c r="F2318" s="3">
        <v>1</v>
      </c>
      <c r="G2318" s="3" t="s">
        <v>10</v>
      </c>
      <c r="H2318" s="3" t="s">
        <v>12</v>
      </c>
      <c r="I2318" s="3">
        <v>2</v>
      </c>
      <c r="J2318" s="2" t="s">
        <v>14</v>
      </c>
      <c r="K2318" s="3" t="s">
        <v>13</v>
      </c>
      <c r="L2318" s="3" t="s">
        <v>13</v>
      </c>
      <c r="M2318" s="3" t="s">
        <v>14</v>
      </c>
      <c r="N2318" s="2" t="s">
        <v>14</v>
      </c>
      <c r="O2318" s="3">
        <v>1</v>
      </c>
    </row>
    <row r="2319" spans="1:15" ht="15" customHeight="1" x14ac:dyDescent="0.25">
      <c r="A2319" s="2">
        <v>10</v>
      </c>
      <c r="B2319" s="2" t="s">
        <v>10</v>
      </c>
      <c r="C2319" s="2" t="s">
        <v>19</v>
      </c>
      <c r="D2319" s="2" t="s">
        <v>19</v>
      </c>
      <c r="E2319" s="2">
        <v>1</v>
      </c>
      <c r="F2319" s="2">
        <v>0</v>
      </c>
      <c r="G2319" s="2" t="s">
        <v>10</v>
      </c>
      <c r="H2319" s="2" t="s">
        <v>12</v>
      </c>
      <c r="I2319" s="2" t="s">
        <v>15</v>
      </c>
      <c r="J2319" s="2" t="s">
        <v>14</v>
      </c>
      <c r="K2319" s="2" t="s">
        <v>14</v>
      </c>
      <c r="L2319" s="2" t="s">
        <v>14</v>
      </c>
      <c r="M2319" s="2" t="s">
        <v>14</v>
      </c>
      <c r="N2319" s="2" t="s">
        <v>14</v>
      </c>
      <c r="O2319" s="2">
        <v>0</v>
      </c>
    </row>
    <row r="2320" spans="1:15" ht="15" customHeight="1" x14ac:dyDescent="0.25">
      <c r="A2320" s="3">
        <v>5</v>
      </c>
      <c r="B2320" s="3" t="s">
        <v>14</v>
      </c>
      <c r="C2320" s="3" t="s">
        <v>11</v>
      </c>
      <c r="D2320" s="3" t="s">
        <v>11</v>
      </c>
      <c r="E2320" s="3">
        <v>1</v>
      </c>
      <c r="F2320" s="3">
        <v>1</v>
      </c>
      <c r="G2320" s="3" t="s">
        <v>10</v>
      </c>
      <c r="H2320" s="3" t="s">
        <v>16</v>
      </c>
      <c r="I2320" s="3" t="s">
        <v>15</v>
      </c>
      <c r="J2320" s="2" t="s">
        <v>14</v>
      </c>
      <c r="K2320" s="2" t="s">
        <v>14</v>
      </c>
      <c r="L2320" s="2" t="s">
        <v>14</v>
      </c>
      <c r="M2320" s="2" t="s">
        <v>14</v>
      </c>
      <c r="N2320" s="2" t="s">
        <v>14</v>
      </c>
      <c r="O2320" s="3">
        <v>0</v>
      </c>
    </row>
    <row r="2321" spans="1:15" ht="15" customHeight="1" x14ac:dyDescent="0.25">
      <c r="A2321" s="2">
        <v>10</v>
      </c>
      <c r="B2321" s="2" t="s">
        <v>14</v>
      </c>
      <c r="C2321" s="2" t="s">
        <v>19</v>
      </c>
      <c r="D2321" s="2" t="s">
        <v>19</v>
      </c>
      <c r="E2321" s="2">
        <v>0</v>
      </c>
      <c r="F2321" s="2">
        <v>0</v>
      </c>
      <c r="G2321" s="2" t="s">
        <v>17</v>
      </c>
      <c r="H2321" s="2" t="s">
        <v>106</v>
      </c>
      <c r="I2321" s="2">
        <v>1</v>
      </c>
      <c r="J2321" s="2" t="s">
        <v>14</v>
      </c>
      <c r="K2321" s="2" t="s">
        <v>13</v>
      </c>
      <c r="L2321" s="2" t="s">
        <v>13</v>
      </c>
      <c r="M2321" s="2" t="s">
        <v>13</v>
      </c>
      <c r="N2321" s="2" t="s">
        <v>14</v>
      </c>
      <c r="O2321" s="2">
        <v>1</v>
      </c>
    </row>
    <row r="2322" spans="1:15" ht="15" customHeight="1" x14ac:dyDescent="0.25">
      <c r="A2322" s="3">
        <v>10</v>
      </c>
      <c r="B2322" s="3" t="s">
        <v>10</v>
      </c>
      <c r="C2322" s="3" t="s">
        <v>19</v>
      </c>
      <c r="D2322" s="3" t="s">
        <v>19</v>
      </c>
      <c r="E2322" s="3">
        <v>0</v>
      </c>
      <c r="F2322" s="3">
        <v>1</v>
      </c>
      <c r="G2322" s="3" t="s">
        <v>10</v>
      </c>
      <c r="H2322" s="3" t="s">
        <v>12</v>
      </c>
      <c r="I2322" s="3">
        <v>1</v>
      </c>
      <c r="J2322" s="2" t="s">
        <v>14</v>
      </c>
      <c r="K2322" s="2" t="s">
        <v>14</v>
      </c>
      <c r="L2322" s="2" t="s">
        <v>14</v>
      </c>
      <c r="M2322" s="2" t="s">
        <v>14</v>
      </c>
      <c r="N2322" s="2" t="s">
        <v>14</v>
      </c>
      <c r="O2322" s="3">
        <v>1</v>
      </c>
    </row>
    <row r="2323" spans="1:15" ht="15" customHeight="1" x14ac:dyDescent="0.25">
      <c r="A2323" s="2">
        <v>0</v>
      </c>
      <c r="B2323" s="2" t="s">
        <v>18</v>
      </c>
      <c r="C2323" s="2" t="s">
        <v>19</v>
      </c>
      <c r="D2323" s="2" t="s">
        <v>19</v>
      </c>
      <c r="E2323" s="2">
        <v>0</v>
      </c>
      <c r="F2323" s="2">
        <v>0</v>
      </c>
      <c r="G2323" s="2" t="s">
        <v>10</v>
      </c>
      <c r="H2323" s="2" t="s">
        <v>16</v>
      </c>
      <c r="I2323" s="2">
        <v>1</v>
      </c>
      <c r="J2323" s="2" t="s">
        <v>14</v>
      </c>
      <c r="K2323" s="2" t="s">
        <v>14</v>
      </c>
      <c r="L2323" s="2" t="s">
        <v>14</v>
      </c>
      <c r="M2323" s="2" t="s">
        <v>14</v>
      </c>
      <c r="N2323" s="2" t="s">
        <v>14</v>
      </c>
      <c r="O2323" s="2">
        <v>1</v>
      </c>
    </row>
    <row r="2324" spans="1:15" ht="15" customHeight="1" x14ac:dyDescent="0.25">
      <c r="A2324" s="3">
        <v>5</v>
      </c>
      <c r="B2324" s="3" t="s">
        <v>10</v>
      </c>
      <c r="C2324" s="3" t="s">
        <v>19</v>
      </c>
      <c r="D2324" s="3" t="s">
        <v>19</v>
      </c>
      <c r="E2324" s="3">
        <v>0</v>
      </c>
      <c r="F2324" s="3">
        <v>0</v>
      </c>
      <c r="G2324" s="3" t="s">
        <v>10</v>
      </c>
      <c r="H2324" s="3" t="s">
        <v>12</v>
      </c>
      <c r="I2324" s="3">
        <v>1</v>
      </c>
      <c r="J2324" s="2" t="s">
        <v>14</v>
      </c>
      <c r="K2324" s="2" t="s">
        <v>14</v>
      </c>
      <c r="L2324" s="2" t="s">
        <v>14</v>
      </c>
      <c r="M2324" s="2" t="s">
        <v>14</v>
      </c>
      <c r="N2324" s="2" t="s">
        <v>14</v>
      </c>
      <c r="O2324" s="3">
        <v>1</v>
      </c>
    </row>
    <row r="2325" spans="1:15" ht="15" customHeight="1" x14ac:dyDescent="0.25">
      <c r="A2325" s="2">
        <v>0</v>
      </c>
      <c r="B2325" s="2" t="s">
        <v>18</v>
      </c>
      <c r="C2325" s="2" t="s">
        <v>19</v>
      </c>
      <c r="D2325" s="2" t="s">
        <v>19</v>
      </c>
      <c r="E2325" s="2">
        <v>0</v>
      </c>
      <c r="F2325" s="2">
        <v>0</v>
      </c>
      <c r="G2325" s="2" t="s">
        <v>10</v>
      </c>
      <c r="H2325" s="2" t="s">
        <v>12</v>
      </c>
      <c r="I2325" s="2" t="s">
        <v>15</v>
      </c>
      <c r="J2325" s="2" t="s">
        <v>14</v>
      </c>
      <c r="K2325" s="2" t="s">
        <v>14</v>
      </c>
      <c r="L2325" s="2" t="s">
        <v>14</v>
      </c>
      <c r="M2325" s="2" t="s">
        <v>14</v>
      </c>
      <c r="N2325" s="2" t="s">
        <v>14</v>
      </c>
      <c r="O2325" s="2">
        <v>1</v>
      </c>
    </row>
    <row r="2326" spans="1:15" ht="15" customHeight="1" x14ac:dyDescent="0.25">
      <c r="A2326" s="3">
        <v>20</v>
      </c>
      <c r="B2326" s="3" t="s">
        <v>18</v>
      </c>
      <c r="C2326" s="3" t="s">
        <v>19</v>
      </c>
      <c r="D2326" s="3" t="s">
        <v>19</v>
      </c>
      <c r="E2326" s="3">
        <v>0</v>
      </c>
      <c r="F2326" s="3">
        <v>0</v>
      </c>
      <c r="G2326" s="3" t="s">
        <v>10</v>
      </c>
      <c r="H2326" s="3" t="s">
        <v>12</v>
      </c>
      <c r="I2326" s="3">
        <v>2</v>
      </c>
      <c r="J2326" s="2" t="s">
        <v>14</v>
      </c>
      <c r="K2326" s="2" t="s">
        <v>14</v>
      </c>
      <c r="L2326" s="2" t="s">
        <v>14</v>
      </c>
      <c r="M2326" s="2" t="s">
        <v>14</v>
      </c>
      <c r="N2326" s="2" t="s">
        <v>14</v>
      </c>
      <c r="O2326" s="3">
        <v>1</v>
      </c>
    </row>
    <row r="2327" spans="1:15" ht="15" customHeight="1" x14ac:dyDescent="0.25">
      <c r="A2327" s="2">
        <v>10</v>
      </c>
      <c r="B2327" s="2" t="s">
        <v>14</v>
      </c>
      <c r="C2327" s="2" t="s">
        <v>19</v>
      </c>
      <c r="D2327" s="2" t="s">
        <v>19</v>
      </c>
      <c r="E2327" s="2">
        <v>0</v>
      </c>
      <c r="F2327" s="2">
        <v>0</v>
      </c>
      <c r="G2327" s="2" t="s">
        <v>10</v>
      </c>
      <c r="H2327" s="2" t="s">
        <v>12</v>
      </c>
      <c r="I2327" s="2" t="s">
        <v>15</v>
      </c>
      <c r="J2327" s="2" t="s">
        <v>14</v>
      </c>
      <c r="K2327" s="2" t="s">
        <v>14</v>
      </c>
      <c r="L2327" s="2" t="s">
        <v>14</v>
      </c>
      <c r="M2327" s="2" t="s">
        <v>14</v>
      </c>
      <c r="N2327" s="2" t="s">
        <v>14</v>
      </c>
      <c r="O2327" s="2">
        <v>1</v>
      </c>
    </row>
    <row r="2328" spans="1:15" ht="15" customHeight="1" x14ac:dyDescent="0.25">
      <c r="A2328" s="3">
        <v>10</v>
      </c>
      <c r="B2328" s="3" t="s">
        <v>10</v>
      </c>
      <c r="C2328" s="3" t="s">
        <v>19</v>
      </c>
      <c r="D2328" s="3" t="s">
        <v>19</v>
      </c>
      <c r="E2328" s="3">
        <v>0</v>
      </c>
      <c r="F2328" s="3">
        <v>0</v>
      </c>
      <c r="G2328" s="3" t="s">
        <v>10</v>
      </c>
      <c r="H2328" s="3" t="s">
        <v>12</v>
      </c>
      <c r="I2328" s="3">
        <v>2</v>
      </c>
      <c r="J2328" s="2" t="s">
        <v>14</v>
      </c>
      <c r="K2328" s="2" t="s">
        <v>14</v>
      </c>
      <c r="L2328" s="2" t="s">
        <v>14</v>
      </c>
      <c r="M2328" s="2" t="s">
        <v>14</v>
      </c>
      <c r="N2328" s="2" t="s">
        <v>14</v>
      </c>
      <c r="O2328" s="3">
        <v>1</v>
      </c>
    </row>
    <row r="2329" spans="1:15" ht="15" customHeight="1" x14ac:dyDescent="0.25">
      <c r="A2329" s="2">
        <v>10</v>
      </c>
      <c r="B2329" s="2" t="s">
        <v>18</v>
      </c>
      <c r="C2329" s="2" t="s">
        <v>19</v>
      </c>
      <c r="D2329" s="2" t="s">
        <v>19</v>
      </c>
      <c r="E2329" s="2">
        <v>0</v>
      </c>
      <c r="F2329" s="2">
        <v>0</v>
      </c>
      <c r="G2329" s="2" t="s">
        <v>10</v>
      </c>
      <c r="H2329" s="2" t="s">
        <v>16</v>
      </c>
      <c r="I2329" s="2" t="s">
        <v>15</v>
      </c>
      <c r="J2329" s="2" t="s">
        <v>14</v>
      </c>
      <c r="K2329" s="2" t="s">
        <v>14</v>
      </c>
      <c r="L2329" s="2" t="s">
        <v>14</v>
      </c>
      <c r="M2329" s="2" t="s">
        <v>14</v>
      </c>
      <c r="N2329" s="2" t="s">
        <v>14</v>
      </c>
      <c r="O2329" s="2">
        <v>1</v>
      </c>
    </row>
    <row r="2330" spans="1:15" ht="15" customHeight="1" x14ac:dyDescent="0.25">
      <c r="A2330" s="3">
        <v>30</v>
      </c>
      <c r="B2330" s="3" t="s">
        <v>10</v>
      </c>
      <c r="C2330" s="3" t="s">
        <v>11</v>
      </c>
      <c r="D2330" s="3" t="s">
        <v>19</v>
      </c>
      <c r="E2330" s="3">
        <v>0</v>
      </c>
      <c r="F2330" s="3">
        <v>1</v>
      </c>
      <c r="G2330" s="3" t="s">
        <v>10</v>
      </c>
      <c r="H2330" s="3" t="s">
        <v>12</v>
      </c>
      <c r="I2330" s="3">
        <v>2</v>
      </c>
      <c r="J2330" s="3" t="s">
        <v>13</v>
      </c>
      <c r="K2330" s="2" t="s">
        <v>14</v>
      </c>
      <c r="L2330" s="2" t="s">
        <v>14</v>
      </c>
      <c r="M2330" s="3" t="s">
        <v>13</v>
      </c>
      <c r="N2330" s="3" t="s">
        <v>13</v>
      </c>
      <c r="O2330" s="3">
        <v>1</v>
      </c>
    </row>
    <row r="2331" spans="1:15" ht="15" customHeight="1" x14ac:dyDescent="0.25">
      <c r="A2331" s="2">
        <v>10</v>
      </c>
      <c r="B2331" s="2" t="s">
        <v>18</v>
      </c>
      <c r="C2331" s="2" t="s">
        <v>11</v>
      </c>
      <c r="D2331" s="2" t="s">
        <v>11</v>
      </c>
      <c r="E2331" s="2">
        <v>0</v>
      </c>
      <c r="F2331" s="2">
        <v>2</v>
      </c>
      <c r="G2331" s="2" t="s">
        <v>10</v>
      </c>
      <c r="H2331" s="2" t="s">
        <v>12</v>
      </c>
      <c r="I2331" s="2" t="s">
        <v>15</v>
      </c>
      <c r="J2331" s="2" t="s">
        <v>14</v>
      </c>
      <c r="K2331" s="2" t="s">
        <v>14</v>
      </c>
      <c r="L2331" s="2" t="s">
        <v>14</v>
      </c>
      <c r="M2331" s="2" t="s">
        <v>14</v>
      </c>
      <c r="N2331" s="2" t="s">
        <v>14</v>
      </c>
      <c r="O2331" s="2">
        <v>1</v>
      </c>
    </row>
    <row r="2332" spans="1:15" ht="15" customHeight="1" x14ac:dyDescent="0.25">
      <c r="A2332" s="3">
        <v>0</v>
      </c>
      <c r="B2332" s="3" t="s">
        <v>10</v>
      </c>
      <c r="C2332" s="3" t="s">
        <v>19</v>
      </c>
      <c r="D2332" s="3" t="s">
        <v>19</v>
      </c>
      <c r="E2332" s="3">
        <v>0</v>
      </c>
      <c r="F2332" s="3">
        <v>0</v>
      </c>
      <c r="G2332" s="3" t="s">
        <v>17</v>
      </c>
      <c r="H2332" s="3" t="s">
        <v>106</v>
      </c>
      <c r="I2332" s="3">
        <v>1</v>
      </c>
      <c r="J2332" s="2" t="s">
        <v>14</v>
      </c>
      <c r="K2332" s="3" t="s">
        <v>13</v>
      </c>
      <c r="L2332" s="3" t="s">
        <v>13</v>
      </c>
      <c r="M2332" s="3" t="s">
        <v>14</v>
      </c>
      <c r="N2332" s="2" t="s">
        <v>14</v>
      </c>
      <c r="O2332" s="3">
        <v>1</v>
      </c>
    </row>
    <row r="2333" spans="1:15" ht="15" customHeight="1" x14ac:dyDescent="0.25">
      <c r="A2333" s="2">
        <v>20</v>
      </c>
      <c r="B2333" s="2" t="s">
        <v>10</v>
      </c>
      <c r="C2333" s="2" t="s">
        <v>19</v>
      </c>
      <c r="D2333" s="2" t="s">
        <v>19</v>
      </c>
      <c r="E2333" s="2">
        <v>0</v>
      </c>
      <c r="F2333" s="2">
        <v>2</v>
      </c>
      <c r="G2333" s="2" t="s">
        <v>10</v>
      </c>
      <c r="H2333" s="2" t="s">
        <v>12</v>
      </c>
      <c r="I2333" s="2">
        <v>2</v>
      </c>
      <c r="J2333" s="2" t="s">
        <v>14</v>
      </c>
      <c r="K2333" s="2" t="s">
        <v>14</v>
      </c>
      <c r="L2333" s="2" t="s">
        <v>14</v>
      </c>
      <c r="M2333" s="2" t="s">
        <v>14</v>
      </c>
      <c r="N2333" s="2" t="s">
        <v>14</v>
      </c>
      <c r="O2333" s="2">
        <v>1</v>
      </c>
    </row>
    <row r="2334" spans="1:15" ht="15" customHeight="1" x14ac:dyDescent="0.25">
      <c r="A2334" s="3">
        <v>5</v>
      </c>
      <c r="B2334" s="3" t="s">
        <v>14</v>
      </c>
      <c r="C2334" s="3" t="s">
        <v>19</v>
      </c>
      <c r="D2334" s="3" t="s">
        <v>19</v>
      </c>
      <c r="E2334" s="3">
        <v>0</v>
      </c>
      <c r="F2334" s="3">
        <v>0</v>
      </c>
      <c r="G2334" s="3" t="s">
        <v>10</v>
      </c>
      <c r="H2334" s="3" t="s">
        <v>12</v>
      </c>
      <c r="I2334" s="3" t="s">
        <v>15</v>
      </c>
      <c r="J2334" s="2" t="s">
        <v>14</v>
      </c>
      <c r="K2334" s="2" t="s">
        <v>14</v>
      </c>
      <c r="L2334" s="2" t="s">
        <v>14</v>
      </c>
      <c r="M2334" s="2" t="s">
        <v>14</v>
      </c>
      <c r="N2334" s="2" t="s">
        <v>14</v>
      </c>
      <c r="O2334" s="3">
        <v>1</v>
      </c>
    </row>
    <row r="2335" spans="1:15" ht="15" customHeight="1" x14ac:dyDescent="0.25">
      <c r="A2335" s="2">
        <v>10</v>
      </c>
      <c r="B2335" s="2" t="s">
        <v>10</v>
      </c>
      <c r="C2335" s="2" t="s">
        <v>19</v>
      </c>
      <c r="D2335" s="2" t="s">
        <v>19</v>
      </c>
      <c r="E2335" s="2">
        <v>0</v>
      </c>
      <c r="F2335" s="2">
        <v>0</v>
      </c>
      <c r="G2335" s="2" t="s">
        <v>10</v>
      </c>
      <c r="H2335" s="2" t="s">
        <v>12</v>
      </c>
      <c r="I2335" s="2">
        <v>2</v>
      </c>
      <c r="J2335" s="2" t="s">
        <v>14</v>
      </c>
      <c r="K2335" s="2" t="s">
        <v>14</v>
      </c>
      <c r="L2335" s="2" t="s">
        <v>14</v>
      </c>
      <c r="M2335" s="2" t="s">
        <v>14</v>
      </c>
      <c r="N2335" s="2" t="s">
        <v>14</v>
      </c>
      <c r="O2335" s="2">
        <v>1</v>
      </c>
    </row>
    <row r="2336" spans="1:15" ht="15" customHeight="1" x14ac:dyDescent="0.25">
      <c r="A2336" s="3">
        <v>10</v>
      </c>
      <c r="B2336" s="3" t="s">
        <v>18</v>
      </c>
      <c r="C2336" s="3" t="s">
        <v>19</v>
      </c>
      <c r="D2336" s="3" t="s">
        <v>19</v>
      </c>
      <c r="E2336" s="3">
        <v>0</v>
      </c>
      <c r="F2336" s="3">
        <v>0</v>
      </c>
      <c r="G2336" s="3" t="s">
        <v>10</v>
      </c>
      <c r="H2336" s="3" t="s">
        <v>12</v>
      </c>
      <c r="I2336" s="3">
        <v>1</v>
      </c>
      <c r="J2336" s="2" t="s">
        <v>14</v>
      </c>
      <c r="K2336" s="2" t="s">
        <v>14</v>
      </c>
      <c r="L2336" s="2" t="s">
        <v>14</v>
      </c>
      <c r="M2336" s="2" t="s">
        <v>14</v>
      </c>
      <c r="N2336" s="2" t="s">
        <v>14</v>
      </c>
      <c r="O2336" s="3">
        <v>1</v>
      </c>
    </row>
    <row r="2337" spans="1:15" ht="15" customHeight="1" x14ac:dyDescent="0.25">
      <c r="A2337" s="2">
        <v>10</v>
      </c>
      <c r="B2337" s="2" t="s">
        <v>18</v>
      </c>
      <c r="C2337" s="2" t="s">
        <v>19</v>
      </c>
      <c r="D2337" s="2" t="s">
        <v>19</v>
      </c>
      <c r="E2337" s="2">
        <v>0</v>
      </c>
      <c r="F2337" s="2">
        <v>0</v>
      </c>
      <c r="G2337" s="2" t="s">
        <v>10</v>
      </c>
      <c r="H2337" s="2" t="s">
        <v>12</v>
      </c>
      <c r="I2337" s="2">
        <v>1</v>
      </c>
      <c r="J2337" s="2" t="s">
        <v>14</v>
      </c>
      <c r="K2337" s="2" t="s">
        <v>14</v>
      </c>
      <c r="L2337" s="2" t="s">
        <v>14</v>
      </c>
      <c r="M2337" s="2" t="s">
        <v>14</v>
      </c>
      <c r="N2337" s="2" t="s">
        <v>14</v>
      </c>
      <c r="O2337" s="2">
        <v>1</v>
      </c>
    </row>
    <row r="2338" spans="1:15" ht="15" customHeight="1" x14ac:dyDescent="0.25">
      <c r="A2338" s="3">
        <v>10</v>
      </c>
      <c r="B2338" s="3" t="s">
        <v>18</v>
      </c>
      <c r="C2338" s="3" t="s">
        <v>20</v>
      </c>
      <c r="D2338" s="3" t="s">
        <v>19</v>
      </c>
      <c r="E2338" s="3">
        <v>0</v>
      </c>
      <c r="F2338" s="3">
        <v>0</v>
      </c>
      <c r="G2338" s="3" t="s">
        <v>10</v>
      </c>
      <c r="H2338" s="3" t="s">
        <v>12</v>
      </c>
      <c r="I2338" s="3" t="s">
        <v>15</v>
      </c>
      <c r="J2338" s="2" t="s">
        <v>14</v>
      </c>
      <c r="K2338" s="2" t="s">
        <v>14</v>
      </c>
      <c r="L2338" s="2" t="s">
        <v>14</v>
      </c>
      <c r="M2338" s="2" t="s">
        <v>14</v>
      </c>
      <c r="N2338" s="2" t="s">
        <v>14</v>
      </c>
      <c r="O2338" s="3">
        <v>1</v>
      </c>
    </row>
    <row r="2339" spans="1:15" ht="15" customHeight="1" x14ac:dyDescent="0.25">
      <c r="A2339" s="2">
        <v>10</v>
      </c>
      <c r="B2339" s="2" t="s">
        <v>10</v>
      </c>
      <c r="C2339" s="2" t="s">
        <v>20</v>
      </c>
      <c r="D2339" s="2" t="s">
        <v>20</v>
      </c>
      <c r="E2339" s="2">
        <v>0</v>
      </c>
      <c r="F2339" s="2">
        <v>0</v>
      </c>
      <c r="G2339" s="2" t="s">
        <v>10</v>
      </c>
      <c r="H2339" s="2" t="s">
        <v>12</v>
      </c>
      <c r="I2339" s="2">
        <v>1</v>
      </c>
      <c r="J2339" s="2" t="s">
        <v>14</v>
      </c>
      <c r="K2339" s="2" t="s">
        <v>14</v>
      </c>
      <c r="L2339" s="2" t="s">
        <v>14</v>
      </c>
      <c r="M2339" s="2" t="s">
        <v>14</v>
      </c>
      <c r="N2339" s="2" t="s">
        <v>14</v>
      </c>
      <c r="O2339" s="2">
        <v>1</v>
      </c>
    </row>
    <row r="2340" spans="1:15" ht="15" customHeight="1" x14ac:dyDescent="0.25">
      <c r="A2340" s="3">
        <v>5</v>
      </c>
      <c r="B2340" s="3" t="s">
        <v>10</v>
      </c>
      <c r="C2340" s="3" t="s">
        <v>20</v>
      </c>
      <c r="D2340" s="3" t="s">
        <v>20</v>
      </c>
      <c r="E2340" s="3">
        <v>0</v>
      </c>
      <c r="F2340" s="3">
        <v>0</v>
      </c>
      <c r="G2340" s="3" t="s">
        <v>17</v>
      </c>
      <c r="H2340" s="3" t="s">
        <v>106</v>
      </c>
      <c r="I2340" s="3">
        <v>1</v>
      </c>
      <c r="J2340" s="2" t="s">
        <v>14</v>
      </c>
      <c r="K2340" s="3" t="s">
        <v>13</v>
      </c>
      <c r="L2340" s="3" t="s">
        <v>13</v>
      </c>
      <c r="M2340" s="3" t="s">
        <v>13</v>
      </c>
      <c r="N2340" s="2" t="s">
        <v>14</v>
      </c>
      <c r="O2340" s="3">
        <v>0</v>
      </c>
    </row>
    <row r="2341" spans="1:15" ht="15" customHeight="1" x14ac:dyDescent="0.25">
      <c r="A2341" s="2">
        <v>5</v>
      </c>
      <c r="B2341" s="2" t="s">
        <v>10</v>
      </c>
      <c r="C2341" s="2" t="s">
        <v>11</v>
      </c>
      <c r="D2341" s="2" t="s">
        <v>11</v>
      </c>
      <c r="E2341" s="2">
        <v>1</v>
      </c>
      <c r="F2341" s="2">
        <v>0</v>
      </c>
      <c r="G2341" s="2" t="s">
        <v>17</v>
      </c>
      <c r="H2341" s="2" t="s">
        <v>106</v>
      </c>
      <c r="I2341" s="2">
        <v>1</v>
      </c>
      <c r="J2341" s="2" t="s">
        <v>14</v>
      </c>
      <c r="K2341" s="2" t="s">
        <v>13</v>
      </c>
      <c r="L2341" s="2" t="s">
        <v>13</v>
      </c>
      <c r="M2341" s="2" t="s">
        <v>13</v>
      </c>
      <c r="N2341" s="2" t="s">
        <v>14</v>
      </c>
      <c r="O2341" s="2">
        <v>0</v>
      </c>
    </row>
    <row r="2342" spans="1:15" ht="15" customHeight="1" x14ac:dyDescent="0.25">
      <c r="A2342" s="3">
        <v>0</v>
      </c>
      <c r="B2342" s="3" t="s">
        <v>18</v>
      </c>
      <c r="C2342" s="3" t="s">
        <v>11</v>
      </c>
      <c r="D2342" s="3" t="s">
        <v>11</v>
      </c>
      <c r="E2342" s="3">
        <v>0</v>
      </c>
      <c r="F2342" s="3">
        <v>0</v>
      </c>
      <c r="G2342" s="3" t="s">
        <v>10</v>
      </c>
      <c r="H2342" s="3" t="s">
        <v>12</v>
      </c>
      <c r="I2342" s="3">
        <v>2</v>
      </c>
      <c r="J2342" s="2" t="s">
        <v>14</v>
      </c>
      <c r="K2342" s="2" t="s">
        <v>14</v>
      </c>
      <c r="L2342" s="2" t="s">
        <v>14</v>
      </c>
      <c r="M2342" s="2" t="s">
        <v>14</v>
      </c>
      <c r="N2342" s="2" t="s">
        <v>14</v>
      </c>
      <c r="O2342" s="3">
        <v>1</v>
      </c>
    </row>
    <row r="2343" spans="1:15" ht="15" customHeight="1" x14ac:dyDescent="0.25">
      <c r="A2343" s="2">
        <v>0</v>
      </c>
      <c r="B2343" s="2" t="s">
        <v>14</v>
      </c>
      <c r="C2343" s="2" t="s">
        <v>11</v>
      </c>
      <c r="D2343" s="2" t="s">
        <v>11</v>
      </c>
      <c r="E2343" s="2">
        <v>0</v>
      </c>
      <c r="F2343" s="2">
        <v>0</v>
      </c>
      <c r="G2343" s="2" t="s">
        <v>10</v>
      </c>
      <c r="H2343" s="2" t="s">
        <v>12</v>
      </c>
      <c r="I2343" s="2" t="s">
        <v>15</v>
      </c>
      <c r="J2343" s="2" t="s">
        <v>14</v>
      </c>
      <c r="K2343" s="2" t="s">
        <v>14</v>
      </c>
      <c r="L2343" s="2" t="s">
        <v>14</v>
      </c>
      <c r="M2343" s="2" t="s">
        <v>14</v>
      </c>
      <c r="N2343" s="2" t="s">
        <v>14</v>
      </c>
      <c r="O2343" s="2">
        <v>1</v>
      </c>
    </row>
    <row r="2344" spans="1:15" ht="15" customHeight="1" x14ac:dyDescent="0.25">
      <c r="A2344" s="3">
        <v>10</v>
      </c>
      <c r="B2344" s="3" t="s">
        <v>18</v>
      </c>
      <c r="C2344" s="3" t="s">
        <v>11</v>
      </c>
      <c r="D2344" s="3" t="s">
        <v>11</v>
      </c>
      <c r="E2344" s="3">
        <v>0</v>
      </c>
      <c r="F2344" s="3">
        <v>1</v>
      </c>
      <c r="G2344" s="3" t="s">
        <v>10</v>
      </c>
      <c r="H2344" s="3" t="s">
        <v>12</v>
      </c>
      <c r="I2344" s="3">
        <v>1</v>
      </c>
      <c r="J2344" s="2" t="s">
        <v>14</v>
      </c>
      <c r="K2344" s="2" t="s">
        <v>14</v>
      </c>
      <c r="L2344" s="2" t="s">
        <v>14</v>
      </c>
      <c r="M2344" s="2" t="s">
        <v>14</v>
      </c>
      <c r="N2344" s="2" t="s">
        <v>14</v>
      </c>
      <c r="O2344" s="3">
        <v>1</v>
      </c>
    </row>
    <row r="2345" spans="1:15" ht="15" customHeight="1" x14ac:dyDescent="0.25">
      <c r="A2345" s="2">
        <v>20</v>
      </c>
      <c r="B2345" s="2" t="s">
        <v>10</v>
      </c>
      <c r="C2345" s="2" t="s">
        <v>11</v>
      </c>
      <c r="D2345" s="2" t="s">
        <v>11</v>
      </c>
      <c r="E2345" s="2">
        <v>1</v>
      </c>
      <c r="F2345" s="2">
        <v>0</v>
      </c>
      <c r="G2345" s="2" t="s">
        <v>10</v>
      </c>
      <c r="H2345" s="2" t="s">
        <v>12</v>
      </c>
      <c r="I2345" s="2">
        <v>2</v>
      </c>
      <c r="J2345" s="2" t="s">
        <v>14</v>
      </c>
      <c r="K2345" s="2" t="s">
        <v>14</v>
      </c>
      <c r="L2345" s="2" t="s">
        <v>14</v>
      </c>
      <c r="M2345" s="2" t="s">
        <v>13</v>
      </c>
      <c r="N2345" s="2" t="s">
        <v>13</v>
      </c>
      <c r="O2345" s="2">
        <v>0</v>
      </c>
    </row>
    <row r="2346" spans="1:15" ht="15" customHeight="1" x14ac:dyDescent="0.25">
      <c r="A2346" s="3">
        <v>0</v>
      </c>
      <c r="B2346" s="3" t="s">
        <v>14</v>
      </c>
      <c r="C2346" s="3" t="s">
        <v>19</v>
      </c>
      <c r="D2346" s="3" t="s">
        <v>19</v>
      </c>
      <c r="E2346" s="3">
        <v>0</v>
      </c>
      <c r="F2346" s="3">
        <v>0</v>
      </c>
      <c r="G2346" s="3" t="s">
        <v>10</v>
      </c>
      <c r="H2346" s="3" t="s">
        <v>12</v>
      </c>
      <c r="I2346" s="3">
        <v>2</v>
      </c>
      <c r="J2346" s="2" t="s">
        <v>14</v>
      </c>
      <c r="K2346" s="2" t="s">
        <v>14</v>
      </c>
      <c r="L2346" s="2" t="s">
        <v>14</v>
      </c>
      <c r="M2346" s="2" t="s">
        <v>14</v>
      </c>
      <c r="N2346" s="2" t="s">
        <v>14</v>
      </c>
      <c r="O2346" s="3">
        <v>1</v>
      </c>
    </row>
    <row r="2347" spans="1:15" ht="15" customHeight="1" x14ac:dyDescent="0.25">
      <c r="A2347" s="2">
        <v>5</v>
      </c>
      <c r="B2347" s="2" t="s">
        <v>10</v>
      </c>
      <c r="C2347" s="2" t="s">
        <v>19</v>
      </c>
      <c r="D2347" s="2" t="s">
        <v>19</v>
      </c>
      <c r="E2347" s="2">
        <v>0</v>
      </c>
      <c r="F2347" s="2">
        <v>2</v>
      </c>
      <c r="G2347" s="2" t="s">
        <v>10</v>
      </c>
      <c r="H2347" s="2" t="s">
        <v>12</v>
      </c>
      <c r="I2347" s="2">
        <v>2</v>
      </c>
      <c r="J2347" s="2" t="s">
        <v>14</v>
      </c>
      <c r="K2347" s="2" t="s">
        <v>14</v>
      </c>
      <c r="L2347" s="2" t="s">
        <v>14</v>
      </c>
      <c r="M2347" s="2" t="s">
        <v>14</v>
      </c>
      <c r="N2347" s="2" t="s">
        <v>14</v>
      </c>
      <c r="O2347" s="2">
        <v>1</v>
      </c>
    </row>
    <row r="2348" spans="1:15" ht="15" customHeight="1" x14ac:dyDescent="0.25">
      <c r="A2348" s="3">
        <v>5</v>
      </c>
      <c r="B2348" s="3" t="s">
        <v>18</v>
      </c>
      <c r="C2348" s="3" t="s">
        <v>19</v>
      </c>
      <c r="D2348" s="3" t="s">
        <v>19</v>
      </c>
      <c r="E2348" s="3">
        <v>0</v>
      </c>
      <c r="F2348" s="3">
        <v>0</v>
      </c>
      <c r="G2348" s="3" t="s">
        <v>10</v>
      </c>
      <c r="H2348" s="3" t="s">
        <v>12</v>
      </c>
      <c r="I2348" s="3">
        <v>1</v>
      </c>
      <c r="J2348" s="2" t="s">
        <v>14</v>
      </c>
      <c r="K2348" s="2" t="s">
        <v>14</v>
      </c>
      <c r="L2348" s="2" t="s">
        <v>14</v>
      </c>
      <c r="M2348" s="2" t="s">
        <v>14</v>
      </c>
      <c r="N2348" s="2" t="s">
        <v>14</v>
      </c>
      <c r="O2348" s="3">
        <v>1</v>
      </c>
    </row>
    <row r="2349" spans="1:15" ht="15" customHeight="1" x14ac:dyDescent="0.25">
      <c r="A2349" s="2">
        <v>5</v>
      </c>
      <c r="B2349" s="2" t="s">
        <v>10</v>
      </c>
      <c r="C2349" s="2" t="s">
        <v>11</v>
      </c>
      <c r="D2349" s="2" t="s">
        <v>11</v>
      </c>
      <c r="E2349" s="2">
        <v>0</v>
      </c>
      <c r="F2349" s="2">
        <v>0</v>
      </c>
      <c r="G2349" s="2" t="s">
        <v>10</v>
      </c>
      <c r="H2349" s="2" t="s">
        <v>12</v>
      </c>
      <c r="I2349" s="2" t="s">
        <v>15</v>
      </c>
      <c r="J2349" s="2" t="s">
        <v>14</v>
      </c>
      <c r="K2349" s="2" t="s">
        <v>14</v>
      </c>
      <c r="L2349" s="2" t="s">
        <v>14</v>
      </c>
      <c r="M2349" s="2" t="s">
        <v>14</v>
      </c>
      <c r="N2349" s="2" t="s">
        <v>14</v>
      </c>
      <c r="O2349" s="2">
        <v>1</v>
      </c>
    </row>
    <row r="2350" spans="1:15" ht="15" customHeight="1" x14ac:dyDescent="0.25">
      <c r="A2350" s="3">
        <v>5</v>
      </c>
      <c r="B2350" s="3" t="s">
        <v>18</v>
      </c>
      <c r="C2350" s="3" t="s">
        <v>11</v>
      </c>
      <c r="D2350" s="3" t="s">
        <v>11</v>
      </c>
      <c r="E2350" s="3">
        <v>0</v>
      </c>
      <c r="F2350" s="3">
        <v>0</v>
      </c>
      <c r="G2350" s="3" t="s">
        <v>10</v>
      </c>
      <c r="H2350" s="3" t="s">
        <v>12</v>
      </c>
      <c r="I2350" s="3" t="s">
        <v>15</v>
      </c>
      <c r="J2350" s="2" t="s">
        <v>14</v>
      </c>
      <c r="K2350" s="2" t="s">
        <v>14</v>
      </c>
      <c r="L2350" s="2" t="s">
        <v>14</v>
      </c>
      <c r="M2350" s="2" t="s">
        <v>14</v>
      </c>
      <c r="N2350" s="2" t="s">
        <v>14</v>
      </c>
      <c r="O2350" s="3">
        <v>1</v>
      </c>
    </row>
    <row r="2351" spans="1:15" ht="15" customHeight="1" x14ac:dyDescent="0.25">
      <c r="A2351" s="2">
        <v>5</v>
      </c>
      <c r="B2351" s="2" t="s">
        <v>10</v>
      </c>
      <c r="C2351" s="2" t="s">
        <v>11</v>
      </c>
      <c r="D2351" s="2" t="s">
        <v>11</v>
      </c>
      <c r="E2351" s="2">
        <v>0</v>
      </c>
      <c r="F2351" s="2">
        <v>0</v>
      </c>
      <c r="G2351" s="2" t="s">
        <v>10</v>
      </c>
      <c r="H2351" s="2" t="s">
        <v>12</v>
      </c>
      <c r="I2351" s="2" t="s">
        <v>15</v>
      </c>
      <c r="J2351" s="2" t="s">
        <v>14</v>
      </c>
      <c r="K2351" s="2" t="s">
        <v>14</v>
      </c>
      <c r="L2351" s="2" t="s">
        <v>14</v>
      </c>
      <c r="M2351" s="2" t="s">
        <v>14</v>
      </c>
      <c r="N2351" s="2" t="s">
        <v>14</v>
      </c>
      <c r="O2351" s="2">
        <v>1</v>
      </c>
    </row>
    <row r="2352" spans="1:15" ht="15" customHeight="1" x14ac:dyDescent="0.25">
      <c r="A2352" s="3">
        <v>10</v>
      </c>
      <c r="B2352" s="3" t="s">
        <v>10</v>
      </c>
      <c r="C2352" s="3" t="s">
        <v>11</v>
      </c>
      <c r="D2352" s="3" t="s">
        <v>11</v>
      </c>
      <c r="E2352" s="3">
        <v>0</v>
      </c>
      <c r="F2352" s="3">
        <v>1</v>
      </c>
      <c r="G2352" s="3" t="s">
        <v>10</v>
      </c>
      <c r="H2352" s="3" t="s">
        <v>12</v>
      </c>
      <c r="I2352" s="3" t="s">
        <v>15</v>
      </c>
      <c r="J2352" s="2" t="s">
        <v>14</v>
      </c>
      <c r="K2352" s="2" t="s">
        <v>14</v>
      </c>
      <c r="L2352" s="2" t="s">
        <v>14</v>
      </c>
      <c r="M2352" s="2" t="s">
        <v>14</v>
      </c>
      <c r="N2352" s="2" t="s">
        <v>14</v>
      </c>
      <c r="O2352" s="3">
        <v>1</v>
      </c>
    </row>
    <row r="2353" spans="1:15" ht="15" customHeight="1" x14ac:dyDescent="0.25">
      <c r="A2353" s="2">
        <v>20</v>
      </c>
      <c r="B2353" s="2" t="s">
        <v>10</v>
      </c>
      <c r="C2353" s="2" t="s">
        <v>19</v>
      </c>
      <c r="D2353" s="2" t="s">
        <v>19</v>
      </c>
      <c r="E2353" s="2">
        <v>0</v>
      </c>
      <c r="F2353" s="2">
        <v>0</v>
      </c>
      <c r="G2353" s="2" t="s">
        <v>17</v>
      </c>
      <c r="H2353" s="2" t="s">
        <v>106</v>
      </c>
      <c r="I2353" s="2">
        <v>1</v>
      </c>
      <c r="J2353" s="2" t="s">
        <v>14</v>
      </c>
      <c r="K2353" s="2" t="s">
        <v>13</v>
      </c>
      <c r="L2353" s="2" t="s">
        <v>13</v>
      </c>
      <c r="M2353" s="2" t="s">
        <v>13</v>
      </c>
      <c r="N2353" s="2" t="s">
        <v>14</v>
      </c>
      <c r="O2353" s="2">
        <v>0</v>
      </c>
    </row>
    <row r="2354" spans="1:15" ht="15" customHeight="1" x14ac:dyDescent="0.25">
      <c r="A2354" s="3">
        <v>0</v>
      </c>
      <c r="B2354" s="3" t="s">
        <v>10</v>
      </c>
      <c r="C2354" s="3" t="s">
        <v>19</v>
      </c>
      <c r="D2354" s="3" t="s">
        <v>19</v>
      </c>
      <c r="E2354" s="3">
        <v>0</v>
      </c>
      <c r="F2354" s="3">
        <v>0</v>
      </c>
      <c r="G2354" s="3" t="s">
        <v>10</v>
      </c>
      <c r="H2354" s="3" t="s">
        <v>12</v>
      </c>
      <c r="I2354" s="3">
        <v>2</v>
      </c>
      <c r="J2354" s="2" t="s">
        <v>14</v>
      </c>
      <c r="K2354" s="3" t="s">
        <v>13</v>
      </c>
      <c r="L2354" s="3" t="s">
        <v>14</v>
      </c>
      <c r="M2354" s="3" t="s">
        <v>14</v>
      </c>
      <c r="N2354" s="2" t="s">
        <v>14</v>
      </c>
      <c r="O2354" s="3">
        <v>1</v>
      </c>
    </row>
    <row r="2355" spans="1:15" ht="15" customHeight="1" x14ac:dyDescent="0.25">
      <c r="A2355" s="2">
        <v>10</v>
      </c>
      <c r="B2355" s="2" t="s">
        <v>18</v>
      </c>
      <c r="C2355" s="2" t="s">
        <v>19</v>
      </c>
      <c r="D2355" s="2" t="s">
        <v>19</v>
      </c>
      <c r="E2355" s="2">
        <v>0</v>
      </c>
      <c r="F2355" s="2">
        <v>1</v>
      </c>
      <c r="G2355" s="2" t="s">
        <v>10</v>
      </c>
      <c r="H2355" s="2" t="s">
        <v>12</v>
      </c>
      <c r="I2355" s="2">
        <v>1</v>
      </c>
      <c r="J2355" s="2" t="s">
        <v>14</v>
      </c>
      <c r="K2355" s="2" t="s">
        <v>14</v>
      </c>
      <c r="L2355" s="2" t="s">
        <v>14</v>
      </c>
      <c r="M2355" s="2" t="s">
        <v>14</v>
      </c>
      <c r="N2355" s="2" t="s">
        <v>14</v>
      </c>
      <c r="O2355" s="2">
        <v>1</v>
      </c>
    </row>
    <row r="2356" spans="1:15" ht="15" customHeight="1" x14ac:dyDescent="0.25">
      <c r="A2356" s="3">
        <v>10</v>
      </c>
      <c r="B2356" s="3" t="s">
        <v>18</v>
      </c>
      <c r="C2356" s="3" t="s">
        <v>19</v>
      </c>
      <c r="D2356" s="3" t="s">
        <v>19</v>
      </c>
      <c r="E2356" s="3">
        <v>0</v>
      </c>
      <c r="F2356" s="3">
        <v>0</v>
      </c>
      <c r="G2356" s="3" t="s">
        <v>10</v>
      </c>
      <c r="H2356" s="3" t="s">
        <v>12</v>
      </c>
      <c r="I2356" s="3">
        <v>2</v>
      </c>
      <c r="J2356" s="2" t="s">
        <v>14</v>
      </c>
      <c r="K2356" s="2" t="s">
        <v>14</v>
      </c>
      <c r="L2356" s="2" t="s">
        <v>14</v>
      </c>
      <c r="M2356" s="2" t="s">
        <v>14</v>
      </c>
      <c r="N2356" s="2" t="s">
        <v>14</v>
      </c>
      <c r="O2356" s="3">
        <v>1</v>
      </c>
    </row>
    <row r="2357" spans="1:15" ht="15" customHeight="1" x14ac:dyDescent="0.25">
      <c r="A2357" s="2">
        <v>10</v>
      </c>
      <c r="B2357" s="2" t="s">
        <v>10</v>
      </c>
      <c r="C2357" s="2" t="s">
        <v>19</v>
      </c>
      <c r="D2357" s="2" t="s">
        <v>19</v>
      </c>
      <c r="E2357" s="2">
        <v>0</v>
      </c>
      <c r="F2357" s="2">
        <v>0</v>
      </c>
      <c r="G2357" s="2" t="s">
        <v>10</v>
      </c>
      <c r="H2357" s="2" t="s">
        <v>12</v>
      </c>
      <c r="I2357" s="2">
        <v>2</v>
      </c>
      <c r="J2357" s="2" t="s">
        <v>14</v>
      </c>
      <c r="K2357" s="2" t="s">
        <v>14</v>
      </c>
      <c r="L2357" s="2" t="s">
        <v>14</v>
      </c>
      <c r="M2357" s="2" t="s">
        <v>14</v>
      </c>
      <c r="N2357" s="2" t="s">
        <v>14</v>
      </c>
      <c r="O2357" s="2">
        <v>1</v>
      </c>
    </row>
    <row r="2358" spans="1:15" ht="15" customHeight="1" x14ac:dyDescent="0.25">
      <c r="A2358" s="3">
        <v>5</v>
      </c>
      <c r="B2358" s="3" t="s">
        <v>10</v>
      </c>
      <c r="C2358" s="3" t="s">
        <v>19</v>
      </c>
      <c r="D2358" s="3" t="s">
        <v>19</v>
      </c>
      <c r="E2358" s="3">
        <v>0</v>
      </c>
      <c r="F2358" s="3">
        <v>1</v>
      </c>
      <c r="G2358" s="3" t="s">
        <v>10</v>
      </c>
      <c r="H2358" s="3" t="s">
        <v>12</v>
      </c>
      <c r="I2358" s="3" t="s">
        <v>15</v>
      </c>
      <c r="J2358" s="2" t="s">
        <v>14</v>
      </c>
      <c r="K2358" s="2" t="s">
        <v>14</v>
      </c>
      <c r="L2358" s="2" t="s">
        <v>14</v>
      </c>
      <c r="M2358" s="2" t="s">
        <v>14</v>
      </c>
      <c r="N2358" s="2" t="s">
        <v>14</v>
      </c>
      <c r="O2358" s="3">
        <v>1</v>
      </c>
    </row>
    <row r="2359" spans="1:15" ht="15" customHeight="1" x14ac:dyDescent="0.25">
      <c r="A2359" s="2">
        <v>5</v>
      </c>
      <c r="B2359" s="2" t="s">
        <v>10</v>
      </c>
      <c r="C2359" s="2" t="s">
        <v>19</v>
      </c>
      <c r="D2359" s="2" t="s">
        <v>19</v>
      </c>
      <c r="E2359" s="2">
        <v>0</v>
      </c>
      <c r="F2359" s="2">
        <v>2</v>
      </c>
      <c r="G2359" s="2" t="s">
        <v>10</v>
      </c>
      <c r="H2359" s="2" t="s">
        <v>12</v>
      </c>
      <c r="I2359" s="2">
        <v>1</v>
      </c>
      <c r="J2359" s="2" t="s">
        <v>14</v>
      </c>
      <c r="K2359" s="2" t="s">
        <v>14</v>
      </c>
      <c r="L2359" s="2" t="s">
        <v>14</v>
      </c>
      <c r="M2359" s="2" t="s">
        <v>14</v>
      </c>
      <c r="N2359" s="2" t="s">
        <v>14</v>
      </c>
      <c r="O2359" s="2">
        <v>0</v>
      </c>
    </row>
    <row r="2360" spans="1:15" ht="15" customHeight="1" x14ac:dyDescent="0.25">
      <c r="A2360" s="3">
        <v>20</v>
      </c>
      <c r="B2360" s="3" t="s">
        <v>18</v>
      </c>
      <c r="C2360" s="3" t="s">
        <v>20</v>
      </c>
      <c r="D2360" s="3" t="s">
        <v>20</v>
      </c>
      <c r="E2360" s="3">
        <v>0</v>
      </c>
      <c r="F2360" s="3">
        <v>0</v>
      </c>
      <c r="G2360" s="3" t="s">
        <v>10</v>
      </c>
      <c r="H2360" s="3" t="s">
        <v>12</v>
      </c>
      <c r="I2360" s="3">
        <v>1</v>
      </c>
      <c r="J2360" s="2" t="s">
        <v>14</v>
      </c>
      <c r="K2360" s="3" t="s">
        <v>13</v>
      </c>
      <c r="L2360" s="3" t="s">
        <v>13</v>
      </c>
      <c r="M2360" s="3" t="s">
        <v>14</v>
      </c>
      <c r="N2360" s="2" t="s">
        <v>14</v>
      </c>
      <c r="O2360" s="3">
        <v>1</v>
      </c>
    </row>
    <row r="2361" spans="1:15" ht="15" customHeight="1" x14ac:dyDescent="0.25">
      <c r="A2361" s="2">
        <v>30</v>
      </c>
      <c r="B2361" s="2" t="s">
        <v>10</v>
      </c>
      <c r="C2361" s="2" t="s">
        <v>19</v>
      </c>
      <c r="D2361" s="2" t="s">
        <v>20</v>
      </c>
      <c r="E2361" s="2">
        <v>0</v>
      </c>
      <c r="F2361" s="2">
        <v>0</v>
      </c>
      <c r="G2361" s="2" t="s">
        <v>10</v>
      </c>
      <c r="H2361" s="2" t="s">
        <v>16</v>
      </c>
      <c r="I2361" s="2" t="s">
        <v>15</v>
      </c>
      <c r="J2361" s="2" t="s">
        <v>14</v>
      </c>
      <c r="K2361" s="2" t="s">
        <v>14</v>
      </c>
      <c r="L2361" s="2" t="s">
        <v>14</v>
      </c>
      <c r="M2361" s="2" t="s">
        <v>13</v>
      </c>
      <c r="N2361" s="2" t="s">
        <v>13</v>
      </c>
      <c r="O2361" s="2">
        <v>1</v>
      </c>
    </row>
    <row r="2362" spans="1:15" ht="15" customHeight="1" x14ac:dyDescent="0.25">
      <c r="A2362" s="3">
        <v>5</v>
      </c>
      <c r="B2362" s="3" t="s">
        <v>10</v>
      </c>
      <c r="C2362" s="3" t="s">
        <v>19</v>
      </c>
      <c r="D2362" s="3" t="s">
        <v>19</v>
      </c>
      <c r="E2362" s="3">
        <v>0</v>
      </c>
      <c r="F2362" s="3">
        <v>1</v>
      </c>
      <c r="G2362" s="3" t="s">
        <v>10</v>
      </c>
      <c r="H2362" s="3" t="s">
        <v>12</v>
      </c>
      <c r="I2362" s="3">
        <v>2</v>
      </c>
      <c r="J2362" s="2" t="s">
        <v>14</v>
      </c>
      <c r="K2362" s="3" t="s">
        <v>13</v>
      </c>
      <c r="L2362" s="3" t="s">
        <v>13</v>
      </c>
      <c r="M2362" s="3" t="s">
        <v>13</v>
      </c>
      <c r="N2362" s="2" t="s">
        <v>14</v>
      </c>
      <c r="O2362" s="3">
        <v>1</v>
      </c>
    </row>
    <row r="2363" spans="1:15" ht="15" customHeight="1" x14ac:dyDescent="0.25">
      <c r="A2363" s="2">
        <v>5</v>
      </c>
      <c r="B2363" s="2" t="s">
        <v>14</v>
      </c>
      <c r="C2363" s="2" t="s">
        <v>19</v>
      </c>
      <c r="D2363" s="2" t="s">
        <v>19</v>
      </c>
      <c r="E2363" s="2">
        <v>0</v>
      </c>
      <c r="F2363" s="2">
        <v>0</v>
      </c>
      <c r="G2363" s="2" t="s">
        <v>10</v>
      </c>
      <c r="H2363" s="2" t="s">
        <v>12</v>
      </c>
      <c r="I2363" s="2" t="s">
        <v>15</v>
      </c>
      <c r="J2363" s="2" t="s">
        <v>14</v>
      </c>
      <c r="K2363" s="2" t="s">
        <v>14</v>
      </c>
      <c r="L2363" s="2" t="s">
        <v>14</v>
      </c>
      <c r="M2363" s="2" t="s">
        <v>14</v>
      </c>
      <c r="N2363" s="2" t="s">
        <v>14</v>
      </c>
      <c r="O2363" s="2">
        <v>1</v>
      </c>
    </row>
    <row r="2364" spans="1:15" ht="15" customHeight="1" x14ac:dyDescent="0.25">
      <c r="A2364" s="3">
        <v>0</v>
      </c>
      <c r="B2364" s="3" t="s">
        <v>18</v>
      </c>
      <c r="C2364" s="3" t="s">
        <v>19</v>
      </c>
      <c r="D2364" s="3" t="s">
        <v>19</v>
      </c>
      <c r="E2364" s="3">
        <v>0</v>
      </c>
      <c r="F2364" s="3">
        <v>0</v>
      </c>
      <c r="G2364" s="3" t="s">
        <v>10</v>
      </c>
      <c r="H2364" s="3" t="s">
        <v>12</v>
      </c>
      <c r="I2364" s="3">
        <v>2</v>
      </c>
      <c r="J2364" s="2" t="s">
        <v>14</v>
      </c>
      <c r="K2364" s="2" t="s">
        <v>14</v>
      </c>
      <c r="L2364" s="2" t="s">
        <v>14</v>
      </c>
      <c r="M2364" s="2" t="s">
        <v>14</v>
      </c>
      <c r="N2364" s="2" t="s">
        <v>14</v>
      </c>
      <c r="O2364" s="3">
        <v>1</v>
      </c>
    </row>
    <row r="2365" spans="1:15" ht="15" customHeight="1" x14ac:dyDescent="0.25">
      <c r="A2365" s="2">
        <v>20</v>
      </c>
      <c r="B2365" s="2" t="s">
        <v>14</v>
      </c>
      <c r="C2365" s="2" t="s">
        <v>19</v>
      </c>
      <c r="D2365" s="2" t="s">
        <v>19</v>
      </c>
      <c r="E2365" s="2">
        <v>0</v>
      </c>
      <c r="F2365" s="2">
        <v>0</v>
      </c>
      <c r="G2365" s="2" t="s">
        <v>10</v>
      </c>
      <c r="H2365" s="2" t="s">
        <v>12</v>
      </c>
      <c r="I2365" s="2" t="s">
        <v>15</v>
      </c>
      <c r="J2365" s="2" t="s">
        <v>14</v>
      </c>
      <c r="K2365" s="2" t="s">
        <v>14</v>
      </c>
      <c r="L2365" s="2" t="s">
        <v>14</v>
      </c>
      <c r="M2365" s="2" t="s">
        <v>13</v>
      </c>
      <c r="N2365" s="2" t="s">
        <v>13</v>
      </c>
      <c r="O2365" s="2">
        <v>1</v>
      </c>
    </row>
    <row r="2366" spans="1:15" ht="15" customHeight="1" x14ac:dyDescent="0.25">
      <c r="A2366" s="3">
        <v>10</v>
      </c>
      <c r="B2366" s="3" t="s">
        <v>18</v>
      </c>
      <c r="C2366" s="3" t="s">
        <v>19</v>
      </c>
      <c r="D2366" s="3" t="s">
        <v>19</v>
      </c>
      <c r="E2366" s="3">
        <v>0</v>
      </c>
      <c r="F2366" s="3">
        <v>0</v>
      </c>
      <c r="G2366" s="3" t="s">
        <v>10</v>
      </c>
      <c r="H2366" s="3" t="s">
        <v>12</v>
      </c>
      <c r="I2366" s="3" t="s">
        <v>15</v>
      </c>
      <c r="J2366" s="2" t="s">
        <v>14</v>
      </c>
      <c r="K2366" s="2" t="s">
        <v>14</v>
      </c>
      <c r="L2366" s="2" t="s">
        <v>14</v>
      </c>
      <c r="M2366" s="2" t="s">
        <v>14</v>
      </c>
      <c r="N2366" s="2" t="s">
        <v>14</v>
      </c>
      <c r="O2366" s="3">
        <v>1</v>
      </c>
    </row>
    <row r="2367" spans="1:15" ht="15" customHeight="1" x14ac:dyDescent="0.25">
      <c r="A2367" s="2">
        <v>10</v>
      </c>
      <c r="B2367" s="2" t="s">
        <v>18</v>
      </c>
      <c r="C2367" s="2" t="s">
        <v>19</v>
      </c>
      <c r="D2367" s="2" t="s">
        <v>19</v>
      </c>
      <c r="E2367" s="2">
        <v>0</v>
      </c>
      <c r="F2367" s="2">
        <v>0</v>
      </c>
      <c r="G2367" s="2" t="s">
        <v>10</v>
      </c>
      <c r="H2367" s="2" t="s">
        <v>12</v>
      </c>
      <c r="I2367" s="2" t="s">
        <v>15</v>
      </c>
      <c r="J2367" s="2" t="s">
        <v>14</v>
      </c>
      <c r="K2367" s="2" t="s">
        <v>14</v>
      </c>
      <c r="L2367" s="2" t="s">
        <v>14</v>
      </c>
      <c r="M2367" s="2" t="s">
        <v>14</v>
      </c>
      <c r="N2367" s="2" t="s">
        <v>14</v>
      </c>
      <c r="O2367" s="2">
        <v>1</v>
      </c>
    </row>
    <row r="2368" spans="1:15" ht="15" customHeight="1" x14ac:dyDescent="0.25">
      <c r="A2368" s="3">
        <v>20</v>
      </c>
      <c r="B2368" s="3" t="s">
        <v>18</v>
      </c>
      <c r="C2368" s="3" t="s">
        <v>20</v>
      </c>
      <c r="D2368" s="3" t="s">
        <v>19</v>
      </c>
      <c r="E2368" s="3">
        <v>0</v>
      </c>
      <c r="F2368" s="3">
        <v>0</v>
      </c>
      <c r="G2368" s="3" t="s">
        <v>10</v>
      </c>
      <c r="H2368" s="3" t="s">
        <v>12</v>
      </c>
      <c r="I2368" s="3">
        <v>2</v>
      </c>
      <c r="J2368" s="2" t="s">
        <v>14</v>
      </c>
      <c r="K2368" s="2" t="s">
        <v>14</v>
      </c>
      <c r="L2368" s="2" t="s">
        <v>14</v>
      </c>
      <c r="M2368" s="2" t="s">
        <v>14</v>
      </c>
      <c r="N2368" s="2" t="s">
        <v>14</v>
      </c>
      <c r="O2368" s="3">
        <v>1</v>
      </c>
    </row>
    <row r="2369" spans="1:15" ht="15" customHeight="1" x14ac:dyDescent="0.25">
      <c r="A2369" s="2">
        <v>30</v>
      </c>
      <c r="B2369" s="2" t="s">
        <v>10</v>
      </c>
      <c r="C2369" s="2" t="s">
        <v>11</v>
      </c>
      <c r="D2369" s="2" t="s">
        <v>20</v>
      </c>
      <c r="E2369" s="2">
        <v>1</v>
      </c>
      <c r="F2369" s="2">
        <v>0</v>
      </c>
      <c r="G2369" s="2" t="s">
        <v>10</v>
      </c>
      <c r="H2369" s="2" t="s">
        <v>12</v>
      </c>
      <c r="I2369" s="2" t="s">
        <v>15</v>
      </c>
      <c r="J2369" s="2" t="s">
        <v>14</v>
      </c>
      <c r="K2369" s="2" t="s">
        <v>14</v>
      </c>
      <c r="L2369" s="2" t="s">
        <v>14</v>
      </c>
      <c r="M2369" s="2" t="s">
        <v>13</v>
      </c>
      <c r="N2369" s="2" t="s">
        <v>14</v>
      </c>
      <c r="O2369" s="2">
        <v>0</v>
      </c>
    </row>
    <row r="2370" spans="1:15" ht="15" customHeight="1" x14ac:dyDescent="0.25">
      <c r="A2370" s="3">
        <v>0</v>
      </c>
      <c r="B2370" s="3" t="s">
        <v>10</v>
      </c>
      <c r="C2370" s="3" t="s">
        <v>11</v>
      </c>
      <c r="D2370" s="3" t="s">
        <v>11</v>
      </c>
      <c r="E2370" s="3">
        <v>0</v>
      </c>
      <c r="F2370" s="3">
        <v>0</v>
      </c>
      <c r="G2370" s="3" t="s">
        <v>10</v>
      </c>
      <c r="H2370" s="3" t="s">
        <v>12</v>
      </c>
      <c r="I2370" s="3" t="s">
        <v>15</v>
      </c>
      <c r="J2370" s="2" t="s">
        <v>14</v>
      </c>
      <c r="K2370" s="3" t="s">
        <v>13</v>
      </c>
      <c r="L2370" s="2" t="s">
        <v>14</v>
      </c>
      <c r="M2370" s="2" t="s">
        <v>14</v>
      </c>
      <c r="N2370" s="2" t="s">
        <v>14</v>
      </c>
      <c r="O2370" s="3">
        <v>1</v>
      </c>
    </row>
    <row r="2371" spans="1:15" ht="15" customHeight="1" x14ac:dyDescent="0.25">
      <c r="A2371" s="2">
        <v>30</v>
      </c>
      <c r="B2371" s="2" t="s">
        <v>10</v>
      </c>
      <c r="C2371" s="2" t="s">
        <v>11</v>
      </c>
      <c r="D2371" s="2" t="s">
        <v>19</v>
      </c>
      <c r="E2371" s="2">
        <v>1</v>
      </c>
      <c r="F2371" s="2">
        <v>0</v>
      </c>
      <c r="G2371" s="2" t="s">
        <v>10</v>
      </c>
      <c r="H2371" s="2" t="s">
        <v>12</v>
      </c>
      <c r="I2371" s="2" t="s">
        <v>15</v>
      </c>
      <c r="J2371" s="2" t="s">
        <v>14</v>
      </c>
      <c r="K2371" s="2" t="s">
        <v>14</v>
      </c>
      <c r="L2371" s="2" t="s">
        <v>14</v>
      </c>
      <c r="M2371" s="2" t="s">
        <v>13</v>
      </c>
      <c r="N2371" s="2" t="s">
        <v>13</v>
      </c>
      <c r="O2371" s="2">
        <v>0</v>
      </c>
    </row>
    <row r="2372" spans="1:15" ht="15" customHeight="1" x14ac:dyDescent="0.25">
      <c r="A2372" s="3">
        <v>10</v>
      </c>
      <c r="B2372" s="3" t="s">
        <v>10</v>
      </c>
      <c r="C2372" s="3" t="s">
        <v>20</v>
      </c>
      <c r="D2372" s="3" t="s">
        <v>20</v>
      </c>
      <c r="E2372" s="3">
        <v>0</v>
      </c>
      <c r="F2372" s="3">
        <v>0</v>
      </c>
      <c r="G2372" s="3" t="s">
        <v>17</v>
      </c>
      <c r="H2372" s="3" t="s">
        <v>106</v>
      </c>
      <c r="I2372" s="3">
        <v>1</v>
      </c>
      <c r="J2372" s="2" t="s">
        <v>14</v>
      </c>
      <c r="K2372" s="3" t="s">
        <v>13</v>
      </c>
      <c r="L2372" s="3" t="s">
        <v>13</v>
      </c>
      <c r="M2372" s="3" t="s">
        <v>13</v>
      </c>
      <c r="N2372" s="2" t="s">
        <v>14</v>
      </c>
      <c r="O2372" s="3">
        <v>1</v>
      </c>
    </row>
    <row r="2373" spans="1:15" ht="15" customHeight="1" x14ac:dyDescent="0.25">
      <c r="A2373" s="2">
        <v>10</v>
      </c>
      <c r="B2373" s="2" t="s">
        <v>10</v>
      </c>
      <c r="C2373" s="2" t="s">
        <v>11</v>
      </c>
      <c r="D2373" s="2" t="s">
        <v>11</v>
      </c>
      <c r="E2373" s="2">
        <v>0</v>
      </c>
      <c r="F2373" s="2">
        <v>0</v>
      </c>
      <c r="G2373" s="2" t="s">
        <v>10</v>
      </c>
      <c r="H2373" s="2" t="s">
        <v>12</v>
      </c>
      <c r="I2373" s="2" t="s">
        <v>15</v>
      </c>
      <c r="J2373" s="2" t="s">
        <v>14</v>
      </c>
      <c r="K2373" s="2" t="s">
        <v>14</v>
      </c>
      <c r="L2373" s="2" t="s">
        <v>14</v>
      </c>
      <c r="M2373" s="2" t="s">
        <v>14</v>
      </c>
      <c r="N2373" s="2" t="s">
        <v>14</v>
      </c>
      <c r="O2373" s="2">
        <v>1</v>
      </c>
    </row>
    <row r="2374" spans="1:15" ht="15" customHeight="1" x14ac:dyDescent="0.25">
      <c r="A2374" s="3">
        <v>10</v>
      </c>
      <c r="B2374" s="3" t="s">
        <v>10</v>
      </c>
      <c r="C2374" s="3" t="s">
        <v>11</v>
      </c>
      <c r="D2374" s="3" t="s">
        <v>11</v>
      </c>
      <c r="E2374" s="3">
        <v>0</v>
      </c>
      <c r="F2374" s="3">
        <v>1</v>
      </c>
      <c r="G2374" s="3" t="s">
        <v>10</v>
      </c>
      <c r="H2374" s="3" t="s">
        <v>12</v>
      </c>
      <c r="I2374" s="3">
        <v>1</v>
      </c>
      <c r="J2374" s="2" t="s">
        <v>14</v>
      </c>
      <c r="K2374" s="2" t="s">
        <v>14</v>
      </c>
      <c r="L2374" s="2" t="s">
        <v>14</v>
      </c>
      <c r="M2374" s="3" t="s">
        <v>13</v>
      </c>
      <c r="N2374" s="3" t="s">
        <v>13</v>
      </c>
      <c r="O2374" s="3">
        <v>0</v>
      </c>
    </row>
    <row r="2375" spans="1:15" ht="15" customHeight="1" x14ac:dyDescent="0.25">
      <c r="A2375" s="2">
        <v>5</v>
      </c>
      <c r="B2375" s="2" t="s">
        <v>10</v>
      </c>
      <c r="C2375" s="2" t="s">
        <v>19</v>
      </c>
      <c r="D2375" s="2" t="s">
        <v>19</v>
      </c>
      <c r="E2375" s="2">
        <v>0</v>
      </c>
      <c r="F2375" s="2">
        <v>1</v>
      </c>
      <c r="G2375" s="2" t="s">
        <v>17</v>
      </c>
      <c r="H2375" s="2" t="s">
        <v>106</v>
      </c>
      <c r="I2375" s="2">
        <v>1</v>
      </c>
      <c r="J2375" s="2" t="s">
        <v>14</v>
      </c>
      <c r="K2375" s="2" t="s">
        <v>13</v>
      </c>
      <c r="L2375" s="2" t="s">
        <v>13</v>
      </c>
      <c r="M2375" s="2" t="s">
        <v>13</v>
      </c>
      <c r="N2375" s="2" t="s">
        <v>14</v>
      </c>
      <c r="O2375" s="2">
        <v>1</v>
      </c>
    </row>
    <row r="2376" spans="1:15" ht="15" customHeight="1" x14ac:dyDescent="0.25">
      <c r="A2376" s="3">
        <v>10</v>
      </c>
      <c r="B2376" s="3" t="s">
        <v>10</v>
      </c>
      <c r="C2376" s="3" t="s">
        <v>19</v>
      </c>
      <c r="D2376" s="3" t="s">
        <v>19</v>
      </c>
      <c r="E2376" s="3">
        <v>1</v>
      </c>
      <c r="F2376" s="3">
        <v>0</v>
      </c>
      <c r="G2376" s="3" t="s">
        <v>10</v>
      </c>
      <c r="H2376" s="3" t="s">
        <v>12</v>
      </c>
      <c r="I2376" s="3">
        <v>1</v>
      </c>
      <c r="J2376" s="3" t="s">
        <v>13</v>
      </c>
      <c r="K2376" s="3" t="s">
        <v>13</v>
      </c>
      <c r="L2376" s="3" t="s">
        <v>13</v>
      </c>
      <c r="M2376" s="3" t="s">
        <v>13</v>
      </c>
      <c r="N2376" s="2" t="s">
        <v>14</v>
      </c>
      <c r="O2376" s="3">
        <v>0</v>
      </c>
    </row>
    <row r="2377" spans="1:15" ht="15" customHeight="1" x14ac:dyDescent="0.25">
      <c r="A2377" s="2">
        <v>10</v>
      </c>
      <c r="B2377" s="2" t="s">
        <v>10</v>
      </c>
      <c r="C2377" s="2" t="s">
        <v>19</v>
      </c>
      <c r="D2377" s="2" t="s">
        <v>19</v>
      </c>
      <c r="E2377" s="2">
        <v>0</v>
      </c>
      <c r="F2377" s="2">
        <v>0</v>
      </c>
      <c r="G2377" s="2" t="s">
        <v>10</v>
      </c>
      <c r="H2377" s="2" t="s">
        <v>16</v>
      </c>
      <c r="I2377" s="2">
        <v>1</v>
      </c>
      <c r="J2377" s="2" t="s">
        <v>14</v>
      </c>
      <c r="K2377" s="2" t="s">
        <v>13</v>
      </c>
      <c r="L2377" s="2" t="s">
        <v>13</v>
      </c>
      <c r="M2377" s="2" t="s">
        <v>13</v>
      </c>
      <c r="N2377" s="2" t="s">
        <v>14</v>
      </c>
      <c r="O2377" s="2">
        <v>1</v>
      </c>
    </row>
    <row r="2378" spans="1:15" ht="15" customHeight="1" x14ac:dyDescent="0.25">
      <c r="A2378" s="3">
        <v>5</v>
      </c>
      <c r="B2378" s="3" t="s">
        <v>14</v>
      </c>
      <c r="C2378" s="3" t="s">
        <v>19</v>
      </c>
      <c r="D2378" s="3" t="s">
        <v>19</v>
      </c>
      <c r="E2378" s="3">
        <v>0</v>
      </c>
      <c r="F2378" s="3">
        <v>0</v>
      </c>
      <c r="G2378" s="3" t="s">
        <v>10</v>
      </c>
      <c r="H2378" s="3" t="s">
        <v>12</v>
      </c>
      <c r="I2378" s="3">
        <v>1</v>
      </c>
      <c r="J2378" s="2" t="s">
        <v>14</v>
      </c>
      <c r="K2378" s="3" t="s">
        <v>13</v>
      </c>
      <c r="L2378" s="3" t="s">
        <v>13</v>
      </c>
      <c r="M2378" s="3" t="s">
        <v>14</v>
      </c>
      <c r="N2378" s="2" t="s">
        <v>14</v>
      </c>
      <c r="O2378" s="3">
        <v>1</v>
      </c>
    </row>
    <row r="2379" spans="1:15" ht="15" customHeight="1" x14ac:dyDescent="0.25">
      <c r="A2379" s="2">
        <v>30</v>
      </c>
      <c r="B2379" s="2" t="s">
        <v>10</v>
      </c>
      <c r="C2379" s="2" t="s">
        <v>19</v>
      </c>
      <c r="D2379" s="2" t="s">
        <v>19</v>
      </c>
      <c r="E2379" s="2">
        <v>0</v>
      </c>
      <c r="F2379" s="2">
        <v>0</v>
      </c>
      <c r="G2379" s="2" t="s">
        <v>10</v>
      </c>
      <c r="H2379" s="2" t="s">
        <v>12</v>
      </c>
      <c r="I2379" s="2" t="s">
        <v>15</v>
      </c>
      <c r="J2379" s="2" t="s">
        <v>14</v>
      </c>
      <c r="K2379" s="2" t="s">
        <v>14</v>
      </c>
      <c r="L2379" s="2" t="s">
        <v>14</v>
      </c>
      <c r="M2379" s="2" t="s">
        <v>13</v>
      </c>
      <c r="N2379" s="2" t="s">
        <v>13</v>
      </c>
      <c r="O2379" s="2">
        <v>0</v>
      </c>
    </row>
    <row r="2380" spans="1:15" ht="15" customHeight="1" x14ac:dyDescent="0.25">
      <c r="A2380" s="3">
        <v>5</v>
      </c>
      <c r="B2380" s="3" t="s">
        <v>10</v>
      </c>
      <c r="C2380" s="3" t="s">
        <v>19</v>
      </c>
      <c r="D2380" s="3" t="s">
        <v>19</v>
      </c>
      <c r="E2380" s="3">
        <v>0</v>
      </c>
      <c r="F2380" s="3">
        <v>1</v>
      </c>
      <c r="G2380" s="3" t="s">
        <v>17</v>
      </c>
      <c r="H2380" s="3" t="s">
        <v>106</v>
      </c>
      <c r="I2380" s="3">
        <v>1</v>
      </c>
      <c r="J2380" s="2" t="s">
        <v>14</v>
      </c>
      <c r="K2380" s="3" t="s">
        <v>13</v>
      </c>
      <c r="L2380" s="3" t="s">
        <v>13</v>
      </c>
      <c r="M2380" s="3" t="s">
        <v>13</v>
      </c>
      <c r="N2380" s="2" t="s">
        <v>14</v>
      </c>
      <c r="O2380" s="3">
        <v>1</v>
      </c>
    </row>
    <row r="2381" spans="1:15" ht="15" customHeight="1" x14ac:dyDescent="0.25">
      <c r="A2381" s="2">
        <v>10</v>
      </c>
      <c r="B2381" s="2" t="s">
        <v>14</v>
      </c>
      <c r="C2381" s="2" t="s">
        <v>20</v>
      </c>
      <c r="D2381" s="2" t="s">
        <v>20</v>
      </c>
      <c r="E2381" s="2">
        <v>0</v>
      </c>
      <c r="F2381" s="2">
        <v>0</v>
      </c>
      <c r="G2381" s="2" t="s">
        <v>10</v>
      </c>
      <c r="H2381" s="2" t="s">
        <v>12</v>
      </c>
      <c r="I2381" s="2">
        <v>1</v>
      </c>
      <c r="J2381" s="2" t="s">
        <v>14</v>
      </c>
      <c r="K2381" s="2" t="s">
        <v>14</v>
      </c>
      <c r="L2381" s="2" t="s">
        <v>14</v>
      </c>
      <c r="M2381" s="2" t="s">
        <v>14</v>
      </c>
      <c r="N2381" s="2" t="s">
        <v>14</v>
      </c>
      <c r="O2381" s="2">
        <v>1</v>
      </c>
    </row>
    <row r="2382" spans="1:15" ht="15" customHeight="1" x14ac:dyDescent="0.25">
      <c r="A2382" s="3">
        <v>10</v>
      </c>
      <c r="B2382" s="3" t="s">
        <v>10</v>
      </c>
      <c r="C2382" s="3" t="s">
        <v>20</v>
      </c>
      <c r="D2382" s="3" t="s">
        <v>20</v>
      </c>
      <c r="E2382" s="3">
        <v>0</v>
      </c>
      <c r="F2382" s="3">
        <v>0</v>
      </c>
      <c r="G2382" s="3" t="s">
        <v>10</v>
      </c>
      <c r="H2382" s="3" t="s">
        <v>12</v>
      </c>
      <c r="I2382" s="3">
        <v>2</v>
      </c>
      <c r="J2382" s="2" t="s">
        <v>14</v>
      </c>
      <c r="K2382" s="2" t="s">
        <v>14</v>
      </c>
      <c r="L2382" s="2" t="s">
        <v>14</v>
      </c>
      <c r="M2382" s="2" t="s">
        <v>14</v>
      </c>
      <c r="N2382" s="2" t="s">
        <v>14</v>
      </c>
      <c r="O2382" s="3">
        <v>1</v>
      </c>
    </row>
    <row r="2383" spans="1:15" ht="15" customHeight="1" x14ac:dyDescent="0.25">
      <c r="A2383" s="2">
        <v>30</v>
      </c>
      <c r="B2383" s="2" t="s">
        <v>10</v>
      </c>
      <c r="C2383" s="2" t="s">
        <v>11</v>
      </c>
      <c r="D2383" s="2" t="s">
        <v>20</v>
      </c>
      <c r="E2383" s="2">
        <v>1</v>
      </c>
      <c r="F2383" s="2">
        <v>1</v>
      </c>
      <c r="G2383" s="2" t="s">
        <v>10</v>
      </c>
      <c r="H2383" s="2" t="s">
        <v>12</v>
      </c>
      <c r="I2383" s="2">
        <v>2</v>
      </c>
      <c r="J2383" s="2" t="s">
        <v>14</v>
      </c>
      <c r="K2383" s="2" t="s">
        <v>14</v>
      </c>
      <c r="L2383" s="2" t="s">
        <v>14</v>
      </c>
      <c r="M2383" s="2" t="s">
        <v>13</v>
      </c>
      <c r="N2383" s="2" t="s">
        <v>14</v>
      </c>
      <c r="O2383" s="2">
        <v>0</v>
      </c>
    </row>
    <row r="2384" spans="1:15" ht="15" customHeight="1" x14ac:dyDescent="0.25">
      <c r="A2384" s="3">
        <v>10</v>
      </c>
      <c r="B2384" s="3" t="s">
        <v>10</v>
      </c>
      <c r="C2384" s="3" t="s">
        <v>19</v>
      </c>
      <c r="D2384" s="3" t="s">
        <v>19</v>
      </c>
      <c r="E2384" s="3">
        <v>0</v>
      </c>
      <c r="F2384" s="3">
        <v>0</v>
      </c>
      <c r="G2384" s="3" t="s">
        <v>10</v>
      </c>
      <c r="H2384" s="3" t="s">
        <v>16</v>
      </c>
      <c r="I2384" s="3">
        <v>2</v>
      </c>
      <c r="J2384" s="2" t="s">
        <v>14</v>
      </c>
      <c r="K2384" s="2" t="s">
        <v>14</v>
      </c>
      <c r="L2384" s="2" t="s">
        <v>14</v>
      </c>
      <c r="M2384" s="2" t="s">
        <v>14</v>
      </c>
      <c r="N2384" s="2" t="s">
        <v>14</v>
      </c>
      <c r="O2384" s="3">
        <v>1</v>
      </c>
    </row>
    <row r="2385" spans="1:15" ht="15" customHeight="1" x14ac:dyDescent="0.25">
      <c r="A2385" s="2">
        <v>10</v>
      </c>
      <c r="B2385" s="2" t="s">
        <v>10</v>
      </c>
      <c r="C2385" s="2" t="s">
        <v>19</v>
      </c>
      <c r="D2385" s="2" t="s">
        <v>19</v>
      </c>
      <c r="E2385" s="2">
        <v>0</v>
      </c>
      <c r="F2385" s="2">
        <v>0</v>
      </c>
      <c r="G2385" s="2" t="s">
        <v>10</v>
      </c>
      <c r="H2385" s="2" t="s">
        <v>12</v>
      </c>
      <c r="I2385" s="2" t="s">
        <v>15</v>
      </c>
      <c r="J2385" s="2" t="s">
        <v>14</v>
      </c>
      <c r="K2385" s="2" t="s">
        <v>14</v>
      </c>
      <c r="L2385" s="2" t="s">
        <v>14</v>
      </c>
      <c r="M2385" s="2" t="s">
        <v>14</v>
      </c>
      <c r="N2385" s="2" t="s">
        <v>14</v>
      </c>
      <c r="O2385" s="2">
        <v>1</v>
      </c>
    </row>
    <row r="2386" spans="1:15" ht="15" customHeight="1" x14ac:dyDescent="0.25">
      <c r="A2386" s="3">
        <v>0</v>
      </c>
      <c r="B2386" s="3" t="s">
        <v>14</v>
      </c>
      <c r="C2386" s="3" t="s">
        <v>19</v>
      </c>
      <c r="D2386" s="3" t="s">
        <v>19</v>
      </c>
      <c r="E2386" s="3">
        <v>0</v>
      </c>
      <c r="F2386" s="3">
        <v>1</v>
      </c>
      <c r="G2386" s="3" t="s">
        <v>10</v>
      </c>
      <c r="H2386" s="3" t="s">
        <v>12</v>
      </c>
      <c r="I2386" s="3">
        <v>2</v>
      </c>
      <c r="J2386" s="2" t="s">
        <v>14</v>
      </c>
      <c r="K2386" s="2" t="s">
        <v>14</v>
      </c>
      <c r="L2386" s="3" t="s">
        <v>13</v>
      </c>
      <c r="M2386" s="3" t="s">
        <v>13</v>
      </c>
      <c r="N2386" s="2" t="s">
        <v>14</v>
      </c>
      <c r="O2386" s="3">
        <v>0</v>
      </c>
    </row>
    <row r="2387" spans="1:15" ht="15" customHeight="1" x14ac:dyDescent="0.25">
      <c r="A2387" s="2">
        <v>0</v>
      </c>
      <c r="B2387" s="2" t="s">
        <v>18</v>
      </c>
      <c r="C2387" s="2" t="s">
        <v>19</v>
      </c>
      <c r="D2387" s="2" t="s">
        <v>19</v>
      </c>
      <c r="E2387" s="2">
        <v>0</v>
      </c>
      <c r="F2387" s="2">
        <v>0</v>
      </c>
      <c r="G2387" s="2" t="s">
        <v>10</v>
      </c>
      <c r="H2387" s="2" t="s">
        <v>12</v>
      </c>
      <c r="I2387" s="2">
        <v>2</v>
      </c>
      <c r="J2387" s="2" t="s">
        <v>14</v>
      </c>
      <c r="K2387" s="2" t="s">
        <v>13</v>
      </c>
      <c r="L2387" s="2" t="s">
        <v>14</v>
      </c>
      <c r="M2387" s="2" t="s">
        <v>14</v>
      </c>
      <c r="N2387" s="2" t="s">
        <v>14</v>
      </c>
      <c r="O2387" s="2">
        <v>1</v>
      </c>
    </row>
    <row r="2388" spans="1:15" ht="15" customHeight="1" x14ac:dyDescent="0.25">
      <c r="A2388" s="3">
        <v>10</v>
      </c>
      <c r="B2388" s="3" t="s">
        <v>18</v>
      </c>
      <c r="C2388" s="3" t="s">
        <v>19</v>
      </c>
      <c r="D2388" s="3" t="s">
        <v>19</v>
      </c>
      <c r="E2388" s="3">
        <v>0</v>
      </c>
      <c r="F2388" s="3">
        <v>0</v>
      </c>
      <c r="G2388" s="3" t="s">
        <v>10</v>
      </c>
      <c r="H2388" s="3" t="s">
        <v>12</v>
      </c>
      <c r="I2388" s="3" t="s">
        <v>15</v>
      </c>
      <c r="J2388" s="2" t="s">
        <v>14</v>
      </c>
      <c r="K2388" s="2" t="s">
        <v>14</v>
      </c>
      <c r="L2388" s="2" t="s">
        <v>14</v>
      </c>
      <c r="M2388" s="2" t="s">
        <v>14</v>
      </c>
      <c r="N2388" s="2" t="s">
        <v>14</v>
      </c>
      <c r="O2388" s="3">
        <v>1</v>
      </c>
    </row>
    <row r="2389" spans="1:15" ht="15" customHeight="1" x14ac:dyDescent="0.25">
      <c r="A2389" s="2">
        <v>10</v>
      </c>
      <c r="B2389" s="2" t="s">
        <v>10</v>
      </c>
      <c r="C2389" s="2" t="s">
        <v>19</v>
      </c>
      <c r="D2389" s="2" t="s">
        <v>19</v>
      </c>
      <c r="E2389" s="2">
        <v>0</v>
      </c>
      <c r="F2389" s="2">
        <v>0</v>
      </c>
      <c r="G2389" s="2" t="s">
        <v>10</v>
      </c>
      <c r="H2389" s="2" t="s">
        <v>12</v>
      </c>
      <c r="I2389" s="2">
        <v>1</v>
      </c>
      <c r="J2389" s="2" t="s">
        <v>14</v>
      </c>
      <c r="K2389" s="2" t="s">
        <v>14</v>
      </c>
      <c r="L2389" s="2" t="s">
        <v>14</v>
      </c>
      <c r="M2389" s="2" t="s">
        <v>14</v>
      </c>
      <c r="N2389" s="2" t="s">
        <v>14</v>
      </c>
      <c r="O2389" s="2">
        <v>1</v>
      </c>
    </row>
    <row r="2390" spans="1:15" ht="15" customHeight="1" x14ac:dyDescent="0.25">
      <c r="A2390" s="3">
        <v>5</v>
      </c>
      <c r="B2390" s="3" t="s">
        <v>18</v>
      </c>
      <c r="C2390" s="3" t="s">
        <v>19</v>
      </c>
      <c r="D2390" s="3" t="s">
        <v>19</v>
      </c>
      <c r="E2390" s="3">
        <v>0</v>
      </c>
      <c r="F2390" s="3">
        <v>0</v>
      </c>
      <c r="G2390" s="3" t="s">
        <v>10</v>
      </c>
      <c r="H2390" s="3" t="s">
        <v>12</v>
      </c>
      <c r="I2390" s="3">
        <v>2</v>
      </c>
      <c r="J2390" s="2" t="s">
        <v>14</v>
      </c>
      <c r="K2390" s="2" t="s">
        <v>14</v>
      </c>
      <c r="L2390" s="2" t="s">
        <v>14</v>
      </c>
      <c r="M2390" s="2" t="s">
        <v>14</v>
      </c>
      <c r="N2390" s="2" t="s">
        <v>14</v>
      </c>
      <c r="O2390" s="3">
        <v>1</v>
      </c>
    </row>
    <row r="2391" spans="1:15" ht="15" customHeight="1" x14ac:dyDescent="0.25">
      <c r="A2391" s="2">
        <v>30</v>
      </c>
      <c r="B2391" s="2" t="s">
        <v>10</v>
      </c>
      <c r="C2391" s="2" t="s">
        <v>19</v>
      </c>
      <c r="D2391" s="2" t="s">
        <v>19</v>
      </c>
      <c r="E2391" s="2">
        <v>0</v>
      </c>
      <c r="F2391" s="2">
        <v>0</v>
      </c>
      <c r="G2391" s="2" t="s">
        <v>10</v>
      </c>
      <c r="H2391" s="2" t="s">
        <v>12</v>
      </c>
      <c r="I2391" s="2">
        <v>2</v>
      </c>
      <c r="J2391" s="2" t="s">
        <v>14</v>
      </c>
      <c r="K2391" s="2" t="s">
        <v>14</v>
      </c>
      <c r="L2391" s="2" t="s">
        <v>14</v>
      </c>
      <c r="M2391" s="2" t="s">
        <v>14</v>
      </c>
      <c r="N2391" s="2" t="s">
        <v>14</v>
      </c>
      <c r="O2391" s="2">
        <v>1</v>
      </c>
    </row>
    <row r="2392" spans="1:15" ht="15" customHeight="1" x14ac:dyDescent="0.25">
      <c r="A2392" s="3">
        <v>10</v>
      </c>
      <c r="B2392" s="3" t="s">
        <v>10</v>
      </c>
      <c r="C2392" s="3" t="s">
        <v>11</v>
      </c>
      <c r="D2392" s="3" t="s">
        <v>19</v>
      </c>
      <c r="E2392" s="3">
        <v>0</v>
      </c>
      <c r="F2392" s="3">
        <v>0</v>
      </c>
      <c r="G2392" s="3" t="s">
        <v>10</v>
      </c>
      <c r="H2392" s="3" t="s">
        <v>12</v>
      </c>
      <c r="I2392" s="3" t="s">
        <v>15</v>
      </c>
      <c r="J2392" s="2" t="s">
        <v>14</v>
      </c>
      <c r="K2392" s="2" t="s">
        <v>14</v>
      </c>
      <c r="L2392" s="2" t="s">
        <v>14</v>
      </c>
      <c r="M2392" s="2" t="s">
        <v>14</v>
      </c>
      <c r="N2392" s="2" t="s">
        <v>14</v>
      </c>
      <c r="O2392" s="3">
        <v>1</v>
      </c>
    </row>
    <row r="2393" spans="1:15" ht="15" customHeight="1" x14ac:dyDescent="0.25">
      <c r="A2393" s="2">
        <v>0</v>
      </c>
      <c r="B2393" s="2" t="s">
        <v>14</v>
      </c>
      <c r="C2393" s="2" t="s">
        <v>11</v>
      </c>
      <c r="D2393" s="2" t="s">
        <v>11</v>
      </c>
      <c r="E2393" s="2">
        <v>0</v>
      </c>
      <c r="F2393" s="2">
        <v>0</v>
      </c>
      <c r="G2393" s="2" t="s">
        <v>10</v>
      </c>
      <c r="H2393" s="2" t="s">
        <v>12</v>
      </c>
      <c r="I2393" s="2">
        <v>1</v>
      </c>
      <c r="J2393" s="2" t="s">
        <v>14</v>
      </c>
      <c r="K2393" s="2" t="s">
        <v>14</v>
      </c>
      <c r="L2393" s="2" t="s">
        <v>14</v>
      </c>
      <c r="M2393" s="2" t="s">
        <v>14</v>
      </c>
      <c r="N2393" s="2" t="s">
        <v>14</v>
      </c>
      <c r="O2393" s="2">
        <v>1</v>
      </c>
    </row>
    <row r="2394" spans="1:15" ht="15" customHeight="1" x14ac:dyDescent="0.25">
      <c r="A2394" s="3">
        <v>5</v>
      </c>
      <c r="B2394" s="3" t="s">
        <v>18</v>
      </c>
      <c r="C2394" s="3" t="s">
        <v>19</v>
      </c>
      <c r="D2394" s="3" t="s">
        <v>19</v>
      </c>
      <c r="E2394" s="3">
        <v>0</v>
      </c>
      <c r="F2394" s="3">
        <v>0</v>
      </c>
      <c r="G2394" s="3" t="s">
        <v>10</v>
      </c>
      <c r="H2394" s="3" t="s">
        <v>12</v>
      </c>
      <c r="I2394" s="3" t="s">
        <v>15</v>
      </c>
      <c r="J2394" s="2" t="s">
        <v>14</v>
      </c>
      <c r="K2394" s="2" t="s">
        <v>14</v>
      </c>
      <c r="L2394" s="2" t="s">
        <v>14</v>
      </c>
      <c r="M2394" s="2" t="s">
        <v>14</v>
      </c>
      <c r="N2394" s="2" t="s">
        <v>14</v>
      </c>
      <c r="O2394" s="3">
        <v>1</v>
      </c>
    </row>
    <row r="2395" spans="1:15" ht="15" customHeight="1" x14ac:dyDescent="0.25">
      <c r="A2395" s="2">
        <v>10</v>
      </c>
      <c r="B2395" s="2" t="s">
        <v>14</v>
      </c>
      <c r="C2395" s="2" t="s">
        <v>19</v>
      </c>
      <c r="D2395" s="2" t="s">
        <v>19</v>
      </c>
      <c r="E2395" s="2">
        <v>0</v>
      </c>
      <c r="F2395" s="2">
        <v>0</v>
      </c>
      <c r="G2395" s="2" t="s">
        <v>10</v>
      </c>
      <c r="H2395" s="2" t="s">
        <v>12</v>
      </c>
      <c r="I2395" s="2" t="s">
        <v>15</v>
      </c>
      <c r="J2395" s="2" t="s">
        <v>14</v>
      </c>
      <c r="K2395" s="2" t="s">
        <v>14</v>
      </c>
      <c r="L2395" s="2" t="s">
        <v>14</v>
      </c>
      <c r="M2395" s="2" t="s">
        <v>14</v>
      </c>
      <c r="N2395" s="2" t="s">
        <v>14</v>
      </c>
      <c r="O2395" s="2">
        <v>1</v>
      </c>
    </row>
    <row r="2396" spans="1:15" ht="15" customHeight="1" x14ac:dyDescent="0.25">
      <c r="A2396" s="3">
        <v>20</v>
      </c>
      <c r="B2396" s="3" t="s">
        <v>10</v>
      </c>
      <c r="C2396" s="3" t="s">
        <v>11</v>
      </c>
      <c r="D2396" s="3" t="s">
        <v>19</v>
      </c>
      <c r="E2396" s="3">
        <v>0</v>
      </c>
      <c r="F2396" s="3">
        <v>0</v>
      </c>
      <c r="G2396" s="3" t="s">
        <v>10</v>
      </c>
      <c r="H2396" s="3" t="s">
        <v>12</v>
      </c>
      <c r="I2396" s="3">
        <v>2</v>
      </c>
      <c r="J2396" s="2" t="s">
        <v>14</v>
      </c>
      <c r="K2396" s="2" t="s">
        <v>14</v>
      </c>
      <c r="L2396" s="2" t="s">
        <v>14</v>
      </c>
      <c r="M2396" s="2" t="s">
        <v>14</v>
      </c>
      <c r="N2396" s="2" t="s">
        <v>14</v>
      </c>
      <c r="O2396" s="3">
        <v>1</v>
      </c>
    </row>
    <row r="2397" spans="1:15" ht="15" customHeight="1" x14ac:dyDescent="0.25">
      <c r="A2397" s="2">
        <v>5</v>
      </c>
      <c r="B2397" s="2" t="s">
        <v>18</v>
      </c>
      <c r="C2397" s="2" t="s">
        <v>11</v>
      </c>
      <c r="D2397" s="2" t="s">
        <v>11</v>
      </c>
      <c r="E2397" s="2">
        <v>0</v>
      </c>
      <c r="F2397" s="2">
        <v>0</v>
      </c>
      <c r="G2397" s="2" t="s">
        <v>10</v>
      </c>
      <c r="H2397" s="2" t="s">
        <v>12</v>
      </c>
      <c r="I2397" s="2">
        <v>1</v>
      </c>
      <c r="J2397" s="2" t="s">
        <v>14</v>
      </c>
      <c r="K2397" s="2" t="s">
        <v>14</v>
      </c>
      <c r="L2397" s="2" t="s">
        <v>14</v>
      </c>
      <c r="M2397" s="2" t="s">
        <v>14</v>
      </c>
      <c r="N2397" s="2" t="s">
        <v>14</v>
      </c>
      <c r="O2397" s="2">
        <v>1</v>
      </c>
    </row>
    <row r="2398" spans="1:15" ht="15" customHeight="1" x14ac:dyDescent="0.25">
      <c r="A2398" s="3">
        <v>5</v>
      </c>
      <c r="B2398" s="3" t="s">
        <v>18</v>
      </c>
      <c r="C2398" s="3" t="s">
        <v>19</v>
      </c>
      <c r="D2398" s="3" t="s">
        <v>11</v>
      </c>
      <c r="E2398" s="3">
        <v>0</v>
      </c>
      <c r="F2398" s="3">
        <v>0</v>
      </c>
      <c r="G2398" s="3" t="s">
        <v>10</v>
      </c>
      <c r="H2398" s="3" t="s">
        <v>12</v>
      </c>
      <c r="I2398" s="3" t="s">
        <v>15</v>
      </c>
      <c r="J2398" s="2" t="s">
        <v>14</v>
      </c>
      <c r="K2398" s="2" t="s">
        <v>14</v>
      </c>
      <c r="L2398" s="2" t="s">
        <v>14</v>
      </c>
      <c r="M2398" s="2" t="s">
        <v>14</v>
      </c>
      <c r="N2398" s="2" t="s">
        <v>14</v>
      </c>
      <c r="O2398" s="3">
        <v>1</v>
      </c>
    </row>
    <row r="2399" spans="1:15" ht="15" customHeight="1" x14ac:dyDescent="0.25">
      <c r="A2399" s="2">
        <v>10</v>
      </c>
      <c r="B2399" s="2" t="s">
        <v>14</v>
      </c>
      <c r="C2399" s="2" t="s">
        <v>19</v>
      </c>
      <c r="D2399" s="2" t="s">
        <v>19</v>
      </c>
      <c r="E2399" s="2">
        <v>0</v>
      </c>
      <c r="F2399" s="2">
        <v>0</v>
      </c>
      <c r="G2399" s="2" t="s">
        <v>10</v>
      </c>
      <c r="H2399" s="2" t="s">
        <v>12</v>
      </c>
      <c r="I2399" s="2">
        <v>2</v>
      </c>
      <c r="J2399" s="2" t="s">
        <v>14</v>
      </c>
      <c r="K2399" s="2" t="s">
        <v>14</v>
      </c>
      <c r="L2399" s="2" t="s">
        <v>14</v>
      </c>
      <c r="M2399" s="2" t="s">
        <v>14</v>
      </c>
      <c r="N2399" s="2" t="s">
        <v>14</v>
      </c>
      <c r="O2399" s="2">
        <v>1</v>
      </c>
    </row>
    <row r="2400" spans="1:15" ht="15" customHeight="1" x14ac:dyDescent="0.25">
      <c r="A2400" s="3">
        <v>10</v>
      </c>
      <c r="B2400" s="3" t="s">
        <v>14</v>
      </c>
      <c r="C2400" s="3" t="s">
        <v>19</v>
      </c>
      <c r="D2400" s="3" t="s">
        <v>19</v>
      </c>
      <c r="E2400" s="3">
        <v>0</v>
      </c>
      <c r="F2400" s="3">
        <v>0</v>
      </c>
      <c r="G2400" s="3" t="s">
        <v>10</v>
      </c>
      <c r="H2400" s="3" t="s">
        <v>12</v>
      </c>
      <c r="I2400" s="3" t="s">
        <v>15</v>
      </c>
      <c r="J2400" s="2" t="s">
        <v>14</v>
      </c>
      <c r="K2400" s="2" t="s">
        <v>14</v>
      </c>
      <c r="L2400" s="2" t="s">
        <v>14</v>
      </c>
      <c r="M2400" s="2" t="s">
        <v>14</v>
      </c>
      <c r="N2400" s="2" t="s">
        <v>14</v>
      </c>
      <c r="O2400" s="3">
        <v>1</v>
      </c>
    </row>
    <row r="2401" spans="1:15" ht="15" customHeight="1" x14ac:dyDescent="0.25">
      <c r="A2401" s="2">
        <v>10</v>
      </c>
      <c r="B2401" s="2" t="s">
        <v>14</v>
      </c>
      <c r="C2401" s="2" t="s">
        <v>19</v>
      </c>
      <c r="D2401" s="2" t="s">
        <v>19</v>
      </c>
      <c r="E2401" s="2">
        <v>0</v>
      </c>
      <c r="F2401" s="2">
        <v>0</v>
      </c>
      <c r="G2401" s="2" t="s">
        <v>10</v>
      </c>
      <c r="H2401" s="2" t="s">
        <v>12</v>
      </c>
      <c r="I2401" s="2" t="s">
        <v>15</v>
      </c>
      <c r="J2401" s="2" t="s">
        <v>14</v>
      </c>
      <c r="K2401" s="2" t="s">
        <v>14</v>
      </c>
      <c r="L2401" s="2" t="s">
        <v>14</v>
      </c>
      <c r="M2401" s="2" t="s">
        <v>14</v>
      </c>
      <c r="N2401" s="2" t="s">
        <v>14</v>
      </c>
      <c r="O2401" s="2">
        <v>1</v>
      </c>
    </row>
    <row r="2402" spans="1:15" ht="15" customHeight="1" x14ac:dyDescent="0.25">
      <c r="A2402" s="3">
        <v>5</v>
      </c>
      <c r="B2402" s="3" t="s">
        <v>10</v>
      </c>
      <c r="C2402" s="3" t="s">
        <v>11</v>
      </c>
      <c r="D2402" s="3" t="s">
        <v>19</v>
      </c>
      <c r="E2402" s="3">
        <v>0</v>
      </c>
      <c r="F2402" s="3">
        <v>0</v>
      </c>
      <c r="G2402" s="3" t="s">
        <v>10</v>
      </c>
      <c r="H2402" s="3" t="s">
        <v>12</v>
      </c>
      <c r="I2402" s="3">
        <v>2</v>
      </c>
      <c r="J2402" s="2" t="s">
        <v>14</v>
      </c>
      <c r="K2402" s="2" t="s">
        <v>14</v>
      </c>
      <c r="L2402" s="2" t="s">
        <v>14</v>
      </c>
      <c r="M2402" s="2" t="s">
        <v>14</v>
      </c>
      <c r="N2402" s="2" t="s">
        <v>14</v>
      </c>
      <c r="O2402" s="3">
        <v>1</v>
      </c>
    </row>
    <row r="2403" spans="1:15" ht="15" customHeight="1" x14ac:dyDescent="0.25">
      <c r="A2403" s="2">
        <v>5</v>
      </c>
      <c r="B2403" s="2" t="s">
        <v>10</v>
      </c>
      <c r="C2403" s="2" t="s">
        <v>11</v>
      </c>
      <c r="D2403" s="2" t="s">
        <v>11</v>
      </c>
      <c r="E2403" s="2">
        <v>0</v>
      </c>
      <c r="F2403" s="2">
        <v>0</v>
      </c>
      <c r="G2403" s="2" t="s">
        <v>10</v>
      </c>
      <c r="H2403" s="2" t="s">
        <v>12</v>
      </c>
      <c r="I2403" s="2" t="s">
        <v>15</v>
      </c>
      <c r="J2403" s="2" t="s">
        <v>14</v>
      </c>
      <c r="K2403" s="2" t="s">
        <v>14</v>
      </c>
      <c r="L2403" s="2" t="s">
        <v>14</v>
      </c>
      <c r="M2403" s="2" t="s">
        <v>14</v>
      </c>
      <c r="N2403" s="2" t="s">
        <v>14</v>
      </c>
      <c r="O2403" s="2">
        <v>0</v>
      </c>
    </row>
    <row r="2404" spans="1:15" ht="15" customHeight="1" x14ac:dyDescent="0.25">
      <c r="A2404" s="3">
        <v>20</v>
      </c>
      <c r="B2404" s="3" t="s">
        <v>10</v>
      </c>
      <c r="C2404" s="3" t="s">
        <v>19</v>
      </c>
      <c r="D2404" s="3" t="s">
        <v>19</v>
      </c>
      <c r="E2404" s="3">
        <v>0</v>
      </c>
      <c r="F2404" s="3">
        <v>1</v>
      </c>
      <c r="G2404" s="3" t="s">
        <v>10</v>
      </c>
      <c r="H2404" s="3" t="s">
        <v>12</v>
      </c>
      <c r="I2404" s="3" t="s">
        <v>15</v>
      </c>
      <c r="J2404" s="3" t="s">
        <v>13</v>
      </c>
      <c r="K2404" s="2" t="s">
        <v>14</v>
      </c>
      <c r="L2404" s="2" t="s">
        <v>14</v>
      </c>
      <c r="M2404" s="3" t="s">
        <v>13</v>
      </c>
      <c r="N2404" s="2" t="s">
        <v>14</v>
      </c>
      <c r="O2404" s="3">
        <v>1</v>
      </c>
    </row>
    <row r="2405" spans="1:15" ht="15" customHeight="1" x14ac:dyDescent="0.25">
      <c r="A2405" s="2">
        <v>5</v>
      </c>
      <c r="B2405" s="2" t="s">
        <v>10</v>
      </c>
      <c r="C2405" s="2" t="s">
        <v>11</v>
      </c>
      <c r="D2405" s="2" t="s">
        <v>11</v>
      </c>
      <c r="E2405" s="2">
        <v>1</v>
      </c>
      <c r="F2405" s="2">
        <v>0</v>
      </c>
      <c r="G2405" s="2" t="s">
        <v>10</v>
      </c>
      <c r="H2405" s="2" t="s">
        <v>12</v>
      </c>
      <c r="I2405" s="2" t="s">
        <v>15</v>
      </c>
      <c r="J2405" s="2" t="s">
        <v>13</v>
      </c>
      <c r="K2405" s="2" t="s">
        <v>14</v>
      </c>
      <c r="L2405" s="2" t="s">
        <v>14</v>
      </c>
      <c r="M2405" s="2" t="s">
        <v>14</v>
      </c>
      <c r="N2405" s="2" t="s">
        <v>14</v>
      </c>
      <c r="O2405" s="2">
        <v>0</v>
      </c>
    </row>
    <row r="2406" spans="1:15" ht="15" customHeight="1" x14ac:dyDescent="0.25">
      <c r="A2406" s="3">
        <v>5</v>
      </c>
      <c r="B2406" s="3" t="s">
        <v>14</v>
      </c>
      <c r="C2406" s="3" t="s">
        <v>11</v>
      </c>
      <c r="D2406" s="3" t="s">
        <v>11</v>
      </c>
      <c r="E2406" s="3">
        <v>1</v>
      </c>
      <c r="F2406" s="3">
        <v>0</v>
      </c>
      <c r="G2406" s="3" t="s">
        <v>17</v>
      </c>
      <c r="H2406" s="3" t="s">
        <v>106</v>
      </c>
      <c r="I2406" s="3">
        <v>1</v>
      </c>
      <c r="J2406" s="2" t="s">
        <v>14</v>
      </c>
      <c r="K2406" s="3" t="s">
        <v>13</v>
      </c>
      <c r="L2406" s="3" t="s">
        <v>13</v>
      </c>
      <c r="M2406" s="3" t="s">
        <v>13</v>
      </c>
      <c r="N2406" s="3" t="s">
        <v>14</v>
      </c>
      <c r="O2406" s="3">
        <v>0</v>
      </c>
    </row>
    <row r="2407" spans="1:15" ht="15" customHeight="1" x14ac:dyDescent="0.25">
      <c r="A2407" s="2">
        <v>5</v>
      </c>
      <c r="B2407" s="2" t="s">
        <v>10</v>
      </c>
      <c r="C2407" s="2" t="s">
        <v>20</v>
      </c>
      <c r="D2407" s="2" t="s">
        <v>20</v>
      </c>
      <c r="E2407" s="2">
        <v>0</v>
      </c>
      <c r="F2407" s="2">
        <v>1</v>
      </c>
      <c r="G2407" s="2" t="s">
        <v>17</v>
      </c>
      <c r="H2407" s="2" t="s">
        <v>106</v>
      </c>
      <c r="I2407" s="2">
        <v>1</v>
      </c>
      <c r="J2407" s="2" t="s">
        <v>14</v>
      </c>
      <c r="K2407" s="2" t="s">
        <v>13</v>
      </c>
      <c r="L2407" s="2" t="s">
        <v>13</v>
      </c>
      <c r="M2407" s="2" t="s">
        <v>13</v>
      </c>
      <c r="N2407" s="2" t="s">
        <v>14</v>
      </c>
      <c r="O2407" s="2">
        <v>0</v>
      </c>
    </row>
    <row r="2408" spans="1:15" ht="15" customHeight="1" x14ac:dyDescent="0.25">
      <c r="A2408" s="3">
        <v>0</v>
      </c>
      <c r="B2408" s="3" t="s">
        <v>10</v>
      </c>
      <c r="C2408" s="3" t="s">
        <v>11</v>
      </c>
      <c r="D2408" s="3" t="s">
        <v>11</v>
      </c>
      <c r="E2408" s="3">
        <v>0</v>
      </c>
      <c r="F2408" s="3">
        <v>0</v>
      </c>
      <c r="G2408" s="3" t="s">
        <v>10</v>
      </c>
      <c r="H2408" s="3" t="s">
        <v>12</v>
      </c>
      <c r="I2408" s="3" t="s">
        <v>15</v>
      </c>
      <c r="J2408" s="2" t="s">
        <v>14</v>
      </c>
      <c r="K2408" s="2" t="s">
        <v>14</v>
      </c>
      <c r="L2408" s="2" t="s">
        <v>14</v>
      </c>
      <c r="M2408" s="2" t="s">
        <v>14</v>
      </c>
      <c r="N2408" s="2" t="s">
        <v>14</v>
      </c>
      <c r="O2408" s="3">
        <v>1</v>
      </c>
    </row>
    <row r="2409" spans="1:15" ht="15" customHeight="1" x14ac:dyDescent="0.25">
      <c r="A2409" s="2">
        <v>5</v>
      </c>
      <c r="B2409" s="2" t="s">
        <v>10</v>
      </c>
      <c r="C2409" s="2" t="s">
        <v>11</v>
      </c>
      <c r="D2409" s="2" t="s">
        <v>11</v>
      </c>
      <c r="E2409" s="2">
        <v>0</v>
      </c>
      <c r="F2409" s="2">
        <v>1</v>
      </c>
      <c r="G2409" s="2" t="s">
        <v>10</v>
      </c>
      <c r="H2409" s="2" t="s">
        <v>12</v>
      </c>
      <c r="I2409" s="2">
        <v>1</v>
      </c>
      <c r="J2409" s="2" t="s">
        <v>14</v>
      </c>
      <c r="K2409" s="2" t="s">
        <v>14</v>
      </c>
      <c r="L2409" s="2" t="s">
        <v>14</v>
      </c>
      <c r="M2409" s="2" t="s">
        <v>13</v>
      </c>
      <c r="N2409" s="2" t="s">
        <v>14</v>
      </c>
      <c r="O2409" s="2">
        <v>1</v>
      </c>
    </row>
    <row r="2410" spans="1:15" ht="15" customHeight="1" x14ac:dyDescent="0.25">
      <c r="A2410" s="3">
        <v>5</v>
      </c>
      <c r="B2410" s="3" t="s">
        <v>10</v>
      </c>
      <c r="C2410" s="3" t="s">
        <v>11</v>
      </c>
      <c r="D2410" s="3" t="s">
        <v>11</v>
      </c>
      <c r="E2410" s="3">
        <v>0</v>
      </c>
      <c r="F2410" s="3">
        <v>1</v>
      </c>
      <c r="G2410" s="3" t="s">
        <v>10</v>
      </c>
      <c r="H2410" s="3" t="s">
        <v>16</v>
      </c>
      <c r="I2410" s="3" t="s">
        <v>15</v>
      </c>
      <c r="J2410" s="2" t="s">
        <v>14</v>
      </c>
      <c r="K2410" s="2" t="s">
        <v>14</v>
      </c>
      <c r="L2410" s="2" t="s">
        <v>14</v>
      </c>
      <c r="M2410" s="2" t="s">
        <v>14</v>
      </c>
      <c r="N2410" s="2" t="s">
        <v>14</v>
      </c>
      <c r="O2410" s="3">
        <v>0</v>
      </c>
    </row>
    <row r="2411" spans="1:15" ht="15" customHeight="1" x14ac:dyDescent="0.25">
      <c r="A2411" s="2">
        <v>5</v>
      </c>
      <c r="B2411" s="2" t="s">
        <v>10</v>
      </c>
      <c r="C2411" s="2" t="s">
        <v>19</v>
      </c>
      <c r="D2411" s="2" t="s">
        <v>20</v>
      </c>
      <c r="E2411" s="2">
        <v>0</v>
      </c>
      <c r="F2411" s="2">
        <v>0</v>
      </c>
      <c r="G2411" s="2" t="s">
        <v>10</v>
      </c>
      <c r="H2411" s="2" t="s">
        <v>16</v>
      </c>
      <c r="I2411" s="2">
        <v>1</v>
      </c>
      <c r="J2411" s="2" t="s">
        <v>14</v>
      </c>
      <c r="K2411" s="2" t="s">
        <v>14</v>
      </c>
      <c r="L2411" s="2" t="s">
        <v>14</v>
      </c>
      <c r="M2411" s="2" t="s">
        <v>14</v>
      </c>
      <c r="N2411" s="2" t="s">
        <v>14</v>
      </c>
      <c r="O2411" s="2">
        <v>1</v>
      </c>
    </row>
    <row r="2412" spans="1:15" ht="15" customHeight="1" x14ac:dyDescent="0.25">
      <c r="A2412" s="3">
        <v>0</v>
      </c>
      <c r="B2412" s="3" t="s">
        <v>14</v>
      </c>
      <c r="C2412" s="3" t="s">
        <v>19</v>
      </c>
      <c r="D2412" s="3" t="s">
        <v>19</v>
      </c>
      <c r="E2412" s="3">
        <v>0</v>
      </c>
      <c r="F2412" s="3">
        <v>1</v>
      </c>
      <c r="G2412" s="3" t="s">
        <v>10</v>
      </c>
      <c r="H2412" s="3" t="s">
        <v>16</v>
      </c>
      <c r="I2412" s="3">
        <v>2</v>
      </c>
      <c r="J2412" s="2" t="s">
        <v>14</v>
      </c>
      <c r="K2412" s="2" t="s">
        <v>14</v>
      </c>
      <c r="L2412" s="2" t="s">
        <v>14</v>
      </c>
      <c r="M2412" s="2" t="s">
        <v>14</v>
      </c>
      <c r="N2412" s="2" t="s">
        <v>14</v>
      </c>
      <c r="O2412" s="3">
        <v>0</v>
      </c>
    </row>
    <row r="2413" spans="1:15" ht="15" customHeight="1" x14ac:dyDescent="0.25">
      <c r="A2413" s="2">
        <v>10</v>
      </c>
      <c r="B2413" s="2" t="s">
        <v>14</v>
      </c>
      <c r="C2413" s="2" t="s">
        <v>19</v>
      </c>
      <c r="D2413" s="2" t="s">
        <v>19</v>
      </c>
      <c r="E2413" s="2">
        <v>0</v>
      </c>
      <c r="F2413" s="2">
        <v>0</v>
      </c>
      <c r="G2413" s="2" t="s">
        <v>10</v>
      </c>
      <c r="H2413" s="2" t="s">
        <v>16</v>
      </c>
      <c r="I2413" s="2" t="s">
        <v>15</v>
      </c>
      <c r="J2413" s="2" t="s">
        <v>14</v>
      </c>
      <c r="K2413" s="2" t="s">
        <v>14</v>
      </c>
      <c r="L2413" s="2" t="s">
        <v>14</v>
      </c>
      <c r="M2413" s="2" t="s">
        <v>14</v>
      </c>
      <c r="N2413" s="2" t="s">
        <v>14</v>
      </c>
      <c r="O2413" s="2">
        <v>1</v>
      </c>
    </row>
    <row r="2414" spans="1:15" ht="15" customHeight="1" x14ac:dyDescent="0.25">
      <c r="A2414" s="3">
        <v>0</v>
      </c>
      <c r="B2414" s="3" t="s">
        <v>14</v>
      </c>
      <c r="C2414" s="3" t="s">
        <v>19</v>
      </c>
      <c r="D2414" s="3" t="s">
        <v>19</v>
      </c>
      <c r="E2414" s="3">
        <v>0</v>
      </c>
      <c r="F2414" s="3">
        <v>0</v>
      </c>
      <c r="G2414" s="3" t="s">
        <v>10</v>
      </c>
      <c r="H2414" s="3" t="s">
        <v>12</v>
      </c>
      <c r="I2414" s="3" t="s">
        <v>15</v>
      </c>
      <c r="J2414" s="2" t="s">
        <v>14</v>
      </c>
      <c r="K2414" s="2" t="s">
        <v>14</v>
      </c>
      <c r="L2414" s="2" t="s">
        <v>14</v>
      </c>
      <c r="M2414" s="2" t="s">
        <v>14</v>
      </c>
      <c r="N2414" s="2" t="s">
        <v>14</v>
      </c>
      <c r="O2414" s="3">
        <v>1</v>
      </c>
    </row>
    <row r="2415" spans="1:15" ht="15" customHeight="1" x14ac:dyDescent="0.25">
      <c r="A2415" s="2">
        <v>0</v>
      </c>
      <c r="B2415" s="2" t="s">
        <v>10</v>
      </c>
      <c r="C2415" s="2" t="s">
        <v>11</v>
      </c>
      <c r="D2415" s="2" t="s">
        <v>19</v>
      </c>
      <c r="E2415" s="2">
        <v>0</v>
      </c>
      <c r="F2415" s="2">
        <v>1</v>
      </c>
      <c r="G2415" s="2" t="s">
        <v>10</v>
      </c>
      <c r="H2415" s="2" t="s">
        <v>12</v>
      </c>
      <c r="I2415" s="2">
        <v>2</v>
      </c>
      <c r="J2415" s="2" t="s">
        <v>14</v>
      </c>
      <c r="K2415" s="2" t="s">
        <v>14</v>
      </c>
      <c r="L2415" s="2" t="s">
        <v>14</v>
      </c>
      <c r="M2415" s="2" t="s">
        <v>14</v>
      </c>
      <c r="N2415" s="2" t="s">
        <v>14</v>
      </c>
      <c r="O2415" s="2">
        <v>1</v>
      </c>
    </row>
    <row r="2416" spans="1:15" ht="15" customHeight="1" x14ac:dyDescent="0.25">
      <c r="A2416" s="3">
        <v>0</v>
      </c>
      <c r="B2416" s="3" t="s">
        <v>14</v>
      </c>
      <c r="C2416" s="3" t="s">
        <v>11</v>
      </c>
      <c r="D2416" s="3" t="s">
        <v>11</v>
      </c>
      <c r="E2416" s="3">
        <v>0</v>
      </c>
      <c r="F2416" s="3">
        <v>0</v>
      </c>
      <c r="G2416" s="3" t="s">
        <v>10</v>
      </c>
      <c r="H2416" s="3" t="s">
        <v>12</v>
      </c>
      <c r="I2416" s="3">
        <v>2</v>
      </c>
      <c r="J2416" s="2" t="s">
        <v>14</v>
      </c>
      <c r="K2416" s="2" t="s">
        <v>14</v>
      </c>
      <c r="L2416" s="2" t="s">
        <v>14</v>
      </c>
      <c r="M2416" s="2" t="s">
        <v>14</v>
      </c>
      <c r="N2416" s="2" t="s">
        <v>14</v>
      </c>
      <c r="O2416" s="3">
        <v>1</v>
      </c>
    </row>
    <row r="2417" spans="1:15" ht="15" customHeight="1" x14ac:dyDescent="0.25">
      <c r="A2417" s="2">
        <v>5</v>
      </c>
      <c r="B2417" s="2" t="s">
        <v>14</v>
      </c>
      <c r="C2417" s="2" t="s">
        <v>11</v>
      </c>
      <c r="D2417" s="2" t="s">
        <v>11</v>
      </c>
      <c r="E2417" s="2">
        <v>0</v>
      </c>
      <c r="F2417" s="2">
        <v>0</v>
      </c>
      <c r="G2417" s="2" t="s">
        <v>10</v>
      </c>
      <c r="H2417" s="2" t="s">
        <v>12</v>
      </c>
      <c r="I2417" s="2">
        <v>2</v>
      </c>
      <c r="J2417" s="2" t="s">
        <v>14</v>
      </c>
      <c r="K2417" s="2" t="s">
        <v>14</v>
      </c>
      <c r="L2417" s="2" t="s">
        <v>14</v>
      </c>
      <c r="M2417" s="2" t="s">
        <v>14</v>
      </c>
      <c r="N2417" s="2" t="s">
        <v>14</v>
      </c>
      <c r="O2417" s="2">
        <v>1</v>
      </c>
    </row>
    <row r="2418" spans="1:15" ht="15" customHeight="1" x14ac:dyDescent="0.25">
      <c r="A2418" s="3">
        <v>10</v>
      </c>
      <c r="B2418" s="3" t="s">
        <v>10</v>
      </c>
      <c r="C2418" s="3" t="s">
        <v>11</v>
      </c>
      <c r="D2418" s="3" t="s">
        <v>11</v>
      </c>
      <c r="E2418" s="3">
        <v>2</v>
      </c>
      <c r="F2418" s="3">
        <v>0</v>
      </c>
      <c r="G2418" s="3" t="s">
        <v>10</v>
      </c>
      <c r="H2418" s="3" t="s">
        <v>12</v>
      </c>
      <c r="I2418" s="3">
        <v>2</v>
      </c>
      <c r="J2418" s="2" t="s">
        <v>14</v>
      </c>
      <c r="K2418" s="2" t="s">
        <v>14</v>
      </c>
      <c r="L2418" s="2" t="s">
        <v>14</v>
      </c>
      <c r="M2418" s="2" t="s">
        <v>14</v>
      </c>
      <c r="N2418" s="3" t="s">
        <v>13</v>
      </c>
      <c r="O2418" s="3">
        <v>0</v>
      </c>
    </row>
    <row r="2419" spans="1:15" ht="15" customHeight="1" x14ac:dyDescent="0.25">
      <c r="A2419" s="2">
        <v>10</v>
      </c>
      <c r="B2419" s="2" t="s">
        <v>10</v>
      </c>
      <c r="C2419" s="2" t="s">
        <v>19</v>
      </c>
      <c r="D2419" s="2" t="s">
        <v>19</v>
      </c>
      <c r="E2419" s="2">
        <v>0</v>
      </c>
      <c r="F2419" s="2">
        <v>0</v>
      </c>
      <c r="G2419" s="2" t="s">
        <v>17</v>
      </c>
      <c r="H2419" s="2" t="s">
        <v>106</v>
      </c>
      <c r="I2419" s="2">
        <v>1</v>
      </c>
      <c r="J2419" s="2" t="s">
        <v>14</v>
      </c>
      <c r="K2419" s="2" t="s">
        <v>13</v>
      </c>
      <c r="L2419" s="2" t="s">
        <v>13</v>
      </c>
      <c r="M2419" s="2" t="s">
        <v>13</v>
      </c>
      <c r="N2419" s="2" t="s">
        <v>14</v>
      </c>
      <c r="O2419" s="2">
        <v>0</v>
      </c>
    </row>
    <row r="2420" spans="1:15" ht="15" customHeight="1" x14ac:dyDescent="0.25">
      <c r="A2420" s="3">
        <v>5</v>
      </c>
      <c r="B2420" s="3" t="s">
        <v>10</v>
      </c>
      <c r="C2420" s="3" t="s">
        <v>19</v>
      </c>
      <c r="D2420" s="3" t="s">
        <v>19</v>
      </c>
      <c r="E2420" s="3">
        <v>0</v>
      </c>
      <c r="F2420" s="3">
        <v>1</v>
      </c>
      <c r="G2420" s="3" t="s">
        <v>17</v>
      </c>
      <c r="H2420" s="3" t="s">
        <v>106</v>
      </c>
      <c r="I2420" s="3">
        <v>1</v>
      </c>
      <c r="J2420" s="3" t="s">
        <v>14</v>
      </c>
      <c r="K2420" s="3" t="s">
        <v>13</v>
      </c>
      <c r="L2420" s="3" t="s">
        <v>13</v>
      </c>
      <c r="M2420" s="3" t="s">
        <v>13</v>
      </c>
      <c r="N2420" s="3" t="s">
        <v>14</v>
      </c>
      <c r="O2420" s="3">
        <v>1</v>
      </c>
    </row>
    <row r="2421" spans="1:15" ht="15" customHeight="1" x14ac:dyDescent="0.25">
      <c r="A2421" s="2">
        <v>5</v>
      </c>
      <c r="B2421" s="2" t="s">
        <v>10</v>
      </c>
      <c r="C2421" s="2" t="s">
        <v>19</v>
      </c>
      <c r="D2421" s="2" t="s">
        <v>19</v>
      </c>
      <c r="E2421" s="2">
        <v>0</v>
      </c>
      <c r="F2421" s="2">
        <v>1</v>
      </c>
      <c r="G2421" s="2" t="s">
        <v>17</v>
      </c>
      <c r="H2421" s="2" t="s">
        <v>106</v>
      </c>
      <c r="I2421" s="2">
        <v>1</v>
      </c>
      <c r="J2421" s="2" t="s">
        <v>14</v>
      </c>
      <c r="K2421" s="2" t="s">
        <v>13</v>
      </c>
      <c r="L2421" s="2" t="s">
        <v>13</v>
      </c>
      <c r="M2421" s="2" t="s">
        <v>13</v>
      </c>
      <c r="N2421" s="2" t="s">
        <v>14</v>
      </c>
      <c r="O2421" s="2">
        <v>0</v>
      </c>
    </row>
    <row r="2422" spans="1:15" ht="15" customHeight="1" x14ac:dyDescent="0.25">
      <c r="A2422" s="3">
        <v>10</v>
      </c>
      <c r="B2422" s="3" t="s">
        <v>10</v>
      </c>
      <c r="C2422" s="3" t="s">
        <v>19</v>
      </c>
      <c r="D2422" s="3" t="s">
        <v>19</v>
      </c>
      <c r="E2422" s="3">
        <v>0</v>
      </c>
      <c r="F2422" s="3">
        <v>2</v>
      </c>
      <c r="G2422" s="3" t="s">
        <v>10</v>
      </c>
      <c r="H2422" s="3" t="s">
        <v>12</v>
      </c>
      <c r="I2422" s="3">
        <v>1</v>
      </c>
      <c r="J2422" s="3" t="s">
        <v>14</v>
      </c>
      <c r="K2422" s="3" t="s">
        <v>13</v>
      </c>
      <c r="L2422" s="3" t="s">
        <v>13</v>
      </c>
      <c r="M2422" s="3" t="s">
        <v>13</v>
      </c>
      <c r="N2422" s="3" t="s">
        <v>14</v>
      </c>
      <c r="O2422" s="3">
        <v>0</v>
      </c>
    </row>
    <row r="2423" spans="1:15" ht="15" customHeight="1" x14ac:dyDescent="0.25">
      <c r="A2423" s="2">
        <v>20</v>
      </c>
      <c r="B2423" s="2" t="s">
        <v>18</v>
      </c>
      <c r="C2423" s="2" t="s">
        <v>20</v>
      </c>
      <c r="D2423" s="2" t="s">
        <v>19</v>
      </c>
      <c r="E2423" s="2">
        <v>0</v>
      </c>
      <c r="F2423" s="2">
        <v>0</v>
      </c>
      <c r="G2423" s="2" t="s">
        <v>10</v>
      </c>
      <c r="H2423" s="2" t="s">
        <v>16</v>
      </c>
      <c r="I2423" s="2">
        <v>2</v>
      </c>
      <c r="J2423" s="2" t="s">
        <v>14</v>
      </c>
      <c r="K2423" s="2" t="s">
        <v>13</v>
      </c>
      <c r="L2423" s="2" t="s">
        <v>14</v>
      </c>
      <c r="M2423" s="2" t="s">
        <v>14</v>
      </c>
      <c r="N2423" s="2" t="s">
        <v>14</v>
      </c>
      <c r="O2423" s="2">
        <v>1</v>
      </c>
    </row>
    <row r="2424" spans="1:15" ht="15" customHeight="1" x14ac:dyDescent="0.25">
      <c r="A2424" s="3">
        <v>20</v>
      </c>
      <c r="B2424" s="3" t="s">
        <v>10</v>
      </c>
      <c r="C2424" s="3" t="s">
        <v>20</v>
      </c>
      <c r="D2424" s="3" t="s">
        <v>20</v>
      </c>
      <c r="E2424" s="3">
        <v>0</v>
      </c>
      <c r="F2424" s="3">
        <v>0</v>
      </c>
      <c r="G2424" s="3" t="s">
        <v>10</v>
      </c>
      <c r="H2424" s="3" t="s">
        <v>12</v>
      </c>
      <c r="I2424" s="3">
        <v>2</v>
      </c>
      <c r="J2424" s="3" t="s">
        <v>14</v>
      </c>
      <c r="K2424" s="3" t="s">
        <v>14</v>
      </c>
      <c r="L2424" s="3" t="s">
        <v>14</v>
      </c>
      <c r="M2424" s="3" t="s">
        <v>14</v>
      </c>
      <c r="N2424" s="3" t="s">
        <v>14</v>
      </c>
      <c r="O2424" s="3">
        <v>1</v>
      </c>
    </row>
    <row r="2425" spans="1:15" ht="15" customHeight="1" x14ac:dyDescent="0.25">
      <c r="A2425" s="2">
        <v>10</v>
      </c>
      <c r="B2425" s="2" t="s">
        <v>10</v>
      </c>
      <c r="C2425" s="2" t="s">
        <v>19</v>
      </c>
      <c r="D2425" s="2" t="s">
        <v>20</v>
      </c>
      <c r="E2425" s="2">
        <v>0</v>
      </c>
      <c r="F2425" s="2">
        <v>1</v>
      </c>
      <c r="G2425" s="2" t="s">
        <v>10</v>
      </c>
      <c r="H2425" s="2" t="s">
        <v>12</v>
      </c>
      <c r="I2425" s="2" t="s">
        <v>15</v>
      </c>
      <c r="J2425" s="2" t="s">
        <v>14</v>
      </c>
      <c r="K2425" s="2" t="s">
        <v>14</v>
      </c>
      <c r="L2425" s="2" t="s">
        <v>14</v>
      </c>
      <c r="M2425" s="2" t="s">
        <v>14</v>
      </c>
      <c r="N2425" s="2" t="s">
        <v>14</v>
      </c>
      <c r="O2425" s="2">
        <v>1</v>
      </c>
    </row>
    <row r="2426" spans="1:15" ht="15" customHeight="1" x14ac:dyDescent="0.25">
      <c r="A2426" s="3">
        <v>0</v>
      </c>
      <c r="B2426" s="3" t="s">
        <v>18</v>
      </c>
      <c r="C2426" s="3" t="s">
        <v>19</v>
      </c>
      <c r="D2426" s="3" t="s">
        <v>19</v>
      </c>
      <c r="E2426" s="3">
        <v>0</v>
      </c>
      <c r="F2426" s="3">
        <v>0</v>
      </c>
      <c r="G2426" s="3" t="s">
        <v>10</v>
      </c>
      <c r="H2426" s="3" t="s">
        <v>16</v>
      </c>
      <c r="I2426" s="3">
        <v>1</v>
      </c>
      <c r="J2426" s="3" t="s">
        <v>14</v>
      </c>
      <c r="K2426" s="3" t="s">
        <v>14</v>
      </c>
      <c r="L2426" s="3" t="s">
        <v>14</v>
      </c>
      <c r="M2426" s="3" t="s">
        <v>14</v>
      </c>
      <c r="N2426" s="3" t="s">
        <v>14</v>
      </c>
      <c r="O2426" s="3">
        <v>0</v>
      </c>
    </row>
    <row r="2427" spans="1:15" ht="15" customHeight="1" x14ac:dyDescent="0.25">
      <c r="A2427" s="2">
        <v>0</v>
      </c>
      <c r="B2427" s="2" t="s">
        <v>18</v>
      </c>
      <c r="C2427" s="2" t="s">
        <v>19</v>
      </c>
      <c r="D2427" s="2" t="s">
        <v>19</v>
      </c>
      <c r="E2427" s="2">
        <v>0</v>
      </c>
      <c r="F2427" s="2">
        <v>0</v>
      </c>
      <c r="G2427" s="2" t="s">
        <v>10</v>
      </c>
      <c r="H2427" s="2" t="s">
        <v>12</v>
      </c>
      <c r="I2427" s="2">
        <v>1</v>
      </c>
      <c r="J2427" s="2" t="s">
        <v>14</v>
      </c>
      <c r="K2427" s="2" t="s">
        <v>14</v>
      </c>
      <c r="L2427" s="2" t="s">
        <v>14</v>
      </c>
      <c r="M2427" s="2" t="s">
        <v>14</v>
      </c>
      <c r="N2427" s="2" t="s">
        <v>14</v>
      </c>
      <c r="O2427" s="2">
        <v>1</v>
      </c>
    </row>
    <row r="2428" spans="1:15" ht="15" customHeight="1" x14ac:dyDescent="0.25">
      <c r="A2428" s="3">
        <v>5</v>
      </c>
      <c r="B2428" s="3" t="s">
        <v>10</v>
      </c>
      <c r="C2428" s="3" t="s">
        <v>19</v>
      </c>
      <c r="D2428" s="3" t="s">
        <v>19</v>
      </c>
      <c r="E2428" s="3">
        <v>0</v>
      </c>
      <c r="F2428" s="3">
        <v>0</v>
      </c>
      <c r="G2428" s="3" t="s">
        <v>10</v>
      </c>
      <c r="H2428" s="3" t="s">
        <v>12</v>
      </c>
      <c r="I2428" s="3">
        <v>1</v>
      </c>
      <c r="J2428" s="3" t="s">
        <v>14</v>
      </c>
      <c r="K2428" s="3" t="s">
        <v>14</v>
      </c>
      <c r="L2428" s="3" t="s">
        <v>14</v>
      </c>
      <c r="M2428" s="3" t="s">
        <v>14</v>
      </c>
      <c r="N2428" s="3" t="s">
        <v>14</v>
      </c>
      <c r="O2428" s="3">
        <v>1</v>
      </c>
    </row>
    <row r="2429" spans="1:15" ht="15" customHeight="1" x14ac:dyDescent="0.25">
      <c r="A2429" s="2">
        <v>10</v>
      </c>
      <c r="B2429" s="2" t="s">
        <v>10</v>
      </c>
      <c r="C2429" s="2" t="s">
        <v>11</v>
      </c>
      <c r="D2429" s="2" t="s">
        <v>19</v>
      </c>
      <c r="E2429" s="2">
        <v>0</v>
      </c>
      <c r="F2429" s="2">
        <v>0</v>
      </c>
      <c r="G2429" s="2" t="s">
        <v>10</v>
      </c>
      <c r="H2429" s="2" t="s">
        <v>12</v>
      </c>
      <c r="I2429" s="2" t="s">
        <v>15</v>
      </c>
      <c r="J2429" s="2" t="s">
        <v>14</v>
      </c>
      <c r="K2429" s="2" t="s">
        <v>14</v>
      </c>
      <c r="L2429" s="2" t="s">
        <v>14</v>
      </c>
      <c r="M2429" s="2" t="s">
        <v>14</v>
      </c>
      <c r="N2429" s="2" t="s">
        <v>14</v>
      </c>
      <c r="O2429" s="2">
        <v>1</v>
      </c>
    </row>
    <row r="2430" spans="1:15" ht="15" customHeight="1" x14ac:dyDescent="0.25">
      <c r="A2430" s="3">
        <v>5</v>
      </c>
      <c r="B2430" s="3" t="s">
        <v>18</v>
      </c>
      <c r="C2430" s="3" t="s">
        <v>11</v>
      </c>
      <c r="D2430" s="3" t="s">
        <v>11</v>
      </c>
      <c r="E2430" s="3">
        <v>0</v>
      </c>
      <c r="F2430" s="3">
        <v>0</v>
      </c>
      <c r="G2430" s="3" t="s">
        <v>10</v>
      </c>
      <c r="H2430" s="3" t="s">
        <v>12</v>
      </c>
      <c r="I2430" s="3" t="s">
        <v>15</v>
      </c>
      <c r="J2430" s="3" t="s">
        <v>14</v>
      </c>
      <c r="K2430" s="3" t="s">
        <v>14</v>
      </c>
      <c r="L2430" s="3" t="s">
        <v>14</v>
      </c>
      <c r="M2430" s="3" t="s">
        <v>14</v>
      </c>
      <c r="N2430" s="3" t="s">
        <v>14</v>
      </c>
      <c r="O2430" s="3">
        <v>1</v>
      </c>
    </row>
    <row r="2431" spans="1:15" ht="15" customHeight="1" x14ac:dyDescent="0.25">
      <c r="A2431" s="2">
        <v>10</v>
      </c>
      <c r="B2431" s="2" t="s">
        <v>10</v>
      </c>
      <c r="C2431" s="2" t="s">
        <v>11</v>
      </c>
      <c r="D2431" s="2" t="s">
        <v>11</v>
      </c>
      <c r="E2431" s="2">
        <v>1</v>
      </c>
      <c r="F2431" s="2">
        <v>1</v>
      </c>
      <c r="G2431" s="2" t="s">
        <v>10</v>
      </c>
      <c r="H2431" s="2" t="s">
        <v>12</v>
      </c>
      <c r="I2431" s="2" t="s">
        <v>15</v>
      </c>
      <c r="J2431" s="2" t="s">
        <v>14</v>
      </c>
      <c r="K2431" s="2" t="s">
        <v>14</v>
      </c>
      <c r="L2431" s="2" t="s">
        <v>14</v>
      </c>
      <c r="M2431" s="2" t="s">
        <v>13</v>
      </c>
      <c r="N2431" s="2" t="s">
        <v>13</v>
      </c>
      <c r="O2431" s="2">
        <v>0</v>
      </c>
    </row>
    <row r="2432" spans="1:15" ht="15" customHeight="1" x14ac:dyDescent="0.25">
      <c r="A2432" s="3">
        <v>5</v>
      </c>
      <c r="B2432" s="3" t="s">
        <v>10</v>
      </c>
      <c r="C2432" s="3" t="s">
        <v>20</v>
      </c>
      <c r="D2432" s="3" t="s">
        <v>20</v>
      </c>
      <c r="E2432" s="3">
        <v>0</v>
      </c>
      <c r="F2432" s="3">
        <v>0</v>
      </c>
      <c r="G2432" s="3" t="s">
        <v>10</v>
      </c>
      <c r="H2432" s="3" t="s">
        <v>12</v>
      </c>
      <c r="I2432" s="3">
        <v>1</v>
      </c>
      <c r="J2432" s="3" t="s">
        <v>14</v>
      </c>
      <c r="K2432" s="3" t="s">
        <v>13</v>
      </c>
      <c r="L2432" s="3" t="s">
        <v>13</v>
      </c>
      <c r="M2432" s="3" t="s">
        <v>13</v>
      </c>
      <c r="N2432" s="3" t="s">
        <v>14</v>
      </c>
      <c r="O2432" s="3">
        <v>1</v>
      </c>
    </row>
    <row r="2433" spans="1:15" ht="15" customHeight="1" x14ac:dyDescent="0.25">
      <c r="A2433" s="2">
        <v>30</v>
      </c>
      <c r="B2433" s="2" t="s">
        <v>18</v>
      </c>
      <c r="C2433" s="2" t="s">
        <v>20</v>
      </c>
      <c r="D2433" s="2" t="s">
        <v>20</v>
      </c>
      <c r="E2433" s="2">
        <v>0</v>
      </c>
      <c r="F2433" s="2">
        <v>0</v>
      </c>
      <c r="G2433" s="2" t="s">
        <v>10</v>
      </c>
      <c r="H2433" s="2" t="s">
        <v>12</v>
      </c>
      <c r="I2433" s="2">
        <v>1</v>
      </c>
      <c r="J2433" s="2" t="s">
        <v>14</v>
      </c>
      <c r="K2433" s="2" t="s">
        <v>13</v>
      </c>
      <c r="L2433" s="2" t="s">
        <v>13</v>
      </c>
      <c r="M2433" s="2" t="s">
        <v>14</v>
      </c>
      <c r="N2433" s="2" t="s">
        <v>14</v>
      </c>
      <c r="O2433" s="2">
        <v>1</v>
      </c>
    </row>
    <row r="2434" spans="1:15" ht="15" customHeight="1" x14ac:dyDescent="0.25">
      <c r="A2434" s="3">
        <v>10</v>
      </c>
      <c r="B2434" s="3" t="s">
        <v>10</v>
      </c>
      <c r="C2434" s="3" t="s">
        <v>20</v>
      </c>
      <c r="D2434" s="3" t="s">
        <v>20</v>
      </c>
      <c r="E2434" s="3">
        <v>0</v>
      </c>
      <c r="F2434" s="3">
        <v>0</v>
      </c>
      <c r="G2434" s="3" t="s">
        <v>10</v>
      </c>
      <c r="H2434" s="3" t="s">
        <v>12</v>
      </c>
      <c r="I2434" s="3">
        <v>2</v>
      </c>
      <c r="J2434" s="3" t="s">
        <v>14</v>
      </c>
      <c r="K2434" s="3" t="s">
        <v>14</v>
      </c>
      <c r="L2434" s="3" t="s">
        <v>14</v>
      </c>
      <c r="M2434" s="3" t="s">
        <v>14</v>
      </c>
      <c r="N2434" s="3" t="s">
        <v>14</v>
      </c>
      <c r="O2434" s="3">
        <v>1</v>
      </c>
    </row>
    <row r="2435" spans="1:15" ht="15" customHeight="1" x14ac:dyDescent="0.25">
      <c r="A2435" s="2">
        <v>10</v>
      </c>
      <c r="B2435" s="2" t="s">
        <v>18</v>
      </c>
      <c r="C2435" s="2" t="s">
        <v>20</v>
      </c>
      <c r="D2435" s="2" t="s">
        <v>20</v>
      </c>
      <c r="E2435" s="2">
        <v>0</v>
      </c>
      <c r="F2435" s="2">
        <v>0</v>
      </c>
      <c r="G2435" s="2" t="s">
        <v>10</v>
      </c>
      <c r="H2435" s="2" t="s">
        <v>12</v>
      </c>
      <c r="I2435" s="2">
        <v>2</v>
      </c>
      <c r="J2435" s="2" t="s">
        <v>14</v>
      </c>
      <c r="K2435" s="2" t="s">
        <v>14</v>
      </c>
      <c r="L2435" s="2" t="s">
        <v>14</v>
      </c>
      <c r="M2435" s="2" t="s">
        <v>14</v>
      </c>
      <c r="N2435" s="2" t="s">
        <v>14</v>
      </c>
      <c r="O2435" s="2">
        <v>1</v>
      </c>
    </row>
    <row r="2436" spans="1:15" ht="15" customHeight="1" x14ac:dyDescent="0.25">
      <c r="A2436" s="3">
        <v>20</v>
      </c>
      <c r="B2436" s="3" t="s">
        <v>14</v>
      </c>
      <c r="C2436" s="3" t="s">
        <v>20</v>
      </c>
      <c r="D2436" s="3" t="s">
        <v>20</v>
      </c>
      <c r="E2436" s="3">
        <v>0</v>
      </c>
      <c r="F2436" s="3">
        <v>0</v>
      </c>
      <c r="G2436" s="3" t="s">
        <v>10</v>
      </c>
      <c r="H2436" s="3" t="s">
        <v>16</v>
      </c>
      <c r="I2436" s="3" t="s">
        <v>15</v>
      </c>
      <c r="J2436" s="3" t="s">
        <v>14</v>
      </c>
      <c r="K2436" s="3" t="s">
        <v>14</v>
      </c>
      <c r="L2436" s="3" t="s">
        <v>14</v>
      </c>
      <c r="M2436" s="3" t="s">
        <v>14</v>
      </c>
      <c r="N2436" s="3" t="s">
        <v>14</v>
      </c>
      <c r="O2436" s="3">
        <v>1</v>
      </c>
    </row>
    <row r="2437" spans="1:15" ht="15" customHeight="1" x14ac:dyDescent="0.25">
      <c r="A2437" s="2">
        <v>10</v>
      </c>
      <c r="B2437" s="2" t="s">
        <v>18</v>
      </c>
      <c r="C2437" s="2" t="s">
        <v>20</v>
      </c>
      <c r="D2437" s="2" t="s">
        <v>20</v>
      </c>
      <c r="E2437" s="2">
        <v>0</v>
      </c>
      <c r="F2437" s="2">
        <v>0</v>
      </c>
      <c r="G2437" s="2" t="s">
        <v>10</v>
      </c>
      <c r="H2437" s="2" t="s">
        <v>12</v>
      </c>
      <c r="I2437" s="2">
        <v>2</v>
      </c>
      <c r="J2437" s="2" t="s">
        <v>14</v>
      </c>
      <c r="K2437" s="2" t="s">
        <v>14</v>
      </c>
      <c r="L2437" s="2" t="s">
        <v>14</v>
      </c>
      <c r="M2437" s="2" t="s">
        <v>14</v>
      </c>
      <c r="N2437" s="2" t="s">
        <v>14</v>
      </c>
      <c r="O2437" s="2">
        <v>1</v>
      </c>
    </row>
    <row r="2438" spans="1:15" ht="15" customHeight="1" x14ac:dyDescent="0.25">
      <c r="A2438" s="3">
        <v>30</v>
      </c>
      <c r="B2438" s="3" t="s">
        <v>10</v>
      </c>
      <c r="C2438" s="3" t="s">
        <v>19</v>
      </c>
      <c r="D2438" s="3" t="s">
        <v>20</v>
      </c>
      <c r="E2438" s="3">
        <v>1</v>
      </c>
      <c r="F2438" s="3">
        <v>0</v>
      </c>
      <c r="G2438" s="3" t="s">
        <v>10</v>
      </c>
      <c r="H2438" s="3" t="s">
        <v>16</v>
      </c>
      <c r="I2438" s="3">
        <v>2</v>
      </c>
      <c r="J2438" s="3" t="s">
        <v>14</v>
      </c>
      <c r="K2438" s="3" t="s">
        <v>14</v>
      </c>
      <c r="L2438" s="3" t="s">
        <v>14</v>
      </c>
      <c r="M2438" s="3" t="s">
        <v>13</v>
      </c>
      <c r="N2438" s="3" t="s">
        <v>14</v>
      </c>
      <c r="O2438" s="3">
        <v>0</v>
      </c>
    </row>
    <row r="2439" spans="1:15" ht="15" customHeight="1" x14ac:dyDescent="0.25">
      <c r="A2439" s="2">
        <v>10</v>
      </c>
      <c r="B2439" s="2" t="s">
        <v>10</v>
      </c>
      <c r="C2439" s="2" t="s">
        <v>19</v>
      </c>
      <c r="D2439" s="2" t="s">
        <v>19</v>
      </c>
      <c r="E2439" s="2">
        <v>0</v>
      </c>
      <c r="F2439" s="2">
        <v>0</v>
      </c>
      <c r="G2439" s="2" t="s">
        <v>17</v>
      </c>
      <c r="H2439" s="2" t="s">
        <v>106</v>
      </c>
      <c r="I2439" s="2">
        <v>1</v>
      </c>
      <c r="J2439" s="2" t="s">
        <v>14</v>
      </c>
      <c r="K2439" s="2" t="s">
        <v>13</v>
      </c>
      <c r="L2439" s="2" t="s">
        <v>13</v>
      </c>
      <c r="M2439" s="2" t="s">
        <v>13</v>
      </c>
      <c r="N2439" s="2" t="s">
        <v>14</v>
      </c>
      <c r="O2439" s="2">
        <v>1</v>
      </c>
    </row>
    <row r="2440" spans="1:15" ht="15" customHeight="1" x14ac:dyDescent="0.25">
      <c r="A2440" s="3">
        <v>5</v>
      </c>
      <c r="B2440" s="3" t="s">
        <v>10</v>
      </c>
      <c r="C2440" s="3" t="s">
        <v>19</v>
      </c>
      <c r="D2440" s="3" t="s">
        <v>19</v>
      </c>
      <c r="E2440" s="3">
        <v>0</v>
      </c>
      <c r="F2440" s="3">
        <v>0</v>
      </c>
      <c r="G2440" s="3" t="s">
        <v>17</v>
      </c>
      <c r="H2440" s="3" t="s">
        <v>106</v>
      </c>
      <c r="I2440" s="3">
        <v>1</v>
      </c>
      <c r="J2440" s="3" t="s">
        <v>14</v>
      </c>
      <c r="K2440" s="3" t="s">
        <v>13</v>
      </c>
      <c r="L2440" s="3" t="s">
        <v>13</v>
      </c>
      <c r="M2440" s="3" t="s">
        <v>13</v>
      </c>
      <c r="N2440" s="3" t="s">
        <v>14</v>
      </c>
      <c r="O2440" s="3">
        <v>0</v>
      </c>
    </row>
    <row r="2441" spans="1:15" ht="15" customHeight="1" x14ac:dyDescent="0.25">
      <c r="A2441" s="2">
        <v>10</v>
      </c>
      <c r="B2441" s="2" t="s">
        <v>10</v>
      </c>
      <c r="C2441" s="2" t="s">
        <v>19</v>
      </c>
      <c r="D2441" s="2" t="s">
        <v>19</v>
      </c>
      <c r="E2441" s="2">
        <v>0</v>
      </c>
      <c r="F2441" s="2">
        <v>1</v>
      </c>
      <c r="G2441" s="2" t="s">
        <v>10</v>
      </c>
      <c r="H2441" s="2" t="s">
        <v>12</v>
      </c>
      <c r="I2441" s="2">
        <v>1</v>
      </c>
      <c r="J2441" s="2" t="s">
        <v>14</v>
      </c>
      <c r="K2441" s="2" t="s">
        <v>13</v>
      </c>
      <c r="L2441" s="2" t="s">
        <v>13</v>
      </c>
      <c r="M2441" s="2" t="s">
        <v>13</v>
      </c>
      <c r="N2441" s="2" t="s">
        <v>14</v>
      </c>
      <c r="O2441" s="2">
        <v>0</v>
      </c>
    </row>
    <row r="2442" spans="1:15" ht="15" customHeight="1" x14ac:dyDescent="0.25">
      <c r="A2442" s="3">
        <v>5</v>
      </c>
      <c r="B2442" s="3" t="s">
        <v>10</v>
      </c>
      <c r="C2442" s="3" t="s">
        <v>19</v>
      </c>
      <c r="D2442" s="3" t="s">
        <v>19</v>
      </c>
      <c r="E2442" s="3">
        <v>0</v>
      </c>
      <c r="F2442" s="3">
        <v>0</v>
      </c>
      <c r="G2442" s="3" t="s">
        <v>10</v>
      </c>
      <c r="H2442" s="3" t="s">
        <v>12</v>
      </c>
      <c r="I2442" s="3">
        <v>1</v>
      </c>
      <c r="J2442" s="3" t="s">
        <v>14</v>
      </c>
      <c r="K2442" s="3" t="s">
        <v>14</v>
      </c>
      <c r="L2442" s="3" t="s">
        <v>14</v>
      </c>
      <c r="M2442" s="3" t="s">
        <v>14</v>
      </c>
      <c r="N2442" s="3" t="s">
        <v>14</v>
      </c>
      <c r="O2442" s="3">
        <v>1</v>
      </c>
    </row>
    <row r="2443" spans="1:15" ht="15" customHeight="1" x14ac:dyDescent="0.25">
      <c r="A2443" s="2">
        <v>10</v>
      </c>
      <c r="B2443" s="2" t="s">
        <v>18</v>
      </c>
      <c r="C2443" s="2" t="s">
        <v>20</v>
      </c>
      <c r="D2443" s="2" t="s">
        <v>19</v>
      </c>
      <c r="E2443" s="2">
        <v>0</v>
      </c>
      <c r="F2443" s="2">
        <v>0</v>
      </c>
      <c r="G2443" s="2" t="s">
        <v>10</v>
      </c>
      <c r="H2443" s="2" t="s">
        <v>12</v>
      </c>
      <c r="I2443" s="2">
        <v>1</v>
      </c>
      <c r="J2443" s="2" t="s">
        <v>14</v>
      </c>
      <c r="K2443" s="2" t="s">
        <v>14</v>
      </c>
      <c r="L2443" s="2" t="s">
        <v>14</v>
      </c>
      <c r="M2443" s="2" t="s">
        <v>14</v>
      </c>
      <c r="N2443" s="2" t="s">
        <v>14</v>
      </c>
      <c r="O2443" s="2">
        <v>1</v>
      </c>
    </row>
    <row r="2444" spans="1:15" ht="15" customHeight="1" x14ac:dyDescent="0.25">
      <c r="A2444" s="3">
        <v>10</v>
      </c>
      <c r="B2444" s="3" t="s">
        <v>10</v>
      </c>
      <c r="C2444" s="3" t="s">
        <v>20</v>
      </c>
      <c r="D2444" s="3" t="s">
        <v>20</v>
      </c>
      <c r="E2444" s="3">
        <v>0</v>
      </c>
      <c r="F2444" s="3">
        <v>0</v>
      </c>
      <c r="G2444" s="3" t="s">
        <v>10</v>
      </c>
      <c r="H2444" s="3" t="s">
        <v>16</v>
      </c>
      <c r="I2444" s="3">
        <v>2</v>
      </c>
      <c r="J2444" s="3" t="s">
        <v>14</v>
      </c>
      <c r="K2444" s="3" t="s">
        <v>14</v>
      </c>
      <c r="L2444" s="3" t="s">
        <v>14</v>
      </c>
      <c r="M2444" s="3" t="s">
        <v>14</v>
      </c>
      <c r="N2444" s="3" t="s">
        <v>14</v>
      </c>
      <c r="O2444" s="3">
        <v>1</v>
      </c>
    </row>
    <row r="2445" spans="1:15" ht="15" customHeight="1" x14ac:dyDescent="0.25">
      <c r="A2445" s="2">
        <v>20</v>
      </c>
      <c r="B2445" s="2" t="s">
        <v>18</v>
      </c>
      <c r="C2445" s="2" t="s">
        <v>20</v>
      </c>
      <c r="D2445" s="2" t="s">
        <v>20</v>
      </c>
      <c r="E2445" s="2">
        <v>0</v>
      </c>
      <c r="F2445" s="2">
        <v>0</v>
      </c>
      <c r="G2445" s="2" t="s">
        <v>10</v>
      </c>
      <c r="H2445" s="2" t="s">
        <v>12</v>
      </c>
      <c r="I2445" s="2">
        <v>1</v>
      </c>
      <c r="J2445" s="2" t="s">
        <v>14</v>
      </c>
      <c r="K2445" s="2" t="s">
        <v>14</v>
      </c>
      <c r="L2445" s="2" t="s">
        <v>14</v>
      </c>
      <c r="M2445" s="2" t="s">
        <v>14</v>
      </c>
      <c r="N2445" s="2" t="s">
        <v>14</v>
      </c>
      <c r="O2445" s="2">
        <v>1</v>
      </c>
    </row>
    <row r="2446" spans="1:15" ht="15" customHeight="1" x14ac:dyDescent="0.25">
      <c r="A2446" s="3">
        <v>30</v>
      </c>
      <c r="B2446" s="3" t="s">
        <v>10</v>
      </c>
      <c r="C2446" s="3" t="s">
        <v>19</v>
      </c>
      <c r="D2446" s="3" t="s">
        <v>20</v>
      </c>
      <c r="E2446" s="3">
        <v>1</v>
      </c>
      <c r="F2446" s="3">
        <v>0</v>
      </c>
      <c r="G2446" s="3" t="s">
        <v>10</v>
      </c>
      <c r="H2446" s="3" t="s">
        <v>12</v>
      </c>
      <c r="I2446" s="3" t="s">
        <v>15</v>
      </c>
      <c r="J2446" s="3" t="s">
        <v>14</v>
      </c>
      <c r="K2446" s="3" t="s">
        <v>14</v>
      </c>
      <c r="L2446" s="3" t="s">
        <v>14</v>
      </c>
      <c r="M2446" s="3" t="s">
        <v>13</v>
      </c>
      <c r="N2446" s="3" t="s">
        <v>14</v>
      </c>
      <c r="O2446" s="3">
        <v>0</v>
      </c>
    </row>
    <row r="2447" spans="1:15" ht="15" customHeight="1" x14ac:dyDescent="0.25">
      <c r="A2447" s="2">
        <v>10</v>
      </c>
      <c r="B2447" s="2" t="s">
        <v>10</v>
      </c>
      <c r="C2447" s="2" t="s">
        <v>19</v>
      </c>
      <c r="D2447" s="2" t="s">
        <v>19</v>
      </c>
      <c r="E2447" s="2">
        <v>0</v>
      </c>
      <c r="F2447" s="2">
        <v>0</v>
      </c>
      <c r="G2447" s="2" t="s">
        <v>17</v>
      </c>
      <c r="H2447" s="2" t="s">
        <v>106</v>
      </c>
      <c r="I2447" s="2">
        <v>1</v>
      </c>
      <c r="J2447" s="2" t="s">
        <v>14</v>
      </c>
      <c r="K2447" s="2" t="s">
        <v>13</v>
      </c>
      <c r="L2447" s="2" t="s">
        <v>13</v>
      </c>
      <c r="M2447" s="2" t="s">
        <v>13</v>
      </c>
      <c r="N2447" s="2" t="s">
        <v>14</v>
      </c>
      <c r="O2447" s="2">
        <v>1</v>
      </c>
    </row>
    <row r="2448" spans="1:15" ht="15" customHeight="1" x14ac:dyDescent="0.25">
      <c r="A2448" s="3">
        <v>5</v>
      </c>
      <c r="B2448" s="3" t="s">
        <v>10</v>
      </c>
      <c r="C2448" s="3" t="s">
        <v>19</v>
      </c>
      <c r="D2448" s="3" t="s">
        <v>19</v>
      </c>
      <c r="E2448" s="3">
        <v>0</v>
      </c>
      <c r="F2448" s="3">
        <v>0</v>
      </c>
      <c r="G2448" s="3" t="s">
        <v>10</v>
      </c>
      <c r="H2448" s="3" t="s">
        <v>12</v>
      </c>
      <c r="I2448" s="3">
        <v>1</v>
      </c>
      <c r="J2448" s="3" t="s">
        <v>14</v>
      </c>
      <c r="K2448" s="3" t="s">
        <v>13</v>
      </c>
      <c r="L2448" s="3" t="s">
        <v>13</v>
      </c>
      <c r="M2448" s="3" t="s">
        <v>13</v>
      </c>
      <c r="N2448" s="3" t="s">
        <v>14</v>
      </c>
      <c r="O2448" s="3">
        <v>1</v>
      </c>
    </row>
    <row r="2449" spans="1:15" ht="15" customHeight="1" x14ac:dyDescent="0.25">
      <c r="A2449" s="2">
        <v>0</v>
      </c>
      <c r="B2449" s="2" t="s">
        <v>10</v>
      </c>
      <c r="C2449" s="2" t="s">
        <v>19</v>
      </c>
      <c r="D2449" s="2" t="s">
        <v>19</v>
      </c>
      <c r="E2449" s="2">
        <v>0</v>
      </c>
      <c r="F2449" s="2">
        <v>2</v>
      </c>
      <c r="G2449" s="2" t="s">
        <v>10</v>
      </c>
      <c r="H2449" s="2" t="s">
        <v>12</v>
      </c>
      <c r="I2449" s="2" t="s">
        <v>15</v>
      </c>
      <c r="J2449" s="2" t="s">
        <v>14</v>
      </c>
      <c r="K2449" s="2" t="s">
        <v>13</v>
      </c>
      <c r="L2449" s="2" t="s">
        <v>14</v>
      </c>
      <c r="M2449" s="2" t="s">
        <v>14</v>
      </c>
      <c r="N2449" s="2" t="s">
        <v>14</v>
      </c>
      <c r="O2449" s="2">
        <v>1</v>
      </c>
    </row>
    <row r="2450" spans="1:15" ht="15" customHeight="1" x14ac:dyDescent="0.25">
      <c r="A2450" s="3">
        <v>0</v>
      </c>
      <c r="B2450" s="3" t="s">
        <v>18</v>
      </c>
      <c r="C2450" s="3" t="s">
        <v>19</v>
      </c>
      <c r="D2450" s="3" t="s">
        <v>19</v>
      </c>
      <c r="E2450" s="3">
        <v>0</v>
      </c>
      <c r="F2450" s="3">
        <v>0</v>
      </c>
      <c r="G2450" s="3" t="s">
        <v>10</v>
      </c>
      <c r="H2450" s="3" t="s">
        <v>12</v>
      </c>
      <c r="I2450" s="3">
        <v>1</v>
      </c>
      <c r="J2450" s="3" t="s">
        <v>14</v>
      </c>
      <c r="K2450" s="3" t="s">
        <v>14</v>
      </c>
      <c r="L2450" s="3" t="s">
        <v>14</v>
      </c>
      <c r="M2450" s="3" t="s">
        <v>14</v>
      </c>
      <c r="N2450" s="3" t="s">
        <v>14</v>
      </c>
      <c r="O2450" s="3">
        <v>1</v>
      </c>
    </row>
    <row r="2451" spans="1:15" ht="15" customHeight="1" x14ac:dyDescent="0.25">
      <c r="A2451" s="2">
        <v>0</v>
      </c>
      <c r="B2451" s="2" t="s">
        <v>10</v>
      </c>
      <c r="C2451" s="2" t="s">
        <v>11</v>
      </c>
      <c r="D2451" s="2" t="s">
        <v>11</v>
      </c>
      <c r="E2451" s="2">
        <v>0</v>
      </c>
      <c r="F2451" s="2">
        <v>1</v>
      </c>
      <c r="G2451" s="2" t="s">
        <v>10</v>
      </c>
      <c r="H2451" s="2" t="s">
        <v>12</v>
      </c>
      <c r="I2451" s="2">
        <v>2</v>
      </c>
      <c r="J2451" s="2" t="s">
        <v>14</v>
      </c>
      <c r="K2451" s="2" t="s">
        <v>14</v>
      </c>
      <c r="L2451" s="2" t="s">
        <v>14</v>
      </c>
      <c r="M2451" s="2" t="s">
        <v>14</v>
      </c>
      <c r="N2451" s="2" t="s">
        <v>14</v>
      </c>
      <c r="O2451" s="2">
        <v>0</v>
      </c>
    </row>
    <row r="2452" spans="1:15" ht="15" customHeight="1" x14ac:dyDescent="0.25">
      <c r="A2452" s="11">
        <v>5</v>
      </c>
      <c r="B2452" s="11" t="s">
        <v>14</v>
      </c>
      <c r="C2452" s="11" t="s">
        <v>19</v>
      </c>
      <c r="D2452" s="11" t="s">
        <v>19</v>
      </c>
      <c r="E2452" s="11">
        <v>0</v>
      </c>
      <c r="F2452" s="11">
        <v>0</v>
      </c>
      <c r="G2452" s="11" t="s">
        <v>17</v>
      </c>
      <c r="H2452" s="11" t="s">
        <v>106</v>
      </c>
      <c r="I2452" s="11">
        <v>1</v>
      </c>
      <c r="J2452" s="11" t="s">
        <v>14</v>
      </c>
      <c r="K2452" s="11" t="s">
        <v>13</v>
      </c>
      <c r="L2452" s="11" t="s">
        <v>13</v>
      </c>
      <c r="M2452" s="11" t="s">
        <v>14</v>
      </c>
      <c r="N2452" s="11" t="s">
        <v>14</v>
      </c>
      <c r="O2452" s="11">
        <v>1</v>
      </c>
    </row>
    <row r="2453" spans="1:15" ht="15" customHeight="1" x14ac:dyDescent="0.25">
      <c r="A2453" s="11">
        <v>0</v>
      </c>
      <c r="B2453" s="11" t="s">
        <v>14</v>
      </c>
      <c r="C2453" s="11" t="s">
        <v>19</v>
      </c>
      <c r="D2453" s="11" t="s">
        <v>19</v>
      </c>
      <c r="E2453" s="11">
        <v>0</v>
      </c>
      <c r="F2453" s="11">
        <v>0</v>
      </c>
      <c r="G2453" s="11" t="s">
        <v>10</v>
      </c>
      <c r="H2453" s="11" t="s">
        <v>12</v>
      </c>
      <c r="I2453" s="11" t="s">
        <v>15</v>
      </c>
      <c r="J2453" s="11" t="s">
        <v>14</v>
      </c>
      <c r="K2453" s="11" t="s">
        <v>14</v>
      </c>
      <c r="L2453" s="11" t="s">
        <v>14</v>
      </c>
      <c r="M2453" s="11" t="s">
        <v>14</v>
      </c>
      <c r="N2453" s="11" t="s">
        <v>14</v>
      </c>
      <c r="O2453" s="11">
        <v>1</v>
      </c>
    </row>
    <row r="2454" spans="1:15" ht="15" customHeight="1" x14ac:dyDescent="0.25">
      <c r="A2454" s="11">
        <v>10</v>
      </c>
      <c r="B2454" s="11" t="s">
        <v>18</v>
      </c>
      <c r="C2454" s="11" t="s">
        <v>19</v>
      </c>
      <c r="D2454" s="11" t="s">
        <v>19</v>
      </c>
      <c r="E2454" s="11">
        <v>0</v>
      </c>
      <c r="F2454" s="11">
        <v>0</v>
      </c>
      <c r="G2454" s="11" t="s">
        <v>10</v>
      </c>
      <c r="H2454" s="11" t="s">
        <v>12</v>
      </c>
      <c r="I2454" s="11" t="s">
        <v>15</v>
      </c>
      <c r="J2454" s="11" t="s">
        <v>14</v>
      </c>
      <c r="K2454" s="11" t="s">
        <v>14</v>
      </c>
      <c r="L2454" s="11" t="s">
        <v>14</v>
      </c>
      <c r="M2454" s="11" t="s">
        <v>14</v>
      </c>
      <c r="N2454" s="11" t="s">
        <v>14</v>
      </c>
      <c r="O2454" s="11">
        <v>1</v>
      </c>
    </row>
    <row r="2455" spans="1:15" ht="15" customHeight="1" x14ac:dyDescent="0.25">
      <c r="A2455" s="11">
        <v>10</v>
      </c>
      <c r="B2455" s="11" t="s">
        <v>10</v>
      </c>
      <c r="C2455" s="11" t="s">
        <v>19</v>
      </c>
      <c r="D2455" s="11" t="s">
        <v>19</v>
      </c>
      <c r="E2455" s="11">
        <v>0</v>
      </c>
      <c r="F2455" s="11">
        <v>0</v>
      </c>
      <c r="G2455" s="11" t="s">
        <v>10</v>
      </c>
      <c r="H2455" s="11" t="s">
        <v>12</v>
      </c>
      <c r="I2455" s="11">
        <v>2</v>
      </c>
      <c r="J2455" s="11" t="s">
        <v>14</v>
      </c>
      <c r="K2455" s="11" t="s">
        <v>14</v>
      </c>
      <c r="L2455" s="11" t="s">
        <v>14</v>
      </c>
      <c r="M2455" s="11" t="s">
        <v>14</v>
      </c>
      <c r="N2455" s="11" t="s">
        <v>14</v>
      </c>
      <c r="O2455" s="11">
        <v>1</v>
      </c>
    </row>
    <row r="2456" spans="1:15" ht="15" customHeight="1" x14ac:dyDescent="0.25">
      <c r="A2456" s="11">
        <v>0</v>
      </c>
      <c r="B2456" s="11" t="s">
        <v>18</v>
      </c>
      <c r="C2456" s="11" t="s">
        <v>19</v>
      </c>
      <c r="D2456" s="11" t="s">
        <v>19</v>
      </c>
      <c r="E2456" s="11">
        <v>0</v>
      </c>
      <c r="F2456" s="11">
        <v>0</v>
      </c>
      <c r="G2456" s="11" t="s">
        <v>10</v>
      </c>
      <c r="H2456" s="11" t="s">
        <v>12</v>
      </c>
      <c r="I2456" s="11" t="s">
        <v>15</v>
      </c>
      <c r="J2456" s="11" t="s">
        <v>14</v>
      </c>
      <c r="K2456" s="11" t="s">
        <v>14</v>
      </c>
      <c r="L2456" s="11" t="s">
        <v>14</v>
      </c>
      <c r="M2456" s="11" t="s">
        <v>14</v>
      </c>
      <c r="N2456" s="11" t="s">
        <v>14</v>
      </c>
      <c r="O2456" s="11">
        <v>1</v>
      </c>
    </row>
    <row r="2457" spans="1:15" ht="15" customHeight="1" x14ac:dyDescent="0.25">
      <c r="A2457" s="11">
        <v>30</v>
      </c>
      <c r="B2457" s="11" t="s">
        <v>10</v>
      </c>
      <c r="C2457" s="11" t="s">
        <v>11</v>
      </c>
      <c r="D2457" s="11" t="s">
        <v>19</v>
      </c>
      <c r="E2457" s="11">
        <v>0</v>
      </c>
      <c r="F2457" s="11">
        <v>1</v>
      </c>
      <c r="G2457" s="11" t="s">
        <v>10</v>
      </c>
      <c r="H2457" s="11" t="s">
        <v>12</v>
      </c>
      <c r="I2457" s="11">
        <v>2</v>
      </c>
      <c r="J2457" s="11" t="s">
        <v>14</v>
      </c>
      <c r="K2457" s="11" t="s">
        <v>14</v>
      </c>
      <c r="L2457" s="11" t="s">
        <v>13</v>
      </c>
      <c r="M2457" s="11" t="s">
        <v>13</v>
      </c>
      <c r="N2457" s="11" t="s">
        <v>13</v>
      </c>
      <c r="O2457" s="11">
        <v>1</v>
      </c>
    </row>
    <row r="2458" spans="1:15" ht="15" customHeight="1" x14ac:dyDescent="0.25">
      <c r="A2458" s="11">
        <v>10</v>
      </c>
      <c r="B2458" s="11" t="s">
        <v>18</v>
      </c>
      <c r="C2458" s="11" t="s">
        <v>11</v>
      </c>
      <c r="D2458" s="11" t="s">
        <v>11</v>
      </c>
      <c r="E2458" s="11">
        <v>0</v>
      </c>
      <c r="F2458" s="11">
        <v>0</v>
      </c>
      <c r="G2458" s="11" t="s">
        <v>10</v>
      </c>
      <c r="H2458" s="11" t="s">
        <v>12</v>
      </c>
      <c r="I2458" s="11">
        <v>2</v>
      </c>
      <c r="J2458" s="11" t="s">
        <v>14</v>
      </c>
      <c r="K2458" s="11" t="s">
        <v>13</v>
      </c>
      <c r="L2458" s="11" t="s">
        <v>14</v>
      </c>
      <c r="M2458" s="11" t="s">
        <v>14</v>
      </c>
      <c r="N2458" s="11" t="s">
        <v>14</v>
      </c>
      <c r="O2458" s="11">
        <v>1</v>
      </c>
    </row>
    <row r="2459" spans="1:15" ht="15" customHeight="1" x14ac:dyDescent="0.25">
      <c r="A2459" s="11">
        <v>5</v>
      </c>
      <c r="B2459" s="11" t="s">
        <v>14</v>
      </c>
      <c r="C2459" s="11" t="s">
        <v>11</v>
      </c>
      <c r="D2459" s="11" t="s">
        <v>11</v>
      </c>
      <c r="E2459" s="11">
        <v>0</v>
      </c>
      <c r="F2459" s="11">
        <v>0</v>
      </c>
      <c r="G2459" s="11" t="s">
        <v>10</v>
      </c>
      <c r="H2459" s="11" t="s">
        <v>12</v>
      </c>
      <c r="I2459" s="11">
        <v>1</v>
      </c>
      <c r="J2459" s="11" t="s">
        <v>14</v>
      </c>
      <c r="K2459" s="11" t="s">
        <v>14</v>
      </c>
      <c r="L2459" s="11" t="s">
        <v>14</v>
      </c>
      <c r="M2459" s="11" t="s">
        <v>14</v>
      </c>
      <c r="N2459" s="11" t="s">
        <v>14</v>
      </c>
      <c r="O2459" s="11">
        <v>1</v>
      </c>
    </row>
    <row r="2460" spans="1:15" ht="15" customHeight="1" x14ac:dyDescent="0.25">
      <c r="A2460" s="11">
        <v>10</v>
      </c>
      <c r="B2460" s="11" t="s">
        <v>18</v>
      </c>
      <c r="C2460" s="11" t="s">
        <v>19</v>
      </c>
      <c r="D2460" s="11" t="s">
        <v>11</v>
      </c>
      <c r="E2460" s="11">
        <v>0</v>
      </c>
      <c r="F2460" s="11">
        <v>0</v>
      </c>
      <c r="G2460" s="11" t="s">
        <v>10</v>
      </c>
      <c r="H2460" s="11" t="s">
        <v>16</v>
      </c>
      <c r="I2460" s="11">
        <v>2</v>
      </c>
      <c r="J2460" s="11" t="s">
        <v>14</v>
      </c>
      <c r="K2460" s="11" t="s">
        <v>14</v>
      </c>
      <c r="L2460" s="11" t="s">
        <v>14</v>
      </c>
      <c r="M2460" s="11" t="s">
        <v>14</v>
      </c>
      <c r="N2460" s="11" t="s">
        <v>14</v>
      </c>
      <c r="O2460" s="11">
        <v>1</v>
      </c>
    </row>
    <row r="2461" spans="1:15" ht="15" customHeight="1" x14ac:dyDescent="0.25">
      <c r="A2461" s="11">
        <v>10</v>
      </c>
      <c r="B2461" s="11" t="s">
        <v>14</v>
      </c>
      <c r="C2461" s="11" t="s">
        <v>19</v>
      </c>
      <c r="D2461" s="11" t="s">
        <v>19</v>
      </c>
      <c r="E2461" s="11">
        <v>0</v>
      </c>
      <c r="F2461" s="11">
        <v>0</v>
      </c>
      <c r="G2461" s="11" t="s">
        <v>10</v>
      </c>
      <c r="H2461" s="11" t="s">
        <v>12</v>
      </c>
      <c r="I2461" s="11">
        <v>2</v>
      </c>
      <c r="J2461" s="11" t="s">
        <v>14</v>
      </c>
      <c r="K2461" s="11" t="s">
        <v>14</v>
      </c>
      <c r="L2461" s="11" t="s">
        <v>14</v>
      </c>
      <c r="M2461" s="11" t="s">
        <v>14</v>
      </c>
      <c r="N2461" s="11" t="s">
        <v>14</v>
      </c>
      <c r="O2461" s="11">
        <v>1</v>
      </c>
    </row>
    <row r="2462" spans="1:15" ht="15" customHeight="1" x14ac:dyDescent="0.25">
      <c r="A2462" s="11">
        <v>5</v>
      </c>
      <c r="B2462" s="11" t="s">
        <v>18</v>
      </c>
      <c r="C2462" s="11" t="s">
        <v>19</v>
      </c>
      <c r="D2462" s="11" t="s">
        <v>19</v>
      </c>
      <c r="E2462" s="11">
        <v>0</v>
      </c>
      <c r="F2462" s="11">
        <v>0</v>
      </c>
      <c r="G2462" s="11" t="s">
        <v>10</v>
      </c>
      <c r="H2462" s="11" t="s">
        <v>12</v>
      </c>
      <c r="I2462" s="11">
        <v>2</v>
      </c>
      <c r="J2462" s="11" t="s">
        <v>14</v>
      </c>
      <c r="K2462" s="11" t="s">
        <v>14</v>
      </c>
      <c r="L2462" s="11" t="s">
        <v>14</v>
      </c>
      <c r="M2462" s="11" t="s">
        <v>14</v>
      </c>
      <c r="N2462" s="11" t="s">
        <v>14</v>
      </c>
      <c r="O2462" s="11">
        <v>1</v>
      </c>
    </row>
    <row r="2463" spans="1:15" ht="15" customHeight="1" x14ac:dyDescent="0.25">
      <c r="A2463" s="11">
        <v>20</v>
      </c>
      <c r="B2463" s="11" t="s">
        <v>14</v>
      </c>
      <c r="C2463" s="11" t="s">
        <v>19</v>
      </c>
      <c r="D2463" s="11" t="s">
        <v>19</v>
      </c>
      <c r="E2463" s="11">
        <v>0</v>
      </c>
      <c r="F2463" s="11">
        <v>0</v>
      </c>
      <c r="G2463" s="11" t="s">
        <v>10</v>
      </c>
      <c r="H2463" s="11" t="s">
        <v>16</v>
      </c>
      <c r="I2463" s="11">
        <v>2</v>
      </c>
      <c r="J2463" s="11" t="s">
        <v>14</v>
      </c>
      <c r="K2463" s="11" t="s">
        <v>14</v>
      </c>
      <c r="L2463" s="11" t="s">
        <v>14</v>
      </c>
      <c r="M2463" s="11" t="s">
        <v>14</v>
      </c>
      <c r="N2463" s="11" t="s">
        <v>14</v>
      </c>
      <c r="O2463" s="11">
        <v>1</v>
      </c>
    </row>
    <row r="2464" spans="1:15" ht="15" customHeight="1" x14ac:dyDescent="0.25">
      <c r="A2464" s="11">
        <v>10</v>
      </c>
      <c r="B2464" s="11" t="s">
        <v>10</v>
      </c>
      <c r="C2464" s="11" t="s">
        <v>19</v>
      </c>
      <c r="D2464" s="11" t="s">
        <v>19</v>
      </c>
      <c r="E2464" s="11">
        <v>0</v>
      </c>
      <c r="F2464" s="11">
        <v>0</v>
      </c>
      <c r="G2464" s="11" t="s">
        <v>10</v>
      </c>
      <c r="H2464" s="11" t="s">
        <v>12</v>
      </c>
      <c r="I2464" s="11" t="s">
        <v>15</v>
      </c>
      <c r="J2464" s="11" t="s">
        <v>14</v>
      </c>
      <c r="K2464" s="11" t="s">
        <v>14</v>
      </c>
      <c r="L2464" s="11" t="s">
        <v>14</v>
      </c>
      <c r="M2464" s="11" t="s">
        <v>14</v>
      </c>
      <c r="N2464" s="11" t="s">
        <v>14</v>
      </c>
      <c r="O2464" s="11">
        <v>1</v>
      </c>
    </row>
    <row r="2465" spans="1:15" ht="15" customHeight="1" x14ac:dyDescent="0.25">
      <c r="A2465" s="11">
        <v>10</v>
      </c>
      <c r="B2465" s="11" t="s">
        <v>10</v>
      </c>
      <c r="C2465" s="11" t="s">
        <v>19</v>
      </c>
      <c r="D2465" s="11" t="s">
        <v>19</v>
      </c>
      <c r="E2465" s="11">
        <v>0</v>
      </c>
      <c r="F2465" s="11">
        <v>0</v>
      </c>
      <c r="G2465" s="11" t="s">
        <v>10</v>
      </c>
      <c r="H2465" s="11" t="s">
        <v>16</v>
      </c>
      <c r="I2465" s="11">
        <v>2</v>
      </c>
      <c r="J2465" s="11" t="s">
        <v>14</v>
      </c>
      <c r="K2465" s="11" t="s">
        <v>14</v>
      </c>
      <c r="L2465" s="11" t="s">
        <v>14</v>
      </c>
      <c r="M2465" s="11" t="s">
        <v>14</v>
      </c>
      <c r="N2465" s="11" t="s">
        <v>14</v>
      </c>
      <c r="O2465" s="11">
        <v>1</v>
      </c>
    </row>
    <row r="2466" spans="1:15" ht="15" customHeight="1" x14ac:dyDescent="0.25">
      <c r="A2466" s="11">
        <v>0</v>
      </c>
      <c r="B2466" s="11" t="s">
        <v>14</v>
      </c>
      <c r="C2466" s="11" t="s">
        <v>19</v>
      </c>
      <c r="D2466" s="11" t="s">
        <v>19</v>
      </c>
      <c r="E2466" s="11">
        <v>0</v>
      </c>
      <c r="F2466" s="11">
        <v>1</v>
      </c>
      <c r="G2466" s="11" t="s">
        <v>10</v>
      </c>
      <c r="H2466" s="11" t="s">
        <v>12</v>
      </c>
      <c r="I2466" s="11">
        <v>1</v>
      </c>
      <c r="J2466" s="11" t="s">
        <v>14</v>
      </c>
      <c r="K2466" s="11" t="s">
        <v>14</v>
      </c>
      <c r="L2466" s="11" t="s">
        <v>14</v>
      </c>
      <c r="M2466" s="11" t="s">
        <v>14</v>
      </c>
      <c r="N2466" s="11" t="s">
        <v>14</v>
      </c>
      <c r="O2466" s="11">
        <v>1</v>
      </c>
    </row>
    <row r="2467" spans="1:15" ht="15" customHeight="1" x14ac:dyDescent="0.25">
      <c r="A2467" s="11">
        <v>5</v>
      </c>
      <c r="B2467" s="11" t="s">
        <v>18</v>
      </c>
      <c r="C2467" s="11" t="s">
        <v>19</v>
      </c>
      <c r="D2467" s="11" t="s">
        <v>19</v>
      </c>
      <c r="E2467" s="11">
        <v>0</v>
      </c>
      <c r="F2467" s="11">
        <v>1</v>
      </c>
      <c r="G2467" s="11" t="s">
        <v>10</v>
      </c>
      <c r="H2467" s="11" t="s">
        <v>12</v>
      </c>
      <c r="I2467" s="11">
        <v>2</v>
      </c>
      <c r="J2467" s="11" t="s">
        <v>14</v>
      </c>
      <c r="K2467" s="11" t="s">
        <v>14</v>
      </c>
      <c r="L2467" s="11" t="s">
        <v>14</v>
      </c>
      <c r="M2467" s="11" t="s">
        <v>14</v>
      </c>
      <c r="N2467" s="11" t="s">
        <v>14</v>
      </c>
      <c r="O2467" s="11">
        <v>1</v>
      </c>
    </row>
    <row r="2468" spans="1:15" ht="15" customHeight="1" x14ac:dyDescent="0.25">
      <c r="A2468" s="11">
        <v>10</v>
      </c>
      <c r="B2468" s="11" t="s">
        <v>10</v>
      </c>
      <c r="C2468" s="11" t="s">
        <v>19</v>
      </c>
      <c r="D2468" s="11" t="s">
        <v>19</v>
      </c>
      <c r="E2468" s="11">
        <v>1</v>
      </c>
      <c r="F2468" s="11">
        <v>0</v>
      </c>
      <c r="G2468" s="11" t="s">
        <v>10</v>
      </c>
      <c r="H2468" s="11" t="s">
        <v>12</v>
      </c>
      <c r="I2468" s="11">
        <v>2</v>
      </c>
      <c r="J2468" s="11" t="s">
        <v>14</v>
      </c>
      <c r="K2468" s="11" t="s">
        <v>14</v>
      </c>
      <c r="L2468" s="11" t="s">
        <v>14</v>
      </c>
      <c r="M2468" s="11" t="s">
        <v>14</v>
      </c>
      <c r="N2468" s="11" t="s">
        <v>14</v>
      </c>
      <c r="O2468" s="11">
        <v>1</v>
      </c>
    </row>
    <row r="2469" spans="1:15" ht="15" customHeight="1" x14ac:dyDescent="0.25">
      <c r="A2469" s="11">
        <v>5</v>
      </c>
      <c r="B2469" s="11" t="s">
        <v>18</v>
      </c>
      <c r="C2469" s="11" t="s">
        <v>19</v>
      </c>
      <c r="D2469" s="11" t="s">
        <v>19</v>
      </c>
      <c r="E2469" s="11">
        <v>0</v>
      </c>
      <c r="F2469" s="11">
        <v>1</v>
      </c>
      <c r="G2469" s="11" t="s">
        <v>10</v>
      </c>
      <c r="H2469" s="11" t="s">
        <v>12</v>
      </c>
      <c r="I2469" s="11">
        <v>2</v>
      </c>
      <c r="J2469" s="11" t="s">
        <v>14</v>
      </c>
      <c r="K2469" s="11" t="s">
        <v>14</v>
      </c>
      <c r="L2469" s="11" t="s">
        <v>14</v>
      </c>
      <c r="M2469" s="11" t="s">
        <v>14</v>
      </c>
      <c r="N2469" s="11" t="s">
        <v>14</v>
      </c>
      <c r="O2469" s="11">
        <v>0</v>
      </c>
    </row>
    <row r="2470" spans="1:15" ht="15" customHeight="1" x14ac:dyDescent="0.25">
      <c r="A2470" s="11">
        <v>5</v>
      </c>
      <c r="B2470" s="11" t="s">
        <v>10</v>
      </c>
      <c r="C2470" s="11" t="s">
        <v>19</v>
      </c>
      <c r="D2470" s="11" t="s">
        <v>19</v>
      </c>
      <c r="E2470" s="11">
        <v>0</v>
      </c>
      <c r="F2470" s="11">
        <v>0</v>
      </c>
      <c r="G2470" s="11" t="s">
        <v>17</v>
      </c>
      <c r="H2470" s="11" t="s">
        <v>106</v>
      </c>
      <c r="I2470" s="11">
        <v>1</v>
      </c>
      <c r="J2470" s="11" t="s">
        <v>14</v>
      </c>
      <c r="K2470" s="11" t="s">
        <v>13</v>
      </c>
      <c r="L2470" s="11" t="s">
        <v>13</v>
      </c>
      <c r="M2470" s="11" t="s">
        <v>14</v>
      </c>
      <c r="N2470" s="11" t="s">
        <v>14</v>
      </c>
      <c r="O2470" s="11">
        <v>1</v>
      </c>
    </row>
    <row r="2471" spans="1:15" ht="15" customHeight="1" x14ac:dyDescent="0.25">
      <c r="A2471" s="11">
        <v>10</v>
      </c>
      <c r="B2471" s="11" t="s">
        <v>18</v>
      </c>
      <c r="C2471" s="11" t="s">
        <v>19</v>
      </c>
      <c r="D2471" s="11" t="s">
        <v>19</v>
      </c>
      <c r="E2471" s="11">
        <v>0</v>
      </c>
      <c r="F2471" s="11">
        <v>0</v>
      </c>
      <c r="G2471" s="11" t="s">
        <v>10</v>
      </c>
      <c r="H2471" s="11" t="s">
        <v>12</v>
      </c>
      <c r="I2471" s="11" t="s">
        <v>15</v>
      </c>
      <c r="J2471" s="11" t="s">
        <v>14</v>
      </c>
      <c r="K2471" s="11" t="s">
        <v>14</v>
      </c>
      <c r="L2471" s="11" t="s">
        <v>14</v>
      </c>
      <c r="M2471" s="11" t="s">
        <v>14</v>
      </c>
      <c r="N2471" s="11" t="s">
        <v>14</v>
      </c>
      <c r="O2471" s="11">
        <v>1</v>
      </c>
    </row>
    <row r="2472" spans="1:15" ht="15" customHeight="1" x14ac:dyDescent="0.25">
      <c r="A2472" s="11">
        <v>10</v>
      </c>
      <c r="B2472" s="11" t="s">
        <v>10</v>
      </c>
      <c r="C2472" s="11" t="s">
        <v>19</v>
      </c>
      <c r="D2472" s="11" t="s">
        <v>19</v>
      </c>
      <c r="E2472" s="11">
        <v>0</v>
      </c>
      <c r="F2472" s="11">
        <v>0</v>
      </c>
      <c r="G2472" s="11" t="s">
        <v>10</v>
      </c>
      <c r="H2472" s="11" t="s">
        <v>12</v>
      </c>
      <c r="I2472" s="11">
        <v>2</v>
      </c>
      <c r="J2472" s="11" t="s">
        <v>14</v>
      </c>
      <c r="K2472" s="11" t="s">
        <v>14</v>
      </c>
      <c r="L2472" s="11" t="s">
        <v>14</v>
      </c>
      <c r="M2472" s="11" t="s">
        <v>14</v>
      </c>
      <c r="N2472" s="11" t="s">
        <v>14</v>
      </c>
      <c r="O2472" s="11">
        <v>1</v>
      </c>
    </row>
    <row r="2473" spans="1:15" ht="15" customHeight="1" x14ac:dyDescent="0.25">
      <c r="A2473" s="11">
        <v>10</v>
      </c>
      <c r="B2473" s="11" t="s">
        <v>18</v>
      </c>
      <c r="C2473" s="11" t="s">
        <v>19</v>
      </c>
      <c r="D2473" s="11" t="s">
        <v>19</v>
      </c>
      <c r="E2473" s="11">
        <v>0</v>
      </c>
      <c r="F2473" s="11">
        <v>0</v>
      </c>
      <c r="G2473" s="11" t="s">
        <v>10</v>
      </c>
      <c r="H2473" s="11" t="s">
        <v>12</v>
      </c>
      <c r="I2473" s="11" t="s">
        <v>15</v>
      </c>
      <c r="J2473" s="11" t="s">
        <v>14</v>
      </c>
      <c r="K2473" s="11" t="s">
        <v>14</v>
      </c>
      <c r="L2473" s="11" t="s">
        <v>14</v>
      </c>
      <c r="M2473" s="11" t="s">
        <v>14</v>
      </c>
      <c r="N2473" s="11" t="s">
        <v>14</v>
      </c>
      <c r="O2473" s="11">
        <v>1</v>
      </c>
    </row>
    <row r="2474" spans="1:15" ht="15" customHeight="1" x14ac:dyDescent="0.25">
      <c r="A2474" s="11">
        <v>10</v>
      </c>
      <c r="B2474" s="11" t="s">
        <v>10</v>
      </c>
      <c r="C2474" s="11" t="s">
        <v>19</v>
      </c>
      <c r="D2474" s="11" t="s">
        <v>19</v>
      </c>
      <c r="E2474" s="11">
        <v>0</v>
      </c>
      <c r="F2474" s="11">
        <v>0</v>
      </c>
      <c r="G2474" s="11" t="s">
        <v>10</v>
      </c>
      <c r="H2474" s="11" t="s">
        <v>12</v>
      </c>
      <c r="I2474" s="11">
        <v>2</v>
      </c>
      <c r="J2474" s="11" t="s">
        <v>14</v>
      </c>
      <c r="K2474" s="11" t="s">
        <v>14</v>
      </c>
      <c r="L2474" s="11" t="s">
        <v>14</v>
      </c>
      <c r="M2474" s="11" t="s">
        <v>14</v>
      </c>
      <c r="N2474" s="11" t="s">
        <v>14</v>
      </c>
      <c r="O2474" s="11">
        <v>1</v>
      </c>
    </row>
    <row r="2475" spans="1:15" ht="15" customHeight="1" x14ac:dyDescent="0.25">
      <c r="A2475" s="11">
        <v>0</v>
      </c>
      <c r="B2475" s="11" t="s">
        <v>18</v>
      </c>
      <c r="C2475" s="11" t="s">
        <v>19</v>
      </c>
      <c r="D2475" s="11" t="s">
        <v>19</v>
      </c>
      <c r="E2475" s="11">
        <v>0</v>
      </c>
      <c r="F2475" s="11">
        <v>0</v>
      </c>
      <c r="G2475" s="11" t="s">
        <v>10</v>
      </c>
      <c r="H2475" s="11" t="s">
        <v>12</v>
      </c>
      <c r="I2475" s="11">
        <v>2</v>
      </c>
      <c r="J2475" s="11" t="s">
        <v>14</v>
      </c>
      <c r="K2475" s="11" t="s">
        <v>14</v>
      </c>
      <c r="L2475" s="11" t="s">
        <v>14</v>
      </c>
      <c r="M2475" s="11" t="s">
        <v>14</v>
      </c>
      <c r="N2475" s="11" t="s">
        <v>14</v>
      </c>
      <c r="O2475" s="11">
        <v>1</v>
      </c>
    </row>
    <row r="2476" spans="1:15" ht="15" customHeight="1" x14ac:dyDescent="0.25">
      <c r="A2476" s="11">
        <v>0</v>
      </c>
      <c r="B2476" s="11" t="s">
        <v>10</v>
      </c>
      <c r="C2476" s="11" t="s">
        <v>19</v>
      </c>
      <c r="D2476" s="11" t="s">
        <v>19</v>
      </c>
      <c r="E2476" s="11">
        <v>0</v>
      </c>
      <c r="F2476" s="11">
        <v>1</v>
      </c>
      <c r="G2476" s="11" t="s">
        <v>10</v>
      </c>
      <c r="H2476" s="11" t="s">
        <v>16</v>
      </c>
      <c r="I2476" s="11">
        <v>1</v>
      </c>
      <c r="J2476" s="11" t="s">
        <v>14</v>
      </c>
      <c r="K2476" s="11" t="s">
        <v>14</v>
      </c>
      <c r="L2476" s="11" t="s">
        <v>14</v>
      </c>
      <c r="M2476" s="11" t="s">
        <v>14</v>
      </c>
      <c r="N2476" s="11" t="s">
        <v>14</v>
      </c>
      <c r="O2476" s="11">
        <v>0</v>
      </c>
    </row>
    <row r="2477" spans="1:15" ht="15" customHeight="1" x14ac:dyDescent="0.25">
      <c r="A2477" s="11">
        <v>5</v>
      </c>
      <c r="B2477" s="11" t="s">
        <v>10</v>
      </c>
      <c r="C2477" s="11" t="s">
        <v>19</v>
      </c>
      <c r="D2477" s="11" t="s">
        <v>19</v>
      </c>
      <c r="E2477" s="11">
        <v>0</v>
      </c>
      <c r="F2477" s="11">
        <v>2</v>
      </c>
      <c r="G2477" s="11" t="s">
        <v>10</v>
      </c>
      <c r="H2477" s="11" t="s">
        <v>16</v>
      </c>
      <c r="I2477" s="11" t="s">
        <v>15</v>
      </c>
      <c r="J2477" s="11" t="s">
        <v>14</v>
      </c>
      <c r="K2477" s="11" t="s">
        <v>14</v>
      </c>
      <c r="L2477" s="11" t="s">
        <v>14</v>
      </c>
      <c r="M2477" s="11" t="s">
        <v>14</v>
      </c>
      <c r="N2477" s="11" t="s">
        <v>14</v>
      </c>
      <c r="O2477" s="11">
        <v>1</v>
      </c>
    </row>
    <row r="2478" spans="1:15" ht="15" customHeight="1" x14ac:dyDescent="0.25">
      <c r="A2478" s="11">
        <v>5</v>
      </c>
      <c r="B2478" s="11" t="s">
        <v>18</v>
      </c>
      <c r="C2478" s="11" t="s">
        <v>19</v>
      </c>
      <c r="D2478" s="11" t="s">
        <v>11</v>
      </c>
      <c r="E2478" s="11">
        <v>0</v>
      </c>
      <c r="F2478" s="11">
        <v>0</v>
      </c>
      <c r="G2478" s="11" t="s">
        <v>10</v>
      </c>
      <c r="H2478" s="11" t="s">
        <v>12</v>
      </c>
      <c r="I2478" s="11" t="s">
        <v>15</v>
      </c>
      <c r="J2478" s="11" t="s">
        <v>14</v>
      </c>
      <c r="K2478" s="11" t="s">
        <v>14</v>
      </c>
      <c r="L2478" s="11" t="s">
        <v>14</v>
      </c>
      <c r="M2478" s="11" t="s">
        <v>14</v>
      </c>
      <c r="N2478" s="11" t="s">
        <v>14</v>
      </c>
      <c r="O2478" s="11">
        <v>1</v>
      </c>
    </row>
    <row r="2479" spans="1:15" ht="15" customHeight="1" x14ac:dyDescent="0.25">
      <c r="A2479" s="11">
        <v>5</v>
      </c>
      <c r="B2479" s="11" t="s">
        <v>18</v>
      </c>
      <c r="C2479" s="11" t="s">
        <v>19</v>
      </c>
      <c r="D2479" s="11" t="s">
        <v>19</v>
      </c>
      <c r="E2479" s="11">
        <v>0</v>
      </c>
      <c r="F2479" s="11">
        <v>0</v>
      </c>
      <c r="G2479" s="11" t="s">
        <v>10</v>
      </c>
      <c r="H2479" s="11" t="s">
        <v>12</v>
      </c>
      <c r="I2479" s="11">
        <v>1</v>
      </c>
      <c r="J2479" s="11" t="s">
        <v>14</v>
      </c>
      <c r="K2479" s="11" t="s">
        <v>14</v>
      </c>
      <c r="L2479" s="11" t="s">
        <v>14</v>
      </c>
      <c r="M2479" s="11" t="s">
        <v>14</v>
      </c>
      <c r="N2479" s="11" t="s">
        <v>14</v>
      </c>
      <c r="O2479" s="11">
        <v>1</v>
      </c>
    </row>
    <row r="2480" spans="1:15" ht="15" customHeight="1" x14ac:dyDescent="0.25">
      <c r="A2480" s="11">
        <v>10</v>
      </c>
      <c r="B2480" s="11" t="s">
        <v>10</v>
      </c>
      <c r="C2480" s="11" t="s">
        <v>11</v>
      </c>
      <c r="D2480" s="11" t="s">
        <v>19</v>
      </c>
      <c r="E2480" s="11">
        <v>0</v>
      </c>
      <c r="F2480" s="11">
        <v>0</v>
      </c>
      <c r="G2480" s="11" t="s">
        <v>10</v>
      </c>
      <c r="H2480" s="11" t="s">
        <v>12</v>
      </c>
      <c r="I2480" s="11" t="s">
        <v>15</v>
      </c>
      <c r="J2480" s="11" t="s">
        <v>14</v>
      </c>
      <c r="K2480" s="11" t="s">
        <v>14</v>
      </c>
      <c r="L2480" s="11" t="s">
        <v>14</v>
      </c>
      <c r="M2480" s="11" t="s">
        <v>14</v>
      </c>
      <c r="N2480" s="11" t="s">
        <v>14</v>
      </c>
      <c r="O2480" s="11">
        <v>1</v>
      </c>
    </row>
    <row r="2481" spans="1:15" ht="15" customHeight="1" x14ac:dyDescent="0.25">
      <c r="A2481" s="11">
        <v>10</v>
      </c>
      <c r="B2481" s="11" t="s">
        <v>18</v>
      </c>
      <c r="C2481" s="11" t="s">
        <v>19</v>
      </c>
      <c r="D2481" s="11" t="s">
        <v>19</v>
      </c>
      <c r="E2481" s="11">
        <v>0</v>
      </c>
      <c r="F2481" s="11">
        <v>0</v>
      </c>
      <c r="G2481" s="11" t="s">
        <v>10</v>
      </c>
      <c r="H2481" s="11" t="s">
        <v>12</v>
      </c>
      <c r="I2481" s="11" t="s">
        <v>15</v>
      </c>
      <c r="J2481" s="11" t="s">
        <v>14</v>
      </c>
      <c r="K2481" s="11" t="s">
        <v>14</v>
      </c>
      <c r="L2481" s="11" t="s">
        <v>14</v>
      </c>
      <c r="M2481" s="11" t="s">
        <v>14</v>
      </c>
      <c r="N2481" s="11" t="s">
        <v>14</v>
      </c>
      <c r="O2481" s="11">
        <v>1</v>
      </c>
    </row>
    <row r="2482" spans="1:15" ht="15" customHeight="1" x14ac:dyDescent="0.25">
      <c r="A2482" s="11">
        <v>20</v>
      </c>
      <c r="B2482" s="11" t="s">
        <v>18</v>
      </c>
      <c r="C2482" s="11" t="s">
        <v>19</v>
      </c>
      <c r="D2482" s="11" t="s">
        <v>19</v>
      </c>
      <c r="E2482" s="11">
        <v>0</v>
      </c>
      <c r="F2482" s="11">
        <v>0</v>
      </c>
      <c r="G2482" s="11" t="s">
        <v>10</v>
      </c>
      <c r="H2482" s="11" t="s">
        <v>12</v>
      </c>
      <c r="I2482" s="11">
        <v>2</v>
      </c>
      <c r="J2482" s="11" t="s">
        <v>14</v>
      </c>
      <c r="K2482" s="11" t="s">
        <v>14</v>
      </c>
      <c r="L2482" s="11" t="s">
        <v>14</v>
      </c>
      <c r="M2482" s="11" t="s">
        <v>14</v>
      </c>
      <c r="N2482" s="11" t="s">
        <v>14</v>
      </c>
      <c r="O2482" s="11">
        <v>1</v>
      </c>
    </row>
    <row r="2483" spans="1:15" ht="15" customHeight="1" x14ac:dyDescent="0.25">
      <c r="A2483" s="11">
        <v>10</v>
      </c>
      <c r="B2483" s="11" t="s">
        <v>14</v>
      </c>
      <c r="C2483" s="11" t="s">
        <v>19</v>
      </c>
      <c r="D2483" s="11" t="s">
        <v>19</v>
      </c>
      <c r="E2483" s="11">
        <v>0</v>
      </c>
      <c r="F2483" s="11">
        <v>0</v>
      </c>
      <c r="G2483" s="11" t="s">
        <v>10</v>
      </c>
      <c r="H2483" s="11" t="s">
        <v>12</v>
      </c>
      <c r="I2483" s="11">
        <v>2</v>
      </c>
      <c r="J2483" s="11" t="s">
        <v>14</v>
      </c>
      <c r="K2483" s="11" t="s">
        <v>14</v>
      </c>
      <c r="L2483" s="11" t="s">
        <v>14</v>
      </c>
      <c r="M2483" s="11" t="s">
        <v>14</v>
      </c>
      <c r="N2483" s="11" t="s">
        <v>14</v>
      </c>
      <c r="O2483" s="11">
        <v>1</v>
      </c>
    </row>
    <row r="2484" spans="1:15" ht="15" customHeight="1" x14ac:dyDescent="0.25">
      <c r="A2484" s="11">
        <v>10</v>
      </c>
      <c r="B2484" s="11" t="s">
        <v>18</v>
      </c>
      <c r="C2484" s="11" t="s">
        <v>19</v>
      </c>
      <c r="D2484" s="11" t="s">
        <v>19</v>
      </c>
      <c r="E2484" s="11">
        <v>0</v>
      </c>
      <c r="F2484" s="11">
        <v>0</v>
      </c>
      <c r="G2484" s="11" t="s">
        <v>10</v>
      </c>
      <c r="H2484" s="11" t="s">
        <v>12</v>
      </c>
      <c r="I2484" s="11" t="s">
        <v>15</v>
      </c>
      <c r="J2484" s="11" t="s">
        <v>14</v>
      </c>
      <c r="K2484" s="11" t="s">
        <v>14</v>
      </c>
      <c r="L2484" s="11" t="s">
        <v>14</v>
      </c>
      <c r="M2484" s="11" t="s">
        <v>14</v>
      </c>
      <c r="N2484" s="11" t="s">
        <v>14</v>
      </c>
      <c r="O2484" s="11">
        <v>1</v>
      </c>
    </row>
    <row r="2485" spans="1:15" ht="15" customHeight="1" x14ac:dyDescent="0.25">
      <c r="A2485" s="11">
        <v>10</v>
      </c>
      <c r="B2485" s="11" t="s">
        <v>10</v>
      </c>
      <c r="C2485" s="11" t="s">
        <v>19</v>
      </c>
      <c r="D2485" s="11" t="s">
        <v>19</v>
      </c>
      <c r="E2485" s="11">
        <v>0</v>
      </c>
      <c r="F2485" s="11">
        <v>1</v>
      </c>
      <c r="G2485" s="11" t="s">
        <v>10</v>
      </c>
      <c r="H2485" s="11" t="s">
        <v>12</v>
      </c>
      <c r="I2485" s="11">
        <v>2</v>
      </c>
      <c r="J2485" s="11" t="s">
        <v>14</v>
      </c>
      <c r="K2485" s="11" t="s">
        <v>14</v>
      </c>
      <c r="L2485" s="11" t="s">
        <v>14</v>
      </c>
      <c r="M2485" s="11" t="s">
        <v>14</v>
      </c>
      <c r="N2485" s="11" t="s">
        <v>14</v>
      </c>
      <c r="O2485" s="11">
        <v>0</v>
      </c>
    </row>
    <row r="2486" spans="1:15" ht="15" customHeight="1" x14ac:dyDescent="0.25">
      <c r="A2486" s="11">
        <v>5</v>
      </c>
      <c r="B2486" s="11" t="s">
        <v>18</v>
      </c>
      <c r="C2486" s="11" t="s">
        <v>19</v>
      </c>
      <c r="D2486" s="11" t="s">
        <v>19</v>
      </c>
      <c r="E2486" s="11">
        <v>0</v>
      </c>
      <c r="F2486" s="11">
        <v>0</v>
      </c>
      <c r="G2486" s="11" t="s">
        <v>10</v>
      </c>
      <c r="H2486" s="11" t="s">
        <v>16</v>
      </c>
      <c r="I2486" s="11" t="s">
        <v>15</v>
      </c>
      <c r="J2486" s="11" t="s">
        <v>14</v>
      </c>
      <c r="K2486" s="11" t="s">
        <v>14</v>
      </c>
      <c r="L2486" s="11" t="s">
        <v>14</v>
      </c>
      <c r="M2486" s="11" t="s">
        <v>14</v>
      </c>
      <c r="N2486" s="11" t="s">
        <v>14</v>
      </c>
      <c r="O2486" s="11">
        <v>1</v>
      </c>
    </row>
    <row r="2487" spans="1:15" ht="15" customHeight="1" x14ac:dyDescent="0.25">
      <c r="A2487" s="11">
        <v>10</v>
      </c>
      <c r="B2487" s="11" t="s">
        <v>14</v>
      </c>
      <c r="C2487" s="11" t="s">
        <v>19</v>
      </c>
      <c r="D2487" s="11" t="s">
        <v>19</v>
      </c>
      <c r="E2487" s="11">
        <v>0</v>
      </c>
      <c r="F2487" s="11">
        <v>0</v>
      </c>
      <c r="G2487" s="11" t="s">
        <v>10</v>
      </c>
      <c r="H2487" s="11" t="s">
        <v>16</v>
      </c>
      <c r="I2487" s="11">
        <v>2</v>
      </c>
      <c r="J2487" s="11" t="s">
        <v>14</v>
      </c>
      <c r="K2487" s="11" t="s">
        <v>14</v>
      </c>
      <c r="L2487" s="11" t="s">
        <v>14</v>
      </c>
      <c r="M2487" s="11" t="s">
        <v>14</v>
      </c>
      <c r="N2487" s="11" t="s">
        <v>14</v>
      </c>
      <c r="O2487" s="11">
        <v>1</v>
      </c>
    </row>
    <row r="2488" spans="1:15" ht="15" customHeight="1" x14ac:dyDescent="0.25">
      <c r="A2488" s="11">
        <v>20</v>
      </c>
      <c r="B2488" s="11" t="s">
        <v>10</v>
      </c>
      <c r="C2488" s="11" t="s">
        <v>19</v>
      </c>
      <c r="D2488" s="11" t="s">
        <v>19</v>
      </c>
      <c r="E2488" s="11">
        <v>0</v>
      </c>
      <c r="F2488" s="11">
        <v>0</v>
      </c>
      <c r="G2488" s="11" t="s">
        <v>10</v>
      </c>
      <c r="H2488" s="11" t="s">
        <v>16</v>
      </c>
      <c r="I2488" s="11">
        <v>1</v>
      </c>
      <c r="J2488" s="11" t="s">
        <v>14</v>
      </c>
      <c r="K2488" s="11" t="s">
        <v>14</v>
      </c>
      <c r="L2488" s="11" t="s">
        <v>14</v>
      </c>
      <c r="M2488" s="11" t="s">
        <v>14</v>
      </c>
      <c r="N2488" s="11" t="s">
        <v>14</v>
      </c>
      <c r="O2488" s="11">
        <v>1</v>
      </c>
    </row>
    <row r="2489" spans="1:15" ht="15" customHeight="1" x14ac:dyDescent="0.25">
      <c r="A2489" s="11">
        <v>10</v>
      </c>
      <c r="B2489" s="11" t="s">
        <v>18</v>
      </c>
      <c r="C2489" s="11" t="s">
        <v>19</v>
      </c>
      <c r="D2489" s="11" t="s">
        <v>19</v>
      </c>
      <c r="E2489" s="11">
        <v>0</v>
      </c>
      <c r="F2489" s="11">
        <v>0</v>
      </c>
      <c r="G2489" s="11" t="s">
        <v>10</v>
      </c>
      <c r="H2489" s="11" t="s">
        <v>12</v>
      </c>
      <c r="I2489" s="11">
        <v>2</v>
      </c>
      <c r="J2489" s="11" t="s">
        <v>14</v>
      </c>
      <c r="K2489" s="11" t="s">
        <v>14</v>
      </c>
      <c r="L2489" s="11" t="s">
        <v>14</v>
      </c>
      <c r="M2489" s="11" t="s">
        <v>14</v>
      </c>
      <c r="N2489" s="11" t="s">
        <v>14</v>
      </c>
      <c r="O2489" s="11">
        <v>1</v>
      </c>
    </row>
    <row r="2490" spans="1:15" ht="15" customHeight="1" x14ac:dyDescent="0.25">
      <c r="A2490" s="11">
        <v>20</v>
      </c>
      <c r="B2490" s="11" t="s">
        <v>18</v>
      </c>
      <c r="C2490" s="11" t="s">
        <v>20</v>
      </c>
      <c r="D2490" s="11" t="s">
        <v>20</v>
      </c>
      <c r="E2490" s="11">
        <v>0</v>
      </c>
      <c r="F2490" s="11">
        <v>0</v>
      </c>
      <c r="G2490" s="11" t="s">
        <v>10</v>
      </c>
      <c r="H2490" s="11" t="s">
        <v>12</v>
      </c>
      <c r="I2490" s="11">
        <v>1</v>
      </c>
      <c r="J2490" s="11" t="s">
        <v>14</v>
      </c>
      <c r="K2490" s="11" t="s">
        <v>14</v>
      </c>
      <c r="L2490" s="11" t="s">
        <v>14</v>
      </c>
      <c r="M2490" s="11" t="s">
        <v>14</v>
      </c>
      <c r="N2490" s="11" t="s">
        <v>14</v>
      </c>
      <c r="O2490" s="11">
        <v>1</v>
      </c>
    </row>
    <row r="2491" spans="1:15" ht="15" customHeight="1" x14ac:dyDescent="0.25">
      <c r="A2491" s="11">
        <v>30</v>
      </c>
      <c r="B2491" s="11" t="s">
        <v>10</v>
      </c>
      <c r="C2491" s="11" t="s">
        <v>19</v>
      </c>
      <c r="D2491" s="11" t="s">
        <v>20</v>
      </c>
      <c r="E2491" s="11">
        <v>0</v>
      </c>
      <c r="F2491" s="11">
        <v>1</v>
      </c>
      <c r="G2491" s="11" t="s">
        <v>10</v>
      </c>
      <c r="H2491" s="11" t="s">
        <v>12</v>
      </c>
      <c r="I2491" s="11" t="s">
        <v>15</v>
      </c>
      <c r="J2491" s="11" t="s">
        <v>14</v>
      </c>
      <c r="K2491" s="11" t="s">
        <v>14</v>
      </c>
      <c r="L2491" s="11" t="s">
        <v>14</v>
      </c>
      <c r="M2491" s="11" t="s">
        <v>13</v>
      </c>
      <c r="N2491" s="11" t="s">
        <v>14</v>
      </c>
      <c r="O2491" s="11">
        <v>0</v>
      </c>
    </row>
    <row r="2492" spans="1:15" ht="15" customHeight="1" x14ac:dyDescent="0.25">
      <c r="A2492" s="11">
        <v>0</v>
      </c>
      <c r="B2492" s="11" t="s">
        <v>10</v>
      </c>
      <c r="C2492" s="11" t="s">
        <v>20</v>
      </c>
      <c r="D2492" s="11" t="s">
        <v>20</v>
      </c>
      <c r="E2492" s="11">
        <v>0</v>
      </c>
      <c r="F2492" s="11">
        <v>1</v>
      </c>
      <c r="G2492" s="11" t="s">
        <v>10</v>
      </c>
      <c r="H2492" s="11" t="s">
        <v>12</v>
      </c>
      <c r="I2492" s="11">
        <v>2</v>
      </c>
      <c r="J2492" s="11" t="s">
        <v>14</v>
      </c>
      <c r="K2492" s="11" t="s">
        <v>14</v>
      </c>
      <c r="L2492" s="11" t="s">
        <v>14</v>
      </c>
      <c r="M2492" s="11" t="s">
        <v>14</v>
      </c>
      <c r="N2492" s="11" t="s">
        <v>14</v>
      </c>
      <c r="O2492" s="11">
        <v>1</v>
      </c>
    </row>
    <row r="2493" spans="1:15" ht="15" customHeight="1" x14ac:dyDescent="0.25">
      <c r="A2493" s="11">
        <v>20</v>
      </c>
      <c r="B2493" s="11" t="s">
        <v>10</v>
      </c>
      <c r="C2493" s="11" t="s">
        <v>19</v>
      </c>
      <c r="D2493" s="11" t="s">
        <v>19</v>
      </c>
      <c r="E2493" s="11">
        <v>0</v>
      </c>
      <c r="F2493" s="11">
        <v>0</v>
      </c>
      <c r="G2493" s="11" t="s">
        <v>10</v>
      </c>
      <c r="H2493" s="11" t="s">
        <v>12</v>
      </c>
      <c r="I2493" s="11" t="s">
        <v>15</v>
      </c>
      <c r="J2493" s="11" t="s">
        <v>14</v>
      </c>
      <c r="K2493" s="11" t="s">
        <v>14</v>
      </c>
      <c r="L2493" s="11" t="s">
        <v>14</v>
      </c>
      <c r="M2493" s="11" t="s">
        <v>13</v>
      </c>
      <c r="N2493" s="11" t="s">
        <v>14</v>
      </c>
      <c r="O2493" s="11">
        <v>0</v>
      </c>
    </row>
    <row r="2494" spans="1:15" ht="15" customHeight="1" x14ac:dyDescent="0.25">
      <c r="A2494" s="11">
        <v>30</v>
      </c>
      <c r="B2494" s="11" t="s">
        <v>18</v>
      </c>
      <c r="C2494" s="11" t="s">
        <v>20</v>
      </c>
      <c r="D2494" s="11" t="s">
        <v>19</v>
      </c>
      <c r="E2494" s="11">
        <v>0</v>
      </c>
      <c r="F2494" s="11">
        <v>0</v>
      </c>
      <c r="G2494" s="11" t="s">
        <v>10</v>
      </c>
      <c r="H2494" s="11" t="s">
        <v>12</v>
      </c>
      <c r="I2494" s="11">
        <v>1</v>
      </c>
      <c r="J2494" s="11" t="s">
        <v>14</v>
      </c>
      <c r="K2494" s="11" t="s">
        <v>14</v>
      </c>
      <c r="L2494" s="11" t="s">
        <v>14</v>
      </c>
      <c r="M2494" s="11" t="s">
        <v>14</v>
      </c>
      <c r="N2494" s="11" t="s">
        <v>14</v>
      </c>
      <c r="O2494" s="11">
        <v>1</v>
      </c>
    </row>
    <row r="2495" spans="1:15" ht="15" customHeight="1" x14ac:dyDescent="0.25">
      <c r="A2495" s="11">
        <v>5</v>
      </c>
      <c r="B2495" s="11" t="s">
        <v>10</v>
      </c>
      <c r="C2495" s="11" t="s">
        <v>20</v>
      </c>
      <c r="D2495" s="11" t="s">
        <v>20</v>
      </c>
      <c r="E2495" s="11">
        <v>0</v>
      </c>
      <c r="F2495" s="11">
        <v>0</v>
      </c>
      <c r="G2495" s="11" t="s">
        <v>10</v>
      </c>
      <c r="H2495" s="11" t="s">
        <v>12</v>
      </c>
      <c r="I2495" s="11">
        <v>2</v>
      </c>
      <c r="J2495" s="11" t="s">
        <v>14</v>
      </c>
      <c r="K2495" s="11" t="s">
        <v>14</v>
      </c>
      <c r="L2495" s="11" t="s">
        <v>14</v>
      </c>
      <c r="M2495" s="11" t="s">
        <v>14</v>
      </c>
      <c r="N2495" s="11" t="s">
        <v>14</v>
      </c>
      <c r="O2495" s="11">
        <v>1</v>
      </c>
    </row>
    <row r="2496" spans="1:15" ht="15" customHeight="1" x14ac:dyDescent="0.25">
      <c r="A2496" s="11">
        <v>10</v>
      </c>
      <c r="B2496" s="11" t="s">
        <v>14</v>
      </c>
      <c r="C2496" s="11" t="s">
        <v>20</v>
      </c>
      <c r="D2496" s="11" t="s">
        <v>20</v>
      </c>
      <c r="E2496" s="11">
        <v>0</v>
      </c>
      <c r="F2496" s="11">
        <v>0</v>
      </c>
      <c r="G2496" s="11" t="s">
        <v>10</v>
      </c>
      <c r="H2496" s="11" t="s">
        <v>16</v>
      </c>
      <c r="I2496" s="11">
        <v>2</v>
      </c>
      <c r="J2496" s="11" t="s">
        <v>14</v>
      </c>
      <c r="K2496" s="11" t="s">
        <v>14</v>
      </c>
      <c r="L2496" s="11" t="s">
        <v>14</v>
      </c>
      <c r="M2496" s="11" t="s">
        <v>14</v>
      </c>
      <c r="N2496" s="11" t="s">
        <v>14</v>
      </c>
      <c r="O2496" s="11">
        <v>1</v>
      </c>
    </row>
    <row r="2497" spans="1:15" ht="15" customHeight="1" x14ac:dyDescent="0.25">
      <c r="A2497" s="11">
        <v>30</v>
      </c>
      <c r="B2497" s="11" t="s">
        <v>10</v>
      </c>
      <c r="C2497" s="11" t="s">
        <v>19</v>
      </c>
      <c r="D2497" s="11" t="s">
        <v>20</v>
      </c>
      <c r="E2497" s="11">
        <v>0</v>
      </c>
      <c r="F2497" s="11">
        <v>2</v>
      </c>
      <c r="G2497" s="11" t="s">
        <v>10</v>
      </c>
      <c r="H2497" s="11" t="s">
        <v>16</v>
      </c>
      <c r="I2497" s="11">
        <v>2</v>
      </c>
      <c r="J2497" s="11" t="s">
        <v>14</v>
      </c>
      <c r="K2497" s="11" t="s">
        <v>14</v>
      </c>
      <c r="L2497" s="11" t="s">
        <v>14</v>
      </c>
      <c r="M2497" s="11" t="s">
        <v>13</v>
      </c>
      <c r="N2497" s="11" t="s">
        <v>14</v>
      </c>
      <c r="O2497" s="11">
        <v>1</v>
      </c>
    </row>
    <row r="2498" spans="1:15" ht="15" customHeight="1" x14ac:dyDescent="0.25">
      <c r="A2498" s="11">
        <v>5</v>
      </c>
      <c r="B2498" s="11" t="s">
        <v>18</v>
      </c>
      <c r="C2498" s="11" t="s">
        <v>19</v>
      </c>
      <c r="D2498" s="11" t="s">
        <v>19</v>
      </c>
      <c r="E2498" s="11">
        <v>0</v>
      </c>
      <c r="F2498" s="11">
        <v>0</v>
      </c>
      <c r="G2498" s="11" t="s">
        <v>17</v>
      </c>
      <c r="H2498" s="11" t="s">
        <v>106</v>
      </c>
      <c r="I2498" s="11">
        <v>1</v>
      </c>
      <c r="J2498" s="11" t="s">
        <v>14</v>
      </c>
      <c r="K2498" s="11" t="s">
        <v>13</v>
      </c>
      <c r="L2498" s="11" t="s">
        <v>13</v>
      </c>
      <c r="M2498" s="11" t="s">
        <v>13</v>
      </c>
      <c r="N2498" s="11" t="s">
        <v>14</v>
      </c>
      <c r="O2498" s="11">
        <v>1</v>
      </c>
    </row>
    <row r="2499" spans="1:15" ht="15" customHeight="1" x14ac:dyDescent="0.25">
      <c r="A2499" s="11">
        <v>5</v>
      </c>
      <c r="B2499" s="11" t="s">
        <v>14</v>
      </c>
      <c r="C2499" s="11" t="s">
        <v>19</v>
      </c>
      <c r="D2499" s="11" t="s">
        <v>19</v>
      </c>
      <c r="E2499" s="11">
        <v>0</v>
      </c>
      <c r="F2499" s="11">
        <v>0</v>
      </c>
      <c r="G2499" s="11" t="s">
        <v>10</v>
      </c>
      <c r="H2499" s="11" t="s">
        <v>12</v>
      </c>
      <c r="I2499" s="11" t="s">
        <v>15</v>
      </c>
      <c r="J2499" s="11" t="s">
        <v>14</v>
      </c>
      <c r="K2499" s="11" t="s">
        <v>14</v>
      </c>
      <c r="L2499" s="11" t="s">
        <v>14</v>
      </c>
      <c r="M2499" s="11" t="s">
        <v>14</v>
      </c>
      <c r="N2499" s="11" t="s">
        <v>14</v>
      </c>
      <c r="O2499" s="11">
        <v>1</v>
      </c>
    </row>
    <row r="2500" spans="1:15" ht="15" customHeight="1" x14ac:dyDescent="0.25">
      <c r="A2500" s="11">
        <v>10</v>
      </c>
      <c r="B2500" s="11" t="s">
        <v>10</v>
      </c>
      <c r="C2500" s="11" t="s">
        <v>11</v>
      </c>
      <c r="D2500" s="11" t="s">
        <v>19</v>
      </c>
      <c r="E2500" s="11">
        <v>0</v>
      </c>
      <c r="F2500" s="11">
        <v>0</v>
      </c>
      <c r="G2500" s="11" t="s">
        <v>10</v>
      </c>
      <c r="H2500" s="11" t="s">
        <v>12</v>
      </c>
      <c r="I2500" s="11" t="s">
        <v>15</v>
      </c>
      <c r="J2500" s="11" t="s">
        <v>14</v>
      </c>
      <c r="K2500" s="11" t="s">
        <v>14</v>
      </c>
      <c r="L2500" s="11" t="s">
        <v>14</v>
      </c>
      <c r="M2500" s="11" t="s">
        <v>14</v>
      </c>
      <c r="N2500" s="11" t="s">
        <v>14</v>
      </c>
      <c r="O2500" s="11">
        <v>1</v>
      </c>
    </row>
    <row r="2501" spans="1:15" ht="15" customHeight="1" x14ac:dyDescent="0.25">
      <c r="A2501" s="11">
        <v>20</v>
      </c>
      <c r="B2501" s="11" t="s">
        <v>14</v>
      </c>
      <c r="C2501" s="11" t="s">
        <v>11</v>
      </c>
      <c r="D2501" s="11" t="s">
        <v>11</v>
      </c>
      <c r="E2501" s="11">
        <v>1</v>
      </c>
      <c r="F2501" s="11">
        <v>1</v>
      </c>
      <c r="G2501" s="11" t="s">
        <v>10</v>
      </c>
      <c r="H2501" s="11" t="s">
        <v>12</v>
      </c>
      <c r="I2501" s="11">
        <v>1</v>
      </c>
      <c r="J2501" s="11" t="s">
        <v>14</v>
      </c>
      <c r="K2501" s="11" t="s">
        <v>14</v>
      </c>
      <c r="L2501" s="11" t="s">
        <v>14</v>
      </c>
      <c r="M2501" s="11" t="s">
        <v>14</v>
      </c>
      <c r="N2501" s="11" t="s">
        <v>13</v>
      </c>
      <c r="O2501" s="11">
        <v>0</v>
      </c>
    </row>
    <row r="2502" spans="1:15" ht="15" customHeight="1" x14ac:dyDescent="0.25">
      <c r="A2502" s="11">
        <v>5</v>
      </c>
      <c r="B2502" s="11" t="s">
        <v>14</v>
      </c>
      <c r="C2502" s="11" t="s">
        <v>19</v>
      </c>
      <c r="D2502" s="11" t="s">
        <v>19</v>
      </c>
      <c r="E2502" s="11">
        <v>0</v>
      </c>
      <c r="F2502" s="11">
        <v>0</v>
      </c>
      <c r="G2502" s="11" t="s">
        <v>10</v>
      </c>
      <c r="H2502" s="11" t="s">
        <v>12</v>
      </c>
      <c r="I2502" s="11">
        <v>1</v>
      </c>
      <c r="J2502" s="11" t="s">
        <v>14</v>
      </c>
      <c r="K2502" s="11" t="s">
        <v>13</v>
      </c>
      <c r="L2502" s="11" t="s">
        <v>13</v>
      </c>
      <c r="M2502" s="11" t="s">
        <v>14</v>
      </c>
      <c r="N2502" s="11" t="s">
        <v>14</v>
      </c>
      <c r="O2502" s="11">
        <v>1</v>
      </c>
    </row>
    <row r="2503" spans="1:15" ht="15" customHeight="1" x14ac:dyDescent="0.25">
      <c r="A2503" s="11">
        <v>0</v>
      </c>
      <c r="B2503" s="11" t="s">
        <v>10</v>
      </c>
      <c r="C2503" s="11" t="s">
        <v>11</v>
      </c>
      <c r="D2503" s="11" t="s">
        <v>19</v>
      </c>
      <c r="E2503" s="11">
        <v>0</v>
      </c>
      <c r="F2503" s="11">
        <v>0</v>
      </c>
      <c r="G2503" s="11" t="s">
        <v>10</v>
      </c>
      <c r="H2503" s="11" t="s">
        <v>12</v>
      </c>
      <c r="I2503" s="11">
        <v>1</v>
      </c>
      <c r="J2503" s="11" t="s">
        <v>14</v>
      </c>
      <c r="K2503" s="11" t="s">
        <v>14</v>
      </c>
      <c r="L2503" s="11" t="s">
        <v>14</v>
      </c>
      <c r="M2503" s="11" t="s">
        <v>14</v>
      </c>
      <c r="N2503" s="11" t="s">
        <v>14</v>
      </c>
      <c r="O2503" s="11">
        <v>1</v>
      </c>
    </row>
    <row r="2504" spans="1:15" ht="15" customHeight="1" x14ac:dyDescent="0.25">
      <c r="A2504" s="11">
        <v>20</v>
      </c>
      <c r="B2504" s="11" t="s">
        <v>10</v>
      </c>
      <c r="C2504" s="11" t="s">
        <v>11</v>
      </c>
      <c r="D2504" s="11" t="s">
        <v>11</v>
      </c>
      <c r="E2504" s="11">
        <v>0</v>
      </c>
      <c r="F2504" s="11">
        <v>0</v>
      </c>
      <c r="G2504" s="11" t="s">
        <v>10</v>
      </c>
      <c r="H2504" s="11" t="s">
        <v>12</v>
      </c>
      <c r="I2504" s="11" t="s">
        <v>15</v>
      </c>
      <c r="J2504" s="11" t="s">
        <v>14</v>
      </c>
      <c r="K2504" s="11" t="s">
        <v>14</v>
      </c>
      <c r="L2504" s="11" t="s">
        <v>14</v>
      </c>
      <c r="M2504" s="11" t="s">
        <v>13</v>
      </c>
      <c r="N2504" s="11" t="s">
        <v>14</v>
      </c>
      <c r="O2504" s="11">
        <v>1</v>
      </c>
    </row>
    <row r="2505" spans="1:15" ht="15" customHeight="1" x14ac:dyDescent="0.25">
      <c r="A2505" s="11">
        <v>5</v>
      </c>
      <c r="B2505" s="11" t="s">
        <v>18</v>
      </c>
      <c r="C2505" s="11" t="s">
        <v>11</v>
      </c>
      <c r="D2505" s="11" t="s">
        <v>11</v>
      </c>
      <c r="E2505" s="11">
        <v>0</v>
      </c>
      <c r="F2505" s="11">
        <v>1</v>
      </c>
      <c r="G2505" s="11" t="s">
        <v>10</v>
      </c>
      <c r="H2505" s="11" t="s">
        <v>12</v>
      </c>
      <c r="I2505" s="11">
        <v>2</v>
      </c>
      <c r="J2505" s="11" t="s">
        <v>14</v>
      </c>
      <c r="K2505" s="11" t="s">
        <v>13</v>
      </c>
      <c r="L2505" s="11" t="s">
        <v>13</v>
      </c>
      <c r="M2505" s="11" t="s">
        <v>14</v>
      </c>
      <c r="N2505" s="11" t="s">
        <v>14</v>
      </c>
      <c r="O2505" s="11">
        <v>1</v>
      </c>
    </row>
    <row r="2506" spans="1:15" ht="15" customHeight="1" x14ac:dyDescent="0.25">
      <c r="A2506" s="11">
        <v>10</v>
      </c>
      <c r="B2506" s="11" t="s">
        <v>10</v>
      </c>
      <c r="C2506" s="11" t="s">
        <v>11</v>
      </c>
      <c r="D2506" s="11" t="s">
        <v>11</v>
      </c>
      <c r="E2506" s="11">
        <v>0</v>
      </c>
      <c r="F2506" s="11">
        <v>2</v>
      </c>
      <c r="G2506" s="11" t="s">
        <v>10</v>
      </c>
      <c r="H2506" s="11" t="s">
        <v>12</v>
      </c>
      <c r="I2506" s="11" t="s">
        <v>15</v>
      </c>
      <c r="J2506" s="11" t="s">
        <v>14</v>
      </c>
      <c r="K2506" s="11" t="s">
        <v>14</v>
      </c>
      <c r="L2506" s="11" t="s">
        <v>14</v>
      </c>
      <c r="M2506" s="11" t="s">
        <v>13</v>
      </c>
      <c r="N2506" s="11" t="s">
        <v>14</v>
      </c>
      <c r="O2506" s="11">
        <v>0</v>
      </c>
    </row>
    <row r="2507" spans="1:15" ht="15" customHeight="1" x14ac:dyDescent="0.25">
      <c r="A2507" s="11">
        <v>5</v>
      </c>
      <c r="B2507" s="11" t="s">
        <v>10</v>
      </c>
      <c r="C2507" s="11" t="s">
        <v>20</v>
      </c>
      <c r="D2507" s="11" t="s">
        <v>20</v>
      </c>
      <c r="E2507" s="11">
        <v>1</v>
      </c>
      <c r="F2507" s="11">
        <v>0</v>
      </c>
      <c r="G2507" s="11" t="s">
        <v>10</v>
      </c>
      <c r="H2507" s="11" t="s">
        <v>12</v>
      </c>
      <c r="I2507" s="11">
        <v>1</v>
      </c>
      <c r="J2507" s="11" t="s">
        <v>14</v>
      </c>
      <c r="K2507" s="11" t="s">
        <v>13</v>
      </c>
      <c r="L2507" s="11" t="s">
        <v>13</v>
      </c>
      <c r="M2507" s="11" t="s">
        <v>13</v>
      </c>
      <c r="N2507" s="11" t="s">
        <v>14</v>
      </c>
      <c r="O2507" s="11">
        <v>0</v>
      </c>
    </row>
    <row r="2508" spans="1:15" ht="15" customHeight="1" x14ac:dyDescent="0.25">
      <c r="A2508" s="11">
        <v>5</v>
      </c>
      <c r="B2508" s="11" t="s">
        <v>10</v>
      </c>
      <c r="C2508" s="11" t="s">
        <v>19</v>
      </c>
      <c r="D2508" s="11" t="s">
        <v>19</v>
      </c>
      <c r="E2508" s="11">
        <v>0</v>
      </c>
      <c r="F2508" s="11">
        <v>1</v>
      </c>
      <c r="G2508" s="11" t="s">
        <v>17</v>
      </c>
      <c r="H2508" s="11" t="s">
        <v>106</v>
      </c>
      <c r="I2508" s="11">
        <v>1</v>
      </c>
      <c r="J2508" s="11" t="s">
        <v>14</v>
      </c>
      <c r="K2508" s="11" t="s">
        <v>13</v>
      </c>
      <c r="L2508" s="11" t="s">
        <v>13</v>
      </c>
      <c r="M2508" s="11" t="s">
        <v>14</v>
      </c>
      <c r="N2508" s="11" t="s">
        <v>14</v>
      </c>
      <c r="O2508" s="11">
        <v>0</v>
      </c>
    </row>
    <row r="2509" spans="1:15" ht="15" customHeight="1" x14ac:dyDescent="0.25">
      <c r="A2509" s="11">
        <v>0</v>
      </c>
      <c r="B2509" s="11" t="s">
        <v>10</v>
      </c>
      <c r="C2509" s="11" t="s">
        <v>20</v>
      </c>
      <c r="D2509" s="11" t="s">
        <v>20</v>
      </c>
      <c r="E2509" s="11">
        <v>0</v>
      </c>
      <c r="F2509" s="11">
        <v>1</v>
      </c>
      <c r="G2509" s="11" t="s">
        <v>17</v>
      </c>
      <c r="H2509" s="11" t="s">
        <v>106</v>
      </c>
      <c r="I2509" s="11">
        <v>1</v>
      </c>
      <c r="J2509" s="11" t="s">
        <v>14</v>
      </c>
      <c r="K2509" s="11" t="s">
        <v>13</v>
      </c>
      <c r="L2509" s="11" t="s">
        <v>13</v>
      </c>
      <c r="M2509" s="11" t="s">
        <v>13</v>
      </c>
      <c r="N2509" s="11" t="s">
        <v>14</v>
      </c>
      <c r="O2509" s="11">
        <v>0</v>
      </c>
    </row>
    <row r="2510" spans="1:15" ht="15" customHeight="1" x14ac:dyDescent="0.25">
      <c r="A2510" s="11">
        <v>5</v>
      </c>
      <c r="B2510" s="11" t="s">
        <v>18</v>
      </c>
      <c r="C2510" s="11" t="s">
        <v>20</v>
      </c>
      <c r="D2510" s="11" t="s">
        <v>20</v>
      </c>
      <c r="E2510" s="11">
        <v>0</v>
      </c>
      <c r="F2510" s="11">
        <v>0</v>
      </c>
      <c r="G2510" s="11" t="s">
        <v>10</v>
      </c>
      <c r="H2510" s="11" t="s">
        <v>12</v>
      </c>
      <c r="I2510" s="11">
        <v>1</v>
      </c>
      <c r="J2510" s="11" t="s">
        <v>14</v>
      </c>
      <c r="K2510" s="11" t="s">
        <v>13</v>
      </c>
      <c r="L2510" s="11" t="s">
        <v>13</v>
      </c>
      <c r="M2510" s="11" t="s">
        <v>13</v>
      </c>
      <c r="N2510" s="11" t="s">
        <v>14</v>
      </c>
      <c r="O2510" s="11">
        <v>1</v>
      </c>
    </row>
    <row r="2511" spans="1:15" ht="15" customHeight="1" x14ac:dyDescent="0.25">
      <c r="A2511" s="11">
        <v>5</v>
      </c>
      <c r="B2511" s="11" t="s">
        <v>14</v>
      </c>
      <c r="C2511" s="11" t="s">
        <v>19</v>
      </c>
      <c r="D2511" s="11" t="s">
        <v>19</v>
      </c>
      <c r="E2511" s="11">
        <v>0</v>
      </c>
      <c r="F2511" s="11">
        <v>0</v>
      </c>
      <c r="G2511" s="11" t="s">
        <v>10</v>
      </c>
      <c r="H2511" s="11" t="s">
        <v>16</v>
      </c>
      <c r="I2511" s="11">
        <v>1</v>
      </c>
      <c r="J2511" s="11" t="s">
        <v>14</v>
      </c>
      <c r="K2511" s="11" t="s">
        <v>13</v>
      </c>
      <c r="L2511" s="11" t="s">
        <v>13</v>
      </c>
      <c r="M2511" s="11" t="s">
        <v>13</v>
      </c>
      <c r="N2511" s="11" t="s">
        <v>14</v>
      </c>
      <c r="O2511" s="11">
        <v>1</v>
      </c>
    </row>
    <row r="2512" spans="1:15" ht="15" customHeight="1" x14ac:dyDescent="0.25">
      <c r="A2512" s="11">
        <v>20</v>
      </c>
      <c r="B2512" s="11" t="s">
        <v>10</v>
      </c>
      <c r="C2512" s="11" t="s">
        <v>11</v>
      </c>
      <c r="D2512" s="11" t="s">
        <v>19</v>
      </c>
      <c r="E2512" s="11">
        <v>1</v>
      </c>
      <c r="F2512" s="11">
        <v>1</v>
      </c>
      <c r="G2512" s="11" t="s">
        <v>10</v>
      </c>
      <c r="H2512" s="11" t="s">
        <v>12</v>
      </c>
      <c r="I2512" s="11">
        <v>1</v>
      </c>
      <c r="J2512" s="11" t="s">
        <v>14</v>
      </c>
      <c r="K2512" s="11" t="s">
        <v>13</v>
      </c>
      <c r="L2512" s="11" t="s">
        <v>13</v>
      </c>
      <c r="M2512" s="11" t="s">
        <v>13</v>
      </c>
      <c r="N2512" s="11" t="s">
        <v>14</v>
      </c>
      <c r="O2512" s="11">
        <v>0</v>
      </c>
    </row>
    <row r="2513" spans="1:15" ht="15" customHeight="1" x14ac:dyDescent="0.25">
      <c r="A2513" s="11">
        <v>5</v>
      </c>
      <c r="B2513" s="11" t="s">
        <v>10</v>
      </c>
      <c r="C2513" s="11" t="s">
        <v>19</v>
      </c>
      <c r="D2513" s="11" t="s">
        <v>19</v>
      </c>
      <c r="E2513" s="11">
        <v>0</v>
      </c>
      <c r="F2513" s="11">
        <v>0</v>
      </c>
      <c r="G2513" s="11" t="s">
        <v>17</v>
      </c>
      <c r="H2513" s="11" t="s">
        <v>106</v>
      </c>
      <c r="I2513" s="11">
        <v>1</v>
      </c>
      <c r="J2513" s="11" t="s">
        <v>14</v>
      </c>
      <c r="K2513" s="11" t="s">
        <v>13</v>
      </c>
      <c r="L2513" s="11" t="s">
        <v>13</v>
      </c>
      <c r="M2513" s="11" t="s">
        <v>14</v>
      </c>
      <c r="N2513" s="11" t="s">
        <v>14</v>
      </c>
      <c r="O2513" s="11">
        <v>1</v>
      </c>
    </row>
    <row r="2514" spans="1:15" ht="15" customHeight="1" x14ac:dyDescent="0.25">
      <c r="A2514" s="11">
        <v>0</v>
      </c>
      <c r="B2514" s="11" t="s">
        <v>10</v>
      </c>
      <c r="C2514" s="11" t="s">
        <v>19</v>
      </c>
      <c r="D2514" s="11" t="s">
        <v>19</v>
      </c>
      <c r="E2514" s="11">
        <v>0</v>
      </c>
      <c r="F2514" s="11">
        <v>0</v>
      </c>
      <c r="G2514" s="11" t="s">
        <v>10</v>
      </c>
      <c r="H2514" s="11" t="s">
        <v>12</v>
      </c>
      <c r="I2514" s="11">
        <v>2</v>
      </c>
      <c r="J2514" s="11" t="s">
        <v>14</v>
      </c>
      <c r="K2514" s="11" t="s">
        <v>14</v>
      </c>
      <c r="L2514" s="11" t="s">
        <v>14</v>
      </c>
      <c r="M2514" s="11" t="s">
        <v>14</v>
      </c>
      <c r="N2514" s="11" t="s">
        <v>14</v>
      </c>
      <c r="O2514" s="11">
        <v>1</v>
      </c>
    </row>
    <row r="2515" spans="1:15" ht="15" customHeight="1" x14ac:dyDescent="0.25">
      <c r="A2515" s="11">
        <v>0</v>
      </c>
      <c r="B2515" s="11" t="s">
        <v>18</v>
      </c>
      <c r="C2515" s="11" t="s">
        <v>19</v>
      </c>
      <c r="D2515" s="11" t="s">
        <v>19</v>
      </c>
      <c r="E2515" s="11">
        <v>0</v>
      </c>
      <c r="F2515" s="11">
        <v>0</v>
      </c>
      <c r="G2515" s="11" t="s">
        <v>10</v>
      </c>
      <c r="H2515" s="11" t="s">
        <v>12</v>
      </c>
      <c r="I2515" s="11">
        <v>1</v>
      </c>
      <c r="J2515" s="11" t="s">
        <v>14</v>
      </c>
      <c r="K2515" s="11" t="s">
        <v>14</v>
      </c>
      <c r="L2515" s="11" t="s">
        <v>14</v>
      </c>
      <c r="M2515" s="11" t="s">
        <v>14</v>
      </c>
      <c r="N2515" s="11" t="s">
        <v>14</v>
      </c>
      <c r="O2515" s="11">
        <v>1</v>
      </c>
    </row>
    <row r="2516" spans="1:15" ht="15" customHeight="1" x14ac:dyDescent="0.25">
      <c r="A2516" s="11">
        <v>5</v>
      </c>
      <c r="B2516" s="11" t="s">
        <v>10</v>
      </c>
      <c r="C2516" s="11" t="s">
        <v>19</v>
      </c>
      <c r="D2516" s="11" t="s">
        <v>19</v>
      </c>
      <c r="E2516" s="11">
        <v>0</v>
      </c>
      <c r="F2516" s="11">
        <v>0</v>
      </c>
      <c r="G2516" s="11" t="s">
        <v>10</v>
      </c>
      <c r="H2516" s="11" t="s">
        <v>12</v>
      </c>
      <c r="I2516" s="11">
        <v>1</v>
      </c>
      <c r="J2516" s="11" t="s">
        <v>14</v>
      </c>
      <c r="K2516" s="11" t="s">
        <v>14</v>
      </c>
      <c r="L2516" s="11" t="s">
        <v>14</v>
      </c>
      <c r="M2516" s="11" t="s">
        <v>14</v>
      </c>
      <c r="N2516" s="11" t="s">
        <v>14</v>
      </c>
      <c r="O2516" s="11">
        <v>1</v>
      </c>
    </row>
    <row r="2517" spans="1:15" ht="15" customHeight="1" x14ac:dyDescent="0.25">
      <c r="A2517" s="11">
        <v>5</v>
      </c>
      <c r="B2517" s="11" t="s">
        <v>10</v>
      </c>
      <c r="C2517" s="11" t="s">
        <v>11</v>
      </c>
      <c r="D2517" s="11" t="s">
        <v>19</v>
      </c>
      <c r="E2517" s="11">
        <v>0</v>
      </c>
      <c r="F2517" s="11">
        <v>0</v>
      </c>
      <c r="G2517" s="11" t="s">
        <v>10</v>
      </c>
      <c r="H2517" s="11" t="s">
        <v>12</v>
      </c>
      <c r="I2517" s="11">
        <v>1</v>
      </c>
      <c r="J2517" s="11" t="s">
        <v>14</v>
      </c>
      <c r="K2517" s="11" t="s">
        <v>14</v>
      </c>
      <c r="L2517" s="11" t="s">
        <v>14</v>
      </c>
      <c r="M2517" s="11" t="s">
        <v>14</v>
      </c>
      <c r="N2517" s="11" t="s">
        <v>14</v>
      </c>
      <c r="O2517" s="11">
        <v>1</v>
      </c>
    </row>
    <row r="2518" spans="1:15" ht="15" customHeight="1" x14ac:dyDescent="0.25">
      <c r="A2518" s="11">
        <v>5</v>
      </c>
      <c r="B2518" s="11" t="s">
        <v>10</v>
      </c>
      <c r="C2518" s="11" t="s">
        <v>11</v>
      </c>
      <c r="D2518" s="11" t="s">
        <v>11</v>
      </c>
      <c r="E2518" s="11">
        <v>1</v>
      </c>
      <c r="F2518" s="11">
        <v>0</v>
      </c>
      <c r="G2518" s="11" t="s">
        <v>10</v>
      </c>
      <c r="H2518" s="11" t="s">
        <v>12</v>
      </c>
      <c r="I2518" s="11">
        <v>1</v>
      </c>
      <c r="J2518" s="11" t="s">
        <v>13</v>
      </c>
      <c r="K2518" s="11" t="s">
        <v>14</v>
      </c>
      <c r="L2518" s="11" t="s">
        <v>14</v>
      </c>
      <c r="M2518" s="11" t="s">
        <v>14</v>
      </c>
      <c r="N2518" s="11" t="s">
        <v>14</v>
      </c>
      <c r="O2518" s="11">
        <v>0</v>
      </c>
    </row>
    <row r="2519" spans="1:15" ht="15" customHeight="1" x14ac:dyDescent="0.25">
      <c r="A2519" s="11">
        <v>10</v>
      </c>
      <c r="B2519" s="11" t="s">
        <v>18</v>
      </c>
      <c r="C2519" s="11" t="s">
        <v>20</v>
      </c>
      <c r="D2519" s="11" t="s">
        <v>20</v>
      </c>
      <c r="E2519" s="11">
        <v>0</v>
      </c>
      <c r="F2519" s="11">
        <v>0</v>
      </c>
      <c r="G2519" s="11" t="s">
        <v>10</v>
      </c>
      <c r="H2519" s="11" t="s">
        <v>12</v>
      </c>
      <c r="I2519" s="11">
        <v>1</v>
      </c>
      <c r="J2519" s="11" t="s">
        <v>14</v>
      </c>
      <c r="K2519" s="11" t="s">
        <v>13</v>
      </c>
      <c r="L2519" s="11" t="s">
        <v>13</v>
      </c>
      <c r="M2519" s="11" t="s">
        <v>13</v>
      </c>
      <c r="N2519" s="11" t="s">
        <v>14</v>
      </c>
      <c r="O2519" s="11">
        <v>1</v>
      </c>
    </row>
    <row r="2520" spans="1:15" ht="15" customHeight="1" x14ac:dyDescent="0.25">
      <c r="A2520" s="11">
        <v>5</v>
      </c>
      <c r="B2520" s="11" t="s">
        <v>10</v>
      </c>
      <c r="C2520" s="11" t="s">
        <v>20</v>
      </c>
      <c r="D2520" s="11" t="s">
        <v>20</v>
      </c>
      <c r="E2520" s="11">
        <v>0</v>
      </c>
      <c r="F2520" s="11">
        <v>1</v>
      </c>
      <c r="G2520" s="11" t="s">
        <v>10</v>
      </c>
      <c r="H2520" s="11" t="s">
        <v>12</v>
      </c>
      <c r="I2520" s="11">
        <v>1</v>
      </c>
      <c r="J2520" s="11" t="s">
        <v>14</v>
      </c>
      <c r="K2520" s="11" t="s">
        <v>13</v>
      </c>
      <c r="L2520" s="11" t="s">
        <v>13</v>
      </c>
      <c r="M2520" s="11" t="s">
        <v>13</v>
      </c>
      <c r="N2520" s="11" t="s">
        <v>14</v>
      </c>
      <c r="O2520" s="11">
        <v>1</v>
      </c>
    </row>
    <row r="2521" spans="1:15" ht="15" customHeight="1" x14ac:dyDescent="0.25">
      <c r="A2521" s="11">
        <v>30</v>
      </c>
      <c r="B2521" s="11" t="s">
        <v>10</v>
      </c>
      <c r="C2521" s="11" t="s">
        <v>19</v>
      </c>
      <c r="D2521" s="11" t="s">
        <v>20</v>
      </c>
      <c r="E2521" s="11">
        <v>1</v>
      </c>
      <c r="F2521" s="11">
        <v>0</v>
      </c>
      <c r="G2521" s="11" t="s">
        <v>10</v>
      </c>
      <c r="H2521" s="11" t="s">
        <v>16</v>
      </c>
      <c r="I2521" s="11">
        <v>1</v>
      </c>
      <c r="J2521" s="11" t="s">
        <v>14</v>
      </c>
      <c r="K2521" s="11" t="s">
        <v>14</v>
      </c>
      <c r="L2521" s="11" t="s">
        <v>14</v>
      </c>
      <c r="M2521" s="11" t="s">
        <v>13</v>
      </c>
      <c r="N2521" s="11" t="s">
        <v>14</v>
      </c>
      <c r="O2521" s="11">
        <v>0</v>
      </c>
    </row>
    <row r="2522" spans="1:15" ht="15" customHeight="1" x14ac:dyDescent="0.25">
      <c r="A2522" s="11">
        <v>10</v>
      </c>
      <c r="B2522" s="11" t="s">
        <v>14</v>
      </c>
      <c r="C2522" s="11" t="s">
        <v>19</v>
      </c>
      <c r="D2522" s="11" t="s">
        <v>19</v>
      </c>
      <c r="E2522" s="11">
        <v>0</v>
      </c>
      <c r="F2522" s="11">
        <v>0</v>
      </c>
      <c r="G2522" s="11" t="s">
        <v>10</v>
      </c>
      <c r="H2522" s="11" t="s">
        <v>12</v>
      </c>
      <c r="I2522" s="11">
        <v>2</v>
      </c>
      <c r="J2522" s="11" t="s">
        <v>14</v>
      </c>
      <c r="K2522" s="11" t="s">
        <v>14</v>
      </c>
      <c r="L2522" s="11" t="s">
        <v>14</v>
      </c>
      <c r="M2522" s="11" t="s">
        <v>14</v>
      </c>
      <c r="N2522" s="11" t="s">
        <v>14</v>
      </c>
      <c r="O2522" s="11">
        <v>1</v>
      </c>
    </row>
    <row r="2523" spans="1:15" ht="15" customHeight="1" x14ac:dyDescent="0.25">
      <c r="A2523" s="11">
        <v>20</v>
      </c>
      <c r="B2523" s="11" t="s">
        <v>14</v>
      </c>
      <c r="C2523" s="11" t="s">
        <v>19</v>
      </c>
      <c r="D2523" s="11" t="s">
        <v>19</v>
      </c>
      <c r="E2523" s="11">
        <v>0</v>
      </c>
      <c r="F2523" s="11">
        <v>0</v>
      </c>
      <c r="G2523" s="11" t="s">
        <v>10</v>
      </c>
      <c r="H2523" s="11" t="s">
        <v>12</v>
      </c>
      <c r="I2523" s="11">
        <v>2</v>
      </c>
      <c r="J2523" s="11" t="s">
        <v>14</v>
      </c>
      <c r="K2523" s="11" t="s">
        <v>14</v>
      </c>
      <c r="L2523" s="11" t="s">
        <v>14</v>
      </c>
      <c r="M2523" s="11" t="s">
        <v>14</v>
      </c>
      <c r="N2523" s="11" t="s">
        <v>14</v>
      </c>
      <c r="O2523" s="11">
        <v>1</v>
      </c>
    </row>
    <row r="2524" spans="1:15" ht="15" customHeight="1" x14ac:dyDescent="0.25">
      <c r="A2524" s="11">
        <v>10</v>
      </c>
      <c r="B2524" s="11" t="s">
        <v>10</v>
      </c>
      <c r="C2524" s="11" t="s">
        <v>19</v>
      </c>
      <c r="D2524" s="11" t="s">
        <v>19</v>
      </c>
      <c r="E2524" s="11">
        <v>0</v>
      </c>
      <c r="F2524" s="11">
        <v>1</v>
      </c>
      <c r="G2524" s="11" t="s">
        <v>10</v>
      </c>
      <c r="H2524" s="11" t="s">
        <v>16</v>
      </c>
      <c r="I2524" s="11">
        <v>2</v>
      </c>
      <c r="J2524" s="11" t="s">
        <v>14</v>
      </c>
      <c r="K2524" s="11" t="s">
        <v>14</v>
      </c>
      <c r="L2524" s="11" t="s">
        <v>14</v>
      </c>
      <c r="M2524" s="11" t="s">
        <v>14</v>
      </c>
      <c r="N2524" s="11" t="s">
        <v>14</v>
      </c>
      <c r="O2524" s="11">
        <v>1</v>
      </c>
    </row>
    <row r="2525" spans="1:15" ht="15" customHeight="1" x14ac:dyDescent="0.25">
      <c r="A2525" s="11">
        <v>5</v>
      </c>
      <c r="B2525" s="11" t="s">
        <v>18</v>
      </c>
      <c r="C2525" s="11" t="s">
        <v>19</v>
      </c>
      <c r="D2525" s="11" t="s">
        <v>19</v>
      </c>
      <c r="E2525" s="11">
        <v>0</v>
      </c>
      <c r="F2525" s="11">
        <v>0</v>
      </c>
      <c r="G2525" s="11" t="s">
        <v>10</v>
      </c>
      <c r="H2525" s="11" t="s">
        <v>12</v>
      </c>
      <c r="I2525" s="11">
        <v>2</v>
      </c>
      <c r="J2525" s="11" t="s">
        <v>14</v>
      </c>
      <c r="K2525" s="11" t="s">
        <v>14</v>
      </c>
      <c r="L2525" s="11" t="s">
        <v>14</v>
      </c>
      <c r="M2525" s="11" t="s">
        <v>14</v>
      </c>
      <c r="N2525" s="11" t="s">
        <v>14</v>
      </c>
      <c r="O2525" s="11">
        <v>1</v>
      </c>
    </row>
    <row r="2526" spans="1:15" ht="15" customHeight="1" x14ac:dyDescent="0.25">
      <c r="A2526" s="11">
        <v>5</v>
      </c>
      <c r="B2526" s="11" t="s">
        <v>10</v>
      </c>
      <c r="C2526" s="11" t="s">
        <v>19</v>
      </c>
      <c r="D2526" s="11" t="s">
        <v>19</v>
      </c>
      <c r="E2526" s="11">
        <v>0</v>
      </c>
      <c r="F2526" s="11">
        <v>1</v>
      </c>
      <c r="G2526" s="11" t="s">
        <v>10</v>
      </c>
      <c r="H2526" s="11" t="s">
        <v>12</v>
      </c>
      <c r="I2526" s="11">
        <v>1</v>
      </c>
      <c r="J2526" s="11" t="s">
        <v>14</v>
      </c>
      <c r="K2526" s="11" t="s">
        <v>14</v>
      </c>
      <c r="L2526" s="11" t="s">
        <v>14</v>
      </c>
      <c r="M2526" s="11" t="s">
        <v>14</v>
      </c>
      <c r="N2526" s="11" t="s">
        <v>14</v>
      </c>
      <c r="O2526" s="11">
        <v>1</v>
      </c>
    </row>
    <row r="2527" spans="1:15" ht="15" customHeight="1" x14ac:dyDescent="0.25">
      <c r="A2527" s="11">
        <v>10</v>
      </c>
      <c r="B2527" s="11" t="s">
        <v>10</v>
      </c>
      <c r="C2527" s="11" t="s">
        <v>19</v>
      </c>
      <c r="D2527" s="11" t="s">
        <v>19</v>
      </c>
      <c r="E2527" s="11">
        <v>0</v>
      </c>
      <c r="F2527" s="11">
        <v>0</v>
      </c>
      <c r="G2527" s="11" t="s">
        <v>10</v>
      </c>
      <c r="H2527" s="11" t="s">
        <v>12</v>
      </c>
      <c r="I2527" s="11">
        <v>2</v>
      </c>
      <c r="J2527" s="11" t="s">
        <v>14</v>
      </c>
      <c r="K2527" s="11" t="s">
        <v>14</v>
      </c>
      <c r="L2527" s="11" t="s">
        <v>14</v>
      </c>
      <c r="M2527" s="11" t="s">
        <v>14</v>
      </c>
      <c r="N2527" s="11" t="s">
        <v>14</v>
      </c>
      <c r="O2527" s="11">
        <v>1</v>
      </c>
    </row>
    <row r="2528" spans="1:15" ht="15" customHeight="1" x14ac:dyDescent="0.25">
      <c r="A2528" s="11">
        <v>10</v>
      </c>
      <c r="B2528" s="11" t="s">
        <v>10</v>
      </c>
      <c r="C2528" s="11" t="s">
        <v>19</v>
      </c>
      <c r="D2528" s="11" t="s">
        <v>19</v>
      </c>
      <c r="E2528" s="11">
        <v>1</v>
      </c>
      <c r="F2528" s="11">
        <v>0</v>
      </c>
      <c r="G2528" s="11" t="s">
        <v>10</v>
      </c>
      <c r="H2528" s="11" t="s">
        <v>12</v>
      </c>
      <c r="I2528" s="11" t="s">
        <v>15</v>
      </c>
      <c r="J2528" s="11" t="s">
        <v>14</v>
      </c>
      <c r="K2528" s="11" t="s">
        <v>14</v>
      </c>
      <c r="L2528" s="11" t="s">
        <v>14</v>
      </c>
      <c r="M2528" s="11" t="s">
        <v>14</v>
      </c>
      <c r="N2528" s="11" t="s">
        <v>14</v>
      </c>
      <c r="O2528" s="11">
        <v>0</v>
      </c>
    </row>
    <row r="2529" spans="1:15" ht="15" customHeight="1" x14ac:dyDescent="0.25">
      <c r="A2529" s="11">
        <v>5</v>
      </c>
      <c r="B2529" s="11" t="s">
        <v>18</v>
      </c>
      <c r="C2529" s="11" t="s">
        <v>19</v>
      </c>
      <c r="D2529" s="11" t="s">
        <v>19</v>
      </c>
      <c r="E2529" s="11">
        <v>1</v>
      </c>
      <c r="F2529" s="11">
        <v>0</v>
      </c>
      <c r="G2529" s="11" t="s">
        <v>10</v>
      </c>
      <c r="H2529" s="11" t="s">
        <v>12</v>
      </c>
      <c r="I2529" s="11">
        <v>2</v>
      </c>
      <c r="J2529" s="11" t="s">
        <v>14</v>
      </c>
      <c r="K2529" s="11" t="s">
        <v>13</v>
      </c>
      <c r="L2529" s="11" t="s">
        <v>13</v>
      </c>
      <c r="M2529" s="11" t="s">
        <v>13</v>
      </c>
      <c r="N2529" s="11" t="s">
        <v>14</v>
      </c>
      <c r="O2529" s="11">
        <v>1</v>
      </c>
    </row>
    <row r="2530" spans="1:15" ht="15" customHeight="1" x14ac:dyDescent="0.25">
      <c r="A2530" s="11">
        <v>5</v>
      </c>
      <c r="B2530" s="11" t="s">
        <v>14</v>
      </c>
      <c r="C2530" s="11" t="s">
        <v>19</v>
      </c>
      <c r="D2530" s="11" t="s">
        <v>19</v>
      </c>
      <c r="E2530" s="11">
        <v>0</v>
      </c>
      <c r="F2530" s="11">
        <v>0</v>
      </c>
      <c r="G2530" s="11" t="s">
        <v>10</v>
      </c>
      <c r="H2530" s="11" t="s">
        <v>12</v>
      </c>
      <c r="I2530" s="11">
        <v>2</v>
      </c>
      <c r="J2530" s="11" t="s">
        <v>14</v>
      </c>
      <c r="K2530" s="11" t="s">
        <v>14</v>
      </c>
      <c r="L2530" s="11" t="s">
        <v>14</v>
      </c>
      <c r="M2530" s="11" t="s">
        <v>14</v>
      </c>
      <c r="N2530" s="11" t="s">
        <v>14</v>
      </c>
      <c r="O2530" s="11">
        <v>1</v>
      </c>
    </row>
    <row r="2531" spans="1:15" ht="15" customHeight="1" x14ac:dyDescent="0.25">
      <c r="A2531" s="11">
        <v>10</v>
      </c>
      <c r="B2531" s="11" t="s">
        <v>18</v>
      </c>
      <c r="C2531" s="11" t="s">
        <v>20</v>
      </c>
      <c r="D2531" s="11" t="s">
        <v>19</v>
      </c>
      <c r="E2531" s="11">
        <v>0</v>
      </c>
      <c r="F2531" s="11">
        <v>0</v>
      </c>
      <c r="G2531" s="11" t="s">
        <v>10</v>
      </c>
      <c r="H2531" s="11" t="s">
        <v>12</v>
      </c>
      <c r="I2531" s="11">
        <v>2</v>
      </c>
      <c r="J2531" s="11" t="s">
        <v>14</v>
      </c>
      <c r="K2531" s="11" t="s">
        <v>14</v>
      </c>
      <c r="L2531" s="11" t="s">
        <v>14</v>
      </c>
      <c r="M2531" s="11" t="s">
        <v>14</v>
      </c>
      <c r="N2531" s="11" t="s">
        <v>14</v>
      </c>
      <c r="O2531" s="11">
        <v>1</v>
      </c>
    </row>
    <row r="2532" spans="1:15" ht="15" customHeight="1" x14ac:dyDescent="0.25">
      <c r="A2532" s="11">
        <v>20</v>
      </c>
      <c r="B2532" s="11" t="s">
        <v>10</v>
      </c>
      <c r="C2532" s="11" t="s">
        <v>19</v>
      </c>
      <c r="D2532" s="11" t="s">
        <v>20</v>
      </c>
      <c r="E2532" s="11">
        <v>0</v>
      </c>
      <c r="F2532" s="11">
        <v>1</v>
      </c>
      <c r="G2532" s="11" t="s">
        <v>10</v>
      </c>
      <c r="H2532" s="11" t="s">
        <v>16</v>
      </c>
      <c r="I2532" s="11">
        <v>2</v>
      </c>
      <c r="J2532" s="11" t="s">
        <v>14</v>
      </c>
      <c r="K2532" s="11" t="s">
        <v>14</v>
      </c>
      <c r="L2532" s="11" t="s">
        <v>14</v>
      </c>
      <c r="M2532" s="11" t="s">
        <v>14</v>
      </c>
      <c r="N2532" s="11" t="s">
        <v>14</v>
      </c>
      <c r="O2532" s="11">
        <v>0</v>
      </c>
    </row>
    <row r="2533" spans="1:15" ht="15" customHeight="1" x14ac:dyDescent="0.25">
      <c r="A2533" s="11">
        <v>30</v>
      </c>
      <c r="B2533" s="11" t="s">
        <v>10</v>
      </c>
      <c r="C2533" s="11" t="s">
        <v>19</v>
      </c>
      <c r="D2533" s="11" t="s">
        <v>20</v>
      </c>
      <c r="E2533" s="11">
        <v>0</v>
      </c>
      <c r="F2533" s="11">
        <v>1</v>
      </c>
      <c r="G2533" s="11" t="s">
        <v>10</v>
      </c>
      <c r="H2533" s="11" t="s">
        <v>12</v>
      </c>
      <c r="I2533" s="11" t="s">
        <v>15</v>
      </c>
      <c r="J2533" s="11" t="s">
        <v>14</v>
      </c>
      <c r="K2533" s="11" t="s">
        <v>14</v>
      </c>
      <c r="L2533" s="11" t="s">
        <v>14</v>
      </c>
      <c r="M2533" s="11" t="s">
        <v>13</v>
      </c>
      <c r="N2533" s="11" t="s">
        <v>13</v>
      </c>
      <c r="O2533" s="11">
        <v>0</v>
      </c>
    </row>
    <row r="2534" spans="1:15" ht="15" customHeight="1" x14ac:dyDescent="0.25">
      <c r="A2534" s="11">
        <v>10</v>
      </c>
      <c r="B2534" s="11" t="s">
        <v>10</v>
      </c>
      <c r="C2534" s="11" t="s">
        <v>19</v>
      </c>
      <c r="D2534" s="11" t="s">
        <v>19</v>
      </c>
      <c r="E2534" s="11">
        <v>0</v>
      </c>
      <c r="F2534" s="11">
        <v>0</v>
      </c>
      <c r="G2534" s="11" t="s">
        <v>10</v>
      </c>
      <c r="H2534" s="11" t="s">
        <v>12</v>
      </c>
      <c r="I2534" s="11">
        <v>2</v>
      </c>
      <c r="J2534" s="11" t="s">
        <v>14</v>
      </c>
      <c r="K2534" s="11" t="s">
        <v>14</v>
      </c>
      <c r="L2534" s="11" t="s">
        <v>14</v>
      </c>
      <c r="M2534" s="11" t="s">
        <v>14</v>
      </c>
      <c r="N2534" s="11" t="s">
        <v>14</v>
      </c>
      <c r="O2534" s="11">
        <v>1</v>
      </c>
    </row>
    <row r="2535" spans="1:15" ht="15" customHeight="1" x14ac:dyDescent="0.25">
      <c r="A2535" s="11">
        <v>10</v>
      </c>
      <c r="B2535" s="11" t="s">
        <v>10</v>
      </c>
      <c r="C2535" s="11" t="s">
        <v>19</v>
      </c>
      <c r="D2535" s="11" t="s">
        <v>19</v>
      </c>
      <c r="E2535" s="11">
        <v>0</v>
      </c>
      <c r="F2535" s="11">
        <v>0</v>
      </c>
      <c r="G2535" s="11" t="s">
        <v>10</v>
      </c>
      <c r="H2535" s="11" t="s">
        <v>16</v>
      </c>
      <c r="I2535" s="11">
        <v>2</v>
      </c>
      <c r="J2535" s="11" t="s">
        <v>14</v>
      </c>
      <c r="K2535" s="11" t="s">
        <v>14</v>
      </c>
      <c r="L2535" s="11" t="s">
        <v>14</v>
      </c>
      <c r="M2535" s="11" t="s">
        <v>14</v>
      </c>
      <c r="N2535" s="11" t="s">
        <v>14</v>
      </c>
      <c r="O2535" s="11">
        <v>1</v>
      </c>
    </row>
    <row r="2536" spans="1:15" ht="15" customHeight="1" x14ac:dyDescent="0.25">
      <c r="A2536" s="11">
        <v>10</v>
      </c>
      <c r="B2536" s="11" t="s">
        <v>18</v>
      </c>
      <c r="C2536" s="11" t="s">
        <v>19</v>
      </c>
      <c r="D2536" s="11" t="s">
        <v>11</v>
      </c>
      <c r="E2536" s="11">
        <v>0</v>
      </c>
      <c r="F2536" s="11">
        <v>0</v>
      </c>
      <c r="G2536" s="11" t="s">
        <v>10</v>
      </c>
      <c r="H2536" s="11" t="s">
        <v>12</v>
      </c>
      <c r="I2536" s="11" t="s">
        <v>15</v>
      </c>
      <c r="J2536" s="11" t="s">
        <v>14</v>
      </c>
      <c r="K2536" s="11" t="s">
        <v>14</v>
      </c>
      <c r="L2536" s="11" t="s">
        <v>14</v>
      </c>
      <c r="M2536" s="11" t="s">
        <v>14</v>
      </c>
      <c r="N2536" s="11" t="s">
        <v>14</v>
      </c>
      <c r="O2536" s="11">
        <v>1</v>
      </c>
    </row>
    <row r="2537" spans="1:15" ht="15" customHeight="1" x14ac:dyDescent="0.25">
      <c r="A2537" s="11">
        <v>30</v>
      </c>
      <c r="B2537" s="11" t="s">
        <v>10</v>
      </c>
      <c r="C2537" s="11" t="s">
        <v>11</v>
      </c>
      <c r="D2537" s="11" t="s">
        <v>11</v>
      </c>
      <c r="E2537" s="11">
        <v>0</v>
      </c>
      <c r="F2537" s="11">
        <v>1</v>
      </c>
      <c r="G2537" s="11" t="s">
        <v>10</v>
      </c>
      <c r="H2537" s="11" t="s">
        <v>12</v>
      </c>
      <c r="I2537" s="11">
        <v>2</v>
      </c>
      <c r="J2537" s="11" t="s">
        <v>14</v>
      </c>
      <c r="K2537" s="11" t="s">
        <v>14</v>
      </c>
      <c r="L2537" s="11" t="s">
        <v>14</v>
      </c>
      <c r="M2537" s="11" t="s">
        <v>13</v>
      </c>
      <c r="N2537" s="11" t="s">
        <v>13</v>
      </c>
      <c r="O2537" s="11">
        <v>1</v>
      </c>
    </row>
    <row r="2538" spans="1:15" ht="15" customHeight="1" x14ac:dyDescent="0.25">
      <c r="A2538" s="11">
        <v>5</v>
      </c>
      <c r="B2538" s="11" t="s">
        <v>18</v>
      </c>
      <c r="C2538" s="11" t="s">
        <v>11</v>
      </c>
      <c r="D2538" s="11" t="s">
        <v>11</v>
      </c>
      <c r="E2538" s="11">
        <v>0</v>
      </c>
      <c r="F2538" s="11">
        <v>1</v>
      </c>
      <c r="G2538" s="11" t="s">
        <v>17</v>
      </c>
      <c r="H2538" s="11" t="s">
        <v>106</v>
      </c>
      <c r="I2538" s="11">
        <v>1</v>
      </c>
      <c r="J2538" s="11" t="s">
        <v>14</v>
      </c>
      <c r="K2538" s="11" t="s">
        <v>13</v>
      </c>
      <c r="L2538" s="11" t="s">
        <v>13</v>
      </c>
      <c r="M2538" s="11" t="s">
        <v>13</v>
      </c>
      <c r="N2538" s="11" t="s">
        <v>14</v>
      </c>
      <c r="O2538" s="11">
        <v>1</v>
      </c>
    </row>
    <row r="2539" spans="1:15" ht="15" customHeight="1" x14ac:dyDescent="0.25">
      <c r="A2539" s="11">
        <v>0</v>
      </c>
      <c r="B2539" s="11" t="s">
        <v>10</v>
      </c>
      <c r="C2539" s="11" t="s">
        <v>20</v>
      </c>
      <c r="D2539" s="11" t="s">
        <v>20</v>
      </c>
      <c r="E2539" s="11">
        <v>0</v>
      </c>
      <c r="F2539" s="11">
        <v>0</v>
      </c>
      <c r="G2539" s="11" t="s">
        <v>10</v>
      </c>
      <c r="H2539" s="11" t="s">
        <v>12</v>
      </c>
      <c r="I2539" s="11">
        <v>1</v>
      </c>
      <c r="J2539" s="11" t="s">
        <v>14</v>
      </c>
      <c r="K2539" s="11" t="s">
        <v>14</v>
      </c>
      <c r="L2539" s="11" t="s">
        <v>14</v>
      </c>
      <c r="M2539" s="11" t="s">
        <v>14</v>
      </c>
      <c r="N2539" s="11" t="s">
        <v>14</v>
      </c>
      <c r="O2539" s="11">
        <v>1</v>
      </c>
    </row>
    <row r="2540" spans="1:15" ht="15" customHeight="1" x14ac:dyDescent="0.25">
      <c r="A2540" s="11">
        <v>20</v>
      </c>
      <c r="B2540" s="11" t="s">
        <v>10</v>
      </c>
      <c r="C2540" s="11" t="s">
        <v>19</v>
      </c>
      <c r="D2540" s="11" t="s">
        <v>20</v>
      </c>
      <c r="E2540" s="11">
        <v>0</v>
      </c>
      <c r="F2540" s="11">
        <v>0</v>
      </c>
      <c r="G2540" s="11" t="s">
        <v>10</v>
      </c>
      <c r="H2540" s="11" t="s">
        <v>12</v>
      </c>
      <c r="I2540" s="11">
        <v>2</v>
      </c>
      <c r="J2540" s="11" t="s">
        <v>14</v>
      </c>
      <c r="K2540" s="11" t="s">
        <v>14</v>
      </c>
      <c r="L2540" s="11" t="s">
        <v>14</v>
      </c>
      <c r="M2540" s="11" t="s">
        <v>14</v>
      </c>
      <c r="N2540" s="11" t="s">
        <v>14</v>
      </c>
      <c r="O2540" s="11">
        <v>1</v>
      </c>
    </row>
    <row r="2541" spans="1:15" ht="15" customHeight="1" x14ac:dyDescent="0.25">
      <c r="A2541" s="11">
        <v>10</v>
      </c>
      <c r="B2541" s="11" t="s">
        <v>18</v>
      </c>
      <c r="C2541" s="11" t="s">
        <v>20</v>
      </c>
      <c r="D2541" s="11" t="s">
        <v>20</v>
      </c>
      <c r="E2541" s="11">
        <v>0</v>
      </c>
      <c r="F2541" s="11">
        <v>0</v>
      </c>
      <c r="G2541" s="11" t="s">
        <v>10</v>
      </c>
      <c r="H2541" s="11" t="s">
        <v>12</v>
      </c>
      <c r="I2541" s="11" t="s">
        <v>15</v>
      </c>
      <c r="J2541" s="11" t="s">
        <v>14</v>
      </c>
      <c r="K2541" s="11" t="s">
        <v>14</v>
      </c>
      <c r="L2541" s="11" t="s">
        <v>14</v>
      </c>
      <c r="M2541" s="11" t="s">
        <v>14</v>
      </c>
      <c r="N2541" s="11" t="s">
        <v>14</v>
      </c>
      <c r="O2541" s="11">
        <v>1</v>
      </c>
    </row>
    <row r="2542" spans="1:15" ht="15" customHeight="1" x14ac:dyDescent="0.25">
      <c r="A2542" s="11">
        <v>20</v>
      </c>
      <c r="B2542" s="11" t="s">
        <v>10</v>
      </c>
      <c r="C2542" s="11" t="s">
        <v>19</v>
      </c>
      <c r="D2542" s="11" t="s">
        <v>19</v>
      </c>
      <c r="E2542" s="11">
        <v>0</v>
      </c>
      <c r="F2542" s="11">
        <v>1</v>
      </c>
      <c r="G2542" s="11" t="s">
        <v>10</v>
      </c>
      <c r="H2542" s="11" t="s">
        <v>12</v>
      </c>
      <c r="I2542" s="11">
        <v>2</v>
      </c>
      <c r="J2542" s="11" t="s">
        <v>14</v>
      </c>
      <c r="K2542" s="11" t="s">
        <v>14</v>
      </c>
      <c r="L2542" s="11" t="s">
        <v>14</v>
      </c>
      <c r="M2542" s="11" t="s">
        <v>14</v>
      </c>
      <c r="N2542" s="11" t="s">
        <v>14</v>
      </c>
      <c r="O2542" s="11">
        <v>1</v>
      </c>
    </row>
    <row r="2543" spans="1:15" ht="15" customHeight="1" x14ac:dyDescent="0.25">
      <c r="A2543" s="11">
        <v>10</v>
      </c>
      <c r="B2543" s="11" t="s">
        <v>14</v>
      </c>
      <c r="C2543" s="11" t="s">
        <v>19</v>
      </c>
      <c r="D2543" s="11" t="s">
        <v>19</v>
      </c>
      <c r="E2543" s="11">
        <v>0</v>
      </c>
      <c r="F2543" s="11">
        <v>0</v>
      </c>
      <c r="G2543" s="11" t="s">
        <v>10</v>
      </c>
      <c r="H2543" s="11" t="s">
        <v>12</v>
      </c>
      <c r="I2543" s="11">
        <v>1</v>
      </c>
      <c r="J2543" s="11" t="s">
        <v>14</v>
      </c>
      <c r="K2543" s="11" t="s">
        <v>14</v>
      </c>
      <c r="L2543" s="11" t="s">
        <v>14</v>
      </c>
      <c r="M2543" s="11" t="s">
        <v>14</v>
      </c>
      <c r="N2543" s="11" t="s">
        <v>14</v>
      </c>
      <c r="O2543" s="11">
        <v>1</v>
      </c>
    </row>
    <row r="2544" spans="1:15" ht="15" customHeight="1" x14ac:dyDescent="0.25">
      <c r="A2544" s="11">
        <v>10</v>
      </c>
      <c r="B2544" s="11" t="s">
        <v>10</v>
      </c>
      <c r="C2544" s="11" t="s">
        <v>19</v>
      </c>
      <c r="D2544" s="11" t="s">
        <v>19</v>
      </c>
      <c r="E2544" s="11">
        <v>0</v>
      </c>
      <c r="F2544" s="11">
        <v>0</v>
      </c>
      <c r="G2544" s="11" t="s">
        <v>10</v>
      </c>
      <c r="H2544" s="11" t="s">
        <v>12</v>
      </c>
      <c r="I2544" s="11">
        <v>1</v>
      </c>
      <c r="J2544" s="11" t="s">
        <v>14</v>
      </c>
      <c r="K2544" s="11" t="s">
        <v>14</v>
      </c>
      <c r="L2544" s="11" t="s">
        <v>14</v>
      </c>
      <c r="M2544" s="11" t="s">
        <v>14</v>
      </c>
      <c r="N2544" s="11" t="s">
        <v>14</v>
      </c>
      <c r="O2544" s="11">
        <v>1</v>
      </c>
    </row>
    <row r="2545" spans="1:15" ht="15" customHeight="1" x14ac:dyDescent="0.25">
      <c r="A2545" s="11">
        <v>20</v>
      </c>
      <c r="B2545" s="11" t="s">
        <v>10</v>
      </c>
      <c r="C2545" s="11" t="s">
        <v>11</v>
      </c>
      <c r="D2545" s="11" t="s">
        <v>19</v>
      </c>
      <c r="E2545" s="11">
        <v>1</v>
      </c>
      <c r="F2545" s="11">
        <v>1</v>
      </c>
      <c r="G2545" s="11" t="s">
        <v>10</v>
      </c>
      <c r="H2545" s="11" t="s">
        <v>12</v>
      </c>
      <c r="I2545" s="11" t="s">
        <v>15</v>
      </c>
      <c r="J2545" s="11" t="s">
        <v>14</v>
      </c>
      <c r="K2545" s="11" t="s">
        <v>14</v>
      </c>
      <c r="L2545" s="11" t="s">
        <v>14</v>
      </c>
      <c r="M2545" s="11" t="s">
        <v>13</v>
      </c>
      <c r="N2545" s="11" t="s">
        <v>13</v>
      </c>
      <c r="O2545" s="11">
        <v>0</v>
      </c>
    </row>
    <row r="2546" spans="1:15" ht="15" customHeight="1" x14ac:dyDescent="0.25">
      <c r="A2546" s="11">
        <v>10</v>
      </c>
      <c r="B2546" s="11" t="s">
        <v>18</v>
      </c>
      <c r="C2546" s="11" t="s">
        <v>20</v>
      </c>
      <c r="D2546" s="11" t="s">
        <v>20</v>
      </c>
      <c r="E2546" s="11">
        <v>0</v>
      </c>
      <c r="F2546" s="11">
        <v>0</v>
      </c>
      <c r="G2546" s="11" t="s">
        <v>10</v>
      </c>
      <c r="H2546" s="11" t="s">
        <v>16</v>
      </c>
      <c r="I2546" s="11">
        <v>1</v>
      </c>
      <c r="J2546" s="11" t="s">
        <v>14</v>
      </c>
      <c r="K2546" s="11" t="s">
        <v>14</v>
      </c>
      <c r="L2546" s="11" t="s">
        <v>14</v>
      </c>
      <c r="M2546" s="11" t="s">
        <v>14</v>
      </c>
      <c r="N2546" s="11" t="s">
        <v>14</v>
      </c>
      <c r="O2546" s="11">
        <v>1</v>
      </c>
    </row>
    <row r="2547" spans="1:15" ht="15" customHeight="1" x14ac:dyDescent="0.25">
      <c r="A2547" s="11">
        <v>10</v>
      </c>
      <c r="B2547" s="11" t="s">
        <v>14</v>
      </c>
      <c r="C2547" s="11" t="s">
        <v>20</v>
      </c>
      <c r="D2547" s="11" t="s">
        <v>20</v>
      </c>
      <c r="E2547" s="11">
        <v>0</v>
      </c>
      <c r="F2547" s="11">
        <v>0</v>
      </c>
      <c r="G2547" s="11" t="s">
        <v>10</v>
      </c>
      <c r="H2547" s="11" t="s">
        <v>12</v>
      </c>
      <c r="I2547" s="11">
        <v>1</v>
      </c>
      <c r="J2547" s="11" t="s">
        <v>14</v>
      </c>
      <c r="K2547" s="11" t="s">
        <v>14</v>
      </c>
      <c r="L2547" s="11" t="s">
        <v>14</v>
      </c>
      <c r="M2547" s="11" t="s">
        <v>14</v>
      </c>
      <c r="N2547" s="11" t="s">
        <v>14</v>
      </c>
      <c r="O2547" s="11">
        <v>1</v>
      </c>
    </row>
    <row r="2548" spans="1:15" ht="15" customHeight="1" x14ac:dyDescent="0.25">
      <c r="A2548" s="11">
        <v>10</v>
      </c>
      <c r="B2548" s="11" t="s">
        <v>10</v>
      </c>
      <c r="C2548" s="11" t="s">
        <v>20</v>
      </c>
      <c r="D2548" s="11" t="s">
        <v>20</v>
      </c>
      <c r="E2548" s="11">
        <v>0</v>
      </c>
      <c r="F2548" s="11">
        <v>0</v>
      </c>
      <c r="G2548" s="11" t="s">
        <v>10</v>
      </c>
      <c r="H2548" s="11" t="s">
        <v>12</v>
      </c>
      <c r="I2548" s="11" t="s">
        <v>15</v>
      </c>
      <c r="J2548" s="11" t="s">
        <v>14</v>
      </c>
      <c r="K2548" s="11" t="s">
        <v>14</v>
      </c>
      <c r="L2548" s="11" t="s">
        <v>14</v>
      </c>
      <c r="M2548" s="11" t="s">
        <v>14</v>
      </c>
      <c r="N2548" s="11" t="s">
        <v>14</v>
      </c>
      <c r="O2548" s="11">
        <v>1</v>
      </c>
    </row>
    <row r="2549" spans="1:15" ht="15" customHeight="1" x14ac:dyDescent="0.25">
      <c r="A2549" s="11">
        <v>5</v>
      </c>
      <c r="B2549" s="11" t="s">
        <v>18</v>
      </c>
      <c r="C2549" s="11" t="s">
        <v>20</v>
      </c>
      <c r="D2549" s="11" t="s">
        <v>20</v>
      </c>
      <c r="E2549" s="11">
        <v>0</v>
      </c>
      <c r="F2549" s="11">
        <v>0</v>
      </c>
      <c r="G2549" s="11" t="s">
        <v>10</v>
      </c>
      <c r="H2549" s="11" t="s">
        <v>12</v>
      </c>
      <c r="I2549" s="11">
        <v>2</v>
      </c>
      <c r="J2549" s="11" t="s">
        <v>14</v>
      </c>
      <c r="K2549" s="11" t="s">
        <v>14</v>
      </c>
      <c r="L2549" s="11" t="s">
        <v>14</v>
      </c>
      <c r="M2549" s="11" t="s">
        <v>14</v>
      </c>
      <c r="N2549" s="11" t="s">
        <v>14</v>
      </c>
      <c r="O2549" s="11">
        <v>1</v>
      </c>
    </row>
    <row r="2550" spans="1:15" ht="15" customHeight="1" x14ac:dyDescent="0.25">
      <c r="A2550" s="11">
        <v>0</v>
      </c>
      <c r="B2550" s="11" t="s">
        <v>10</v>
      </c>
      <c r="C2550" s="11" t="s">
        <v>20</v>
      </c>
      <c r="D2550" s="11" t="s">
        <v>20</v>
      </c>
      <c r="E2550" s="11">
        <v>1</v>
      </c>
      <c r="F2550" s="11">
        <v>0</v>
      </c>
      <c r="G2550" s="11" t="s">
        <v>10</v>
      </c>
      <c r="H2550" s="11" t="s">
        <v>16</v>
      </c>
      <c r="I2550" s="11">
        <v>2</v>
      </c>
      <c r="J2550" s="11" t="s">
        <v>14</v>
      </c>
      <c r="K2550" s="11" t="s">
        <v>14</v>
      </c>
      <c r="L2550" s="11" t="s">
        <v>14</v>
      </c>
      <c r="M2550" s="11" t="s">
        <v>14</v>
      </c>
      <c r="N2550" s="11" t="s">
        <v>14</v>
      </c>
      <c r="O2550" s="11">
        <v>0</v>
      </c>
    </row>
    <row r="2551" spans="1:15" ht="15" customHeight="1" x14ac:dyDescent="0.25">
      <c r="A2551" s="11">
        <v>10</v>
      </c>
      <c r="B2551" s="11" t="s">
        <v>10</v>
      </c>
      <c r="C2551" s="11" t="s">
        <v>19</v>
      </c>
      <c r="D2551" s="11" t="s">
        <v>19</v>
      </c>
      <c r="E2551" s="11">
        <v>0</v>
      </c>
      <c r="F2551" s="11">
        <v>1</v>
      </c>
      <c r="G2551" s="11" t="s">
        <v>10</v>
      </c>
      <c r="H2551" s="11" t="s">
        <v>16</v>
      </c>
      <c r="I2551" s="11">
        <v>2</v>
      </c>
      <c r="J2551" s="11" t="s">
        <v>14</v>
      </c>
      <c r="K2551" s="11" t="s">
        <v>14</v>
      </c>
      <c r="L2551" s="11" t="s">
        <v>14</v>
      </c>
      <c r="M2551" s="11" t="s">
        <v>14</v>
      </c>
      <c r="N2551" s="11" t="s">
        <v>14</v>
      </c>
      <c r="O2551" s="11">
        <v>1</v>
      </c>
    </row>
    <row r="2552" spans="1:15" ht="15" customHeight="1" x14ac:dyDescent="0.25">
      <c r="A2552" s="11">
        <v>5</v>
      </c>
      <c r="B2552" s="11" t="s">
        <v>18</v>
      </c>
      <c r="C2552" s="11" t="s">
        <v>19</v>
      </c>
      <c r="D2552" s="11" t="s">
        <v>19</v>
      </c>
      <c r="E2552" s="11">
        <v>0</v>
      </c>
      <c r="F2552" s="11">
        <v>2</v>
      </c>
      <c r="G2552" s="11" t="s">
        <v>10</v>
      </c>
      <c r="H2552" s="11" t="s">
        <v>12</v>
      </c>
      <c r="I2552" s="11">
        <v>2</v>
      </c>
      <c r="J2552" s="11" t="s">
        <v>14</v>
      </c>
      <c r="K2552" s="11" t="s">
        <v>14</v>
      </c>
      <c r="L2552" s="11" t="s">
        <v>14</v>
      </c>
      <c r="M2552" s="11" t="s">
        <v>14</v>
      </c>
      <c r="N2552" s="11" t="s">
        <v>14</v>
      </c>
      <c r="O2552" s="11">
        <v>1</v>
      </c>
    </row>
    <row r="2553" spans="1:15" ht="15" customHeight="1" x14ac:dyDescent="0.25">
      <c r="A2553" s="11">
        <v>5</v>
      </c>
      <c r="B2553" s="11" t="s">
        <v>14</v>
      </c>
      <c r="C2553" s="11" t="s">
        <v>19</v>
      </c>
      <c r="D2553" s="11" t="s">
        <v>19</v>
      </c>
      <c r="E2553" s="11">
        <v>0</v>
      </c>
      <c r="F2553" s="11">
        <v>0</v>
      </c>
      <c r="G2553" s="11" t="s">
        <v>10</v>
      </c>
      <c r="H2553" s="11" t="s">
        <v>12</v>
      </c>
      <c r="I2553" s="11" t="s">
        <v>15</v>
      </c>
      <c r="J2553" s="11" t="s">
        <v>14</v>
      </c>
      <c r="K2553" s="11" t="s">
        <v>14</v>
      </c>
      <c r="L2553" s="11" t="s">
        <v>14</v>
      </c>
      <c r="M2553" s="11" t="s">
        <v>14</v>
      </c>
      <c r="N2553" s="11" t="s">
        <v>14</v>
      </c>
      <c r="O2553" s="11">
        <v>1</v>
      </c>
    </row>
    <row r="2554" spans="1:15" ht="15" customHeight="1" x14ac:dyDescent="0.25">
      <c r="A2554" s="11">
        <v>5</v>
      </c>
      <c r="B2554" s="11" t="s">
        <v>10</v>
      </c>
      <c r="C2554" s="11" t="s">
        <v>19</v>
      </c>
      <c r="D2554" s="11" t="s">
        <v>19</v>
      </c>
      <c r="E2554" s="11">
        <v>0</v>
      </c>
      <c r="F2554" s="11">
        <v>0</v>
      </c>
      <c r="G2554" s="11" t="s">
        <v>10</v>
      </c>
      <c r="H2554" s="11" t="s">
        <v>12</v>
      </c>
      <c r="I2554" s="11">
        <v>2</v>
      </c>
      <c r="J2554" s="11" t="s">
        <v>14</v>
      </c>
      <c r="K2554" s="11" t="s">
        <v>14</v>
      </c>
      <c r="L2554" s="11" t="s">
        <v>14</v>
      </c>
      <c r="M2554" s="11" t="s">
        <v>14</v>
      </c>
      <c r="N2554" s="11" t="s">
        <v>14</v>
      </c>
      <c r="O2554" s="11">
        <v>1</v>
      </c>
    </row>
    <row r="2555" spans="1:15" ht="15" customHeight="1" x14ac:dyDescent="0.25">
      <c r="A2555" s="11">
        <v>5</v>
      </c>
      <c r="B2555" s="11" t="s">
        <v>18</v>
      </c>
      <c r="C2555" s="11" t="s">
        <v>19</v>
      </c>
      <c r="D2555" s="11" t="s">
        <v>19</v>
      </c>
      <c r="E2555" s="11">
        <v>0</v>
      </c>
      <c r="F2555" s="11">
        <v>0</v>
      </c>
      <c r="G2555" s="11" t="s">
        <v>10</v>
      </c>
      <c r="H2555" s="11" t="s">
        <v>12</v>
      </c>
      <c r="I2555" s="11">
        <v>2</v>
      </c>
      <c r="J2555" s="11" t="s">
        <v>14</v>
      </c>
      <c r="K2555" s="11" t="s">
        <v>14</v>
      </c>
      <c r="L2555" s="11" t="s">
        <v>14</v>
      </c>
      <c r="M2555" s="11" t="s">
        <v>14</v>
      </c>
      <c r="N2555" s="11" t="s">
        <v>14</v>
      </c>
      <c r="O2555" s="11">
        <v>1</v>
      </c>
    </row>
    <row r="2556" spans="1:15" ht="15" customHeight="1" x14ac:dyDescent="0.25">
      <c r="A2556" s="11">
        <v>5</v>
      </c>
      <c r="B2556" s="11" t="s">
        <v>14</v>
      </c>
      <c r="C2556" s="11" t="s">
        <v>19</v>
      </c>
      <c r="D2556" s="11" t="s">
        <v>19</v>
      </c>
      <c r="E2556" s="11">
        <v>0</v>
      </c>
      <c r="F2556" s="11">
        <v>0</v>
      </c>
      <c r="G2556" s="11" t="s">
        <v>10</v>
      </c>
      <c r="H2556" s="11" t="s">
        <v>12</v>
      </c>
      <c r="I2556" s="11" t="s">
        <v>15</v>
      </c>
      <c r="J2556" s="11" t="s">
        <v>14</v>
      </c>
      <c r="K2556" s="11" t="s">
        <v>14</v>
      </c>
      <c r="L2556" s="11" t="s">
        <v>14</v>
      </c>
      <c r="M2556" s="11" t="s">
        <v>14</v>
      </c>
      <c r="N2556" s="11" t="s">
        <v>14</v>
      </c>
      <c r="O2556" s="11">
        <v>1</v>
      </c>
    </row>
    <row r="2557" spans="1:15" ht="15" customHeight="1" x14ac:dyDescent="0.25">
      <c r="A2557" s="11">
        <v>5</v>
      </c>
      <c r="B2557" s="11" t="s">
        <v>10</v>
      </c>
      <c r="C2557" s="11" t="s">
        <v>19</v>
      </c>
      <c r="D2557" s="11" t="s">
        <v>19</v>
      </c>
      <c r="E2557" s="11">
        <v>0</v>
      </c>
      <c r="F2557" s="11">
        <v>0</v>
      </c>
      <c r="G2557" s="11" t="s">
        <v>10</v>
      </c>
      <c r="H2557" s="11" t="s">
        <v>12</v>
      </c>
      <c r="I2557" s="11">
        <v>2</v>
      </c>
      <c r="J2557" s="11" t="s">
        <v>14</v>
      </c>
      <c r="K2557" s="11" t="s">
        <v>14</v>
      </c>
      <c r="L2557" s="11" t="s">
        <v>14</v>
      </c>
      <c r="M2557" s="11" t="s">
        <v>14</v>
      </c>
      <c r="N2557" s="11" t="s">
        <v>14</v>
      </c>
      <c r="O2557" s="11">
        <v>1</v>
      </c>
    </row>
    <row r="2558" spans="1:15" ht="15" customHeight="1" x14ac:dyDescent="0.25">
      <c r="A2558" s="11">
        <v>10</v>
      </c>
      <c r="B2558" s="11" t="s">
        <v>14</v>
      </c>
      <c r="C2558" s="11" t="s">
        <v>19</v>
      </c>
      <c r="D2558" s="11" t="s">
        <v>19</v>
      </c>
      <c r="E2558" s="11">
        <v>0</v>
      </c>
      <c r="F2558" s="11">
        <v>0</v>
      </c>
      <c r="G2558" s="11" t="s">
        <v>10</v>
      </c>
      <c r="H2558" s="11" t="s">
        <v>12</v>
      </c>
      <c r="I2558" s="11">
        <v>1</v>
      </c>
      <c r="J2558" s="11" t="s">
        <v>14</v>
      </c>
      <c r="K2558" s="11" t="s">
        <v>14</v>
      </c>
      <c r="L2558" s="11" t="s">
        <v>14</v>
      </c>
      <c r="M2558" s="11" t="s">
        <v>14</v>
      </c>
      <c r="N2558" s="11" t="s">
        <v>14</v>
      </c>
      <c r="O2558" s="11">
        <v>1</v>
      </c>
    </row>
    <row r="2559" spans="1:15" ht="15" customHeight="1" x14ac:dyDescent="0.25">
      <c r="A2559" s="11">
        <v>10</v>
      </c>
      <c r="B2559" s="11" t="s">
        <v>10</v>
      </c>
      <c r="C2559" s="11" t="s">
        <v>19</v>
      </c>
      <c r="D2559" s="11" t="s">
        <v>20</v>
      </c>
      <c r="E2559" s="11">
        <v>0</v>
      </c>
      <c r="F2559" s="11">
        <v>0</v>
      </c>
      <c r="G2559" s="11" t="s">
        <v>10</v>
      </c>
      <c r="H2559" s="11" t="s">
        <v>12</v>
      </c>
      <c r="I2559" s="11">
        <v>2</v>
      </c>
      <c r="J2559" s="11" t="s">
        <v>14</v>
      </c>
      <c r="K2559" s="11" t="s">
        <v>14</v>
      </c>
      <c r="L2559" s="11" t="s">
        <v>14</v>
      </c>
      <c r="M2559" s="11" t="s">
        <v>14</v>
      </c>
      <c r="N2559" s="11" t="s">
        <v>14</v>
      </c>
      <c r="O2559" s="11">
        <v>1</v>
      </c>
    </row>
    <row r="2560" spans="1:15" ht="15" customHeight="1" x14ac:dyDescent="0.25">
      <c r="A2560" s="11">
        <v>10</v>
      </c>
      <c r="B2560" s="11" t="s">
        <v>18</v>
      </c>
      <c r="C2560" s="11" t="s">
        <v>20</v>
      </c>
      <c r="D2560" s="11" t="s">
        <v>19</v>
      </c>
      <c r="E2560" s="11">
        <v>0</v>
      </c>
      <c r="F2560" s="11">
        <v>0</v>
      </c>
      <c r="G2560" s="11" t="s">
        <v>10</v>
      </c>
      <c r="H2560" s="11" t="s">
        <v>12</v>
      </c>
      <c r="I2560" s="11">
        <v>2</v>
      </c>
      <c r="J2560" s="11" t="s">
        <v>14</v>
      </c>
      <c r="K2560" s="11" t="s">
        <v>14</v>
      </c>
      <c r="L2560" s="11" t="s">
        <v>14</v>
      </c>
      <c r="M2560" s="11" t="s">
        <v>14</v>
      </c>
      <c r="N2560" s="11" t="s">
        <v>14</v>
      </c>
      <c r="O2560" s="11">
        <v>1</v>
      </c>
    </row>
    <row r="2561" spans="1:15" ht="15" customHeight="1" x14ac:dyDescent="0.25">
      <c r="A2561" s="11">
        <v>30</v>
      </c>
      <c r="B2561" s="11" t="s">
        <v>10</v>
      </c>
      <c r="C2561" s="11" t="s">
        <v>19</v>
      </c>
      <c r="D2561" s="11" t="s">
        <v>20</v>
      </c>
      <c r="E2561" s="11">
        <v>0</v>
      </c>
      <c r="F2561" s="11">
        <v>1</v>
      </c>
      <c r="G2561" s="11" t="s">
        <v>10</v>
      </c>
      <c r="H2561" s="11" t="s">
        <v>16</v>
      </c>
      <c r="I2561" s="11">
        <v>2</v>
      </c>
      <c r="J2561" s="11" t="s">
        <v>14</v>
      </c>
      <c r="K2561" s="11" t="s">
        <v>14</v>
      </c>
      <c r="L2561" s="11" t="s">
        <v>14</v>
      </c>
      <c r="M2561" s="11" t="s">
        <v>13</v>
      </c>
      <c r="N2561" s="11" t="s">
        <v>14</v>
      </c>
      <c r="O2561" s="11">
        <v>0</v>
      </c>
    </row>
    <row r="2562" spans="1:15" ht="15" customHeight="1" x14ac:dyDescent="0.25">
      <c r="A2562" s="11">
        <v>10</v>
      </c>
      <c r="B2562" s="11" t="s">
        <v>18</v>
      </c>
      <c r="C2562" s="11" t="s">
        <v>20</v>
      </c>
      <c r="D2562" s="11" t="s">
        <v>19</v>
      </c>
      <c r="E2562" s="11">
        <v>0</v>
      </c>
      <c r="F2562" s="11">
        <v>0</v>
      </c>
      <c r="G2562" s="11" t="s">
        <v>10</v>
      </c>
      <c r="H2562" s="11" t="s">
        <v>12</v>
      </c>
      <c r="I2562" s="11" t="s">
        <v>15</v>
      </c>
      <c r="J2562" s="11" t="s">
        <v>14</v>
      </c>
      <c r="K2562" s="11" t="s">
        <v>14</v>
      </c>
      <c r="L2562" s="11" t="s">
        <v>14</v>
      </c>
      <c r="M2562" s="11" t="s">
        <v>14</v>
      </c>
      <c r="N2562" s="11" t="s">
        <v>14</v>
      </c>
      <c r="O2562" s="11">
        <v>1</v>
      </c>
    </row>
    <row r="2563" spans="1:15" ht="15" customHeight="1" x14ac:dyDescent="0.25">
      <c r="A2563" s="11">
        <v>0</v>
      </c>
      <c r="B2563" s="11" t="s">
        <v>14</v>
      </c>
      <c r="C2563" s="11" t="s">
        <v>19</v>
      </c>
      <c r="D2563" s="11" t="s">
        <v>19</v>
      </c>
      <c r="E2563" s="11">
        <v>0</v>
      </c>
      <c r="F2563" s="11">
        <v>0</v>
      </c>
      <c r="G2563" s="11" t="s">
        <v>10</v>
      </c>
      <c r="H2563" s="11" t="s">
        <v>12</v>
      </c>
      <c r="I2563" s="11">
        <v>1</v>
      </c>
      <c r="J2563" s="11" t="s">
        <v>14</v>
      </c>
      <c r="K2563" s="11" t="s">
        <v>14</v>
      </c>
      <c r="L2563" s="11" t="s">
        <v>14</v>
      </c>
      <c r="M2563" s="11" t="s">
        <v>14</v>
      </c>
      <c r="N2563" s="11" t="s">
        <v>14</v>
      </c>
      <c r="O2563" s="11">
        <v>1</v>
      </c>
    </row>
    <row r="2564" spans="1:15" ht="15" customHeight="1" x14ac:dyDescent="0.25">
      <c r="A2564" s="11">
        <v>5</v>
      </c>
      <c r="B2564" s="11" t="s">
        <v>18</v>
      </c>
      <c r="C2564" s="11" t="s">
        <v>20</v>
      </c>
      <c r="D2564" s="11" t="s">
        <v>19</v>
      </c>
      <c r="E2564" s="11">
        <v>0</v>
      </c>
      <c r="F2564" s="11">
        <v>0</v>
      </c>
      <c r="G2564" s="11" t="s">
        <v>10</v>
      </c>
      <c r="H2564" s="11" t="s">
        <v>12</v>
      </c>
      <c r="I2564" s="11">
        <v>2</v>
      </c>
      <c r="J2564" s="11" t="s">
        <v>14</v>
      </c>
      <c r="K2564" s="11" t="s">
        <v>14</v>
      </c>
      <c r="L2564" s="11" t="s">
        <v>14</v>
      </c>
      <c r="M2564" s="11" t="s">
        <v>14</v>
      </c>
      <c r="N2564" s="11" t="s">
        <v>14</v>
      </c>
      <c r="O2564" s="11">
        <v>1</v>
      </c>
    </row>
    <row r="2565" spans="1:15" ht="15" customHeight="1" x14ac:dyDescent="0.25">
      <c r="A2565" s="11">
        <v>20</v>
      </c>
      <c r="B2565" s="11" t="s">
        <v>14</v>
      </c>
      <c r="C2565" s="11" t="s">
        <v>20</v>
      </c>
      <c r="D2565" s="11" t="s">
        <v>20</v>
      </c>
      <c r="E2565" s="11">
        <v>0</v>
      </c>
      <c r="F2565" s="11">
        <v>0</v>
      </c>
      <c r="G2565" s="11" t="s">
        <v>10</v>
      </c>
      <c r="H2565" s="11" t="s">
        <v>12</v>
      </c>
      <c r="I2565" s="11">
        <v>2</v>
      </c>
      <c r="J2565" s="11" t="s">
        <v>14</v>
      </c>
      <c r="K2565" s="11" t="s">
        <v>14</v>
      </c>
      <c r="L2565" s="11" t="s">
        <v>14</v>
      </c>
      <c r="M2565" s="11" t="s">
        <v>14</v>
      </c>
      <c r="N2565" s="11" t="s">
        <v>14</v>
      </c>
      <c r="O2565" s="11">
        <v>1</v>
      </c>
    </row>
    <row r="2566" spans="1:15" ht="15" customHeight="1" x14ac:dyDescent="0.25">
      <c r="A2566" s="11">
        <v>10</v>
      </c>
      <c r="B2566" s="11" t="s">
        <v>10</v>
      </c>
      <c r="C2566" s="11" t="s">
        <v>19</v>
      </c>
      <c r="D2566" s="11" t="s">
        <v>20</v>
      </c>
      <c r="E2566" s="11">
        <v>0</v>
      </c>
      <c r="F2566" s="11">
        <v>0</v>
      </c>
      <c r="G2566" s="11" t="s">
        <v>10</v>
      </c>
      <c r="H2566" s="11" t="s">
        <v>12</v>
      </c>
      <c r="I2566" s="11">
        <v>2</v>
      </c>
      <c r="J2566" s="11" t="s">
        <v>14</v>
      </c>
      <c r="K2566" s="11" t="s">
        <v>14</v>
      </c>
      <c r="L2566" s="11" t="s">
        <v>14</v>
      </c>
      <c r="M2566" s="11" t="s">
        <v>14</v>
      </c>
      <c r="N2566" s="11" t="s">
        <v>14</v>
      </c>
      <c r="O2566" s="11">
        <v>1</v>
      </c>
    </row>
    <row r="2567" spans="1:15" ht="15" customHeight="1" x14ac:dyDescent="0.25">
      <c r="A2567" s="11">
        <v>20</v>
      </c>
      <c r="B2567" s="11" t="s">
        <v>10</v>
      </c>
      <c r="C2567" s="11" t="s">
        <v>19</v>
      </c>
      <c r="D2567" s="11" t="s">
        <v>19</v>
      </c>
      <c r="E2567" s="11">
        <v>0</v>
      </c>
      <c r="F2567" s="11">
        <v>1</v>
      </c>
      <c r="G2567" s="11" t="s">
        <v>10</v>
      </c>
      <c r="H2567" s="11" t="s">
        <v>16</v>
      </c>
      <c r="I2567" s="11" t="s">
        <v>15</v>
      </c>
      <c r="J2567" s="11" t="s">
        <v>14</v>
      </c>
      <c r="K2567" s="11" t="s">
        <v>14</v>
      </c>
      <c r="L2567" s="11" t="s">
        <v>14</v>
      </c>
      <c r="M2567" s="11" t="s">
        <v>13</v>
      </c>
      <c r="N2567" s="11" t="s">
        <v>14</v>
      </c>
      <c r="O2567" s="11">
        <v>1</v>
      </c>
    </row>
    <row r="2568" spans="1:15" ht="15" customHeight="1" x14ac:dyDescent="0.25">
      <c r="A2568" s="11">
        <v>10</v>
      </c>
      <c r="B2568" s="11" t="s">
        <v>18</v>
      </c>
      <c r="C2568" s="11" t="s">
        <v>19</v>
      </c>
      <c r="D2568" s="11" t="s">
        <v>19</v>
      </c>
      <c r="E2568" s="11">
        <v>0</v>
      </c>
      <c r="F2568" s="11">
        <v>0</v>
      </c>
      <c r="G2568" s="11" t="s">
        <v>17</v>
      </c>
      <c r="H2568" s="11" t="s">
        <v>106</v>
      </c>
      <c r="I2568" s="11">
        <v>1</v>
      </c>
      <c r="J2568" s="11" t="s">
        <v>14</v>
      </c>
      <c r="K2568" s="11" t="s">
        <v>13</v>
      </c>
      <c r="L2568" s="11" t="s">
        <v>13</v>
      </c>
      <c r="M2568" s="11" t="s">
        <v>13</v>
      </c>
      <c r="N2568" s="11" t="s">
        <v>14</v>
      </c>
      <c r="O2568" s="11">
        <v>1</v>
      </c>
    </row>
    <row r="2569" spans="1:15" ht="15" customHeight="1" x14ac:dyDescent="0.25">
      <c r="A2569" s="11">
        <v>20</v>
      </c>
      <c r="B2569" s="11" t="s">
        <v>10</v>
      </c>
      <c r="C2569" s="11" t="s">
        <v>19</v>
      </c>
      <c r="D2569" s="11" t="s">
        <v>19</v>
      </c>
      <c r="E2569" s="11">
        <v>0</v>
      </c>
      <c r="F2569" s="11">
        <v>1</v>
      </c>
      <c r="G2569" s="11" t="s">
        <v>10</v>
      </c>
      <c r="H2569" s="11" t="s">
        <v>12</v>
      </c>
      <c r="I2569" s="11">
        <v>2</v>
      </c>
      <c r="J2569" s="11" t="s">
        <v>14</v>
      </c>
      <c r="K2569" s="11" t="s">
        <v>13</v>
      </c>
      <c r="L2569" s="11" t="s">
        <v>13</v>
      </c>
      <c r="M2569" s="11" t="s">
        <v>13</v>
      </c>
      <c r="N2569" s="11" t="s">
        <v>14</v>
      </c>
      <c r="O2569" s="11">
        <v>0</v>
      </c>
    </row>
    <row r="2570" spans="1:15" ht="15" customHeight="1" x14ac:dyDescent="0.25">
      <c r="A2570" s="11">
        <v>5</v>
      </c>
      <c r="B2570" s="11" t="s">
        <v>10</v>
      </c>
      <c r="C2570" s="11" t="s">
        <v>19</v>
      </c>
      <c r="D2570" s="11" t="s">
        <v>20</v>
      </c>
      <c r="E2570" s="11">
        <v>0</v>
      </c>
      <c r="F2570" s="11">
        <v>0</v>
      </c>
      <c r="G2570" s="11" t="s">
        <v>17</v>
      </c>
      <c r="H2570" s="11" t="s">
        <v>106</v>
      </c>
      <c r="I2570" s="11">
        <v>1</v>
      </c>
      <c r="J2570" s="11" t="s">
        <v>14</v>
      </c>
      <c r="K2570" s="11" t="s">
        <v>13</v>
      </c>
      <c r="L2570" s="11" t="s">
        <v>13</v>
      </c>
      <c r="M2570" s="11" t="s">
        <v>13</v>
      </c>
      <c r="N2570" s="11" t="s">
        <v>14</v>
      </c>
      <c r="O2570" s="11">
        <v>1</v>
      </c>
    </row>
    <row r="2571" spans="1:15" ht="15" customHeight="1" x14ac:dyDescent="0.25">
      <c r="A2571" s="11">
        <v>5</v>
      </c>
      <c r="B2571" s="11" t="s">
        <v>18</v>
      </c>
      <c r="C2571" s="11" t="s">
        <v>20</v>
      </c>
      <c r="D2571" s="11" t="s">
        <v>19</v>
      </c>
      <c r="E2571" s="11">
        <v>0</v>
      </c>
      <c r="F2571" s="11">
        <v>0</v>
      </c>
      <c r="G2571" s="11" t="s">
        <v>17</v>
      </c>
      <c r="H2571" s="11" t="s">
        <v>106</v>
      </c>
      <c r="I2571" s="11">
        <v>1</v>
      </c>
      <c r="J2571" s="11" t="s">
        <v>14</v>
      </c>
      <c r="K2571" s="11" t="s">
        <v>13</v>
      </c>
      <c r="L2571" s="11" t="s">
        <v>13</v>
      </c>
      <c r="M2571" s="11" t="s">
        <v>14</v>
      </c>
      <c r="N2571" s="11" t="s">
        <v>14</v>
      </c>
      <c r="O2571" s="11">
        <v>1</v>
      </c>
    </row>
    <row r="2572" spans="1:15" ht="15" customHeight="1" x14ac:dyDescent="0.25">
      <c r="A2572" s="11">
        <v>20</v>
      </c>
      <c r="B2572" s="11" t="s">
        <v>10</v>
      </c>
      <c r="C2572" s="11" t="s">
        <v>19</v>
      </c>
      <c r="D2572" s="11" t="s">
        <v>20</v>
      </c>
      <c r="E2572" s="11">
        <v>0</v>
      </c>
      <c r="F2572" s="11">
        <v>0</v>
      </c>
      <c r="G2572" s="11" t="s">
        <v>10</v>
      </c>
      <c r="H2572" s="11" t="s">
        <v>12</v>
      </c>
      <c r="I2572" s="11">
        <v>1</v>
      </c>
      <c r="J2572" s="11" t="s">
        <v>14</v>
      </c>
      <c r="K2572" s="11" t="s">
        <v>13</v>
      </c>
      <c r="L2572" s="11" t="s">
        <v>13</v>
      </c>
      <c r="M2572" s="11" t="s">
        <v>13</v>
      </c>
      <c r="N2572" s="11" t="s">
        <v>14</v>
      </c>
      <c r="O2572" s="11">
        <v>1</v>
      </c>
    </row>
    <row r="2573" spans="1:15" ht="15" customHeight="1" x14ac:dyDescent="0.25">
      <c r="A2573" s="11">
        <v>0</v>
      </c>
      <c r="B2573" s="11" t="s">
        <v>18</v>
      </c>
      <c r="C2573" s="11" t="s">
        <v>19</v>
      </c>
      <c r="D2573" s="11" t="s">
        <v>19</v>
      </c>
      <c r="E2573" s="11">
        <v>0</v>
      </c>
      <c r="F2573" s="11">
        <v>0</v>
      </c>
      <c r="G2573" s="11" t="s">
        <v>10</v>
      </c>
      <c r="H2573" s="11" t="s">
        <v>16</v>
      </c>
      <c r="I2573" s="11">
        <v>1</v>
      </c>
      <c r="J2573" s="11" t="s">
        <v>14</v>
      </c>
      <c r="K2573" s="11" t="s">
        <v>13</v>
      </c>
      <c r="L2573" s="11" t="s">
        <v>13</v>
      </c>
      <c r="M2573" s="11" t="s">
        <v>13</v>
      </c>
      <c r="N2573" s="11" t="s">
        <v>14</v>
      </c>
      <c r="O2573" s="11">
        <v>1</v>
      </c>
    </row>
    <row r="2574" spans="1:15" ht="15" customHeight="1" x14ac:dyDescent="0.25">
      <c r="A2574" s="11">
        <v>5</v>
      </c>
      <c r="B2574" s="11" t="s">
        <v>18</v>
      </c>
      <c r="C2574" s="11" t="s">
        <v>19</v>
      </c>
      <c r="D2574" s="11" t="s">
        <v>19</v>
      </c>
      <c r="E2574" s="11">
        <v>0</v>
      </c>
      <c r="F2574" s="11">
        <v>0</v>
      </c>
      <c r="G2574" s="11" t="s">
        <v>10</v>
      </c>
      <c r="H2574" s="11" t="s">
        <v>12</v>
      </c>
      <c r="I2574" s="11">
        <v>1</v>
      </c>
      <c r="J2574" s="11" t="s">
        <v>14</v>
      </c>
      <c r="K2574" s="11" t="s">
        <v>13</v>
      </c>
      <c r="L2574" s="11" t="s">
        <v>13</v>
      </c>
      <c r="M2574" s="11" t="s">
        <v>14</v>
      </c>
      <c r="N2574" s="11" t="s">
        <v>14</v>
      </c>
      <c r="O2574" s="11">
        <v>1</v>
      </c>
    </row>
    <row r="2575" spans="1:15" ht="15" customHeight="1" x14ac:dyDescent="0.25">
      <c r="A2575" s="11">
        <v>20</v>
      </c>
      <c r="B2575" s="11" t="s">
        <v>14</v>
      </c>
      <c r="C2575" s="11" t="s">
        <v>20</v>
      </c>
      <c r="D2575" s="11" t="s">
        <v>20</v>
      </c>
      <c r="E2575" s="11">
        <v>0</v>
      </c>
      <c r="F2575" s="11">
        <v>0</v>
      </c>
      <c r="G2575" s="11" t="s">
        <v>10</v>
      </c>
      <c r="H2575" s="11" t="s">
        <v>12</v>
      </c>
      <c r="I2575" s="11" t="s">
        <v>15</v>
      </c>
      <c r="J2575" s="11" t="s">
        <v>14</v>
      </c>
      <c r="K2575" s="11" t="s">
        <v>14</v>
      </c>
      <c r="L2575" s="11" t="s">
        <v>14</v>
      </c>
      <c r="M2575" s="11" t="s">
        <v>14</v>
      </c>
      <c r="N2575" s="11" t="s">
        <v>14</v>
      </c>
      <c r="O2575" s="11">
        <v>1</v>
      </c>
    </row>
    <row r="2576" spans="1:15" ht="15" customHeight="1" x14ac:dyDescent="0.25">
      <c r="A2576" s="11">
        <v>5</v>
      </c>
      <c r="B2576" s="11" t="s">
        <v>18</v>
      </c>
      <c r="C2576" s="11" t="s">
        <v>20</v>
      </c>
      <c r="D2576" s="11" t="s">
        <v>20</v>
      </c>
      <c r="E2576" s="11">
        <v>0</v>
      </c>
      <c r="F2576" s="11">
        <v>0</v>
      </c>
      <c r="G2576" s="11" t="s">
        <v>10</v>
      </c>
      <c r="H2576" s="11" t="s">
        <v>12</v>
      </c>
      <c r="I2576" s="11">
        <v>2</v>
      </c>
      <c r="J2576" s="11" t="s">
        <v>14</v>
      </c>
      <c r="K2576" s="11" t="s">
        <v>14</v>
      </c>
      <c r="L2576" s="11" t="s">
        <v>14</v>
      </c>
      <c r="M2576" s="11" t="s">
        <v>14</v>
      </c>
      <c r="N2576" s="11" t="s">
        <v>14</v>
      </c>
      <c r="O2576" s="11">
        <v>1</v>
      </c>
    </row>
    <row r="2577" spans="1:15" ht="15" customHeight="1" x14ac:dyDescent="0.25">
      <c r="A2577" s="11">
        <v>30</v>
      </c>
      <c r="B2577" s="11" t="s">
        <v>10</v>
      </c>
      <c r="C2577" s="11" t="s">
        <v>19</v>
      </c>
      <c r="D2577" s="11" t="s">
        <v>19</v>
      </c>
      <c r="E2577" s="11">
        <v>1</v>
      </c>
      <c r="F2577" s="11">
        <v>0</v>
      </c>
      <c r="G2577" s="11" t="s">
        <v>10</v>
      </c>
      <c r="H2577" s="11" t="s">
        <v>12</v>
      </c>
      <c r="I2577" s="11">
        <v>2</v>
      </c>
      <c r="J2577" s="11" t="s">
        <v>14</v>
      </c>
      <c r="K2577" s="11" t="s">
        <v>14</v>
      </c>
      <c r="L2577" s="11" t="s">
        <v>14</v>
      </c>
      <c r="M2577" s="11" t="s">
        <v>13</v>
      </c>
      <c r="N2577" s="11" t="s">
        <v>14</v>
      </c>
      <c r="O2577" s="11">
        <v>0</v>
      </c>
    </row>
    <row r="2578" spans="1:15" ht="15" customHeight="1" x14ac:dyDescent="0.25">
      <c r="A2578" s="11">
        <v>10</v>
      </c>
      <c r="B2578" s="11" t="s">
        <v>10</v>
      </c>
      <c r="C2578" s="11" t="s">
        <v>19</v>
      </c>
      <c r="D2578" s="11" t="s">
        <v>19</v>
      </c>
      <c r="E2578" s="11">
        <v>0</v>
      </c>
      <c r="F2578" s="11">
        <v>0</v>
      </c>
      <c r="G2578" s="11" t="s">
        <v>17</v>
      </c>
      <c r="H2578" s="11" t="s">
        <v>106</v>
      </c>
      <c r="I2578" s="11">
        <v>1</v>
      </c>
      <c r="J2578" s="11" t="s">
        <v>14</v>
      </c>
      <c r="K2578" s="11" t="s">
        <v>13</v>
      </c>
      <c r="L2578" s="11" t="s">
        <v>13</v>
      </c>
      <c r="M2578" s="11" t="s">
        <v>13</v>
      </c>
      <c r="N2578" s="11" t="s">
        <v>14</v>
      </c>
      <c r="O2578" s="11">
        <v>1</v>
      </c>
    </row>
    <row r="2579" spans="1:15" ht="15" customHeight="1" x14ac:dyDescent="0.25">
      <c r="A2579" s="2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</row>
    <row r="2580" spans="1:15" ht="15" customHeight="1" x14ac:dyDescent="0.25">
      <c r="A2580" s="3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</row>
    <row r="2581" spans="1:15" ht="15" customHeight="1" x14ac:dyDescent="0.25">
      <c r="A2581" s="2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</row>
    <row r="2582" spans="1:15" ht="15" customHeight="1" x14ac:dyDescent="0.25">
      <c r="A2582" s="3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</row>
    <row r="2583" spans="1:15" ht="15" customHeight="1" x14ac:dyDescent="0.25">
      <c r="A2583" s="2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</row>
    <row r="2584" spans="1:15" ht="15" customHeight="1" x14ac:dyDescent="0.25">
      <c r="A2584" s="3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</row>
    <row r="2585" spans="1:15" ht="15" customHeight="1" x14ac:dyDescent="0.25">
      <c r="A2585" s="2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</row>
    <row r="2586" spans="1:15" ht="15" customHeight="1" x14ac:dyDescent="0.25">
      <c r="A2586" s="3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</row>
    <row r="2587" spans="1:15" ht="15" customHeight="1" x14ac:dyDescent="0.25">
      <c r="A2587" s="2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</row>
    <row r="2588" spans="1:15" ht="15" customHeight="1" x14ac:dyDescent="0.25">
      <c r="A2588" s="3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</row>
    <row r="2589" spans="1:15" ht="15" customHeight="1" x14ac:dyDescent="0.25">
      <c r="A2589" s="2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</row>
    <row r="2590" spans="1:15" ht="15" customHeight="1" x14ac:dyDescent="0.25">
      <c r="A2590" s="3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</row>
    <row r="2591" spans="1:15" ht="15" customHeight="1" x14ac:dyDescent="0.25">
      <c r="A2591" s="2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</row>
    <row r="2592" spans="1:15" ht="15" customHeight="1" x14ac:dyDescent="0.25">
      <c r="A2592" s="3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</row>
    <row r="2593" spans="1:15" ht="15" customHeight="1" x14ac:dyDescent="0.25">
      <c r="A2593" s="2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</row>
    <row r="2594" spans="1:15" ht="15" customHeight="1" x14ac:dyDescent="0.25">
      <c r="A2594" s="3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</row>
    <row r="2595" spans="1:15" ht="15" customHeight="1" x14ac:dyDescent="0.25">
      <c r="A2595" s="2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</row>
    <row r="2596" spans="1:15" ht="15" customHeight="1" x14ac:dyDescent="0.25">
      <c r="A2596" s="3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</row>
    <row r="2597" spans="1:15" ht="15" customHeight="1" x14ac:dyDescent="0.25">
      <c r="A2597" s="2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</row>
    <row r="2598" spans="1:15" ht="15" customHeight="1" x14ac:dyDescent="0.25">
      <c r="A2598" s="3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</row>
    <row r="2599" spans="1:15" ht="15" customHeight="1" x14ac:dyDescent="0.25">
      <c r="A2599" s="2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</row>
    <row r="2600" spans="1:15" ht="15" customHeight="1" x14ac:dyDescent="0.25">
      <c r="A2600" s="3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</row>
    <row r="2601" spans="1:15" ht="15" customHeight="1" x14ac:dyDescent="0.25">
      <c r="A2601" s="2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</row>
    <row r="2602" spans="1:15" ht="15" customHeight="1" x14ac:dyDescent="0.25">
      <c r="A2602" s="3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</row>
    <row r="2603" spans="1:15" ht="15" customHeight="1" x14ac:dyDescent="0.25">
      <c r="A2603" s="2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</row>
    <row r="2604" spans="1:15" ht="15" customHeight="1" x14ac:dyDescent="0.25">
      <c r="A2604" s="3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</row>
    <row r="2605" spans="1:15" ht="15" customHeight="1" x14ac:dyDescent="0.25">
      <c r="A2605" s="2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</row>
    <row r="2606" spans="1:15" ht="15" customHeight="1" x14ac:dyDescent="0.25">
      <c r="A2606" s="3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</row>
    <row r="2607" spans="1:15" ht="15" customHeight="1" x14ac:dyDescent="0.25">
      <c r="A2607" s="2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</row>
    <row r="2608" spans="1:15" ht="15" customHeight="1" x14ac:dyDescent="0.25">
      <c r="A2608" s="3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</row>
    <row r="2609" spans="1:15" ht="15" customHeight="1" x14ac:dyDescent="0.25">
      <c r="A2609" s="2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</row>
    <row r="2610" spans="1:15" ht="15" customHeight="1" x14ac:dyDescent="0.25">
      <c r="A2610" s="3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</row>
    <row r="2611" spans="1:15" ht="15" customHeight="1" x14ac:dyDescent="0.25">
      <c r="A2611" s="2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</row>
    <row r="2612" spans="1:15" ht="15" customHeight="1" x14ac:dyDescent="0.25">
      <c r="A2612" s="3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</row>
    <row r="2613" spans="1:15" ht="15" customHeight="1" x14ac:dyDescent="0.25">
      <c r="A2613" s="2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</row>
    <row r="2614" spans="1:15" ht="15" customHeight="1" x14ac:dyDescent="0.25">
      <c r="A2614" s="3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</row>
    <row r="2615" spans="1:15" ht="15" customHeight="1" x14ac:dyDescent="0.25">
      <c r="A2615" s="2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</row>
    <row r="2616" spans="1:15" ht="15" customHeight="1" x14ac:dyDescent="0.25">
      <c r="A2616" s="3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</row>
    <row r="2617" spans="1:15" ht="15" customHeight="1" x14ac:dyDescent="0.25">
      <c r="A2617" s="2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</row>
    <row r="2618" spans="1:15" ht="15" customHeight="1" x14ac:dyDescent="0.25">
      <c r="A2618" s="3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</row>
    <row r="2619" spans="1:15" ht="15" customHeight="1" x14ac:dyDescent="0.25">
      <c r="A2619" s="2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</row>
    <row r="2620" spans="1:15" ht="15" customHeight="1" x14ac:dyDescent="0.25">
      <c r="A2620" s="3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</row>
    <row r="2621" spans="1:15" ht="15" customHeight="1" x14ac:dyDescent="0.25">
      <c r="A2621" s="2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</row>
    <row r="2622" spans="1:15" ht="15" customHeight="1" x14ac:dyDescent="0.25">
      <c r="A2622" s="3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</row>
    <row r="2623" spans="1:15" ht="15" customHeight="1" x14ac:dyDescent="0.25">
      <c r="A2623" s="2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</row>
    <row r="2624" spans="1:15" ht="15" customHeight="1" x14ac:dyDescent="0.25">
      <c r="A2624" s="3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</row>
    <row r="2625" spans="1:15" ht="15" customHeight="1" x14ac:dyDescent="0.25">
      <c r="A2625" s="2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</row>
    <row r="2626" spans="1:15" ht="15" customHeight="1" x14ac:dyDescent="0.25">
      <c r="A2626" s="3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</row>
    <row r="2627" spans="1:15" ht="15" customHeight="1" x14ac:dyDescent="0.25">
      <c r="A2627" s="2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</row>
    <row r="2628" spans="1:15" ht="15" customHeight="1" x14ac:dyDescent="0.25">
      <c r="A2628" s="3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</row>
    <row r="2629" spans="1:15" ht="15" customHeight="1" x14ac:dyDescent="0.25">
      <c r="A2629" s="2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</row>
    <row r="2630" spans="1:15" ht="15" customHeight="1" x14ac:dyDescent="0.25">
      <c r="A2630" s="3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</row>
    <row r="2631" spans="1:15" ht="15" customHeight="1" x14ac:dyDescent="0.25">
      <c r="A2631" s="2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</row>
    <row r="2632" spans="1:15" ht="15" customHeight="1" x14ac:dyDescent="0.25">
      <c r="A2632" s="3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</row>
    <row r="2633" spans="1:15" ht="15" customHeight="1" x14ac:dyDescent="0.25">
      <c r="A2633" s="2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</row>
    <row r="2634" spans="1:15" ht="15" customHeight="1" x14ac:dyDescent="0.25">
      <c r="A2634" s="3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</row>
    <row r="2635" spans="1:15" ht="15" customHeight="1" x14ac:dyDescent="0.25">
      <c r="A2635" s="2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</row>
    <row r="2636" spans="1:15" ht="15" customHeight="1" x14ac:dyDescent="0.25">
      <c r="A2636" s="3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</row>
    <row r="2637" spans="1:15" ht="15" customHeight="1" x14ac:dyDescent="0.25">
      <c r="A2637" s="2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</row>
    <row r="2638" spans="1:15" ht="15" customHeight="1" x14ac:dyDescent="0.25">
      <c r="A2638" s="3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</row>
    <row r="2639" spans="1:15" ht="15" customHeight="1" x14ac:dyDescent="0.25">
      <c r="A2639" s="2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</row>
    <row r="2640" spans="1:15" ht="15" customHeight="1" x14ac:dyDescent="0.25">
      <c r="A2640" s="3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</row>
    <row r="2641" spans="1:15" ht="15" customHeight="1" x14ac:dyDescent="0.25">
      <c r="A2641" s="2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</row>
    <row r="2642" spans="1:15" ht="15" customHeight="1" x14ac:dyDescent="0.25">
      <c r="A2642" s="3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</row>
    <row r="2643" spans="1:15" ht="15" customHeight="1" x14ac:dyDescent="0.25">
      <c r="A2643" s="2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</row>
    <row r="2644" spans="1:15" ht="15" customHeight="1" x14ac:dyDescent="0.25">
      <c r="A2644" s="3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</row>
    <row r="2645" spans="1:15" ht="15" customHeight="1" x14ac:dyDescent="0.25">
      <c r="A2645" s="2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</row>
    <row r="2646" spans="1:15" ht="15" customHeight="1" x14ac:dyDescent="0.25">
      <c r="A2646" s="3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</row>
    <row r="2647" spans="1:15" ht="15" customHeight="1" x14ac:dyDescent="0.25">
      <c r="A2647" s="2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</row>
    <row r="2648" spans="1:15" ht="15" customHeight="1" x14ac:dyDescent="0.25">
      <c r="A2648" s="3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</row>
    <row r="2649" spans="1:15" ht="15" customHeight="1" x14ac:dyDescent="0.25">
      <c r="A2649" s="2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</row>
    <row r="2650" spans="1:15" ht="15" customHeight="1" x14ac:dyDescent="0.25">
      <c r="A2650" s="3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</row>
    <row r="2651" spans="1:15" ht="15" customHeight="1" x14ac:dyDescent="0.25">
      <c r="A2651" s="2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</row>
    <row r="2652" spans="1:15" ht="15" customHeight="1" x14ac:dyDescent="0.25">
      <c r="A2652" s="3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</row>
    <row r="2653" spans="1:15" ht="15" customHeight="1" x14ac:dyDescent="0.25">
      <c r="A2653" s="2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</row>
    <row r="2654" spans="1:15" ht="15" customHeight="1" x14ac:dyDescent="0.25">
      <c r="A2654" s="3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</row>
    <row r="2655" spans="1:15" ht="15" customHeight="1" x14ac:dyDescent="0.25">
      <c r="A2655" s="2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</row>
    <row r="2656" spans="1:15" ht="15" customHeight="1" x14ac:dyDescent="0.25">
      <c r="A2656" s="3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</row>
    <row r="2657" spans="1:15" ht="15" customHeight="1" x14ac:dyDescent="0.25">
      <c r="A2657" s="2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</row>
    <row r="2658" spans="1:15" ht="15" customHeight="1" x14ac:dyDescent="0.25">
      <c r="A2658" s="3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</row>
    <row r="2659" spans="1:15" ht="15" customHeight="1" x14ac:dyDescent="0.25">
      <c r="A2659" s="2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</row>
    <row r="2660" spans="1:15" ht="15" customHeight="1" x14ac:dyDescent="0.25">
      <c r="A2660" s="3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</row>
    <row r="2661" spans="1:15" ht="15" customHeight="1" x14ac:dyDescent="0.25">
      <c r="A2661" s="2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</row>
    <row r="2662" spans="1:15" ht="15" customHeight="1" x14ac:dyDescent="0.25">
      <c r="A2662" s="3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</row>
    <row r="2663" spans="1:15" ht="15" customHeight="1" x14ac:dyDescent="0.25">
      <c r="A2663" s="2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</row>
    <row r="2664" spans="1:15" ht="15" customHeight="1" x14ac:dyDescent="0.25">
      <c r="A2664" s="3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</row>
    <row r="2665" spans="1:15" ht="15" customHeight="1" x14ac:dyDescent="0.25">
      <c r="A2665" s="2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</row>
    <row r="2666" spans="1:15" ht="15" customHeight="1" x14ac:dyDescent="0.25">
      <c r="A2666" s="3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</row>
    <row r="2667" spans="1:15" ht="15" customHeight="1" x14ac:dyDescent="0.25">
      <c r="A2667" s="2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</row>
    <row r="2668" spans="1:15" ht="15" customHeight="1" x14ac:dyDescent="0.25">
      <c r="A2668" s="3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</row>
    <row r="2669" spans="1:15" ht="15" customHeight="1" x14ac:dyDescent="0.25">
      <c r="A2669" s="2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</row>
    <row r="2670" spans="1:15" ht="15" customHeight="1" x14ac:dyDescent="0.25">
      <c r="A2670" s="3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</row>
    <row r="2671" spans="1:15" ht="15" customHeight="1" x14ac:dyDescent="0.25">
      <c r="A2671" s="2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</row>
    <row r="2672" spans="1:15" ht="15" customHeight="1" x14ac:dyDescent="0.25">
      <c r="A2672" s="3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</row>
    <row r="2673" spans="1:15" ht="15" customHeight="1" x14ac:dyDescent="0.25">
      <c r="A2673" s="2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</row>
    <row r="2674" spans="1:15" ht="15" customHeight="1" x14ac:dyDescent="0.25">
      <c r="A2674" s="3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</row>
    <row r="2675" spans="1:15" ht="15" customHeight="1" x14ac:dyDescent="0.25">
      <c r="A2675" s="2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</row>
    <row r="2676" spans="1:15" ht="15" customHeight="1" x14ac:dyDescent="0.25">
      <c r="A2676" s="3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</row>
    <row r="2677" spans="1:15" ht="15" customHeight="1" x14ac:dyDescent="0.25">
      <c r="A2677" s="2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</row>
    <row r="2678" spans="1:15" ht="15" customHeight="1" x14ac:dyDescent="0.25">
      <c r="A2678" s="3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</row>
    <row r="2679" spans="1:15" ht="15" customHeight="1" x14ac:dyDescent="0.25">
      <c r="A2679" s="2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</row>
    <row r="2680" spans="1:15" ht="15" customHeight="1" x14ac:dyDescent="0.25">
      <c r="A2680" s="3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</row>
    <row r="2681" spans="1:15" ht="15" customHeight="1" x14ac:dyDescent="0.25">
      <c r="A2681" s="2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</row>
    <row r="2682" spans="1:15" ht="15" customHeight="1" x14ac:dyDescent="0.25">
      <c r="A2682" s="3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</row>
    <row r="2683" spans="1:15" ht="15" customHeight="1" x14ac:dyDescent="0.25">
      <c r="A2683" s="2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</row>
    <row r="2684" spans="1:15" ht="15" customHeight="1" x14ac:dyDescent="0.25">
      <c r="A2684" s="3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</row>
    <row r="2685" spans="1:15" ht="15" customHeight="1" x14ac:dyDescent="0.25">
      <c r="A2685" s="2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</row>
    <row r="2686" spans="1:15" ht="15" customHeight="1" x14ac:dyDescent="0.25">
      <c r="A2686" s="3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</row>
    <row r="2687" spans="1:15" ht="15" customHeight="1" x14ac:dyDescent="0.25">
      <c r="A2687" s="2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</row>
    <row r="2688" spans="1:15" ht="15" customHeight="1" x14ac:dyDescent="0.25">
      <c r="A2688" s="3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</row>
    <row r="2689" spans="1:15" ht="15" customHeight="1" x14ac:dyDescent="0.25">
      <c r="A2689" s="2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</row>
    <row r="2690" spans="1:15" ht="15" customHeight="1" x14ac:dyDescent="0.25">
      <c r="A2690" s="3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</row>
    <row r="2691" spans="1:15" ht="15" customHeight="1" x14ac:dyDescent="0.25">
      <c r="A2691" s="2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</row>
    <row r="2692" spans="1:15" ht="15" customHeight="1" x14ac:dyDescent="0.25">
      <c r="A2692" s="3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</row>
    <row r="2693" spans="1:15" ht="15" customHeight="1" x14ac:dyDescent="0.25">
      <c r="A2693" s="2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</row>
    <row r="2694" spans="1:15" ht="15" customHeight="1" x14ac:dyDescent="0.25">
      <c r="A2694" s="3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</row>
    <row r="2695" spans="1:15" ht="15" customHeight="1" x14ac:dyDescent="0.25">
      <c r="A2695" s="2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</row>
    <row r="2696" spans="1:15" ht="15" customHeight="1" x14ac:dyDescent="0.25">
      <c r="A2696" s="3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</row>
    <row r="2697" spans="1:15" ht="15" customHeight="1" x14ac:dyDescent="0.25">
      <c r="A2697" s="2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</row>
    <row r="2698" spans="1:15" ht="15" customHeight="1" x14ac:dyDescent="0.25">
      <c r="A2698" s="3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</row>
    <row r="2699" spans="1:15" ht="15" customHeight="1" x14ac:dyDescent="0.25">
      <c r="A2699" s="2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</row>
    <row r="2700" spans="1:15" ht="15" customHeight="1" x14ac:dyDescent="0.25">
      <c r="A2700" s="3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</row>
    <row r="2701" spans="1:15" ht="15" customHeight="1" x14ac:dyDescent="0.25">
      <c r="A2701" s="2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</row>
    <row r="2702" spans="1:15" ht="15" customHeight="1" x14ac:dyDescent="0.25">
      <c r="A2702" s="3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</row>
    <row r="2703" spans="1:15" ht="15" customHeight="1" x14ac:dyDescent="0.25">
      <c r="A2703" s="2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</row>
    <row r="2704" spans="1:15" ht="15" customHeight="1" x14ac:dyDescent="0.25">
      <c r="A2704" s="3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</row>
    <row r="2705" spans="1:15" ht="15" customHeight="1" x14ac:dyDescent="0.25">
      <c r="A2705" s="2"/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</row>
    <row r="2706" spans="1:15" ht="15" customHeight="1" x14ac:dyDescent="0.25">
      <c r="A2706" s="3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</row>
    <row r="2707" spans="1:15" ht="15" customHeight="1" x14ac:dyDescent="0.25">
      <c r="A2707" s="2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</row>
    <row r="2708" spans="1:15" ht="15" customHeight="1" x14ac:dyDescent="0.25">
      <c r="A2708" s="3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</row>
    <row r="2709" spans="1:15" ht="15" customHeight="1" x14ac:dyDescent="0.25">
      <c r="A2709" s="2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</row>
    <row r="2710" spans="1:15" ht="15" customHeight="1" x14ac:dyDescent="0.25">
      <c r="A2710" s="3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</row>
    <row r="2711" spans="1:15" ht="15" customHeight="1" x14ac:dyDescent="0.25">
      <c r="A2711" s="2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</row>
    <row r="2712" spans="1:15" ht="15" customHeight="1" x14ac:dyDescent="0.25">
      <c r="A2712" s="3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</row>
    <row r="2713" spans="1:15" ht="15" customHeight="1" x14ac:dyDescent="0.25">
      <c r="A2713" s="2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</row>
    <row r="2714" spans="1:15" ht="15" customHeight="1" x14ac:dyDescent="0.25">
      <c r="A2714" s="3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</row>
    <row r="2715" spans="1:15" ht="15" customHeight="1" x14ac:dyDescent="0.25">
      <c r="A2715" s="2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</row>
    <row r="2716" spans="1:15" ht="15" customHeight="1" x14ac:dyDescent="0.25">
      <c r="A2716" s="3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</row>
    <row r="2717" spans="1:15" ht="15" customHeight="1" x14ac:dyDescent="0.25">
      <c r="A2717" s="2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</row>
    <row r="2718" spans="1:15" ht="15" customHeight="1" x14ac:dyDescent="0.25">
      <c r="A2718" s="3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</row>
    <row r="2719" spans="1:15" ht="15" customHeight="1" x14ac:dyDescent="0.25">
      <c r="A2719" s="2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</row>
    <row r="2720" spans="1:15" ht="15" customHeight="1" x14ac:dyDescent="0.25">
      <c r="A2720" s="3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</row>
    <row r="2721" spans="1:15" ht="15" customHeight="1" x14ac:dyDescent="0.25">
      <c r="A2721" s="2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</row>
    <row r="2722" spans="1:15" ht="15" customHeight="1" x14ac:dyDescent="0.25">
      <c r="A2722" s="3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</row>
    <row r="2723" spans="1:15" ht="15" customHeight="1" x14ac:dyDescent="0.25">
      <c r="A2723" s="2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</row>
    <row r="2724" spans="1:15" ht="15" customHeight="1" x14ac:dyDescent="0.25">
      <c r="A2724" s="3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</row>
    <row r="2725" spans="1:15" ht="15" customHeight="1" x14ac:dyDescent="0.25">
      <c r="A2725" s="2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</row>
    <row r="2726" spans="1:15" ht="15" customHeight="1" x14ac:dyDescent="0.25">
      <c r="A2726" s="3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</row>
    <row r="2727" spans="1:15" ht="15" customHeight="1" x14ac:dyDescent="0.25">
      <c r="A2727" s="2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</row>
    <row r="2728" spans="1:15" ht="15" customHeight="1" x14ac:dyDescent="0.25">
      <c r="A2728" s="3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</row>
    <row r="2729" spans="1:15" ht="15" customHeight="1" x14ac:dyDescent="0.25">
      <c r="A2729" s="2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</row>
    <row r="2730" spans="1:15" ht="15" customHeight="1" x14ac:dyDescent="0.25">
      <c r="A2730" s="3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</row>
    <row r="2731" spans="1:15" ht="15" customHeight="1" x14ac:dyDescent="0.25">
      <c r="A2731" s="2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</row>
    <row r="2732" spans="1:15" ht="15" customHeight="1" x14ac:dyDescent="0.25">
      <c r="A2732" s="3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</row>
    <row r="2733" spans="1:15" ht="15" customHeight="1" x14ac:dyDescent="0.25">
      <c r="A2733" s="2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</row>
    <row r="2734" spans="1:15" ht="15" customHeight="1" x14ac:dyDescent="0.25">
      <c r="A2734" s="3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</row>
    <row r="2735" spans="1:15" ht="15" customHeight="1" x14ac:dyDescent="0.25">
      <c r="A2735" s="2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</row>
    <row r="2736" spans="1:15" ht="15" customHeight="1" x14ac:dyDescent="0.25">
      <c r="A2736" s="3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</row>
    <row r="2737" spans="1:15" ht="15" customHeight="1" x14ac:dyDescent="0.25">
      <c r="A2737" s="2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</row>
    <row r="2738" spans="1:15" ht="15" customHeight="1" x14ac:dyDescent="0.25">
      <c r="A2738" s="3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</row>
    <row r="2739" spans="1:15" ht="15" customHeight="1" x14ac:dyDescent="0.25">
      <c r="A2739" s="2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</row>
    <row r="2740" spans="1:15" ht="15" customHeight="1" x14ac:dyDescent="0.25">
      <c r="A2740" s="3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</row>
    <row r="2741" spans="1:15" ht="15" customHeight="1" x14ac:dyDescent="0.25">
      <c r="A2741" s="2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</row>
    <row r="2742" spans="1:15" ht="15" customHeight="1" x14ac:dyDescent="0.25">
      <c r="A2742" s="3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</row>
    <row r="2743" spans="1:15" ht="15" customHeight="1" x14ac:dyDescent="0.25">
      <c r="A2743" s="2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</row>
    <row r="2744" spans="1:15" ht="15" customHeight="1" x14ac:dyDescent="0.25">
      <c r="A2744" s="3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</row>
    <row r="2745" spans="1:15" ht="15" customHeight="1" x14ac:dyDescent="0.25">
      <c r="A2745" s="2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</row>
    <row r="2746" spans="1:15" ht="15" customHeight="1" x14ac:dyDescent="0.25">
      <c r="A2746" s="3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</row>
    <row r="2747" spans="1:15" ht="15" customHeight="1" x14ac:dyDescent="0.25">
      <c r="A2747" s="2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</row>
    <row r="2748" spans="1:15" ht="15" customHeight="1" x14ac:dyDescent="0.25">
      <c r="A2748" s="3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</row>
    <row r="2749" spans="1:15" ht="15" customHeight="1" x14ac:dyDescent="0.25">
      <c r="A2749" s="2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</row>
    <row r="2750" spans="1:15" ht="15" customHeight="1" x14ac:dyDescent="0.25">
      <c r="A2750" s="3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</row>
    <row r="2751" spans="1:15" ht="15" customHeight="1" x14ac:dyDescent="0.25">
      <c r="A2751" s="2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</row>
    <row r="2752" spans="1:15" ht="15" customHeight="1" x14ac:dyDescent="0.25">
      <c r="A2752" s="3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</row>
    <row r="2753" spans="1:15" ht="15" customHeight="1" x14ac:dyDescent="0.25">
      <c r="A2753" s="2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</row>
    <row r="2754" spans="1:15" ht="15" customHeight="1" x14ac:dyDescent="0.25">
      <c r="A2754" s="3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</row>
    <row r="2755" spans="1:15" ht="15" customHeight="1" x14ac:dyDescent="0.25">
      <c r="A2755" s="2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</row>
    <row r="2756" spans="1:15" ht="15" customHeight="1" x14ac:dyDescent="0.25">
      <c r="A2756" s="3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</row>
    <row r="2757" spans="1:15" ht="15" customHeight="1" x14ac:dyDescent="0.25">
      <c r="A2757" s="2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</row>
    <row r="2758" spans="1:15" ht="15" customHeight="1" x14ac:dyDescent="0.25">
      <c r="A2758" s="3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</row>
    <row r="2759" spans="1:15" ht="15" customHeight="1" x14ac:dyDescent="0.25">
      <c r="A2759" s="2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</row>
    <row r="2760" spans="1:15" ht="15" customHeight="1" x14ac:dyDescent="0.25">
      <c r="A2760" s="3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</row>
    <row r="2761" spans="1:15" ht="15" customHeight="1" x14ac:dyDescent="0.25">
      <c r="A2761" s="2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</row>
    <row r="2762" spans="1:15" ht="15" customHeight="1" x14ac:dyDescent="0.25">
      <c r="A2762" s="3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</row>
    <row r="2763" spans="1:15" ht="15" customHeight="1" x14ac:dyDescent="0.25">
      <c r="A2763" s="2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</row>
    <row r="2764" spans="1:15" ht="15" customHeight="1" x14ac:dyDescent="0.25">
      <c r="A2764" s="3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</row>
    <row r="2765" spans="1:15" ht="15" customHeight="1" x14ac:dyDescent="0.25">
      <c r="A2765" s="2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</row>
    <row r="2766" spans="1:15" ht="15" customHeight="1" x14ac:dyDescent="0.25">
      <c r="A2766" s="3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</row>
    <row r="2767" spans="1:15" ht="15" customHeight="1" x14ac:dyDescent="0.25">
      <c r="A2767" s="2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</row>
    <row r="2768" spans="1:15" ht="15" customHeight="1" x14ac:dyDescent="0.25">
      <c r="A2768" s="3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</row>
    <row r="2769" spans="1:15" ht="15" customHeight="1" x14ac:dyDescent="0.25">
      <c r="A2769" s="2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</row>
    <row r="2770" spans="1:15" ht="15" customHeight="1" x14ac:dyDescent="0.25">
      <c r="A2770" s="3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</row>
    <row r="2771" spans="1:15" ht="15" customHeight="1" x14ac:dyDescent="0.25">
      <c r="A2771" s="2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</row>
    <row r="2772" spans="1:15" ht="15" customHeight="1" x14ac:dyDescent="0.25">
      <c r="A2772" s="3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</row>
    <row r="2773" spans="1:15" ht="15" customHeight="1" x14ac:dyDescent="0.25">
      <c r="A2773" s="2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</row>
    <row r="2774" spans="1:15" ht="15" customHeight="1" x14ac:dyDescent="0.25">
      <c r="A2774" s="3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</row>
    <row r="2775" spans="1:15" ht="15" customHeight="1" x14ac:dyDescent="0.25">
      <c r="A2775" s="2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</row>
    <row r="2776" spans="1:15" ht="15" customHeight="1" x14ac:dyDescent="0.25">
      <c r="A2776" s="3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</row>
    <row r="2777" spans="1:15" ht="15" customHeight="1" x14ac:dyDescent="0.25">
      <c r="A2777" s="2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</row>
    <row r="2778" spans="1:15" ht="15" customHeight="1" x14ac:dyDescent="0.25">
      <c r="A2778" s="3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</row>
    <row r="2779" spans="1:15" ht="15" customHeight="1" x14ac:dyDescent="0.25">
      <c r="A2779" s="2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</row>
    <row r="2780" spans="1:15" ht="15" customHeight="1" x14ac:dyDescent="0.25">
      <c r="A2780" s="3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</row>
    <row r="2781" spans="1:15" ht="15" customHeight="1" x14ac:dyDescent="0.25">
      <c r="A2781" s="2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</row>
    <row r="2782" spans="1:15" ht="15" customHeight="1" x14ac:dyDescent="0.25">
      <c r="A2782" s="3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</row>
    <row r="2783" spans="1:15" ht="15" customHeight="1" x14ac:dyDescent="0.25">
      <c r="A2783" s="2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</row>
    <row r="2784" spans="1:15" ht="15" customHeight="1" x14ac:dyDescent="0.25">
      <c r="A2784" s="3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</row>
    <row r="2785" spans="1:15" ht="15" customHeight="1" x14ac:dyDescent="0.25">
      <c r="A2785" s="2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</row>
    <row r="2786" spans="1:15" ht="15" customHeight="1" x14ac:dyDescent="0.25">
      <c r="A2786" s="3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</row>
    <row r="2787" spans="1:15" ht="15" customHeight="1" x14ac:dyDescent="0.25">
      <c r="A2787" s="2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</row>
    <row r="2788" spans="1:15" ht="15" customHeight="1" x14ac:dyDescent="0.25">
      <c r="A2788" s="3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</row>
    <row r="2789" spans="1:15" ht="15" customHeight="1" x14ac:dyDescent="0.25">
      <c r="A2789" s="2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</row>
    <row r="2790" spans="1:15" ht="15" customHeight="1" x14ac:dyDescent="0.25">
      <c r="A2790" s="3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</row>
    <row r="2791" spans="1:15" ht="15" customHeight="1" x14ac:dyDescent="0.25">
      <c r="A2791" s="2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</row>
    <row r="2792" spans="1:15" ht="15" customHeight="1" x14ac:dyDescent="0.25">
      <c r="A2792" s="3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</row>
    <row r="2793" spans="1:15" ht="15" customHeight="1" x14ac:dyDescent="0.25">
      <c r="A2793" s="2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</row>
    <row r="2794" spans="1:15" ht="15" customHeight="1" x14ac:dyDescent="0.25">
      <c r="A2794" s="3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</row>
    <row r="2795" spans="1:15" ht="15" customHeight="1" x14ac:dyDescent="0.25">
      <c r="A2795" s="2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</row>
    <row r="2796" spans="1:15" ht="15" customHeight="1" x14ac:dyDescent="0.25">
      <c r="A2796" s="3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</row>
    <row r="2797" spans="1:15" ht="15" customHeight="1" x14ac:dyDescent="0.25">
      <c r="A2797" s="2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</row>
    <row r="2798" spans="1:15" ht="15" customHeight="1" x14ac:dyDescent="0.25">
      <c r="A2798" s="3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</row>
    <row r="2799" spans="1:15" ht="15" customHeight="1" x14ac:dyDescent="0.25">
      <c r="A2799" s="2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</row>
    <row r="2800" spans="1:15" ht="15" customHeight="1" x14ac:dyDescent="0.25">
      <c r="A2800" s="3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</row>
    <row r="2801" spans="1:15" ht="15" customHeight="1" x14ac:dyDescent="0.25">
      <c r="A2801" s="2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</row>
    <row r="2802" spans="1:15" ht="15" customHeight="1" x14ac:dyDescent="0.25">
      <c r="A2802" s="3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</row>
    <row r="2803" spans="1:15" ht="15" customHeight="1" x14ac:dyDescent="0.25">
      <c r="A2803" s="2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</row>
    <row r="2804" spans="1:15" ht="15" customHeight="1" x14ac:dyDescent="0.25">
      <c r="A2804" s="3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</row>
    <row r="2805" spans="1:15" ht="15" customHeight="1" x14ac:dyDescent="0.25">
      <c r="A2805" s="2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</row>
    <row r="2806" spans="1:15" ht="15" customHeight="1" x14ac:dyDescent="0.25">
      <c r="A2806" s="3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</row>
    <row r="2807" spans="1:15" ht="15" customHeight="1" x14ac:dyDescent="0.25">
      <c r="A2807" s="2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</row>
    <row r="2808" spans="1:15" ht="15" customHeight="1" x14ac:dyDescent="0.25">
      <c r="A2808" s="3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</row>
    <row r="2809" spans="1:15" ht="15" customHeight="1" x14ac:dyDescent="0.25">
      <c r="A2809" s="2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</row>
    <row r="2810" spans="1:15" ht="15" customHeight="1" x14ac:dyDescent="0.25">
      <c r="A2810" s="3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</row>
    <row r="2811" spans="1:15" ht="15" customHeight="1" x14ac:dyDescent="0.25">
      <c r="A2811" s="2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</row>
    <row r="2812" spans="1:15" ht="15" customHeight="1" x14ac:dyDescent="0.25">
      <c r="A2812" s="3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</row>
    <row r="2813" spans="1:15" ht="15" customHeight="1" x14ac:dyDescent="0.25">
      <c r="A2813" s="2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</row>
    <row r="2814" spans="1:15" ht="15" customHeight="1" x14ac:dyDescent="0.25">
      <c r="A2814" s="3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</row>
    <row r="2815" spans="1:15" ht="15" customHeight="1" x14ac:dyDescent="0.25">
      <c r="A2815" s="2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</row>
    <row r="2816" spans="1:15" ht="15" customHeight="1" x14ac:dyDescent="0.25">
      <c r="A2816" s="3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</row>
    <row r="2817" spans="1:15" ht="15" customHeight="1" x14ac:dyDescent="0.25">
      <c r="A2817" s="2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</row>
    <row r="2818" spans="1:15" ht="15" customHeight="1" x14ac:dyDescent="0.25">
      <c r="A2818" s="3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</row>
    <row r="2819" spans="1:15" ht="15" customHeight="1" x14ac:dyDescent="0.25">
      <c r="A2819" s="2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</row>
    <row r="2820" spans="1:15" ht="15" customHeight="1" x14ac:dyDescent="0.25">
      <c r="A2820" s="3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</row>
    <row r="2821" spans="1:15" ht="15" customHeight="1" x14ac:dyDescent="0.25">
      <c r="A2821" s="2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</row>
    <row r="2822" spans="1:15" ht="15" customHeight="1" x14ac:dyDescent="0.25">
      <c r="A2822" s="3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</row>
    <row r="2823" spans="1:15" ht="15" customHeight="1" x14ac:dyDescent="0.25">
      <c r="A2823" s="2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</row>
    <row r="2824" spans="1:15" ht="15" customHeight="1" x14ac:dyDescent="0.25">
      <c r="A2824" s="3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</row>
    <row r="2825" spans="1:15" ht="15" customHeight="1" x14ac:dyDescent="0.25">
      <c r="A2825" s="2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</row>
    <row r="2826" spans="1:15" ht="15" customHeight="1" x14ac:dyDescent="0.25">
      <c r="A2826" s="3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</row>
    <row r="2827" spans="1:15" ht="15" customHeight="1" x14ac:dyDescent="0.25">
      <c r="A2827" s="2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</row>
    <row r="2828" spans="1:15" ht="15" customHeight="1" x14ac:dyDescent="0.25">
      <c r="A2828" s="3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</row>
    <row r="2829" spans="1:15" ht="15" customHeight="1" x14ac:dyDescent="0.25">
      <c r="A2829" s="2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</row>
    <row r="2830" spans="1:15" ht="15" customHeight="1" x14ac:dyDescent="0.25">
      <c r="A2830" s="3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</row>
    <row r="2831" spans="1:15" ht="15" customHeight="1" x14ac:dyDescent="0.25">
      <c r="A2831" s="2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</row>
    <row r="2832" spans="1:15" ht="15" customHeight="1" x14ac:dyDescent="0.25">
      <c r="A2832" s="3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</row>
    <row r="2833" spans="1:15" ht="15" customHeight="1" x14ac:dyDescent="0.25">
      <c r="A2833" s="2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</row>
    <row r="2834" spans="1:15" ht="15" customHeight="1" x14ac:dyDescent="0.25">
      <c r="A2834" s="3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</row>
    <row r="2835" spans="1:15" ht="15" customHeight="1" x14ac:dyDescent="0.25">
      <c r="A2835" s="2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</row>
    <row r="2836" spans="1:15" ht="15" customHeight="1" x14ac:dyDescent="0.25">
      <c r="A2836" s="3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</row>
    <row r="2837" spans="1:15" ht="15" customHeight="1" x14ac:dyDescent="0.25">
      <c r="A2837" s="2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</row>
    <row r="2838" spans="1:15" ht="15" customHeight="1" x14ac:dyDescent="0.25">
      <c r="A2838" s="3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</row>
    <row r="2839" spans="1:15" ht="15" customHeight="1" x14ac:dyDescent="0.25">
      <c r="A2839" s="2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</row>
    <row r="2840" spans="1:15" ht="15" customHeight="1" x14ac:dyDescent="0.25">
      <c r="A2840" s="3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</row>
    <row r="2841" spans="1:15" ht="15" customHeight="1" x14ac:dyDescent="0.25">
      <c r="A2841" s="2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</row>
    <row r="2842" spans="1:15" ht="15" customHeight="1" x14ac:dyDescent="0.25">
      <c r="A2842" s="3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</row>
    <row r="2843" spans="1:15" ht="15" customHeight="1" x14ac:dyDescent="0.25">
      <c r="A2843" s="2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</row>
    <row r="2844" spans="1:15" ht="15" customHeight="1" x14ac:dyDescent="0.25">
      <c r="A2844" s="3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</row>
    <row r="2845" spans="1:15" ht="15" customHeight="1" x14ac:dyDescent="0.25">
      <c r="A2845" s="2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</row>
    <row r="2846" spans="1:15" ht="15" customHeight="1" x14ac:dyDescent="0.25">
      <c r="A2846" s="3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</row>
    <row r="2847" spans="1:15" ht="15" customHeight="1" x14ac:dyDescent="0.25">
      <c r="A2847" s="2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</row>
    <row r="2848" spans="1:15" ht="15" customHeight="1" x14ac:dyDescent="0.25">
      <c r="A2848" s="3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</row>
    <row r="2849" spans="1:15" ht="15" customHeight="1" x14ac:dyDescent="0.25">
      <c r="A2849" s="2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</row>
    <row r="2850" spans="1:15" ht="15" customHeight="1" x14ac:dyDescent="0.25">
      <c r="A2850" s="3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</row>
    <row r="2851" spans="1:15" ht="15" customHeight="1" x14ac:dyDescent="0.25">
      <c r="A2851" s="2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</row>
    <row r="2852" spans="1:15" ht="15" customHeight="1" x14ac:dyDescent="0.25">
      <c r="A2852" s="3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</row>
    <row r="2853" spans="1:15" ht="15" customHeight="1" x14ac:dyDescent="0.25">
      <c r="A2853" s="2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</row>
    <row r="2854" spans="1:15" ht="15" customHeight="1" x14ac:dyDescent="0.25">
      <c r="A2854" s="3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</row>
    <row r="2855" spans="1:15" ht="15" customHeight="1" x14ac:dyDescent="0.25">
      <c r="A2855" s="2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</row>
    <row r="2856" spans="1:15" ht="15" customHeight="1" x14ac:dyDescent="0.25">
      <c r="A2856" s="3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</row>
    <row r="2857" spans="1:15" ht="15" customHeight="1" x14ac:dyDescent="0.25">
      <c r="A2857" s="2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</row>
    <row r="2858" spans="1:15" ht="15" customHeight="1" x14ac:dyDescent="0.25">
      <c r="A2858" s="3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</row>
    <row r="2859" spans="1:15" ht="15" customHeight="1" x14ac:dyDescent="0.25">
      <c r="A2859" s="2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</row>
    <row r="2860" spans="1:15" ht="15" customHeight="1" x14ac:dyDescent="0.25">
      <c r="A2860" s="3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</row>
    <row r="2861" spans="1:15" ht="15" customHeight="1" x14ac:dyDescent="0.25">
      <c r="A2861" s="2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</row>
    <row r="2862" spans="1:15" ht="15" customHeight="1" x14ac:dyDescent="0.25">
      <c r="A2862" s="3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</row>
    <row r="2863" spans="1:15" ht="15" customHeight="1" x14ac:dyDescent="0.25">
      <c r="A2863" s="2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</row>
    <row r="2864" spans="1:15" ht="15" customHeight="1" x14ac:dyDescent="0.25">
      <c r="A2864" s="3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</row>
    <row r="2865" spans="1:15" ht="15" customHeight="1" x14ac:dyDescent="0.25">
      <c r="A2865" s="2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</row>
    <row r="2866" spans="1:15" ht="15" customHeight="1" x14ac:dyDescent="0.25">
      <c r="A2866" s="3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</row>
    <row r="2867" spans="1:15" ht="15" customHeight="1" x14ac:dyDescent="0.25">
      <c r="A2867" s="2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</row>
    <row r="2868" spans="1:15" ht="15" customHeight="1" x14ac:dyDescent="0.25">
      <c r="A2868" s="3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</row>
    <row r="2869" spans="1:15" ht="15" customHeight="1" x14ac:dyDescent="0.25">
      <c r="A2869" s="2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</row>
    <row r="2870" spans="1:15" ht="15" customHeight="1" x14ac:dyDescent="0.25">
      <c r="A2870" s="3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</row>
    <row r="2871" spans="1:15" ht="15" customHeight="1" x14ac:dyDescent="0.25">
      <c r="A2871" s="2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</row>
    <row r="2872" spans="1:15" ht="15" customHeight="1" x14ac:dyDescent="0.25">
      <c r="A2872" s="3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</row>
    <row r="2873" spans="1:15" ht="15" customHeight="1" x14ac:dyDescent="0.25">
      <c r="A2873" s="2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</row>
    <row r="2874" spans="1:15" ht="15" customHeight="1" x14ac:dyDescent="0.25">
      <c r="A2874" s="3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</row>
    <row r="2875" spans="1:15" ht="15" customHeight="1" x14ac:dyDescent="0.25">
      <c r="A2875" s="2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</row>
    <row r="2876" spans="1:15" ht="15" customHeight="1" x14ac:dyDescent="0.25">
      <c r="A2876" s="3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</row>
    <row r="2877" spans="1:15" ht="15" customHeight="1" x14ac:dyDescent="0.25">
      <c r="A2877" s="2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</row>
    <row r="2878" spans="1:15" ht="15" customHeight="1" x14ac:dyDescent="0.25">
      <c r="A2878" s="3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</row>
    <row r="2879" spans="1:15" ht="15" customHeight="1" x14ac:dyDescent="0.25">
      <c r="A2879" s="2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</row>
    <row r="2880" spans="1:15" ht="15" customHeight="1" x14ac:dyDescent="0.25">
      <c r="A2880" s="3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</row>
    <row r="2881" spans="1:15" ht="15" customHeight="1" x14ac:dyDescent="0.25">
      <c r="A2881" s="2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</row>
    <row r="2882" spans="1:15" ht="15" customHeight="1" x14ac:dyDescent="0.25">
      <c r="A2882" s="3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</row>
    <row r="2883" spans="1:15" ht="15" customHeight="1" x14ac:dyDescent="0.25">
      <c r="A2883" s="2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</row>
    <row r="2884" spans="1:15" ht="15" customHeight="1" x14ac:dyDescent="0.25">
      <c r="A2884" s="3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</row>
    <row r="2885" spans="1:15" ht="15" customHeight="1" x14ac:dyDescent="0.25">
      <c r="A2885" s="2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</row>
    <row r="2886" spans="1:15" ht="15" customHeight="1" x14ac:dyDescent="0.25">
      <c r="A2886" s="3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</row>
    <row r="2887" spans="1:15" ht="15" customHeight="1" x14ac:dyDescent="0.25">
      <c r="A2887" s="2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</row>
    <row r="2888" spans="1:15" ht="15" customHeight="1" x14ac:dyDescent="0.25">
      <c r="A2888" s="3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</row>
    <row r="2889" spans="1:15" ht="15" customHeight="1" x14ac:dyDescent="0.25">
      <c r="A2889" s="2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</row>
    <row r="2890" spans="1:15" ht="15" customHeight="1" x14ac:dyDescent="0.25">
      <c r="A2890" s="3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</row>
    <row r="2891" spans="1:15" ht="15" customHeight="1" x14ac:dyDescent="0.25">
      <c r="A2891" s="2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</row>
    <row r="2892" spans="1:15" ht="15" customHeight="1" x14ac:dyDescent="0.25">
      <c r="A2892" s="3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</row>
    <row r="2893" spans="1:15" ht="15" customHeight="1" x14ac:dyDescent="0.25">
      <c r="A2893" s="2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</row>
    <row r="2894" spans="1:15" ht="15" customHeight="1" x14ac:dyDescent="0.25">
      <c r="A2894" s="3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</row>
    <row r="2895" spans="1:15" ht="15" customHeight="1" x14ac:dyDescent="0.25">
      <c r="A2895" s="2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</row>
    <row r="2896" spans="1:15" ht="15" customHeight="1" x14ac:dyDescent="0.25">
      <c r="A2896" s="3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</row>
    <row r="2897" spans="1:15" ht="15" customHeight="1" x14ac:dyDescent="0.25">
      <c r="A2897" s="2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</row>
    <row r="2898" spans="1:15" ht="15" customHeight="1" x14ac:dyDescent="0.25">
      <c r="A2898" s="3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</row>
    <row r="2899" spans="1:15" ht="15" customHeight="1" x14ac:dyDescent="0.25">
      <c r="A2899" s="2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</row>
    <row r="2900" spans="1:15" ht="15" customHeight="1" x14ac:dyDescent="0.25">
      <c r="A2900" s="3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</row>
    <row r="2901" spans="1:15" ht="15" customHeight="1" x14ac:dyDescent="0.25">
      <c r="A2901" s="2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</row>
    <row r="2902" spans="1:15" ht="15" customHeight="1" x14ac:dyDescent="0.25">
      <c r="A2902" s="3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</row>
    <row r="2903" spans="1:15" ht="15" customHeight="1" x14ac:dyDescent="0.25">
      <c r="A2903" s="2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</row>
    <row r="2904" spans="1:15" ht="15" customHeight="1" x14ac:dyDescent="0.25">
      <c r="A2904" s="3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</row>
    <row r="2905" spans="1:15" ht="15" customHeight="1" x14ac:dyDescent="0.25">
      <c r="A2905" s="2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</row>
    <row r="2906" spans="1:15" ht="15" customHeight="1" x14ac:dyDescent="0.25">
      <c r="A2906" s="3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</row>
    <row r="2907" spans="1:15" ht="15" customHeight="1" x14ac:dyDescent="0.25">
      <c r="A2907" s="2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</row>
    <row r="2908" spans="1:15" ht="15" customHeight="1" x14ac:dyDescent="0.25">
      <c r="A2908" s="3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</row>
    <row r="2909" spans="1:15" ht="15" customHeight="1" x14ac:dyDescent="0.25">
      <c r="A2909" s="2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</row>
    <row r="2910" spans="1:15" ht="15" customHeight="1" x14ac:dyDescent="0.25">
      <c r="A2910" s="3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</row>
    <row r="2911" spans="1:15" ht="15" customHeight="1" x14ac:dyDescent="0.25">
      <c r="A2911" s="2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</row>
    <row r="2912" spans="1:15" ht="15" customHeight="1" x14ac:dyDescent="0.25">
      <c r="A2912" s="3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</row>
    <row r="2913" spans="1:15" ht="15" customHeight="1" x14ac:dyDescent="0.25">
      <c r="A2913" s="2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</row>
    <row r="2914" spans="1:15" ht="15" customHeight="1" x14ac:dyDescent="0.25">
      <c r="A2914" s="3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</row>
    <row r="2915" spans="1:15" ht="15" customHeight="1" x14ac:dyDescent="0.25">
      <c r="A2915" s="2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</row>
    <row r="2916" spans="1:15" ht="15" customHeight="1" x14ac:dyDescent="0.25">
      <c r="A2916" s="3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</row>
    <row r="2917" spans="1:15" ht="15" customHeight="1" x14ac:dyDescent="0.25">
      <c r="A2917" s="2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</row>
    <row r="2918" spans="1:15" ht="15" customHeight="1" x14ac:dyDescent="0.25">
      <c r="A2918" s="3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</row>
    <row r="2919" spans="1:15" ht="15" customHeight="1" x14ac:dyDescent="0.25">
      <c r="A2919" s="2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</row>
    <row r="2920" spans="1:15" ht="15" customHeight="1" x14ac:dyDescent="0.25">
      <c r="A2920" s="3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</row>
    <row r="2921" spans="1:15" ht="15" customHeight="1" x14ac:dyDescent="0.25">
      <c r="A2921" s="2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</row>
    <row r="2922" spans="1:15" ht="15" customHeight="1" x14ac:dyDescent="0.25">
      <c r="A2922" s="3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</row>
    <row r="2923" spans="1:15" ht="15" customHeight="1" x14ac:dyDescent="0.25">
      <c r="A2923" s="2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</row>
    <row r="2924" spans="1:15" ht="15" customHeight="1" x14ac:dyDescent="0.25">
      <c r="A2924" s="3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</row>
    <row r="2925" spans="1:15" ht="15" customHeight="1" x14ac:dyDescent="0.25">
      <c r="A2925" s="2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</row>
    <row r="2926" spans="1:15" ht="15" customHeight="1" x14ac:dyDescent="0.25">
      <c r="A2926" s="3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</row>
    <row r="2927" spans="1:15" ht="15" customHeight="1" x14ac:dyDescent="0.25">
      <c r="A2927" s="2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</row>
    <row r="2928" spans="1:15" ht="15" customHeight="1" x14ac:dyDescent="0.25">
      <c r="A2928" s="3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</row>
    <row r="2929" spans="1:15" ht="15" customHeight="1" x14ac:dyDescent="0.25">
      <c r="A2929" s="2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</row>
    <row r="2930" spans="1:15" ht="15" customHeight="1" x14ac:dyDescent="0.25">
      <c r="A2930" s="3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</row>
    <row r="2931" spans="1:15" ht="15" customHeight="1" x14ac:dyDescent="0.25">
      <c r="A2931" s="2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</row>
    <row r="2932" spans="1:15" ht="15" customHeight="1" x14ac:dyDescent="0.25">
      <c r="A2932" s="3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</row>
    <row r="2933" spans="1:15" ht="15" customHeight="1" x14ac:dyDescent="0.25">
      <c r="A2933" s="2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</row>
    <row r="2934" spans="1:15" ht="15" customHeight="1" x14ac:dyDescent="0.25">
      <c r="A2934" s="3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</row>
    <row r="2935" spans="1:15" ht="15" customHeight="1" x14ac:dyDescent="0.25">
      <c r="A2935" s="2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</row>
    <row r="2936" spans="1:15" ht="15" customHeight="1" x14ac:dyDescent="0.25">
      <c r="A2936" s="3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</row>
    <row r="2937" spans="1:15" ht="15" customHeight="1" x14ac:dyDescent="0.25">
      <c r="A2937" s="2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</row>
    <row r="2938" spans="1:15" ht="15" customHeight="1" x14ac:dyDescent="0.25">
      <c r="A2938" s="3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</row>
    <row r="2939" spans="1:15" ht="15" customHeight="1" x14ac:dyDescent="0.25">
      <c r="A2939" s="2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</row>
    <row r="2940" spans="1:15" ht="15" customHeight="1" x14ac:dyDescent="0.25">
      <c r="A2940" s="3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</row>
    <row r="2941" spans="1:15" ht="15" customHeight="1" x14ac:dyDescent="0.25">
      <c r="A2941" s="2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</row>
    <row r="2942" spans="1:15" ht="15" customHeight="1" x14ac:dyDescent="0.25">
      <c r="A2942" s="3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</row>
    <row r="2943" spans="1:15" ht="15" customHeight="1" x14ac:dyDescent="0.25">
      <c r="A2943" s="2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</row>
    <row r="2944" spans="1:15" ht="15" customHeight="1" x14ac:dyDescent="0.25">
      <c r="A2944" s="3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</row>
    <row r="2945" spans="1:15" ht="15" customHeight="1" x14ac:dyDescent="0.25">
      <c r="A2945" s="2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</row>
    <row r="2946" spans="1:15" ht="15" customHeight="1" x14ac:dyDescent="0.25">
      <c r="A2946" s="3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</row>
    <row r="2947" spans="1:15" ht="15" customHeight="1" x14ac:dyDescent="0.25">
      <c r="A2947" s="2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</row>
    <row r="2948" spans="1:15" ht="15" customHeight="1" x14ac:dyDescent="0.25">
      <c r="A2948" s="3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</row>
    <row r="2949" spans="1:15" ht="15" customHeight="1" x14ac:dyDescent="0.25">
      <c r="A2949" s="2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</row>
    <row r="2950" spans="1:15" ht="15" customHeight="1" x14ac:dyDescent="0.25">
      <c r="A2950" s="3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</row>
    <row r="2951" spans="1:15" ht="15" customHeight="1" x14ac:dyDescent="0.25">
      <c r="A2951" s="2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</row>
    <row r="2952" spans="1:15" ht="15" customHeight="1" x14ac:dyDescent="0.25">
      <c r="A2952" s="3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</row>
    <row r="2953" spans="1:15" ht="15" customHeight="1" x14ac:dyDescent="0.25">
      <c r="A2953" s="2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</row>
    <row r="2954" spans="1:15" ht="15" customHeight="1" x14ac:dyDescent="0.25">
      <c r="A2954" s="3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</row>
    <row r="2955" spans="1:15" ht="15" customHeight="1" x14ac:dyDescent="0.25">
      <c r="A2955" s="2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</row>
    <row r="2956" spans="1:15" ht="15" customHeight="1" x14ac:dyDescent="0.25">
      <c r="A2956" s="3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</row>
    <row r="2957" spans="1:15" ht="15" customHeight="1" x14ac:dyDescent="0.25">
      <c r="A2957" s="2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</row>
    <row r="2958" spans="1:15" ht="15" customHeight="1" x14ac:dyDescent="0.25">
      <c r="A2958" s="3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</row>
    <row r="2959" spans="1:15" ht="15" customHeight="1" x14ac:dyDescent="0.25">
      <c r="A2959" s="2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</row>
    <row r="2960" spans="1:15" ht="15" customHeight="1" x14ac:dyDescent="0.25">
      <c r="A2960" s="3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</row>
    <row r="2961" spans="1:15" ht="15" customHeight="1" x14ac:dyDescent="0.25">
      <c r="A2961" s="2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</row>
    <row r="2962" spans="1:15" ht="15" customHeight="1" x14ac:dyDescent="0.25">
      <c r="A2962" s="3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</row>
    <row r="2963" spans="1:15" ht="15" customHeight="1" x14ac:dyDescent="0.25">
      <c r="A2963" s="2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</row>
    <row r="2964" spans="1:15" ht="15" customHeight="1" x14ac:dyDescent="0.25">
      <c r="A2964" s="3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</row>
    <row r="2965" spans="1:15" ht="15" customHeight="1" x14ac:dyDescent="0.25">
      <c r="A2965" s="2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</row>
    <row r="2966" spans="1:15" ht="15" customHeight="1" x14ac:dyDescent="0.25">
      <c r="A2966" s="3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</row>
    <row r="2967" spans="1:15" ht="15" customHeight="1" x14ac:dyDescent="0.25">
      <c r="A2967" s="2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</row>
    <row r="2968" spans="1:15" ht="15" customHeight="1" x14ac:dyDescent="0.25">
      <c r="A2968" s="3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</row>
    <row r="2969" spans="1:15" ht="15" customHeight="1" x14ac:dyDescent="0.25">
      <c r="A2969" s="2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</row>
    <row r="2970" spans="1:15" ht="15" customHeight="1" x14ac:dyDescent="0.25">
      <c r="A2970" s="3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</row>
    <row r="2971" spans="1:15" ht="15" customHeight="1" x14ac:dyDescent="0.25">
      <c r="A2971" s="2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</row>
    <row r="2972" spans="1:15" ht="15" customHeight="1" x14ac:dyDescent="0.25">
      <c r="A2972" s="3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</row>
    <row r="2973" spans="1:15" ht="15" customHeight="1" x14ac:dyDescent="0.25">
      <c r="A2973" s="2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</row>
    <row r="2974" spans="1:15" ht="15" customHeight="1" x14ac:dyDescent="0.25">
      <c r="A2974" s="3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</row>
    <row r="2975" spans="1:15" ht="15" customHeight="1" x14ac:dyDescent="0.25">
      <c r="A2975" s="2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</row>
    <row r="2976" spans="1:15" ht="15" customHeight="1" x14ac:dyDescent="0.25">
      <c r="A2976" s="3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</row>
    <row r="2977" spans="1:15" ht="15" customHeight="1" x14ac:dyDescent="0.25">
      <c r="A2977" s="2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</row>
    <row r="2978" spans="1:15" ht="15" customHeight="1" x14ac:dyDescent="0.25">
      <c r="A2978" s="3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</row>
    <row r="2979" spans="1:15" ht="15" customHeight="1" x14ac:dyDescent="0.25">
      <c r="A2979" s="2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</row>
    <row r="2980" spans="1:15" ht="15" customHeight="1" x14ac:dyDescent="0.25">
      <c r="A2980" s="3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</row>
    <row r="2981" spans="1:15" ht="15" customHeight="1" x14ac:dyDescent="0.25">
      <c r="A2981" s="2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</row>
    <row r="2982" spans="1:15" ht="15" customHeight="1" x14ac:dyDescent="0.25">
      <c r="A2982" s="3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</row>
    <row r="2983" spans="1:15" ht="15" customHeight="1" x14ac:dyDescent="0.25">
      <c r="A2983" s="2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</row>
    <row r="2984" spans="1:15" ht="15" customHeight="1" x14ac:dyDescent="0.25">
      <c r="A2984" s="3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</row>
    <row r="2985" spans="1:15" ht="15" customHeight="1" x14ac:dyDescent="0.25">
      <c r="A2985" s="2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</row>
    <row r="2986" spans="1:15" ht="15" customHeight="1" x14ac:dyDescent="0.25">
      <c r="A2986" s="3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</row>
    <row r="2987" spans="1:15" ht="15" customHeight="1" x14ac:dyDescent="0.25">
      <c r="A2987" s="2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</row>
    <row r="2988" spans="1:15" ht="15" customHeight="1" x14ac:dyDescent="0.25">
      <c r="A2988" s="3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</row>
    <row r="2989" spans="1:15" ht="15" customHeight="1" x14ac:dyDescent="0.25">
      <c r="A2989" s="2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</row>
    <row r="2990" spans="1:15" ht="15" customHeight="1" x14ac:dyDescent="0.25">
      <c r="A2990" s="3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</row>
    <row r="2991" spans="1:15" ht="15" customHeight="1" x14ac:dyDescent="0.25">
      <c r="A2991" s="2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</row>
    <row r="2992" spans="1:15" ht="15" customHeight="1" x14ac:dyDescent="0.25">
      <c r="A2992" s="3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</row>
    <row r="2993" spans="1:15" ht="15" customHeight="1" x14ac:dyDescent="0.25">
      <c r="A2993" s="2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</row>
    <row r="2994" spans="1:15" ht="15" customHeight="1" x14ac:dyDescent="0.25">
      <c r="A2994" s="3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</row>
    <row r="2995" spans="1:15" ht="15" customHeight="1" x14ac:dyDescent="0.25">
      <c r="A2995" s="2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</row>
    <row r="2996" spans="1:15" ht="15" customHeight="1" x14ac:dyDescent="0.25">
      <c r="A2996" s="3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</row>
    <row r="2997" spans="1:15" ht="15" customHeight="1" x14ac:dyDescent="0.25">
      <c r="A2997" s="2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</row>
    <row r="2998" spans="1:15" ht="15" customHeight="1" x14ac:dyDescent="0.25">
      <c r="A2998" s="3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</row>
    <row r="2999" spans="1:15" ht="15" customHeight="1" x14ac:dyDescent="0.25">
      <c r="A2999" s="2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</row>
    <row r="3000" spans="1:15" ht="15" customHeight="1" x14ac:dyDescent="0.25">
      <c r="A3000" s="3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</row>
    <row r="3001" spans="1:15" ht="15" customHeight="1" x14ac:dyDescent="0.25">
      <c r="A3001" s="2"/>
      <c r="B3001" s="2"/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</row>
    <row r="3002" spans="1:15" ht="15" customHeight="1" x14ac:dyDescent="0.25">
      <c r="A3002" s="3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</row>
    <row r="3003" spans="1:15" ht="15" customHeight="1" x14ac:dyDescent="0.25">
      <c r="A3003" s="2"/>
      <c r="B3003" s="2"/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</row>
    <row r="3004" spans="1:15" ht="15" customHeight="1" x14ac:dyDescent="0.25">
      <c r="A3004" s="3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</row>
    <row r="3005" spans="1:15" ht="15" customHeight="1" x14ac:dyDescent="0.25">
      <c r="A3005" s="2"/>
      <c r="B3005" s="2"/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</row>
    <row r="3006" spans="1:15" ht="15" customHeight="1" x14ac:dyDescent="0.25">
      <c r="A3006" s="3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</row>
    <row r="3007" spans="1:15" ht="15" customHeight="1" x14ac:dyDescent="0.25">
      <c r="A3007" s="2"/>
      <c r="B3007" s="2"/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</row>
    <row r="3008" spans="1:15" ht="15" customHeight="1" x14ac:dyDescent="0.25">
      <c r="A3008" s="3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</row>
    <row r="3009" spans="1:15" ht="15" customHeight="1" x14ac:dyDescent="0.25">
      <c r="A3009" s="2"/>
      <c r="B3009" s="2"/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</row>
    <row r="3010" spans="1:15" ht="15" customHeight="1" x14ac:dyDescent="0.25">
      <c r="A3010" s="3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</row>
    <row r="3011" spans="1:15" ht="15" customHeight="1" x14ac:dyDescent="0.25">
      <c r="A3011" s="2"/>
      <c r="B3011" s="2"/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</row>
    <row r="3012" spans="1:15" ht="15" customHeight="1" x14ac:dyDescent="0.25">
      <c r="A3012" s="3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</row>
    <row r="3013" spans="1:15" ht="15" customHeight="1" x14ac:dyDescent="0.25">
      <c r="A3013" s="2"/>
      <c r="B3013" s="2"/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</row>
    <row r="3014" spans="1:15" ht="15" customHeight="1" x14ac:dyDescent="0.25">
      <c r="A3014" s="3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</row>
    <row r="3015" spans="1:15" ht="15" customHeight="1" x14ac:dyDescent="0.25">
      <c r="A3015" s="2"/>
      <c r="B3015" s="2"/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</row>
    <row r="3016" spans="1:15" ht="15" customHeight="1" x14ac:dyDescent="0.25">
      <c r="A3016" s="3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</row>
    <row r="3017" spans="1:15" ht="15" customHeight="1" x14ac:dyDescent="0.25">
      <c r="A3017" s="2"/>
      <c r="B3017" s="2"/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</row>
    <row r="3018" spans="1:15" ht="15" customHeight="1" x14ac:dyDescent="0.25">
      <c r="A3018" s="3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</row>
    <row r="3019" spans="1:15" ht="15" customHeight="1" x14ac:dyDescent="0.25">
      <c r="A3019" s="2"/>
      <c r="B3019" s="2"/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</row>
    <row r="3020" spans="1:15" ht="15" customHeight="1" x14ac:dyDescent="0.25">
      <c r="A3020" s="3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</row>
    <row r="3021" spans="1:15" ht="15" customHeight="1" x14ac:dyDescent="0.25">
      <c r="A3021" s="2"/>
      <c r="B3021" s="2"/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</row>
    <row r="3022" spans="1:15" ht="15" customHeight="1" x14ac:dyDescent="0.25">
      <c r="A3022" s="3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</row>
    <row r="3023" spans="1:15" ht="15" customHeight="1" x14ac:dyDescent="0.25">
      <c r="A3023" s="2"/>
      <c r="B3023" s="2"/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</row>
    <row r="3024" spans="1:15" ht="15" customHeight="1" x14ac:dyDescent="0.25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</row>
    <row r="3025" spans="1:15" ht="15" customHeight="1" x14ac:dyDescent="0.25">
      <c r="A3025" s="2"/>
      <c r="B3025" s="2"/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</row>
    <row r="3026" spans="1:15" ht="15" customHeight="1" x14ac:dyDescent="0.25">
      <c r="A3026" s="3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</row>
    <row r="3027" spans="1:15" ht="15" customHeight="1" x14ac:dyDescent="0.25">
      <c r="A3027" s="2"/>
      <c r="B3027" s="2"/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</row>
    <row r="3028" spans="1:15" ht="15" customHeight="1" x14ac:dyDescent="0.25">
      <c r="A3028" s="3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</row>
    <row r="3029" spans="1:15" ht="15" customHeight="1" x14ac:dyDescent="0.25">
      <c r="A3029" s="2"/>
      <c r="B3029" s="2"/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</row>
    <row r="3030" spans="1:15" ht="15" customHeight="1" x14ac:dyDescent="0.25">
      <c r="A3030" s="3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</row>
    <row r="3031" spans="1:15" ht="15" customHeight="1" x14ac:dyDescent="0.25">
      <c r="A3031" s="2"/>
      <c r="B3031" s="2"/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</row>
    <row r="3032" spans="1:15" ht="15" customHeight="1" x14ac:dyDescent="0.25">
      <c r="A3032" s="3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</row>
    <row r="3033" spans="1:15" ht="15" customHeight="1" x14ac:dyDescent="0.25">
      <c r="A3033" s="2"/>
      <c r="B3033" s="2"/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</row>
    <row r="3034" spans="1:15" ht="15" customHeight="1" x14ac:dyDescent="0.25">
      <c r="A3034" s="3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</row>
    <row r="3035" spans="1:15" ht="15" customHeight="1" x14ac:dyDescent="0.25">
      <c r="A3035" s="2"/>
      <c r="B3035" s="2"/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</row>
    <row r="3036" spans="1:15" ht="15" customHeight="1" x14ac:dyDescent="0.25">
      <c r="A3036" s="3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</row>
    <row r="3037" spans="1:15" ht="15" customHeight="1" x14ac:dyDescent="0.25">
      <c r="A3037" s="2"/>
      <c r="B3037" s="2"/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</row>
    <row r="3038" spans="1:15" ht="15" customHeight="1" x14ac:dyDescent="0.25">
      <c r="A3038" s="3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</row>
    <row r="3039" spans="1:15" ht="15" customHeight="1" x14ac:dyDescent="0.25">
      <c r="A3039" s="2"/>
      <c r="B3039" s="2"/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</row>
    <row r="3040" spans="1:15" ht="15" customHeight="1" x14ac:dyDescent="0.25">
      <c r="A3040" s="3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</row>
    <row r="3041" spans="1:15" ht="15" customHeight="1" x14ac:dyDescent="0.25">
      <c r="A3041" s="2"/>
      <c r="B3041" s="2"/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</row>
    <row r="3042" spans="1:15" ht="15" customHeight="1" x14ac:dyDescent="0.25">
      <c r="A3042" s="3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</row>
    <row r="3043" spans="1:15" ht="15" customHeight="1" x14ac:dyDescent="0.25">
      <c r="A3043" s="2"/>
      <c r="B3043" s="2"/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</row>
    <row r="3044" spans="1:15" ht="15" customHeight="1" x14ac:dyDescent="0.25">
      <c r="A3044" s="3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</row>
    <row r="3045" spans="1:15" ht="15" customHeight="1" x14ac:dyDescent="0.25">
      <c r="A3045" s="2"/>
      <c r="B3045" s="2"/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</row>
    <row r="3046" spans="1:15" ht="15" customHeight="1" x14ac:dyDescent="0.25">
      <c r="A3046" s="3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</row>
    <row r="3047" spans="1:15" ht="15" customHeight="1" x14ac:dyDescent="0.25">
      <c r="A3047" s="2"/>
      <c r="B3047" s="2"/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</row>
    <row r="3048" spans="1:15" ht="15" customHeight="1" x14ac:dyDescent="0.25">
      <c r="A3048" s="3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</row>
    <row r="3049" spans="1:15" ht="15" customHeight="1" x14ac:dyDescent="0.25">
      <c r="A3049" s="2"/>
      <c r="B3049" s="2"/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</row>
    <row r="3050" spans="1:15" ht="15" customHeight="1" x14ac:dyDescent="0.25">
      <c r="A3050" s="3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</row>
    <row r="3051" spans="1:15" ht="15" customHeight="1" x14ac:dyDescent="0.25">
      <c r="A3051" s="2"/>
      <c r="B3051" s="2"/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</row>
    <row r="3052" spans="1:15" ht="15" customHeight="1" x14ac:dyDescent="0.25">
      <c r="A3052" s="3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</row>
    <row r="3053" spans="1:15" ht="15" customHeight="1" x14ac:dyDescent="0.25">
      <c r="A3053" s="2"/>
      <c r="B3053" s="2"/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</row>
    <row r="3054" spans="1:15" ht="15" customHeight="1" x14ac:dyDescent="0.25">
      <c r="A3054" s="3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</row>
    <row r="3055" spans="1:15" ht="15" customHeight="1" x14ac:dyDescent="0.25">
      <c r="A3055" s="2"/>
      <c r="B3055" s="2"/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</row>
    <row r="3056" spans="1:15" ht="15" customHeight="1" x14ac:dyDescent="0.25">
      <c r="A3056" s="3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</row>
    <row r="3057" spans="1:15" ht="15" customHeight="1" x14ac:dyDescent="0.25">
      <c r="A3057" s="2"/>
      <c r="B3057" s="2"/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</row>
    <row r="3058" spans="1:15" ht="15" customHeight="1" x14ac:dyDescent="0.25">
      <c r="A3058" s="3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</row>
    <row r="3059" spans="1:15" ht="15" customHeight="1" x14ac:dyDescent="0.25">
      <c r="A3059" s="2"/>
      <c r="B3059" s="2"/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</row>
    <row r="3060" spans="1:15" ht="15" customHeight="1" x14ac:dyDescent="0.25">
      <c r="A3060" s="3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</row>
    <row r="3061" spans="1:15" ht="15" customHeight="1" x14ac:dyDescent="0.25">
      <c r="A3061" s="2"/>
      <c r="B3061" s="2"/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</row>
    <row r="3062" spans="1:15" ht="15" customHeight="1" x14ac:dyDescent="0.25">
      <c r="A3062" s="3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</row>
    <row r="3063" spans="1:15" ht="15" customHeight="1" x14ac:dyDescent="0.25">
      <c r="A3063" s="2"/>
      <c r="B3063" s="2"/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</row>
    <row r="3064" spans="1:15" ht="15" customHeight="1" x14ac:dyDescent="0.25">
      <c r="A3064" s="3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</row>
    <row r="3065" spans="1:15" ht="15" customHeight="1" x14ac:dyDescent="0.25">
      <c r="A3065" s="2"/>
      <c r="B3065" s="2"/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</row>
    <row r="3066" spans="1:15" ht="15" customHeight="1" x14ac:dyDescent="0.25">
      <c r="A3066" s="3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</row>
    <row r="3067" spans="1:15" ht="15" customHeight="1" x14ac:dyDescent="0.25">
      <c r="A3067" s="2"/>
      <c r="B3067" s="2"/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</row>
    <row r="3068" spans="1:15" ht="15" customHeight="1" x14ac:dyDescent="0.25">
      <c r="A3068" s="3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</row>
    <row r="3069" spans="1:15" ht="15" customHeight="1" x14ac:dyDescent="0.25">
      <c r="A3069" s="2"/>
      <c r="B3069" s="2"/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</row>
    <row r="3070" spans="1:15" ht="15" customHeight="1" x14ac:dyDescent="0.25">
      <c r="A3070" s="3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</row>
    <row r="3071" spans="1:15" ht="15" customHeight="1" x14ac:dyDescent="0.25">
      <c r="A3071" s="2"/>
      <c r="B3071" s="2"/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</row>
    <row r="3072" spans="1:15" ht="15" customHeight="1" x14ac:dyDescent="0.25">
      <c r="A3072" s="3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</row>
    <row r="3073" spans="1:15" ht="15" customHeight="1" x14ac:dyDescent="0.25">
      <c r="A3073" s="2"/>
      <c r="B3073" s="2"/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</row>
    <row r="3074" spans="1:15" ht="15" customHeight="1" x14ac:dyDescent="0.25">
      <c r="A3074" s="3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</row>
    <row r="3075" spans="1:15" ht="15" customHeight="1" x14ac:dyDescent="0.25">
      <c r="A3075" s="2"/>
      <c r="B3075" s="2"/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</row>
    <row r="3076" spans="1:15" ht="15" customHeight="1" x14ac:dyDescent="0.25">
      <c r="A3076" s="3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</row>
    <row r="3077" spans="1:15" ht="15" customHeight="1" x14ac:dyDescent="0.25">
      <c r="A3077" s="2"/>
      <c r="B3077" s="2"/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</row>
    <row r="3078" spans="1:15" ht="15" customHeight="1" x14ac:dyDescent="0.25">
      <c r="A3078" s="3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</row>
    <row r="3079" spans="1:15" ht="15" customHeight="1" x14ac:dyDescent="0.25">
      <c r="A3079" s="2"/>
      <c r="B3079" s="2"/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</row>
    <row r="3080" spans="1:15" ht="15" customHeight="1" x14ac:dyDescent="0.25">
      <c r="A3080" s="3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</row>
    <row r="3081" spans="1:15" ht="15" customHeight="1" x14ac:dyDescent="0.25">
      <c r="A3081" s="2"/>
      <c r="B3081" s="2"/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</row>
    <row r="3082" spans="1:15" ht="15" customHeight="1" x14ac:dyDescent="0.25">
      <c r="A3082" s="3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</row>
    <row r="3083" spans="1:15" ht="15" customHeight="1" x14ac:dyDescent="0.25">
      <c r="A3083" s="2"/>
      <c r="B3083" s="2"/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</row>
    <row r="3084" spans="1:15" ht="15" customHeight="1" x14ac:dyDescent="0.25">
      <c r="A3084" s="3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</row>
    <row r="3085" spans="1:15" ht="15" customHeight="1" x14ac:dyDescent="0.25">
      <c r="A3085" s="2"/>
      <c r="B3085" s="2"/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</row>
    <row r="3086" spans="1:15" ht="15" customHeight="1" x14ac:dyDescent="0.25">
      <c r="A3086" s="3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</row>
    <row r="3087" spans="1:15" ht="15" customHeight="1" x14ac:dyDescent="0.25">
      <c r="A3087" s="2"/>
      <c r="B3087" s="2"/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</row>
    <row r="3088" spans="1:15" ht="15" customHeight="1" x14ac:dyDescent="0.25">
      <c r="A3088" s="3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</row>
    <row r="3089" spans="1:15" ht="15" customHeight="1" x14ac:dyDescent="0.25">
      <c r="A3089" s="2"/>
      <c r="B3089" s="2"/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</row>
    <row r="3090" spans="1:15" ht="15" customHeight="1" x14ac:dyDescent="0.25">
      <c r="A3090" s="3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</row>
    <row r="3091" spans="1:15" ht="15" customHeight="1" x14ac:dyDescent="0.25">
      <c r="A3091" s="2"/>
      <c r="B3091" s="2"/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</row>
    <row r="3092" spans="1:15" ht="15" customHeight="1" x14ac:dyDescent="0.25">
      <c r="A3092" s="3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</row>
    <row r="3093" spans="1:15" ht="15" customHeight="1" x14ac:dyDescent="0.25">
      <c r="A3093" s="2"/>
      <c r="B3093" s="2"/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</row>
    <row r="3094" spans="1:15" ht="15" customHeight="1" x14ac:dyDescent="0.25">
      <c r="A3094" s="3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</row>
    <row r="3095" spans="1:15" ht="15" customHeight="1" x14ac:dyDescent="0.25">
      <c r="A3095" s="2"/>
      <c r="B3095" s="2"/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</row>
    <row r="3096" spans="1:15" ht="15" customHeight="1" x14ac:dyDescent="0.25">
      <c r="A3096" s="3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</row>
    <row r="3097" spans="1:15" ht="15" customHeight="1" x14ac:dyDescent="0.25">
      <c r="A3097" s="2"/>
      <c r="B3097" s="2"/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</row>
    <row r="3098" spans="1:15" ht="15" customHeight="1" x14ac:dyDescent="0.25">
      <c r="A3098" s="3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</row>
    <row r="3099" spans="1:15" ht="15" customHeight="1" x14ac:dyDescent="0.25">
      <c r="A3099" s="2"/>
      <c r="B3099" s="2"/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</row>
    <row r="3100" spans="1:15" ht="15" customHeight="1" x14ac:dyDescent="0.25">
      <c r="A3100" s="3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</row>
    <row r="3101" spans="1:15" ht="15" customHeight="1" x14ac:dyDescent="0.25">
      <c r="A3101" s="2"/>
      <c r="B3101" s="2"/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</row>
    <row r="3102" spans="1:15" ht="15" customHeight="1" x14ac:dyDescent="0.25">
      <c r="A3102" s="3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</row>
    <row r="3103" spans="1:15" ht="15" customHeight="1" x14ac:dyDescent="0.25">
      <c r="A3103" s="2"/>
      <c r="B3103" s="2"/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</row>
    <row r="3104" spans="1:15" ht="15" customHeight="1" x14ac:dyDescent="0.25">
      <c r="A3104" s="3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</row>
    <row r="3105" spans="1:15" ht="15" customHeight="1" x14ac:dyDescent="0.25">
      <c r="A3105" s="2"/>
      <c r="B3105" s="2"/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</row>
    <row r="3106" spans="1:15" ht="15" customHeight="1" x14ac:dyDescent="0.25">
      <c r="A3106" s="3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</row>
    <row r="3107" spans="1:15" ht="15" customHeight="1" x14ac:dyDescent="0.25">
      <c r="A3107" s="2"/>
      <c r="B3107" s="2"/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</row>
    <row r="3108" spans="1:15" ht="15" customHeight="1" x14ac:dyDescent="0.25">
      <c r="A3108" s="3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</row>
    <row r="3109" spans="1:15" ht="15" customHeight="1" x14ac:dyDescent="0.25">
      <c r="A3109" s="2"/>
      <c r="B3109" s="2"/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</row>
    <row r="3110" spans="1:15" ht="15" customHeight="1" x14ac:dyDescent="0.25">
      <c r="A3110" s="3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</row>
    <row r="3111" spans="1:15" ht="15" customHeight="1" x14ac:dyDescent="0.25">
      <c r="A3111" s="2"/>
      <c r="B3111" s="2"/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</row>
    <row r="3112" spans="1:15" ht="15" customHeight="1" x14ac:dyDescent="0.25">
      <c r="A3112" s="3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</row>
    <row r="3113" spans="1:15" ht="15" customHeight="1" x14ac:dyDescent="0.25">
      <c r="A3113" s="2"/>
      <c r="B3113" s="2"/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</row>
    <row r="3114" spans="1:15" ht="15" customHeight="1" x14ac:dyDescent="0.25">
      <c r="A3114" s="3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</row>
    <row r="3115" spans="1:15" ht="15" customHeight="1" x14ac:dyDescent="0.25">
      <c r="A3115" s="2"/>
      <c r="B3115" s="2"/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</row>
    <row r="3116" spans="1:15" ht="15" customHeight="1" x14ac:dyDescent="0.25">
      <c r="A3116" s="3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</row>
    <row r="3117" spans="1:15" ht="15" customHeight="1" x14ac:dyDescent="0.25">
      <c r="A3117" s="2"/>
      <c r="B3117" s="2"/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</row>
    <row r="3118" spans="1:15" ht="15" customHeight="1" x14ac:dyDescent="0.25">
      <c r="A3118" s="3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</row>
    <row r="3119" spans="1:15" ht="15" customHeight="1" x14ac:dyDescent="0.25">
      <c r="A3119" s="2"/>
      <c r="B3119" s="2"/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</row>
    <row r="3120" spans="1:15" ht="15" customHeight="1" x14ac:dyDescent="0.25">
      <c r="A3120" s="3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</row>
    <row r="3121" spans="1:15" ht="15" customHeight="1" x14ac:dyDescent="0.25">
      <c r="A3121" s="2"/>
      <c r="B3121" s="2"/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</row>
    <row r="3122" spans="1:15" ht="15" customHeight="1" x14ac:dyDescent="0.25">
      <c r="A3122" s="3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</row>
    <row r="3123" spans="1:15" ht="15" customHeight="1" x14ac:dyDescent="0.25">
      <c r="A3123" s="2"/>
      <c r="B3123" s="2"/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</row>
    <row r="3124" spans="1:15" ht="15" customHeight="1" x14ac:dyDescent="0.25">
      <c r="A3124" s="3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</row>
    <row r="3125" spans="1:15" ht="15" customHeight="1" x14ac:dyDescent="0.25">
      <c r="A3125" s="2"/>
      <c r="B3125" s="2"/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</row>
    <row r="3126" spans="1:15" ht="15" customHeight="1" x14ac:dyDescent="0.25">
      <c r="A3126" s="3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</row>
    <row r="3127" spans="1:15" ht="15" customHeight="1" x14ac:dyDescent="0.25">
      <c r="A3127" s="2"/>
      <c r="B3127" s="2"/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</row>
    <row r="3128" spans="1:15" ht="15" customHeight="1" x14ac:dyDescent="0.25">
      <c r="A3128" s="3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</row>
    <row r="3129" spans="1:15" ht="15" customHeight="1" x14ac:dyDescent="0.25">
      <c r="A3129" s="2"/>
      <c r="B3129" s="2"/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</row>
    <row r="3130" spans="1:15" ht="15" customHeight="1" x14ac:dyDescent="0.25">
      <c r="A3130" s="3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</row>
    <row r="3131" spans="1:15" ht="15" customHeight="1" x14ac:dyDescent="0.25">
      <c r="A3131" s="2"/>
      <c r="B3131" s="2"/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</row>
    <row r="3132" spans="1:15" ht="15" customHeight="1" x14ac:dyDescent="0.25">
      <c r="A3132" s="3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</row>
    <row r="3133" spans="1:15" ht="15" customHeight="1" x14ac:dyDescent="0.25">
      <c r="A3133" s="2"/>
      <c r="B3133" s="2"/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</row>
    <row r="3134" spans="1:15" ht="15" customHeight="1" x14ac:dyDescent="0.25">
      <c r="A3134" s="3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</row>
    <row r="3135" spans="1:15" ht="15" customHeight="1" x14ac:dyDescent="0.25">
      <c r="A3135" s="2"/>
      <c r="B3135" s="2"/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</row>
    <row r="3136" spans="1:15" ht="15" customHeight="1" x14ac:dyDescent="0.25">
      <c r="A3136" s="3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</row>
    <row r="3137" spans="1:15" ht="15" customHeight="1" x14ac:dyDescent="0.25">
      <c r="A3137" s="2"/>
      <c r="B3137" s="2"/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</row>
    <row r="3138" spans="1:15" ht="15" customHeight="1" x14ac:dyDescent="0.25">
      <c r="A3138" s="3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</row>
    <row r="3139" spans="1:15" ht="15" customHeight="1" x14ac:dyDescent="0.25">
      <c r="A3139" s="2"/>
      <c r="B3139" s="2"/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</row>
    <row r="3140" spans="1:15" ht="15" customHeight="1" x14ac:dyDescent="0.25">
      <c r="A3140" s="3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</row>
    <row r="3141" spans="1:15" ht="15" customHeight="1" x14ac:dyDescent="0.25">
      <c r="A3141" s="2"/>
      <c r="B3141" s="2"/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</row>
    <row r="3142" spans="1:15" ht="15" customHeight="1" x14ac:dyDescent="0.25">
      <c r="A3142" s="3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</row>
    <row r="3143" spans="1:15" ht="15" customHeight="1" x14ac:dyDescent="0.25">
      <c r="A3143" s="2"/>
      <c r="B3143" s="2"/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</row>
    <row r="3144" spans="1:15" ht="15" customHeight="1" x14ac:dyDescent="0.25">
      <c r="A3144" s="3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</row>
    <row r="3145" spans="1:15" ht="15" customHeight="1" x14ac:dyDescent="0.25">
      <c r="A3145" s="2"/>
      <c r="B3145" s="2"/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</row>
    <row r="3146" spans="1:15" ht="15" customHeight="1" x14ac:dyDescent="0.25">
      <c r="A3146" s="3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</row>
    <row r="3147" spans="1:15" ht="15" customHeight="1" x14ac:dyDescent="0.25">
      <c r="A3147" s="2"/>
      <c r="B3147" s="2"/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</row>
    <row r="3148" spans="1:15" ht="15" customHeight="1" x14ac:dyDescent="0.25">
      <c r="A3148" s="3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</row>
    <row r="3149" spans="1:15" ht="15" customHeight="1" x14ac:dyDescent="0.25">
      <c r="A3149" s="2"/>
      <c r="B3149" s="2"/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</row>
    <row r="3150" spans="1:15" ht="15" customHeight="1" x14ac:dyDescent="0.25">
      <c r="A3150" s="3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</row>
    <row r="3151" spans="1:15" ht="15" customHeight="1" x14ac:dyDescent="0.25">
      <c r="A3151" s="2"/>
      <c r="B3151" s="2"/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</row>
    <row r="3152" spans="1:15" ht="15" customHeight="1" x14ac:dyDescent="0.25">
      <c r="A3152" s="3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</row>
    <row r="3153" spans="1:15" ht="15" customHeight="1" x14ac:dyDescent="0.25">
      <c r="A3153" s="2"/>
      <c r="B3153" s="2"/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</row>
    <row r="3154" spans="1:15" ht="15" customHeight="1" x14ac:dyDescent="0.25">
      <c r="A3154" s="3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</row>
    <row r="3155" spans="1:15" ht="15" customHeight="1" x14ac:dyDescent="0.25">
      <c r="A3155" s="2"/>
      <c r="B3155" s="2"/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</row>
    <row r="3156" spans="1:15" ht="15" customHeight="1" x14ac:dyDescent="0.25">
      <c r="A3156" s="3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</row>
    <row r="3157" spans="1:15" ht="15" customHeight="1" x14ac:dyDescent="0.25">
      <c r="A3157" s="2"/>
      <c r="B3157" s="2"/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</row>
    <row r="3158" spans="1:15" ht="15" customHeight="1" x14ac:dyDescent="0.25">
      <c r="A3158" s="3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</row>
    <row r="3159" spans="1:15" ht="15" customHeight="1" x14ac:dyDescent="0.25">
      <c r="A3159" s="2"/>
      <c r="B3159" s="2"/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</row>
    <row r="3160" spans="1:15" ht="15" customHeight="1" x14ac:dyDescent="0.25">
      <c r="A3160" s="3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</row>
    <row r="3161" spans="1:15" ht="15" customHeight="1" x14ac:dyDescent="0.25">
      <c r="A3161" s="2"/>
      <c r="B3161" s="2"/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</row>
    <row r="3162" spans="1:15" ht="15" customHeight="1" x14ac:dyDescent="0.25">
      <c r="A3162" s="3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</row>
    <row r="3163" spans="1:15" ht="15" customHeight="1" x14ac:dyDescent="0.25">
      <c r="A3163" s="2"/>
      <c r="B3163" s="2"/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</row>
    <row r="3164" spans="1:15" ht="15" customHeight="1" x14ac:dyDescent="0.25">
      <c r="A3164" s="3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</row>
    <row r="3165" spans="1:15" ht="15" customHeight="1" x14ac:dyDescent="0.25">
      <c r="A3165" s="2"/>
      <c r="B3165" s="2"/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</row>
    <row r="3166" spans="1:15" ht="15" customHeight="1" x14ac:dyDescent="0.25">
      <c r="A3166" s="3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</row>
    <row r="3167" spans="1:15" ht="15" customHeight="1" x14ac:dyDescent="0.25">
      <c r="A3167" s="2"/>
      <c r="B3167" s="2"/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</row>
    <row r="3168" spans="1:15" ht="15" customHeight="1" x14ac:dyDescent="0.25">
      <c r="A3168" s="3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</row>
    <row r="3169" spans="1:15" ht="15" customHeight="1" x14ac:dyDescent="0.25">
      <c r="A3169" s="2"/>
      <c r="B3169" s="2"/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</row>
    <row r="3170" spans="1:15" ht="15" customHeight="1" x14ac:dyDescent="0.25">
      <c r="A3170" s="3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</row>
    <row r="3171" spans="1:15" ht="15" customHeight="1" x14ac:dyDescent="0.25">
      <c r="A3171" s="2"/>
      <c r="B3171" s="2"/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</row>
    <row r="3172" spans="1:15" ht="15" customHeight="1" x14ac:dyDescent="0.25">
      <c r="A3172" s="3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</row>
    <row r="3173" spans="1:15" ht="15" customHeight="1" x14ac:dyDescent="0.25">
      <c r="A3173" s="2"/>
      <c r="B3173" s="2"/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</row>
    <row r="3174" spans="1:15" ht="15" customHeight="1" x14ac:dyDescent="0.25">
      <c r="A3174" s="3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</row>
    <row r="3175" spans="1:15" ht="15" customHeight="1" x14ac:dyDescent="0.25">
      <c r="A3175" s="2"/>
      <c r="B3175" s="2"/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</row>
    <row r="3176" spans="1:15" ht="15" customHeight="1" x14ac:dyDescent="0.25">
      <c r="A3176" s="3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</row>
    <row r="3177" spans="1:15" ht="15" customHeight="1" x14ac:dyDescent="0.25">
      <c r="A3177" s="2"/>
      <c r="B3177" s="2"/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</row>
    <row r="3178" spans="1:15" ht="15" customHeight="1" x14ac:dyDescent="0.25">
      <c r="A3178" s="3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</row>
    <row r="3179" spans="1:15" ht="15" customHeight="1" x14ac:dyDescent="0.25">
      <c r="A3179" s="2"/>
      <c r="B3179" s="2"/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</row>
    <row r="3180" spans="1:15" ht="15" customHeight="1" x14ac:dyDescent="0.25">
      <c r="A3180" s="3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</row>
    <row r="3181" spans="1:15" ht="15" customHeight="1" x14ac:dyDescent="0.25">
      <c r="A3181" s="2"/>
      <c r="B3181" s="2"/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</row>
    <row r="3182" spans="1:15" ht="15" customHeight="1" x14ac:dyDescent="0.25">
      <c r="A3182" s="3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</row>
    <row r="3183" spans="1:15" ht="15" customHeight="1" x14ac:dyDescent="0.25">
      <c r="A3183" s="2"/>
      <c r="B3183" s="2"/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</row>
    <row r="3184" spans="1:15" ht="15" customHeight="1" x14ac:dyDescent="0.25">
      <c r="A3184" s="3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</row>
    <row r="3185" spans="1:15" ht="15" customHeight="1" x14ac:dyDescent="0.25">
      <c r="A3185" s="2"/>
      <c r="B3185" s="2"/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</row>
    <row r="3186" spans="1:15" ht="15" customHeight="1" x14ac:dyDescent="0.25">
      <c r="A3186" s="3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</row>
    <row r="3187" spans="1:15" ht="15" customHeight="1" x14ac:dyDescent="0.25">
      <c r="A3187" s="2"/>
      <c r="B3187" s="2"/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</row>
    <row r="3188" spans="1:15" ht="15" customHeight="1" x14ac:dyDescent="0.25">
      <c r="A3188" s="3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</row>
    <row r="3189" spans="1:15" ht="15" customHeight="1" x14ac:dyDescent="0.25">
      <c r="A3189" s="2"/>
      <c r="B3189" s="2"/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</row>
    <row r="3190" spans="1:15" ht="15" customHeight="1" x14ac:dyDescent="0.25">
      <c r="A3190" s="3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</row>
    <row r="3191" spans="1:15" ht="15" customHeight="1" x14ac:dyDescent="0.25">
      <c r="A3191" s="2"/>
      <c r="B3191" s="2"/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</row>
    <row r="3192" spans="1:15" ht="15" customHeight="1" x14ac:dyDescent="0.25">
      <c r="A3192" s="3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</row>
    <row r="3193" spans="1:15" ht="15" customHeight="1" x14ac:dyDescent="0.25">
      <c r="A3193" s="2"/>
      <c r="B3193" s="2"/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</row>
    <row r="3194" spans="1:15" ht="15" customHeight="1" x14ac:dyDescent="0.25">
      <c r="A3194" s="3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</row>
    <row r="3195" spans="1:15" ht="15" customHeight="1" x14ac:dyDescent="0.25">
      <c r="A3195" s="2"/>
      <c r="B3195" s="2"/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</row>
    <row r="3196" spans="1:15" ht="15" customHeight="1" x14ac:dyDescent="0.25">
      <c r="A3196" s="3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</row>
    <row r="3197" spans="1:15" ht="15" customHeight="1" x14ac:dyDescent="0.25">
      <c r="A3197" s="2"/>
      <c r="B3197" s="2"/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</row>
    <row r="3198" spans="1:15" ht="15" customHeight="1" x14ac:dyDescent="0.25">
      <c r="A3198" s="3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</row>
    <row r="3199" spans="1:15" ht="15" customHeight="1" x14ac:dyDescent="0.25">
      <c r="A3199" s="2"/>
      <c r="B3199" s="2"/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</row>
    <row r="3200" spans="1:15" ht="15" customHeight="1" x14ac:dyDescent="0.25">
      <c r="A3200" s="3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</row>
    <row r="3201" spans="1:15" ht="15" customHeight="1" x14ac:dyDescent="0.25">
      <c r="A3201" s="2"/>
      <c r="B3201" s="2"/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</row>
    <row r="3202" spans="1:15" ht="15" customHeight="1" x14ac:dyDescent="0.25">
      <c r="A3202" s="3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</row>
    <row r="3203" spans="1:15" ht="15" customHeight="1" x14ac:dyDescent="0.25">
      <c r="A3203" s="2"/>
      <c r="B3203" s="2"/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</row>
    <row r="3204" spans="1:15" ht="15" customHeight="1" x14ac:dyDescent="0.25">
      <c r="A3204" s="3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</row>
    <row r="3205" spans="1:15" ht="15" customHeight="1" x14ac:dyDescent="0.25">
      <c r="A3205" s="2"/>
      <c r="B3205" s="2"/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</row>
    <row r="3206" spans="1:15" ht="15" customHeight="1" x14ac:dyDescent="0.25">
      <c r="A3206" s="3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</row>
    <row r="3207" spans="1:15" ht="15" customHeight="1" x14ac:dyDescent="0.25">
      <c r="A3207" s="2"/>
      <c r="B3207" s="2"/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</row>
    <row r="3208" spans="1:15" ht="15" customHeight="1" x14ac:dyDescent="0.25">
      <c r="A3208" s="3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</row>
    <row r="3209" spans="1:15" ht="15" customHeight="1" x14ac:dyDescent="0.25">
      <c r="A3209" s="2"/>
      <c r="B3209" s="2"/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</row>
    <row r="3210" spans="1:15" ht="15" customHeight="1" x14ac:dyDescent="0.25">
      <c r="A3210" s="3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</row>
    <row r="3211" spans="1:15" ht="15" customHeight="1" x14ac:dyDescent="0.25">
      <c r="A3211" s="2"/>
      <c r="B3211" s="2"/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</row>
    <row r="3212" spans="1:15" ht="15" customHeight="1" x14ac:dyDescent="0.25">
      <c r="A3212" s="3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</row>
    <row r="3213" spans="1:15" ht="15" customHeight="1" x14ac:dyDescent="0.25">
      <c r="A3213" s="2"/>
      <c r="B3213" s="2"/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</row>
    <row r="3214" spans="1:15" ht="15" customHeight="1" x14ac:dyDescent="0.25">
      <c r="A3214" s="3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</row>
    <row r="3215" spans="1:15" ht="15" customHeight="1" x14ac:dyDescent="0.25">
      <c r="A3215" s="2"/>
      <c r="B3215" s="2"/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</row>
    <row r="3216" spans="1:15" ht="15" customHeight="1" x14ac:dyDescent="0.25">
      <c r="A3216" s="3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</row>
    <row r="3217" spans="1:15" ht="15" customHeight="1" x14ac:dyDescent="0.25">
      <c r="A3217" s="2"/>
      <c r="B3217" s="2"/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</row>
    <row r="3218" spans="1:15" ht="15" customHeight="1" x14ac:dyDescent="0.25">
      <c r="A3218" s="3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</row>
    <row r="3219" spans="1:15" ht="15" customHeight="1" x14ac:dyDescent="0.25">
      <c r="A3219" s="2"/>
      <c r="B3219" s="2"/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</row>
    <row r="3220" spans="1:15" ht="15" customHeight="1" x14ac:dyDescent="0.25">
      <c r="A3220" s="3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</row>
    <row r="3221" spans="1:15" ht="15" customHeight="1" x14ac:dyDescent="0.25">
      <c r="A3221" s="2"/>
      <c r="B3221" s="2"/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</row>
    <row r="3222" spans="1:15" ht="15" customHeight="1" x14ac:dyDescent="0.25">
      <c r="A3222" s="3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</row>
    <row r="3223" spans="1:15" ht="15" customHeight="1" x14ac:dyDescent="0.25">
      <c r="A3223" s="2"/>
      <c r="B3223" s="2"/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</row>
    <row r="3224" spans="1:15" ht="15" customHeight="1" x14ac:dyDescent="0.25">
      <c r="A3224" s="3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</row>
    <row r="3225" spans="1:15" ht="15" customHeight="1" x14ac:dyDescent="0.25">
      <c r="A3225" s="2"/>
      <c r="B3225" s="2"/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</row>
    <row r="3226" spans="1:15" ht="15" customHeight="1" x14ac:dyDescent="0.25">
      <c r="A3226" s="3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</row>
    <row r="3227" spans="1:15" ht="15" customHeight="1" x14ac:dyDescent="0.25">
      <c r="A3227" s="2"/>
      <c r="B3227" s="2"/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</row>
    <row r="3228" spans="1:15" ht="15" customHeight="1" x14ac:dyDescent="0.25">
      <c r="A3228" s="3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</row>
    <row r="3229" spans="1:15" ht="15" customHeight="1" x14ac:dyDescent="0.25">
      <c r="A3229" s="2"/>
      <c r="B3229" s="2"/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</row>
    <row r="3230" spans="1:15" ht="15" customHeight="1" x14ac:dyDescent="0.25">
      <c r="A3230" s="3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</row>
    <row r="3231" spans="1:15" ht="15" customHeight="1" x14ac:dyDescent="0.25">
      <c r="A3231" s="2"/>
      <c r="B3231" s="2"/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</row>
    <row r="3232" spans="1:15" ht="15" customHeight="1" x14ac:dyDescent="0.25">
      <c r="A3232" s="3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</row>
    <row r="3233" spans="1:15" ht="15" customHeight="1" x14ac:dyDescent="0.25">
      <c r="A3233" s="2"/>
      <c r="B3233" s="2"/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</row>
    <row r="3234" spans="1:15" ht="15" customHeight="1" x14ac:dyDescent="0.25">
      <c r="A3234" s="3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</row>
    <row r="3235" spans="1:15" ht="15" customHeight="1" x14ac:dyDescent="0.25">
      <c r="A3235" s="2"/>
      <c r="B3235" s="2"/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</row>
    <row r="3236" spans="1:15" ht="15" customHeight="1" x14ac:dyDescent="0.25">
      <c r="A3236" s="3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</row>
    <row r="3237" spans="1:15" ht="15" customHeight="1" x14ac:dyDescent="0.25">
      <c r="A3237" s="2"/>
      <c r="B3237" s="2"/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</row>
    <row r="3238" spans="1:15" ht="15" customHeight="1" x14ac:dyDescent="0.25">
      <c r="A3238" s="3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</row>
    <row r="3239" spans="1:15" ht="15" customHeight="1" x14ac:dyDescent="0.25">
      <c r="A3239" s="2"/>
      <c r="B3239" s="2"/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</row>
    <row r="3240" spans="1:15" ht="15" customHeight="1" x14ac:dyDescent="0.25">
      <c r="A3240" s="3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</row>
    <row r="3241" spans="1:15" ht="15" customHeight="1" x14ac:dyDescent="0.25">
      <c r="A3241" s="2"/>
      <c r="B3241" s="2"/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</row>
    <row r="3242" spans="1:15" ht="15" customHeight="1" x14ac:dyDescent="0.25">
      <c r="A3242" s="3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</row>
    <row r="3243" spans="1:15" ht="15" customHeight="1" x14ac:dyDescent="0.25">
      <c r="A3243" s="2"/>
      <c r="B3243" s="2"/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</row>
    <row r="3244" spans="1:15" ht="15" customHeight="1" x14ac:dyDescent="0.25">
      <c r="A3244" s="3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</row>
    <row r="3245" spans="1:15" ht="15" customHeight="1" x14ac:dyDescent="0.25">
      <c r="A3245" s="2"/>
      <c r="B3245" s="2"/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</row>
    <row r="3246" spans="1:15" ht="15" customHeight="1" x14ac:dyDescent="0.25">
      <c r="A3246" s="3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</row>
    <row r="3247" spans="1:15" ht="15" customHeight="1" x14ac:dyDescent="0.25">
      <c r="A3247" s="2"/>
      <c r="B3247" s="2"/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</row>
    <row r="3248" spans="1:15" ht="15" customHeight="1" x14ac:dyDescent="0.25">
      <c r="A3248" s="3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</row>
    <row r="3249" spans="1:15" ht="15" customHeight="1" x14ac:dyDescent="0.25">
      <c r="A3249" s="2"/>
      <c r="B3249" s="2"/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</row>
    <row r="3250" spans="1:15" ht="15" customHeight="1" x14ac:dyDescent="0.25">
      <c r="A3250" s="3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</row>
    <row r="3251" spans="1:15" ht="15" customHeight="1" x14ac:dyDescent="0.25">
      <c r="A3251" s="2"/>
      <c r="B3251" s="2"/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</row>
    <row r="3252" spans="1:15" ht="15" customHeight="1" x14ac:dyDescent="0.25">
      <c r="A3252" s="3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</row>
    <row r="3253" spans="1:15" ht="15" customHeight="1" x14ac:dyDescent="0.25">
      <c r="A3253" s="2"/>
      <c r="B3253" s="2"/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</row>
    <row r="3254" spans="1:15" ht="15" customHeight="1" x14ac:dyDescent="0.25">
      <c r="A3254" s="3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</row>
    <row r="3255" spans="1:15" ht="15" customHeight="1" x14ac:dyDescent="0.25">
      <c r="A3255" s="2"/>
      <c r="B3255" s="2"/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</row>
    <row r="3256" spans="1:15" ht="15" customHeight="1" x14ac:dyDescent="0.25">
      <c r="A3256" s="3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</row>
    <row r="3257" spans="1:15" ht="15" customHeight="1" x14ac:dyDescent="0.25">
      <c r="A3257" s="2"/>
      <c r="B3257" s="2"/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</row>
    <row r="3258" spans="1:15" ht="15" customHeight="1" x14ac:dyDescent="0.25">
      <c r="A3258" s="3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</row>
    <row r="3259" spans="1:15" ht="15" customHeight="1" x14ac:dyDescent="0.25">
      <c r="A3259" s="2"/>
      <c r="B3259" s="2"/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</row>
    <row r="3260" spans="1:15" ht="15" customHeight="1" x14ac:dyDescent="0.25">
      <c r="A3260" s="3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</row>
    <row r="3261" spans="1:15" ht="15" customHeight="1" x14ac:dyDescent="0.25">
      <c r="A3261" s="2"/>
      <c r="B3261" s="2"/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</row>
    <row r="3262" spans="1:15" ht="15" customHeight="1" x14ac:dyDescent="0.25">
      <c r="A3262" s="3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</row>
    <row r="3263" spans="1:15" ht="15" customHeight="1" x14ac:dyDescent="0.25">
      <c r="A3263" s="2"/>
      <c r="B3263" s="2"/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</row>
    <row r="3264" spans="1:15" ht="15" customHeight="1" x14ac:dyDescent="0.25">
      <c r="A3264" s="3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</row>
    <row r="3265" spans="1:15" ht="15" customHeight="1" x14ac:dyDescent="0.25">
      <c r="A3265" s="2"/>
      <c r="B3265" s="2"/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</row>
    <row r="3266" spans="1:15" ht="15" customHeight="1" x14ac:dyDescent="0.25">
      <c r="A3266" s="3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</row>
    <row r="3267" spans="1:15" ht="15" customHeight="1" x14ac:dyDescent="0.25">
      <c r="A3267" s="2"/>
      <c r="B3267" s="2"/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</row>
    <row r="3268" spans="1:15" ht="15" customHeight="1" x14ac:dyDescent="0.25">
      <c r="A3268" s="3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</row>
    <row r="3269" spans="1:15" ht="15" customHeight="1" x14ac:dyDescent="0.25">
      <c r="A3269" s="2"/>
      <c r="B3269" s="2"/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</row>
    <row r="3270" spans="1:15" ht="15" customHeight="1" x14ac:dyDescent="0.25">
      <c r="A3270" s="3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</row>
    <row r="3271" spans="1:15" ht="15" customHeight="1" x14ac:dyDescent="0.25">
      <c r="A3271" s="2"/>
      <c r="B3271" s="2"/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</row>
    <row r="3272" spans="1:15" ht="15" customHeight="1" x14ac:dyDescent="0.25">
      <c r="A3272" s="3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</row>
    <row r="3273" spans="1:15" ht="15" customHeight="1" x14ac:dyDescent="0.25">
      <c r="A3273" s="2"/>
      <c r="B3273" s="2"/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</row>
    <row r="3274" spans="1:15" ht="15" customHeight="1" x14ac:dyDescent="0.25">
      <c r="A3274" s="3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</row>
    <row r="3275" spans="1:15" ht="15" customHeight="1" x14ac:dyDescent="0.25">
      <c r="A3275" s="2"/>
      <c r="B3275" s="2"/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</row>
    <row r="3276" spans="1:15" ht="15" customHeight="1" x14ac:dyDescent="0.25">
      <c r="A3276" s="3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</row>
    <row r="3277" spans="1:15" ht="15" customHeight="1" x14ac:dyDescent="0.25">
      <c r="A3277" s="2"/>
      <c r="B3277" s="2"/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</row>
    <row r="3278" spans="1:15" ht="15" customHeight="1" x14ac:dyDescent="0.25">
      <c r="A3278" s="3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</row>
    <row r="3279" spans="1:15" ht="15" customHeight="1" x14ac:dyDescent="0.25">
      <c r="A3279" s="2"/>
      <c r="B3279" s="2"/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</row>
    <row r="3280" spans="1:15" ht="15" customHeight="1" x14ac:dyDescent="0.25">
      <c r="A3280" s="3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</row>
    <row r="3281" spans="1:15" ht="15" customHeight="1" x14ac:dyDescent="0.25">
      <c r="A3281" s="2"/>
      <c r="B3281" s="2"/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</row>
    <row r="3282" spans="1:15" ht="15" customHeight="1" x14ac:dyDescent="0.25">
      <c r="A3282" s="3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</row>
    <row r="3283" spans="1:15" ht="15" customHeight="1" x14ac:dyDescent="0.25">
      <c r="A3283" s="2"/>
      <c r="B3283" s="2"/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</row>
    <row r="3284" spans="1:15" ht="15" customHeight="1" x14ac:dyDescent="0.25">
      <c r="A3284" s="3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</row>
    <row r="3285" spans="1:15" ht="15" customHeight="1" x14ac:dyDescent="0.25">
      <c r="A3285" s="2"/>
      <c r="B3285" s="2"/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</row>
    <row r="3286" spans="1:15" ht="15" customHeight="1" x14ac:dyDescent="0.25">
      <c r="A3286" s="3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</row>
    <row r="3287" spans="1:15" ht="15" customHeight="1" x14ac:dyDescent="0.25">
      <c r="A3287" s="2"/>
      <c r="B3287" s="2"/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</row>
    <row r="3288" spans="1:15" ht="15" customHeight="1" x14ac:dyDescent="0.25">
      <c r="A3288" s="3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</row>
    <row r="3289" spans="1:15" ht="15" customHeight="1" x14ac:dyDescent="0.25">
      <c r="A3289" s="2"/>
      <c r="B3289" s="2"/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</row>
    <row r="3290" spans="1:15" ht="15" customHeight="1" x14ac:dyDescent="0.25">
      <c r="A3290" s="3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</row>
    <row r="3291" spans="1:15" ht="15" customHeight="1" x14ac:dyDescent="0.25">
      <c r="A3291" s="2"/>
      <c r="B3291" s="2"/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</row>
    <row r="3292" spans="1:15" ht="15" customHeight="1" x14ac:dyDescent="0.25">
      <c r="A3292" s="3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</row>
    <row r="3293" spans="1:15" ht="15" customHeight="1" x14ac:dyDescent="0.25">
      <c r="A3293" s="2"/>
      <c r="B3293" s="2"/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</row>
    <row r="3294" spans="1:15" ht="15" customHeight="1" x14ac:dyDescent="0.25">
      <c r="A3294" s="3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</row>
    <row r="3295" spans="1:15" ht="15" customHeight="1" x14ac:dyDescent="0.25">
      <c r="A3295" s="2"/>
      <c r="B3295" s="2"/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</row>
    <row r="3296" spans="1:15" ht="15" customHeight="1" x14ac:dyDescent="0.25">
      <c r="A3296" s="3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</row>
    <row r="3297" spans="1:15" ht="15" customHeight="1" x14ac:dyDescent="0.25">
      <c r="A3297" s="2"/>
      <c r="B3297" s="2"/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</row>
    <row r="3298" spans="1:15" ht="15" customHeight="1" x14ac:dyDescent="0.25">
      <c r="A3298" s="3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</row>
    <row r="3299" spans="1:15" ht="15" customHeight="1" x14ac:dyDescent="0.25">
      <c r="A3299" s="2"/>
      <c r="B3299" s="2"/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</row>
    <row r="3300" spans="1:15" ht="15" customHeight="1" x14ac:dyDescent="0.25">
      <c r="A3300" s="3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</row>
    <row r="3301" spans="1:15" ht="15" customHeight="1" x14ac:dyDescent="0.25">
      <c r="A3301" s="2"/>
      <c r="B3301" s="2"/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</row>
    <row r="3302" spans="1:15" ht="15" customHeight="1" x14ac:dyDescent="0.25">
      <c r="A3302" s="3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</row>
    <row r="3303" spans="1:15" ht="15" customHeight="1" x14ac:dyDescent="0.25">
      <c r="A3303" s="2"/>
      <c r="B3303" s="2"/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</row>
    <row r="3304" spans="1:15" ht="15" customHeight="1" x14ac:dyDescent="0.25">
      <c r="A3304" s="3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</row>
    <row r="3305" spans="1:15" ht="15" customHeight="1" x14ac:dyDescent="0.25">
      <c r="A3305" s="2"/>
      <c r="B3305" s="2"/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</row>
    <row r="3306" spans="1:15" ht="15" customHeight="1" x14ac:dyDescent="0.25">
      <c r="A3306" s="3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</row>
    <row r="3307" spans="1:15" ht="15" customHeight="1" x14ac:dyDescent="0.25">
      <c r="A3307" s="2"/>
      <c r="B3307" s="2"/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</row>
    <row r="3308" spans="1:15" ht="15" customHeight="1" x14ac:dyDescent="0.25">
      <c r="A3308" s="3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</row>
    <row r="3309" spans="1:15" ht="15" customHeight="1" x14ac:dyDescent="0.25">
      <c r="A3309" s="2"/>
      <c r="B3309" s="2"/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</row>
    <row r="3310" spans="1:15" ht="15" customHeight="1" x14ac:dyDescent="0.25">
      <c r="A3310" s="3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</row>
    <row r="3311" spans="1:15" ht="15" customHeight="1" x14ac:dyDescent="0.25">
      <c r="A3311" s="2"/>
      <c r="B3311" s="2"/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</row>
    <row r="3312" spans="1:15" ht="15" customHeight="1" x14ac:dyDescent="0.25">
      <c r="A3312" s="3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</row>
    <row r="3313" spans="1:15" ht="15" customHeight="1" x14ac:dyDescent="0.25">
      <c r="A3313" s="2"/>
      <c r="B3313" s="2"/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</row>
    <row r="3314" spans="1:15" ht="15" customHeight="1" x14ac:dyDescent="0.25">
      <c r="A3314" s="3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</row>
    <row r="3315" spans="1:15" ht="15" customHeight="1" x14ac:dyDescent="0.25">
      <c r="A3315" s="2"/>
      <c r="B3315" s="2"/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</row>
    <row r="3316" spans="1:15" ht="15" customHeight="1" x14ac:dyDescent="0.25">
      <c r="A3316" s="3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</row>
    <row r="3317" spans="1:15" ht="15" customHeight="1" x14ac:dyDescent="0.25">
      <c r="A3317" s="2"/>
      <c r="B3317" s="2"/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</row>
    <row r="3318" spans="1:15" ht="15" customHeight="1" x14ac:dyDescent="0.25">
      <c r="A3318" s="3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</row>
    <row r="3319" spans="1:15" ht="15" customHeight="1" x14ac:dyDescent="0.25">
      <c r="A3319" s="2"/>
      <c r="B3319" s="2"/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</row>
    <row r="3320" spans="1:15" ht="15" customHeight="1" x14ac:dyDescent="0.25">
      <c r="A3320" s="3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</row>
    <row r="3321" spans="1:15" ht="15" customHeight="1" x14ac:dyDescent="0.25">
      <c r="A3321" s="2"/>
      <c r="B3321" s="2"/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</row>
    <row r="3322" spans="1:15" ht="15" customHeight="1" x14ac:dyDescent="0.25">
      <c r="A3322" s="3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</row>
    <row r="3323" spans="1:15" ht="15" customHeight="1" x14ac:dyDescent="0.25">
      <c r="A3323" s="2"/>
      <c r="B3323" s="2"/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</row>
    <row r="3324" spans="1:15" ht="15" customHeight="1" x14ac:dyDescent="0.25">
      <c r="A3324" s="3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</row>
    <row r="3325" spans="1:15" ht="15" customHeight="1" x14ac:dyDescent="0.25">
      <c r="A3325" s="2"/>
      <c r="B3325" s="2"/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</row>
    <row r="3326" spans="1:15" ht="15" customHeight="1" x14ac:dyDescent="0.25">
      <c r="A3326" s="3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</row>
    <row r="3327" spans="1:15" ht="15" customHeight="1" x14ac:dyDescent="0.25">
      <c r="A3327" s="2"/>
      <c r="B3327" s="2"/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</row>
    <row r="3328" spans="1:15" ht="15" customHeight="1" x14ac:dyDescent="0.25">
      <c r="A3328" s="3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</row>
    <row r="3329" spans="1:15" ht="15" customHeight="1" x14ac:dyDescent="0.25">
      <c r="A3329" s="2"/>
      <c r="B3329" s="2"/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</row>
    <row r="3330" spans="1:15" ht="15" customHeight="1" x14ac:dyDescent="0.25">
      <c r="A3330" s="3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</row>
    <row r="3331" spans="1:15" ht="15" customHeight="1" x14ac:dyDescent="0.25">
      <c r="A3331" s="2"/>
      <c r="B3331" s="2"/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</row>
    <row r="3332" spans="1:15" ht="15" customHeight="1" x14ac:dyDescent="0.25">
      <c r="A3332" s="3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</row>
    <row r="3333" spans="1:15" ht="15" customHeight="1" x14ac:dyDescent="0.25">
      <c r="A3333" s="2"/>
      <c r="B3333" s="2"/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</row>
    <row r="3334" spans="1:15" ht="15" customHeight="1" x14ac:dyDescent="0.25">
      <c r="A3334" s="3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</row>
    <row r="3335" spans="1:15" ht="15" customHeight="1" x14ac:dyDescent="0.25">
      <c r="A3335" s="2"/>
      <c r="B3335" s="2"/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</row>
    <row r="3336" spans="1:15" ht="15" customHeight="1" x14ac:dyDescent="0.25">
      <c r="A3336" s="3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</row>
    <row r="3337" spans="1:15" ht="15" customHeight="1" x14ac:dyDescent="0.25">
      <c r="A3337" s="2"/>
      <c r="B3337" s="2"/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</row>
    <row r="3338" spans="1:15" ht="15" customHeight="1" x14ac:dyDescent="0.25">
      <c r="A3338" s="3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</row>
    <row r="3339" spans="1:15" ht="15" customHeight="1" x14ac:dyDescent="0.25">
      <c r="A3339" s="2"/>
      <c r="B3339" s="2"/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</row>
    <row r="3340" spans="1:15" ht="15" customHeight="1" x14ac:dyDescent="0.25">
      <c r="A3340" s="3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</row>
    <row r="3341" spans="1:15" ht="15" customHeight="1" x14ac:dyDescent="0.25">
      <c r="A3341" s="2"/>
      <c r="B3341" s="2"/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</row>
    <row r="3342" spans="1:15" ht="15" customHeight="1" x14ac:dyDescent="0.25">
      <c r="A3342" s="3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</row>
    <row r="3343" spans="1:15" ht="15" customHeight="1" x14ac:dyDescent="0.25">
      <c r="A3343" s="2"/>
      <c r="B3343" s="2"/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</row>
    <row r="3344" spans="1:15" ht="15" customHeight="1" x14ac:dyDescent="0.25">
      <c r="A3344" s="3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</row>
    <row r="3345" spans="1:15" ht="15" customHeight="1" x14ac:dyDescent="0.25">
      <c r="A3345" s="2"/>
      <c r="B3345" s="2"/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</row>
    <row r="3346" spans="1:15" ht="15" customHeight="1" x14ac:dyDescent="0.25">
      <c r="A3346" s="3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</row>
    <row r="3347" spans="1:15" ht="15" customHeight="1" x14ac:dyDescent="0.25">
      <c r="A3347" s="2"/>
      <c r="B3347" s="2"/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</row>
    <row r="3348" spans="1:15" ht="15" customHeight="1" x14ac:dyDescent="0.25">
      <c r="A3348" s="3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</row>
    <row r="3349" spans="1:15" ht="15" customHeight="1" x14ac:dyDescent="0.25">
      <c r="A3349" s="2"/>
      <c r="B3349" s="2"/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</row>
    <row r="3350" spans="1:15" ht="15" customHeight="1" x14ac:dyDescent="0.25">
      <c r="A3350" s="3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</row>
    <row r="3351" spans="1:15" ht="15" customHeight="1" x14ac:dyDescent="0.25">
      <c r="A3351" s="2"/>
      <c r="B3351" s="2"/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</row>
    <row r="3352" spans="1:15" ht="15" customHeight="1" x14ac:dyDescent="0.25">
      <c r="A3352" s="3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</row>
    <row r="3353" spans="1:15" ht="15" customHeight="1" x14ac:dyDescent="0.25">
      <c r="A3353" s="2"/>
      <c r="B3353" s="2"/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</row>
    <row r="3354" spans="1:15" ht="15" customHeight="1" x14ac:dyDescent="0.25">
      <c r="A3354" s="3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</row>
    <row r="3355" spans="1:15" ht="15" customHeight="1" x14ac:dyDescent="0.25">
      <c r="A3355" s="2"/>
      <c r="B3355" s="2"/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</row>
    <row r="3356" spans="1:15" ht="15" customHeight="1" x14ac:dyDescent="0.25">
      <c r="A3356" s="3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</row>
    <row r="3357" spans="1:15" ht="15" customHeight="1" x14ac:dyDescent="0.25">
      <c r="A3357" s="2"/>
      <c r="B3357" s="2"/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</row>
    <row r="3358" spans="1:15" ht="15" customHeight="1" x14ac:dyDescent="0.25">
      <c r="A3358" s="3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</row>
    <row r="3359" spans="1:15" ht="15" customHeight="1" x14ac:dyDescent="0.25">
      <c r="A3359" s="2"/>
      <c r="B3359" s="2"/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</row>
    <row r="3360" spans="1:15" ht="15" customHeight="1" x14ac:dyDescent="0.25">
      <c r="A3360" s="3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</row>
    <row r="3361" spans="1:15" ht="15" customHeight="1" x14ac:dyDescent="0.25">
      <c r="A3361" s="2"/>
      <c r="B3361" s="2"/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</row>
    <row r="3362" spans="1:15" ht="15" customHeight="1" x14ac:dyDescent="0.25">
      <c r="A3362" s="3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</row>
    <row r="3363" spans="1:15" ht="15" customHeight="1" x14ac:dyDescent="0.25">
      <c r="A3363" s="2"/>
      <c r="B3363" s="2"/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</row>
    <row r="3364" spans="1:15" ht="15" customHeight="1" x14ac:dyDescent="0.25">
      <c r="A3364" s="3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</row>
    <row r="3365" spans="1:15" ht="15" customHeight="1" x14ac:dyDescent="0.25">
      <c r="A3365" s="2"/>
      <c r="B3365" s="2"/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</row>
    <row r="3366" spans="1:15" ht="15" customHeight="1" x14ac:dyDescent="0.25">
      <c r="A3366" s="3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</row>
    <row r="3367" spans="1:15" ht="15" customHeight="1" x14ac:dyDescent="0.25">
      <c r="A3367" s="2"/>
      <c r="B3367" s="2"/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</row>
    <row r="3368" spans="1:15" ht="15" customHeight="1" x14ac:dyDescent="0.25">
      <c r="A3368" s="3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</row>
    <row r="3369" spans="1:15" ht="15" customHeight="1" x14ac:dyDescent="0.25">
      <c r="A3369" s="2"/>
      <c r="B3369" s="2"/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</row>
    <row r="3370" spans="1:15" ht="15" customHeight="1" x14ac:dyDescent="0.25">
      <c r="A3370" s="3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</row>
    <row r="3371" spans="1:15" ht="15" customHeight="1" x14ac:dyDescent="0.25">
      <c r="A3371" s="2"/>
      <c r="B3371" s="2"/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</row>
    <row r="3372" spans="1:15" ht="15" customHeight="1" x14ac:dyDescent="0.25">
      <c r="A3372" s="3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</row>
    <row r="3373" spans="1:15" ht="15" customHeight="1" x14ac:dyDescent="0.25">
      <c r="A3373" s="2"/>
      <c r="B3373" s="2"/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</row>
    <row r="3374" spans="1:15" ht="15" customHeight="1" x14ac:dyDescent="0.25">
      <c r="A3374" s="3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</row>
    <row r="3375" spans="1:15" ht="15" customHeight="1" x14ac:dyDescent="0.25">
      <c r="A3375" s="2"/>
      <c r="B3375" s="2"/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</row>
    <row r="3376" spans="1:15" ht="15" customHeight="1" x14ac:dyDescent="0.25">
      <c r="A3376" s="3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</row>
    <row r="3377" spans="1:15" ht="15" customHeight="1" x14ac:dyDescent="0.25">
      <c r="A3377" s="2"/>
      <c r="B3377" s="2"/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</row>
    <row r="3378" spans="1:15" ht="15" customHeight="1" x14ac:dyDescent="0.25">
      <c r="A3378" s="3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</row>
    <row r="3379" spans="1:15" ht="15" customHeight="1" x14ac:dyDescent="0.25">
      <c r="A3379" s="2"/>
      <c r="B3379" s="2"/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</row>
    <row r="3380" spans="1:15" ht="15" customHeight="1" x14ac:dyDescent="0.25">
      <c r="A3380" s="3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</row>
    <row r="3381" spans="1:15" ht="15" customHeight="1" x14ac:dyDescent="0.25">
      <c r="A3381" s="2"/>
      <c r="B3381" s="2"/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</row>
    <row r="3382" spans="1:15" ht="15" customHeight="1" x14ac:dyDescent="0.25">
      <c r="A3382" s="3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</row>
    <row r="3383" spans="1:15" ht="15" customHeight="1" x14ac:dyDescent="0.25">
      <c r="A3383" s="2"/>
      <c r="B3383" s="2"/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</row>
    <row r="3384" spans="1:15" ht="15" customHeight="1" x14ac:dyDescent="0.25">
      <c r="A3384" s="3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</row>
    <row r="3385" spans="1:15" ht="15" customHeight="1" x14ac:dyDescent="0.25">
      <c r="A3385" s="2"/>
      <c r="B3385" s="2"/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</row>
    <row r="3386" spans="1:15" ht="15" customHeight="1" x14ac:dyDescent="0.25">
      <c r="A3386" s="3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</row>
    <row r="3387" spans="1:15" ht="15" customHeight="1" x14ac:dyDescent="0.25">
      <c r="A3387" s="2"/>
      <c r="B3387" s="2"/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</row>
    <row r="3388" spans="1:15" ht="15" customHeight="1" x14ac:dyDescent="0.25">
      <c r="A3388" s="3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</row>
    <row r="3389" spans="1:15" ht="15" customHeight="1" x14ac:dyDescent="0.25">
      <c r="A3389" s="2"/>
      <c r="B3389" s="2"/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</row>
    <row r="3390" spans="1:15" ht="15" customHeight="1" x14ac:dyDescent="0.25">
      <c r="A3390" s="3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</row>
    <row r="3391" spans="1:15" ht="15" customHeight="1" x14ac:dyDescent="0.25">
      <c r="A3391" s="2"/>
      <c r="B3391" s="2"/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</row>
    <row r="3392" spans="1:15" ht="15" customHeight="1" x14ac:dyDescent="0.25">
      <c r="A3392" s="3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</row>
    <row r="3393" spans="1:15" ht="15" customHeight="1" x14ac:dyDescent="0.25">
      <c r="A3393" s="2"/>
      <c r="B3393" s="2"/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</row>
    <row r="3394" spans="1:15" ht="15" customHeight="1" x14ac:dyDescent="0.25">
      <c r="A3394" s="3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</row>
    <row r="3395" spans="1:15" ht="15" customHeight="1" x14ac:dyDescent="0.25">
      <c r="A3395" s="2"/>
      <c r="B3395" s="2"/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</row>
    <row r="3396" spans="1:15" ht="15" customHeight="1" x14ac:dyDescent="0.25">
      <c r="A3396" s="3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</row>
    <row r="3397" spans="1:15" ht="15" customHeight="1" x14ac:dyDescent="0.25">
      <c r="A3397" s="2"/>
      <c r="B3397" s="2"/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</row>
    <row r="3398" spans="1:15" ht="15" customHeight="1" x14ac:dyDescent="0.25">
      <c r="A3398" s="3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</row>
    <row r="3399" spans="1:15" ht="15" customHeight="1" x14ac:dyDescent="0.25">
      <c r="A3399" s="2"/>
      <c r="B3399" s="2"/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</row>
    <row r="3400" spans="1:15" ht="15" customHeight="1" x14ac:dyDescent="0.25">
      <c r="A3400" s="3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</row>
    <row r="3401" spans="1:15" ht="15" customHeight="1" x14ac:dyDescent="0.25">
      <c r="A3401" s="2"/>
      <c r="B3401" s="2"/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</row>
    <row r="3402" spans="1:15" ht="15" customHeight="1" x14ac:dyDescent="0.25">
      <c r="A3402" s="3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</row>
    <row r="3403" spans="1:15" ht="15" customHeight="1" x14ac:dyDescent="0.25">
      <c r="A3403" s="2"/>
      <c r="B3403" s="2"/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</row>
    <row r="3404" spans="1:15" ht="15" customHeight="1" x14ac:dyDescent="0.25">
      <c r="A3404" s="3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</row>
    <row r="3405" spans="1:15" ht="15" customHeight="1" x14ac:dyDescent="0.25">
      <c r="A3405" s="2"/>
      <c r="B3405" s="2"/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</row>
    <row r="3406" spans="1:15" ht="15" customHeight="1" x14ac:dyDescent="0.25">
      <c r="A3406" s="3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</row>
    <row r="3407" spans="1:15" ht="15" customHeight="1" x14ac:dyDescent="0.25">
      <c r="A3407" s="2"/>
      <c r="B3407" s="2"/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</row>
    <row r="3408" spans="1:15" ht="15" customHeight="1" x14ac:dyDescent="0.25">
      <c r="A3408" s="3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</row>
    <row r="3409" spans="1:15" ht="15" customHeight="1" x14ac:dyDescent="0.25">
      <c r="A3409" s="2"/>
      <c r="B3409" s="2"/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</row>
    <row r="3410" spans="1:15" ht="15" customHeight="1" x14ac:dyDescent="0.25">
      <c r="A3410" s="3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</row>
    <row r="3411" spans="1:15" ht="15" customHeight="1" x14ac:dyDescent="0.25">
      <c r="A3411" s="2"/>
      <c r="B3411" s="2"/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</row>
    <row r="3412" spans="1:15" ht="15" customHeight="1" x14ac:dyDescent="0.25">
      <c r="A3412" s="3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</row>
    <row r="3413" spans="1:15" ht="15" customHeight="1" x14ac:dyDescent="0.25">
      <c r="A3413" s="2"/>
      <c r="B3413" s="2"/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</row>
    <row r="3414" spans="1:15" ht="15" customHeight="1" x14ac:dyDescent="0.25">
      <c r="A3414" s="3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</row>
    <row r="3415" spans="1:15" ht="15" customHeight="1" x14ac:dyDescent="0.25">
      <c r="A3415" s="2"/>
      <c r="B3415" s="2"/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</row>
    <row r="3416" spans="1:15" ht="15" customHeight="1" x14ac:dyDescent="0.25">
      <c r="A3416" s="3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</row>
    <row r="3417" spans="1:15" ht="15" customHeight="1" x14ac:dyDescent="0.25">
      <c r="A3417" s="2"/>
      <c r="B3417" s="2"/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</row>
    <row r="3418" spans="1:15" ht="15" customHeight="1" x14ac:dyDescent="0.25">
      <c r="A3418" s="3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</row>
    <row r="3419" spans="1:15" ht="15" customHeight="1" x14ac:dyDescent="0.25">
      <c r="A3419" s="2"/>
      <c r="B3419" s="2"/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</row>
    <row r="3420" spans="1:15" ht="15" customHeight="1" x14ac:dyDescent="0.25">
      <c r="A3420" s="3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</row>
    <row r="3421" spans="1:15" ht="15" customHeight="1" x14ac:dyDescent="0.25">
      <c r="A3421" s="2"/>
      <c r="B3421" s="2"/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</row>
    <row r="3422" spans="1:15" ht="15" customHeight="1" x14ac:dyDescent="0.25">
      <c r="A3422" s="3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</row>
    <row r="3423" spans="1:15" ht="15" customHeight="1" x14ac:dyDescent="0.25">
      <c r="A3423" s="2"/>
      <c r="B3423" s="2"/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</row>
    <row r="3424" spans="1:15" ht="15" customHeight="1" x14ac:dyDescent="0.25">
      <c r="A3424" s="3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</row>
    <row r="3425" spans="1:15" ht="15" customHeight="1" x14ac:dyDescent="0.25">
      <c r="A3425" s="2"/>
      <c r="B3425" s="2"/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</row>
    <row r="3426" spans="1:15" ht="15" customHeight="1" x14ac:dyDescent="0.25">
      <c r="A3426" s="3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</row>
    <row r="3427" spans="1:15" ht="15" customHeight="1" x14ac:dyDescent="0.25">
      <c r="A3427" s="2"/>
      <c r="B3427" s="2"/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</row>
    <row r="3428" spans="1:15" ht="15" customHeight="1" x14ac:dyDescent="0.25">
      <c r="A3428" s="3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</row>
    <row r="3429" spans="1:15" ht="15" customHeight="1" x14ac:dyDescent="0.25">
      <c r="A3429" s="2"/>
      <c r="B3429" s="2"/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</row>
    <row r="3430" spans="1:15" ht="15" customHeight="1" x14ac:dyDescent="0.25">
      <c r="A3430" s="3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</row>
    <row r="3431" spans="1:15" ht="15" customHeight="1" x14ac:dyDescent="0.25">
      <c r="A3431" s="2"/>
      <c r="B3431" s="2"/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</row>
    <row r="3432" spans="1:15" ht="15" customHeight="1" x14ac:dyDescent="0.25">
      <c r="A3432" s="3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</row>
    <row r="3433" spans="1:15" ht="15" customHeight="1" x14ac:dyDescent="0.25">
      <c r="A3433" s="2"/>
      <c r="B3433" s="2"/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</row>
    <row r="3434" spans="1:15" ht="15" customHeight="1" x14ac:dyDescent="0.25">
      <c r="A3434" s="3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</row>
    <row r="3435" spans="1:15" ht="15" customHeight="1" x14ac:dyDescent="0.25">
      <c r="A3435" s="2"/>
      <c r="B3435" s="2"/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</row>
    <row r="3436" spans="1:15" ht="15" customHeight="1" x14ac:dyDescent="0.25">
      <c r="A3436" s="3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</row>
    <row r="3437" spans="1:15" ht="15" customHeight="1" x14ac:dyDescent="0.25">
      <c r="A3437" s="2"/>
      <c r="B3437" s="2"/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</row>
    <row r="3438" spans="1:15" ht="15" customHeight="1" x14ac:dyDescent="0.25">
      <c r="A3438" s="3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</row>
    <row r="3439" spans="1:15" ht="15" customHeight="1" x14ac:dyDescent="0.25">
      <c r="A3439" s="2"/>
      <c r="B3439" s="2"/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</row>
    <row r="3440" spans="1:15" ht="15" customHeight="1" x14ac:dyDescent="0.25">
      <c r="A3440" s="3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</row>
    <row r="3441" spans="1:15" ht="15" customHeight="1" x14ac:dyDescent="0.25">
      <c r="A3441" s="2"/>
      <c r="B3441" s="2"/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</row>
    <row r="3442" spans="1:15" ht="15" customHeight="1" x14ac:dyDescent="0.25">
      <c r="A3442" s="3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</row>
    <row r="3443" spans="1:15" ht="15" customHeight="1" x14ac:dyDescent="0.25">
      <c r="A3443" s="2"/>
      <c r="B3443" s="2"/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</row>
    <row r="3444" spans="1:15" ht="15" customHeight="1" x14ac:dyDescent="0.25">
      <c r="A3444" s="3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</row>
    <row r="3445" spans="1:15" ht="15" customHeight="1" x14ac:dyDescent="0.25">
      <c r="A3445" s="2"/>
      <c r="B3445" s="2"/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</row>
    <row r="3446" spans="1:15" ht="15" customHeight="1" x14ac:dyDescent="0.25">
      <c r="A3446" s="3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</row>
    <row r="3447" spans="1:15" ht="15" customHeight="1" x14ac:dyDescent="0.25">
      <c r="A3447" s="2"/>
      <c r="B3447" s="2"/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</row>
    <row r="3448" spans="1:15" ht="15" customHeight="1" x14ac:dyDescent="0.25">
      <c r="A3448" s="3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</row>
    <row r="3449" spans="1:15" ht="15" customHeight="1" x14ac:dyDescent="0.25">
      <c r="A3449" s="2"/>
      <c r="B3449" s="2"/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</row>
    <row r="3450" spans="1:15" ht="15" customHeight="1" x14ac:dyDescent="0.25">
      <c r="A3450" s="3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</row>
    <row r="3451" spans="1:15" ht="15" customHeight="1" x14ac:dyDescent="0.25">
      <c r="A3451" s="2"/>
      <c r="B3451" s="2"/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</row>
    <row r="3452" spans="1:15" ht="15" customHeight="1" x14ac:dyDescent="0.25">
      <c r="A3452" s="3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</row>
    <row r="3453" spans="1:15" ht="15" customHeight="1" x14ac:dyDescent="0.25">
      <c r="A3453" s="2"/>
      <c r="B3453" s="2"/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</row>
    <row r="3454" spans="1:15" ht="15" customHeight="1" x14ac:dyDescent="0.25">
      <c r="A3454" s="3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</row>
    <row r="3455" spans="1:15" ht="15" customHeight="1" x14ac:dyDescent="0.25">
      <c r="A3455" s="2"/>
      <c r="B3455" s="2"/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</row>
    <row r="3456" spans="1:15" ht="15" customHeight="1" x14ac:dyDescent="0.25">
      <c r="A3456" s="3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</row>
    <row r="3457" spans="1:15" ht="15" customHeight="1" x14ac:dyDescent="0.25">
      <c r="A3457" s="2"/>
      <c r="B3457" s="2"/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</row>
    <row r="3458" spans="1:15" ht="15" customHeight="1" x14ac:dyDescent="0.25">
      <c r="A3458" s="3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</row>
    <row r="3459" spans="1:15" ht="15" customHeight="1" x14ac:dyDescent="0.25">
      <c r="A3459" s="2"/>
      <c r="B3459" s="2"/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</row>
    <row r="3460" spans="1:15" ht="15" customHeight="1" x14ac:dyDescent="0.25">
      <c r="A3460" s="3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</row>
    <row r="3461" spans="1:15" ht="15" customHeight="1" x14ac:dyDescent="0.25">
      <c r="A3461" s="2"/>
      <c r="B3461" s="2"/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</row>
    <row r="3462" spans="1:15" ht="15" customHeight="1" x14ac:dyDescent="0.25">
      <c r="A3462" s="3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</row>
    <row r="3463" spans="1:15" ht="15" customHeight="1" x14ac:dyDescent="0.25">
      <c r="A3463" s="2"/>
      <c r="B3463" s="2"/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</row>
    <row r="3464" spans="1:15" ht="15" customHeight="1" x14ac:dyDescent="0.25">
      <c r="A3464" s="3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</row>
    <row r="3465" spans="1:15" ht="15" customHeight="1" x14ac:dyDescent="0.25">
      <c r="A3465" s="2"/>
      <c r="B3465" s="2"/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</row>
    <row r="3466" spans="1:15" ht="15" customHeight="1" x14ac:dyDescent="0.25">
      <c r="A3466" s="3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</row>
    <row r="3467" spans="1:15" ht="15" customHeight="1" x14ac:dyDescent="0.25">
      <c r="A3467" s="2"/>
      <c r="B3467" s="2"/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</row>
    <row r="3468" spans="1:15" ht="15" customHeight="1" x14ac:dyDescent="0.25">
      <c r="A3468" s="3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</row>
    <row r="3469" spans="1:15" ht="15" customHeight="1" x14ac:dyDescent="0.25">
      <c r="A3469" s="2"/>
      <c r="B3469" s="2"/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</row>
    <row r="3470" spans="1:15" ht="15" customHeight="1" x14ac:dyDescent="0.25">
      <c r="A3470" s="3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</row>
    <row r="3471" spans="1:15" ht="15" customHeight="1" x14ac:dyDescent="0.25">
      <c r="A3471" s="2"/>
      <c r="B3471" s="2"/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</row>
    <row r="3472" spans="1:15" ht="15" customHeight="1" x14ac:dyDescent="0.25">
      <c r="A3472" s="3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</row>
    <row r="3473" spans="1:15" ht="15" customHeight="1" x14ac:dyDescent="0.25">
      <c r="A3473" s="2"/>
      <c r="B3473" s="2"/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</row>
    <row r="3474" spans="1:15" ht="15" customHeight="1" x14ac:dyDescent="0.25">
      <c r="A3474" s="3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</row>
    <row r="3475" spans="1:15" ht="15" customHeight="1" x14ac:dyDescent="0.25">
      <c r="A3475" s="2"/>
      <c r="B3475" s="2"/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</row>
    <row r="3476" spans="1:15" ht="15" customHeight="1" x14ac:dyDescent="0.25">
      <c r="A3476" s="3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</row>
    <row r="3477" spans="1:15" ht="15" customHeight="1" x14ac:dyDescent="0.25">
      <c r="A3477" s="2"/>
      <c r="B3477" s="2"/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</row>
    <row r="3478" spans="1:15" ht="15" customHeight="1" x14ac:dyDescent="0.25">
      <c r="A3478" s="3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</row>
    <row r="3479" spans="1:15" ht="15" customHeight="1" x14ac:dyDescent="0.25">
      <c r="A3479" s="2"/>
      <c r="B3479" s="2"/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</row>
    <row r="3480" spans="1:15" ht="15" customHeight="1" x14ac:dyDescent="0.25">
      <c r="A3480" s="3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</row>
    <row r="3481" spans="1:15" ht="15" customHeight="1" x14ac:dyDescent="0.25">
      <c r="A3481" s="2"/>
      <c r="B3481" s="2"/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</row>
    <row r="3482" spans="1:15" ht="15" customHeight="1" x14ac:dyDescent="0.25">
      <c r="A3482" s="3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</row>
    <row r="3483" spans="1:15" ht="15" customHeight="1" x14ac:dyDescent="0.25">
      <c r="A3483" s="2"/>
      <c r="B3483" s="2"/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</row>
    <row r="3484" spans="1:15" ht="15" customHeight="1" x14ac:dyDescent="0.25">
      <c r="A3484" s="3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</row>
    <row r="3485" spans="1:15" ht="15" customHeight="1" x14ac:dyDescent="0.25">
      <c r="A3485" s="2"/>
      <c r="B3485" s="2"/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</row>
    <row r="3486" spans="1:15" ht="15" customHeight="1" x14ac:dyDescent="0.25">
      <c r="A3486" s="3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</row>
    <row r="3487" spans="1:15" ht="15" customHeight="1" x14ac:dyDescent="0.25">
      <c r="A3487" s="2"/>
      <c r="B3487" s="2"/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</row>
    <row r="3488" spans="1:15" ht="15" customHeight="1" x14ac:dyDescent="0.25">
      <c r="A3488" s="3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</row>
    <row r="3489" spans="1:15" ht="15" customHeight="1" x14ac:dyDescent="0.25">
      <c r="A3489" s="2"/>
      <c r="B3489" s="2"/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</row>
    <row r="3490" spans="1:15" ht="15" customHeight="1" x14ac:dyDescent="0.25">
      <c r="A3490" s="3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</row>
    <row r="3491" spans="1:15" ht="15" customHeight="1" x14ac:dyDescent="0.25">
      <c r="A3491" s="2"/>
      <c r="B3491" s="2"/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</row>
    <row r="3492" spans="1:15" ht="15" customHeight="1" x14ac:dyDescent="0.25">
      <c r="A3492" s="3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</row>
    <row r="3493" spans="1:15" ht="15" customHeight="1" x14ac:dyDescent="0.25">
      <c r="A3493" s="2"/>
      <c r="B3493" s="2"/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</row>
    <row r="3494" spans="1:15" ht="15" customHeight="1" x14ac:dyDescent="0.25">
      <c r="A3494" s="3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</row>
    <row r="3495" spans="1:15" ht="15" customHeight="1" x14ac:dyDescent="0.25">
      <c r="A3495" s="2"/>
      <c r="B3495" s="2"/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</row>
    <row r="3496" spans="1:15" ht="15" customHeight="1" x14ac:dyDescent="0.25">
      <c r="A3496" s="3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</row>
    <row r="3497" spans="1:15" ht="15" customHeight="1" x14ac:dyDescent="0.25">
      <c r="A3497" s="2"/>
      <c r="B3497" s="2"/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</row>
    <row r="3498" spans="1:15" ht="15" customHeight="1" x14ac:dyDescent="0.25">
      <c r="A3498" s="3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</row>
    <row r="3499" spans="1:15" ht="15" customHeight="1" x14ac:dyDescent="0.25">
      <c r="A3499" s="2"/>
      <c r="B3499" s="2"/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</row>
    <row r="3500" spans="1:15" ht="15" customHeight="1" x14ac:dyDescent="0.25">
      <c r="A3500" s="3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</row>
    <row r="3501" spans="1:15" ht="15" customHeight="1" x14ac:dyDescent="0.25">
      <c r="A3501" s="2"/>
      <c r="B3501" s="2"/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</row>
    <row r="3502" spans="1:15" ht="15" customHeight="1" x14ac:dyDescent="0.25">
      <c r="A3502" s="3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</row>
    <row r="3503" spans="1:15" ht="15" customHeight="1" x14ac:dyDescent="0.25">
      <c r="A3503" s="2"/>
      <c r="B3503" s="2"/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</row>
    <row r="3504" spans="1:15" ht="15" customHeight="1" x14ac:dyDescent="0.25">
      <c r="A3504" s="3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</row>
    <row r="3505" spans="1:15" ht="15" customHeight="1" x14ac:dyDescent="0.25">
      <c r="A3505" s="2"/>
      <c r="B3505" s="2"/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</row>
    <row r="3506" spans="1:15" ht="15" customHeight="1" x14ac:dyDescent="0.25">
      <c r="A3506" s="3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</row>
    <row r="3507" spans="1:15" ht="15" customHeight="1" x14ac:dyDescent="0.25">
      <c r="A3507" s="2"/>
      <c r="B3507" s="2"/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</row>
    <row r="3508" spans="1:15" ht="15" customHeight="1" x14ac:dyDescent="0.25">
      <c r="A3508" s="3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</row>
    <row r="3509" spans="1:15" ht="15" customHeight="1" x14ac:dyDescent="0.25">
      <c r="A3509" s="2"/>
      <c r="B3509" s="2"/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</row>
    <row r="3510" spans="1:15" ht="15" customHeight="1" x14ac:dyDescent="0.25">
      <c r="A3510" s="3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</row>
    <row r="3511" spans="1:15" ht="15" customHeight="1" x14ac:dyDescent="0.25">
      <c r="A3511" s="2"/>
      <c r="B3511" s="2"/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</row>
    <row r="3512" spans="1:15" ht="15" customHeight="1" x14ac:dyDescent="0.25">
      <c r="A3512" s="3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</row>
    <row r="3513" spans="1:15" ht="15" customHeight="1" x14ac:dyDescent="0.25">
      <c r="A3513" s="2"/>
      <c r="B3513" s="2"/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</row>
    <row r="3514" spans="1:15" ht="15" customHeight="1" x14ac:dyDescent="0.25">
      <c r="A3514" s="3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</row>
    <row r="3515" spans="1:15" ht="15" customHeight="1" x14ac:dyDescent="0.25">
      <c r="A3515" s="2"/>
      <c r="B3515" s="2"/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</row>
    <row r="3516" spans="1:15" ht="15" customHeight="1" x14ac:dyDescent="0.25">
      <c r="A3516" s="3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</row>
    <row r="3517" spans="1:15" ht="15" customHeight="1" x14ac:dyDescent="0.25">
      <c r="A3517" s="2"/>
      <c r="B3517" s="2"/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</row>
    <row r="3518" spans="1:15" ht="15" customHeight="1" x14ac:dyDescent="0.25">
      <c r="A3518" s="3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</row>
    <row r="3519" spans="1:15" ht="15" customHeight="1" x14ac:dyDescent="0.25">
      <c r="A3519" s="2"/>
      <c r="B3519" s="2"/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</row>
    <row r="3520" spans="1:15" ht="15" customHeight="1" x14ac:dyDescent="0.25">
      <c r="A3520" s="3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</row>
    <row r="3521" spans="1:15" ht="15" customHeight="1" x14ac:dyDescent="0.25">
      <c r="A3521" s="2"/>
      <c r="B3521" s="2"/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</row>
    <row r="3522" spans="1:15" ht="15" customHeight="1" x14ac:dyDescent="0.25">
      <c r="A3522" s="3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</row>
    <row r="3523" spans="1:15" ht="15" customHeight="1" x14ac:dyDescent="0.25">
      <c r="A3523" s="2"/>
      <c r="B3523" s="2"/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</row>
    <row r="3524" spans="1:15" ht="15" customHeight="1" x14ac:dyDescent="0.25">
      <c r="A3524" s="3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</row>
    <row r="3525" spans="1:15" ht="15" customHeight="1" x14ac:dyDescent="0.25">
      <c r="A3525" s="2"/>
      <c r="B3525" s="2"/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</row>
    <row r="3526" spans="1:15" ht="15" customHeight="1" x14ac:dyDescent="0.25">
      <c r="A3526" s="3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</row>
    <row r="3527" spans="1:15" ht="15" customHeight="1" x14ac:dyDescent="0.25">
      <c r="A3527" s="2"/>
      <c r="B3527" s="2"/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</row>
    <row r="3528" spans="1:15" ht="15" customHeight="1" x14ac:dyDescent="0.25">
      <c r="A3528" s="3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</row>
    <row r="3529" spans="1:15" ht="15" customHeight="1" x14ac:dyDescent="0.25">
      <c r="A3529" s="2"/>
      <c r="B3529" s="2"/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</row>
    <row r="3530" spans="1:15" ht="15" customHeight="1" x14ac:dyDescent="0.25">
      <c r="A3530" s="3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</row>
    <row r="3531" spans="1:15" ht="15" customHeight="1" x14ac:dyDescent="0.25">
      <c r="A3531" s="2"/>
      <c r="B3531" s="2"/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</row>
    <row r="3532" spans="1:15" ht="15" customHeight="1" x14ac:dyDescent="0.25">
      <c r="A3532" s="3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</row>
    <row r="3533" spans="1:15" ht="15" customHeight="1" x14ac:dyDescent="0.25">
      <c r="A3533" s="2"/>
      <c r="B3533" s="2"/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</row>
    <row r="3534" spans="1:15" ht="15" customHeight="1" x14ac:dyDescent="0.25">
      <c r="A3534" s="3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</row>
    <row r="3535" spans="1:15" ht="15" customHeight="1" x14ac:dyDescent="0.25">
      <c r="A3535" s="2"/>
      <c r="B3535" s="2"/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</row>
    <row r="3536" spans="1:15" ht="15" customHeight="1" x14ac:dyDescent="0.25">
      <c r="A3536" s="3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</row>
    <row r="3537" spans="1:15" ht="15" customHeight="1" x14ac:dyDescent="0.25">
      <c r="A3537" s="2"/>
      <c r="B3537" s="2"/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</row>
    <row r="3538" spans="1:15" ht="15" customHeight="1" x14ac:dyDescent="0.25">
      <c r="A3538" s="3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</row>
    <row r="3539" spans="1:15" ht="15" customHeight="1" x14ac:dyDescent="0.25">
      <c r="A3539" s="2"/>
      <c r="B3539" s="2"/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</row>
    <row r="3540" spans="1:15" ht="15" customHeight="1" x14ac:dyDescent="0.25">
      <c r="A3540" s="3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</row>
    <row r="3541" spans="1:15" ht="15" customHeight="1" x14ac:dyDescent="0.25">
      <c r="A3541" s="2"/>
      <c r="B3541" s="2"/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</row>
    <row r="3542" spans="1:15" ht="15" customHeight="1" x14ac:dyDescent="0.25">
      <c r="A3542" s="3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</row>
    <row r="3543" spans="1:15" ht="15" customHeight="1" x14ac:dyDescent="0.25">
      <c r="A3543" s="2"/>
      <c r="B3543" s="2"/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</row>
    <row r="3544" spans="1:15" ht="15" customHeight="1" x14ac:dyDescent="0.25">
      <c r="A3544" s="3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</row>
    <row r="3545" spans="1:15" ht="15" customHeight="1" x14ac:dyDescent="0.25">
      <c r="A3545" s="2"/>
      <c r="B3545" s="2"/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</row>
    <row r="3546" spans="1:15" ht="15" customHeight="1" x14ac:dyDescent="0.25">
      <c r="A3546" s="3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</row>
    <row r="3547" spans="1:15" ht="15" customHeight="1" x14ac:dyDescent="0.25">
      <c r="A3547" s="2"/>
      <c r="B3547" s="2"/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</row>
    <row r="3548" spans="1:15" ht="15" customHeight="1" x14ac:dyDescent="0.25">
      <c r="A3548" s="3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</row>
    <row r="3549" spans="1:15" ht="15" customHeight="1" x14ac:dyDescent="0.25">
      <c r="A3549" s="2"/>
      <c r="B3549" s="2"/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</row>
    <row r="3550" spans="1:15" ht="15" customHeight="1" x14ac:dyDescent="0.25">
      <c r="A3550" s="3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</row>
    <row r="3551" spans="1:15" ht="15" customHeight="1" x14ac:dyDescent="0.25">
      <c r="A3551" s="2"/>
      <c r="B3551" s="2"/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</row>
    <row r="3552" spans="1:15" ht="15" customHeight="1" x14ac:dyDescent="0.25">
      <c r="A3552" s="3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</row>
    <row r="3553" spans="1:15" ht="15" customHeight="1" x14ac:dyDescent="0.25">
      <c r="A3553" s="2"/>
      <c r="B3553" s="2"/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</row>
    <row r="3554" spans="1:15" ht="15" customHeight="1" x14ac:dyDescent="0.25">
      <c r="A3554" s="3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</row>
    <row r="3555" spans="1:15" ht="15" customHeight="1" x14ac:dyDescent="0.25">
      <c r="A3555" s="2"/>
      <c r="B3555" s="2"/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</row>
    <row r="3556" spans="1:15" ht="15" customHeight="1" x14ac:dyDescent="0.25">
      <c r="A3556" s="3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</row>
    <row r="3557" spans="1:15" ht="15" customHeight="1" x14ac:dyDescent="0.25">
      <c r="A3557" s="2"/>
      <c r="B3557" s="2"/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</row>
    <row r="3558" spans="1:15" ht="15" customHeight="1" x14ac:dyDescent="0.25">
      <c r="A3558" s="3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</row>
    <row r="3559" spans="1:15" ht="15" customHeight="1" x14ac:dyDescent="0.25">
      <c r="A3559" s="2"/>
      <c r="B3559" s="2"/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</row>
    <row r="3560" spans="1:15" ht="15" customHeight="1" x14ac:dyDescent="0.25">
      <c r="A3560" s="3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</row>
    <row r="3561" spans="1:15" ht="15" customHeight="1" x14ac:dyDescent="0.25">
      <c r="A3561" s="2"/>
      <c r="B3561" s="2"/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</row>
    <row r="3562" spans="1:15" ht="15" customHeight="1" x14ac:dyDescent="0.25">
      <c r="A3562" s="3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</row>
    <row r="3563" spans="1:15" ht="15" customHeight="1" x14ac:dyDescent="0.25">
      <c r="A3563" s="2"/>
      <c r="B3563" s="2"/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</row>
    <row r="3564" spans="1:15" ht="15" customHeight="1" x14ac:dyDescent="0.25">
      <c r="A3564" s="3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</row>
    <row r="3565" spans="1:15" ht="15" customHeight="1" x14ac:dyDescent="0.25">
      <c r="A3565" s="2"/>
      <c r="B3565" s="2"/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</row>
    <row r="3566" spans="1:15" ht="15" customHeight="1" x14ac:dyDescent="0.25">
      <c r="A3566" s="3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</row>
    <row r="3567" spans="1:15" ht="15" customHeight="1" x14ac:dyDescent="0.25">
      <c r="A3567" s="2"/>
      <c r="B3567" s="2"/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</row>
    <row r="3568" spans="1:15" ht="15" customHeight="1" x14ac:dyDescent="0.25">
      <c r="A3568" s="3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</row>
    <row r="3569" spans="1:15" ht="15" customHeight="1" x14ac:dyDescent="0.25">
      <c r="A3569" s="2"/>
      <c r="B3569" s="2"/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</row>
    <row r="3570" spans="1:15" ht="15" customHeight="1" x14ac:dyDescent="0.25">
      <c r="A3570" s="3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</row>
    <row r="3571" spans="1:15" ht="15" customHeight="1" x14ac:dyDescent="0.25">
      <c r="A3571" s="2"/>
      <c r="B3571" s="2"/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</row>
    <row r="3572" spans="1:15" ht="15" customHeight="1" x14ac:dyDescent="0.25">
      <c r="A3572" s="3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</row>
    <row r="3573" spans="1:15" ht="15" customHeight="1" x14ac:dyDescent="0.25">
      <c r="A3573" s="2"/>
      <c r="B3573" s="2"/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</row>
    <row r="3574" spans="1:15" ht="15" customHeight="1" x14ac:dyDescent="0.25">
      <c r="A3574" s="3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</row>
    <row r="3575" spans="1:15" ht="15" customHeight="1" x14ac:dyDescent="0.25">
      <c r="A3575" s="2"/>
      <c r="B3575" s="2"/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</row>
    <row r="3576" spans="1:15" ht="15" customHeight="1" x14ac:dyDescent="0.25">
      <c r="A3576" s="3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</row>
    <row r="3577" spans="1:15" ht="15" customHeight="1" x14ac:dyDescent="0.25">
      <c r="A3577" s="2"/>
      <c r="B3577" s="2"/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</row>
    <row r="3578" spans="1:15" ht="15" customHeight="1" x14ac:dyDescent="0.25">
      <c r="A3578" s="3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</row>
    <row r="3579" spans="1:15" ht="15" customHeight="1" x14ac:dyDescent="0.25">
      <c r="A3579" s="2"/>
      <c r="B3579" s="2"/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</row>
    <row r="3580" spans="1:15" ht="15" customHeight="1" x14ac:dyDescent="0.25">
      <c r="A3580" s="3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</row>
    <row r="3581" spans="1:15" ht="15" customHeight="1" x14ac:dyDescent="0.25">
      <c r="A3581" s="2"/>
      <c r="B3581" s="2"/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</row>
    <row r="3582" spans="1:15" ht="15" customHeight="1" x14ac:dyDescent="0.25">
      <c r="A3582" s="3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</row>
    <row r="3583" spans="1:15" ht="15" customHeight="1" x14ac:dyDescent="0.25">
      <c r="A3583" s="2"/>
      <c r="B3583" s="2"/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</row>
    <row r="3584" spans="1:15" ht="15" customHeight="1" x14ac:dyDescent="0.25">
      <c r="A3584" s="3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</row>
    <row r="3585" spans="1:15" ht="15" customHeight="1" x14ac:dyDescent="0.25">
      <c r="A3585" s="2"/>
      <c r="B3585" s="2"/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</row>
    <row r="3586" spans="1:15" ht="15" customHeight="1" x14ac:dyDescent="0.25">
      <c r="A3586" s="3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</row>
    <row r="3587" spans="1:15" ht="15" customHeight="1" x14ac:dyDescent="0.25">
      <c r="A3587" s="2"/>
      <c r="B3587" s="2"/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</row>
    <row r="3588" spans="1:15" ht="15" customHeight="1" x14ac:dyDescent="0.25">
      <c r="A3588" s="3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</row>
    <row r="3589" spans="1:15" ht="15" customHeight="1" x14ac:dyDescent="0.25">
      <c r="A3589" s="2"/>
      <c r="B3589" s="2"/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</row>
    <row r="3590" spans="1:15" ht="15" customHeight="1" x14ac:dyDescent="0.25">
      <c r="A3590" s="3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</row>
    <row r="3591" spans="1:15" ht="15" customHeight="1" x14ac:dyDescent="0.25">
      <c r="A3591" s="2"/>
      <c r="B3591" s="2"/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</row>
    <row r="3592" spans="1:15" ht="15" customHeight="1" x14ac:dyDescent="0.25">
      <c r="A3592" s="3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</row>
    <row r="3593" spans="1:15" ht="15" customHeight="1" x14ac:dyDescent="0.25">
      <c r="A3593" s="2"/>
      <c r="B3593" s="2"/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</row>
    <row r="3594" spans="1:15" ht="15" customHeight="1" x14ac:dyDescent="0.25">
      <c r="A3594" s="3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</row>
    <row r="3595" spans="1:15" ht="15" customHeight="1" x14ac:dyDescent="0.25">
      <c r="A3595" s="2"/>
      <c r="B3595" s="2"/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</row>
    <row r="3596" spans="1:15" ht="15" customHeight="1" x14ac:dyDescent="0.25">
      <c r="A3596" s="3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</row>
    <row r="3597" spans="1:15" ht="15" customHeight="1" x14ac:dyDescent="0.25">
      <c r="A3597" s="2"/>
      <c r="B3597" s="2"/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</row>
    <row r="3598" spans="1:15" ht="15" customHeight="1" x14ac:dyDescent="0.25">
      <c r="A3598" s="3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</row>
    <row r="3599" spans="1:15" ht="15" customHeight="1" x14ac:dyDescent="0.25">
      <c r="A3599" s="2"/>
      <c r="B3599" s="2"/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</row>
    <row r="3600" spans="1:15" ht="15" customHeight="1" x14ac:dyDescent="0.25">
      <c r="A3600" s="3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</row>
    <row r="3601" spans="1:15" ht="15" customHeight="1" x14ac:dyDescent="0.25">
      <c r="A3601" s="2"/>
      <c r="B3601" s="2"/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</row>
    <row r="3602" spans="1:15" ht="15" customHeight="1" x14ac:dyDescent="0.25">
      <c r="A3602" s="3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</row>
    <row r="3603" spans="1:15" ht="15" customHeight="1" x14ac:dyDescent="0.25">
      <c r="A3603" s="2"/>
      <c r="B3603" s="2"/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</row>
    <row r="3604" spans="1:15" ht="15" customHeight="1" x14ac:dyDescent="0.25">
      <c r="A3604" s="3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</row>
    <row r="3605" spans="1:15" ht="15" customHeight="1" x14ac:dyDescent="0.25">
      <c r="A3605" s="2"/>
      <c r="B3605" s="2"/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</row>
    <row r="3606" spans="1:15" ht="15" customHeight="1" x14ac:dyDescent="0.25">
      <c r="A3606" s="3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</row>
    <row r="3607" spans="1:15" ht="15" customHeight="1" x14ac:dyDescent="0.25">
      <c r="A3607" s="2"/>
      <c r="B3607" s="2"/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</row>
    <row r="3608" spans="1:15" ht="15" customHeight="1" x14ac:dyDescent="0.25">
      <c r="A3608" s="3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</row>
    <row r="3609" spans="1:15" ht="15" customHeight="1" x14ac:dyDescent="0.25">
      <c r="A3609" s="2"/>
      <c r="B3609" s="2"/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</row>
    <row r="3610" spans="1:15" ht="15" customHeight="1" x14ac:dyDescent="0.25">
      <c r="A3610" s="3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</row>
    <row r="3611" spans="1:15" ht="15" customHeight="1" x14ac:dyDescent="0.25">
      <c r="A3611" s="2"/>
      <c r="B3611" s="2"/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</row>
    <row r="3612" spans="1:15" ht="15" customHeight="1" x14ac:dyDescent="0.25">
      <c r="A3612" s="3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</row>
    <row r="3613" spans="1:15" ht="15" customHeight="1" x14ac:dyDescent="0.25">
      <c r="A3613" s="2"/>
      <c r="B3613" s="2"/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</row>
    <row r="3614" spans="1:15" ht="15" customHeight="1" x14ac:dyDescent="0.25">
      <c r="A3614" s="3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</row>
    <row r="3615" spans="1:15" ht="15" customHeight="1" x14ac:dyDescent="0.25">
      <c r="A3615" s="2"/>
      <c r="B3615" s="2"/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</row>
    <row r="3616" spans="1:15" ht="15" customHeight="1" x14ac:dyDescent="0.25">
      <c r="A3616" s="3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</row>
    <row r="3617" spans="1:15" ht="15" customHeight="1" x14ac:dyDescent="0.25">
      <c r="A3617" s="2"/>
      <c r="B3617" s="2"/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</row>
    <row r="3618" spans="1:15" ht="15" customHeight="1" x14ac:dyDescent="0.25">
      <c r="A3618" s="3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</row>
    <row r="3619" spans="1:15" ht="15" customHeight="1" x14ac:dyDescent="0.25">
      <c r="A3619" s="2"/>
      <c r="B3619" s="2"/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</row>
    <row r="3620" spans="1:15" ht="15" customHeight="1" x14ac:dyDescent="0.25">
      <c r="A3620" s="3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</row>
    <row r="3621" spans="1:15" ht="15" customHeight="1" x14ac:dyDescent="0.25">
      <c r="A3621" s="2"/>
      <c r="B3621" s="2"/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</row>
    <row r="3622" spans="1:15" ht="15" customHeight="1" x14ac:dyDescent="0.25">
      <c r="A3622" s="3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</row>
    <row r="3623" spans="1:15" ht="15" customHeight="1" x14ac:dyDescent="0.25">
      <c r="A3623" s="2"/>
      <c r="B3623" s="2"/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</row>
    <row r="3624" spans="1:15" ht="15" customHeight="1" x14ac:dyDescent="0.25">
      <c r="A3624" s="3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</row>
    <row r="3625" spans="1:15" ht="15" customHeight="1" x14ac:dyDescent="0.25">
      <c r="A3625" s="2"/>
      <c r="B3625" s="2"/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</row>
    <row r="3626" spans="1:15" ht="15" customHeight="1" x14ac:dyDescent="0.25">
      <c r="A3626" s="3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</row>
    <row r="3627" spans="1:15" ht="15" customHeight="1" x14ac:dyDescent="0.25">
      <c r="A3627" s="2"/>
      <c r="B3627" s="2"/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</row>
    <row r="3628" spans="1:15" ht="15" customHeight="1" x14ac:dyDescent="0.25">
      <c r="A3628" s="3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</row>
    <row r="3629" spans="1:15" ht="15" customHeight="1" x14ac:dyDescent="0.25">
      <c r="A3629" s="2"/>
      <c r="B3629" s="2"/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</row>
    <row r="3630" spans="1:15" ht="15" customHeight="1" x14ac:dyDescent="0.25">
      <c r="A3630" s="3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</row>
    <row r="3631" spans="1:15" ht="15" customHeight="1" x14ac:dyDescent="0.25">
      <c r="A3631" s="2"/>
      <c r="B3631" s="2"/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</row>
    <row r="3632" spans="1:15" ht="15" customHeight="1" x14ac:dyDescent="0.25">
      <c r="A3632" s="3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</row>
    <row r="3633" spans="1:15" ht="15" customHeight="1" x14ac:dyDescent="0.25">
      <c r="A3633" s="2"/>
      <c r="B3633" s="2"/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</row>
    <row r="3634" spans="1:15" ht="15" customHeight="1" x14ac:dyDescent="0.25">
      <c r="A3634" s="3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</row>
    <row r="3635" spans="1:15" ht="15" customHeight="1" x14ac:dyDescent="0.25">
      <c r="A3635" s="2"/>
      <c r="B3635" s="2"/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</row>
    <row r="3636" spans="1:15" ht="15" customHeight="1" x14ac:dyDescent="0.25">
      <c r="A3636" s="3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</row>
    <row r="3637" spans="1:15" ht="15" customHeight="1" x14ac:dyDescent="0.25">
      <c r="A3637" s="2"/>
      <c r="B3637" s="2"/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</row>
    <row r="3638" spans="1:15" ht="15" customHeight="1" x14ac:dyDescent="0.25">
      <c r="A3638" s="3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</row>
    <row r="3639" spans="1:15" ht="15" customHeight="1" x14ac:dyDescent="0.25">
      <c r="A3639" s="2"/>
      <c r="B3639" s="2"/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</row>
    <row r="3640" spans="1:15" ht="15" customHeight="1" x14ac:dyDescent="0.25">
      <c r="A3640" s="3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</row>
    <row r="3641" spans="1:15" ht="15" customHeight="1" x14ac:dyDescent="0.25">
      <c r="A3641" s="2"/>
      <c r="B3641" s="2"/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</row>
    <row r="3642" spans="1:15" ht="15" customHeight="1" x14ac:dyDescent="0.25">
      <c r="A3642" s="3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</row>
    <row r="3643" spans="1:15" ht="15" customHeight="1" x14ac:dyDescent="0.25">
      <c r="A3643" s="2"/>
      <c r="B3643" s="2"/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</row>
    <row r="3644" spans="1:15" ht="15" customHeight="1" x14ac:dyDescent="0.25">
      <c r="A3644" s="3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</row>
    <row r="3645" spans="1:15" ht="15" customHeight="1" x14ac:dyDescent="0.25">
      <c r="A3645" s="2"/>
      <c r="B3645" s="2"/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</row>
    <row r="3646" spans="1:15" ht="15" customHeight="1" x14ac:dyDescent="0.25">
      <c r="A3646" s="3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</row>
    <row r="3647" spans="1:15" ht="15" customHeight="1" x14ac:dyDescent="0.25">
      <c r="A3647" s="2"/>
      <c r="B3647" s="2"/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</row>
    <row r="3648" spans="1:15" ht="15" customHeight="1" x14ac:dyDescent="0.25">
      <c r="A3648" s="3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</row>
    <row r="3649" spans="1:15" ht="15" customHeight="1" x14ac:dyDescent="0.25">
      <c r="A3649" s="2"/>
      <c r="B3649" s="2"/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</row>
    <row r="3650" spans="1:15" ht="15" customHeight="1" x14ac:dyDescent="0.25">
      <c r="A3650" s="3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</row>
    <row r="3651" spans="1:15" ht="15" customHeight="1" x14ac:dyDescent="0.25">
      <c r="A3651" s="2"/>
      <c r="B3651" s="2"/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</row>
    <row r="3652" spans="1:15" ht="15" customHeight="1" x14ac:dyDescent="0.25">
      <c r="A3652" s="3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</row>
    <row r="3653" spans="1:15" ht="15" customHeight="1" x14ac:dyDescent="0.25">
      <c r="A3653" s="2"/>
      <c r="B3653" s="2"/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</row>
    <row r="3654" spans="1:15" ht="15" customHeight="1" x14ac:dyDescent="0.25">
      <c r="A3654" s="3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</row>
    <row r="3655" spans="1:15" ht="15" customHeight="1" x14ac:dyDescent="0.25">
      <c r="A3655" s="2"/>
      <c r="B3655" s="2"/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</row>
    <row r="3656" spans="1:15" ht="15" customHeight="1" x14ac:dyDescent="0.25">
      <c r="A3656" s="3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</row>
    <row r="3657" spans="1:15" ht="15" customHeight="1" x14ac:dyDescent="0.25">
      <c r="A3657" s="2"/>
      <c r="B3657" s="2"/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</row>
    <row r="3658" spans="1:15" ht="15" customHeight="1" x14ac:dyDescent="0.25">
      <c r="A3658" s="3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</row>
    <row r="3659" spans="1:15" ht="15" customHeight="1" x14ac:dyDescent="0.25">
      <c r="A3659" s="2"/>
      <c r="B3659" s="2"/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</row>
    <row r="3660" spans="1:15" ht="15" customHeight="1" x14ac:dyDescent="0.25">
      <c r="A3660" s="3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</row>
    <row r="3661" spans="1:15" ht="15" customHeight="1" x14ac:dyDescent="0.25">
      <c r="A3661" s="2"/>
      <c r="B3661" s="2"/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</row>
    <row r="3662" spans="1:15" ht="15" customHeight="1" x14ac:dyDescent="0.25">
      <c r="A3662" s="3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</row>
    <row r="3663" spans="1:15" ht="15" customHeight="1" x14ac:dyDescent="0.25">
      <c r="A3663" s="2"/>
      <c r="B3663" s="2"/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</row>
    <row r="3664" spans="1:15" ht="15" customHeight="1" x14ac:dyDescent="0.25">
      <c r="A3664" s="3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</row>
    <row r="3665" spans="1:15" ht="15" customHeight="1" x14ac:dyDescent="0.25">
      <c r="A3665" s="2"/>
      <c r="B3665" s="2"/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</row>
    <row r="3666" spans="1:15" ht="15" customHeight="1" x14ac:dyDescent="0.25">
      <c r="A3666" s="3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</row>
    <row r="3667" spans="1:15" ht="15" customHeight="1" x14ac:dyDescent="0.25">
      <c r="A3667" s="2"/>
      <c r="B3667" s="2"/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</row>
    <row r="3668" spans="1:15" ht="15" customHeight="1" x14ac:dyDescent="0.25">
      <c r="A3668" s="3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</row>
    <row r="3669" spans="1:15" ht="15" customHeight="1" x14ac:dyDescent="0.25">
      <c r="A3669" s="2"/>
      <c r="B3669" s="2"/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</row>
    <row r="3670" spans="1:15" ht="15" customHeight="1" x14ac:dyDescent="0.25">
      <c r="A3670" s="3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</row>
    <row r="3671" spans="1:15" ht="15" customHeight="1" x14ac:dyDescent="0.25">
      <c r="A3671" s="2"/>
      <c r="B3671" s="2"/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</row>
    <row r="3672" spans="1:15" ht="15" customHeight="1" x14ac:dyDescent="0.25">
      <c r="A3672" s="3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</row>
    <row r="3673" spans="1:15" ht="15" customHeight="1" x14ac:dyDescent="0.25">
      <c r="A3673" s="2"/>
      <c r="B3673" s="2"/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</row>
    <row r="3674" spans="1:15" ht="15" customHeight="1" x14ac:dyDescent="0.25">
      <c r="A3674" s="3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</row>
    <row r="3675" spans="1:15" ht="15" customHeight="1" x14ac:dyDescent="0.25">
      <c r="A3675" s="2"/>
      <c r="B3675" s="2"/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</row>
    <row r="3676" spans="1:15" ht="15" customHeight="1" x14ac:dyDescent="0.25">
      <c r="A3676" s="3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</row>
    <row r="3677" spans="1:15" ht="15" customHeight="1" x14ac:dyDescent="0.25">
      <c r="A3677" s="2"/>
      <c r="B3677" s="2"/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</row>
    <row r="3678" spans="1:15" ht="15" customHeight="1" x14ac:dyDescent="0.25">
      <c r="A3678" s="3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</row>
    <row r="3679" spans="1:15" ht="15" customHeight="1" x14ac:dyDescent="0.25">
      <c r="A3679" s="2"/>
      <c r="B3679" s="2"/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</row>
    <row r="3680" spans="1:15" ht="15" customHeight="1" x14ac:dyDescent="0.25">
      <c r="A3680" s="3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</row>
    <row r="3681" spans="1:15" ht="15" customHeight="1" x14ac:dyDescent="0.25">
      <c r="A3681" s="2"/>
      <c r="B3681" s="2"/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</row>
    <row r="3682" spans="1:15" ht="15" customHeight="1" x14ac:dyDescent="0.25">
      <c r="A3682" s="3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</row>
    <row r="3683" spans="1:15" ht="15" customHeight="1" x14ac:dyDescent="0.25">
      <c r="A3683" s="2"/>
      <c r="B3683" s="2"/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</row>
    <row r="3684" spans="1:15" ht="15" customHeight="1" x14ac:dyDescent="0.25">
      <c r="A3684" s="3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</row>
    <row r="3685" spans="1:15" ht="15" customHeight="1" x14ac:dyDescent="0.25">
      <c r="A3685" s="2"/>
      <c r="B3685" s="2"/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</row>
    <row r="3686" spans="1:15" ht="15" customHeight="1" x14ac:dyDescent="0.25">
      <c r="A3686" s="3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</row>
    <row r="3687" spans="1:15" ht="15" customHeight="1" x14ac:dyDescent="0.25">
      <c r="A3687" s="2"/>
      <c r="B3687" s="2"/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</row>
    <row r="3688" spans="1:15" ht="15" customHeight="1" x14ac:dyDescent="0.25">
      <c r="A3688" s="3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</row>
    <row r="3689" spans="1:15" ht="15" customHeight="1" x14ac:dyDescent="0.25">
      <c r="A3689" s="2"/>
      <c r="B3689" s="2"/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</row>
    <row r="3690" spans="1:15" ht="15" customHeight="1" x14ac:dyDescent="0.25">
      <c r="A3690" s="3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</row>
    <row r="3691" spans="1:15" ht="15" customHeight="1" x14ac:dyDescent="0.25">
      <c r="A3691" s="2"/>
      <c r="B3691" s="2"/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</row>
    <row r="3692" spans="1:15" ht="15" customHeight="1" x14ac:dyDescent="0.25">
      <c r="A3692" s="3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</row>
    <row r="3693" spans="1:15" ht="15" customHeight="1" x14ac:dyDescent="0.25">
      <c r="A3693" s="2"/>
      <c r="B3693" s="2"/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</row>
    <row r="3694" spans="1:15" ht="15" customHeight="1" x14ac:dyDescent="0.25">
      <c r="A3694" s="3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</row>
    <row r="3695" spans="1:15" ht="15" customHeight="1" x14ac:dyDescent="0.25">
      <c r="A3695" s="2"/>
      <c r="B3695" s="2"/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</row>
    <row r="3696" spans="1:15" ht="15" customHeight="1" x14ac:dyDescent="0.25">
      <c r="A3696" s="3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</row>
    <row r="3697" spans="1:15" ht="15" customHeight="1" x14ac:dyDescent="0.25">
      <c r="A3697" s="2"/>
      <c r="B3697" s="2"/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</row>
    <row r="3698" spans="1:15" ht="15" customHeight="1" x14ac:dyDescent="0.25">
      <c r="A3698" s="3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</row>
    <row r="3699" spans="1:15" ht="15" customHeight="1" x14ac:dyDescent="0.25">
      <c r="A3699" s="2"/>
      <c r="B3699" s="2"/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</row>
    <row r="3700" spans="1:15" ht="15" customHeight="1" x14ac:dyDescent="0.25">
      <c r="A3700" s="3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</row>
    <row r="3701" spans="1:15" ht="15" customHeight="1" x14ac:dyDescent="0.25">
      <c r="A3701" s="2"/>
      <c r="B3701" s="2"/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</row>
    <row r="3702" spans="1:15" ht="15" customHeight="1" x14ac:dyDescent="0.25">
      <c r="A3702" s="3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</row>
    <row r="3703" spans="1:15" ht="15" customHeight="1" x14ac:dyDescent="0.25">
      <c r="A3703" s="2"/>
      <c r="B3703" s="2"/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</row>
    <row r="3704" spans="1:15" ht="15" customHeight="1" x14ac:dyDescent="0.25">
      <c r="A3704" s="3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</row>
    <row r="3705" spans="1:15" ht="15" customHeight="1" x14ac:dyDescent="0.25">
      <c r="A3705" s="2"/>
      <c r="B3705" s="2"/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</row>
    <row r="3706" spans="1:15" ht="15" customHeight="1" x14ac:dyDescent="0.25">
      <c r="A3706" s="3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</row>
    <row r="3707" spans="1:15" ht="15" customHeight="1" x14ac:dyDescent="0.25">
      <c r="A3707" s="2"/>
      <c r="B3707" s="2"/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</row>
    <row r="3708" spans="1:15" ht="15" customHeight="1" x14ac:dyDescent="0.25">
      <c r="A3708" s="3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</row>
    <row r="3709" spans="1:15" ht="15" customHeight="1" x14ac:dyDescent="0.25">
      <c r="A3709" s="2"/>
      <c r="B3709" s="2"/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</row>
    <row r="3710" spans="1:15" ht="15" customHeight="1" x14ac:dyDescent="0.25">
      <c r="A3710" s="3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</row>
    <row r="3711" spans="1:15" ht="15" customHeight="1" x14ac:dyDescent="0.25">
      <c r="A3711" s="2"/>
      <c r="B3711" s="2"/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</row>
    <row r="3712" spans="1:15" ht="15" customHeight="1" x14ac:dyDescent="0.25">
      <c r="A3712" s="3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</row>
    <row r="3713" spans="1:15" ht="15" customHeight="1" x14ac:dyDescent="0.25">
      <c r="A3713" s="2"/>
      <c r="B3713" s="2"/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</row>
    <row r="3714" spans="1:15" ht="15" customHeight="1" x14ac:dyDescent="0.25">
      <c r="A3714" s="3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</row>
    <row r="3715" spans="1:15" ht="15" customHeight="1" x14ac:dyDescent="0.25">
      <c r="A3715" s="2"/>
      <c r="B3715" s="2"/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</row>
    <row r="3716" spans="1:15" ht="15" customHeight="1" x14ac:dyDescent="0.25">
      <c r="A3716" s="3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</row>
    <row r="3717" spans="1:15" ht="15" customHeight="1" x14ac:dyDescent="0.25">
      <c r="A3717" s="2"/>
      <c r="B3717" s="2"/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</row>
    <row r="3718" spans="1:15" ht="15" customHeight="1" x14ac:dyDescent="0.25">
      <c r="A3718" s="3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</row>
    <row r="3719" spans="1:15" ht="15" customHeight="1" x14ac:dyDescent="0.25">
      <c r="A3719" s="2"/>
      <c r="B3719" s="2"/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</row>
    <row r="3720" spans="1:15" ht="15" customHeight="1" x14ac:dyDescent="0.25">
      <c r="A3720" s="3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</row>
    <row r="3721" spans="1:15" ht="15" customHeight="1" x14ac:dyDescent="0.25">
      <c r="A3721" s="2"/>
      <c r="B3721" s="2"/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</row>
    <row r="3722" spans="1:15" ht="15" customHeight="1" x14ac:dyDescent="0.25">
      <c r="A3722" s="3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</row>
    <row r="3723" spans="1:15" ht="15" customHeight="1" x14ac:dyDescent="0.25">
      <c r="A3723" s="2"/>
      <c r="B3723" s="2"/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</row>
    <row r="3724" spans="1:15" ht="15" customHeight="1" x14ac:dyDescent="0.25">
      <c r="A3724" s="3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</row>
    <row r="3725" spans="1:15" ht="15" customHeight="1" x14ac:dyDescent="0.25">
      <c r="A3725" s="2"/>
      <c r="B3725" s="2"/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</row>
    <row r="3726" spans="1:15" ht="15" customHeight="1" x14ac:dyDescent="0.25">
      <c r="A3726" s="3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</row>
    <row r="3727" spans="1:15" ht="15" customHeight="1" x14ac:dyDescent="0.25">
      <c r="A3727" s="2"/>
      <c r="B3727" s="2"/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</row>
    <row r="3728" spans="1:15" ht="15" customHeight="1" x14ac:dyDescent="0.25">
      <c r="A3728" s="3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</row>
    <row r="3729" spans="1:15" ht="15" customHeight="1" x14ac:dyDescent="0.25">
      <c r="A3729" s="2"/>
      <c r="B3729" s="2"/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</row>
    <row r="3730" spans="1:15" ht="15" customHeight="1" x14ac:dyDescent="0.25">
      <c r="A3730" s="3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</row>
    <row r="3731" spans="1:15" ht="15" customHeight="1" x14ac:dyDescent="0.25">
      <c r="A3731" s="2"/>
      <c r="B3731" s="2"/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</row>
    <row r="3732" spans="1:15" ht="15" customHeight="1" x14ac:dyDescent="0.25">
      <c r="A3732" s="3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</row>
    <row r="3733" spans="1:15" ht="15" customHeight="1" x14ac:dyDescent="0.25">
      <c r="A3733" s="2"/>
      <c r="B3733" s="2"/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</row>
    <row r="3734" spans="1:15" ht="15" customHeight="1" x14ac:dyDescent="0.25">
      <c r="A3734" s="3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</row>
    <row r="3735" spans="1:15" ht="15" customHeight="1" x14ac:dyDescent="0.25">
      <c r="A3735" s="2"/>
      <c r="B3735" s="2"/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</row>
    <row r="3736" spans="1:15" ht="15" customHeight="1" x14ac:dyDescent="0.25">
      <c r="A3736" s="3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</row>
    <row r="3737" spans="1:15" ht="15" customHeight="1" x14ac:dyDescent="0.25">
      <c r="A3737" s="2"/>
      <c r="B3737" s="2"/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</row>
    <row r="3738" spans="1:15" ht="15" customHeight="1" x14ac:dyDescent="0.25">
      <c r="A3738" s="3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</row>
    <row r="3739" spans="1:15" ht="15" customHeight="1" x14ac:dyDescent="0.25">
      <c r="A3739" s="2"/>
      <c r="B3739" s="2"/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</row>
    <row r="3740" spans="1:15" ht="15" customHeight="1" x14ac:dyDescent="0.25">
      <c r="A3740" s="3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</row>
    <row r="3741" spans="1:15" ht="15" customHeight="1" x14ac:dyDescent="0.25">
      <c r="A3741" s="2"/>
      <c r="B3741" s="2"/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</row>
    <row r="3742" spans="1:15" ht="15" customHeight="1" x14ac:dyDescent="0.25">
      <c r="A3742" s="3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</row>
    <row r="3743" spans="1:15" ht="15" customHeight="1" x14ac:dyDescent="0.25">
      <c r="A3743" s="2"/>
      <c r="B3743" s="2"/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</row>
    <row r="3744" spans="1:15" ht="15" customHeight="1" x14ac:dyDescent="0.25">
      <c r="A3744" s="3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</row>
    <row r="3745" spans="1:15" ht="15" customHeight="1" x14ac:dyDescent="0.25">
      <c r="A3745" s="2"/>
      <c r="B3745" s="2"/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</row>
    <row r="3746" spans="1:15" ht="15" customHeight="1" x14ac:dyDescent="0.25">
      <c r="A3746" s="3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</row>
    <row r="3747" spans="1:15" ht="15" customHeight="1" x14ac:dyDescent="0.25">
      <c r="A3747" s="2"/>
      <c r="B3747" s="2"/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</row>
    <row r="3748" spans="1:15" ht="15" customHeight="1" x14ac:dyDescent="0.25">
      <c r="A3748" s="3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</row>
    <row r="3749" spans="1:15" ht="15" customHeight="1" x14ac:dyDescent="0.25">
      <c r="A3749" s="2"/>
      <c r="B3749" s="2"/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</row>
    <row r="3750" spans="1:15" ht="15" customHeight="1" x14ac:dyDescent="0.25">
      <c r="A3750" s="3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</row>
    <row r="3751" spans="1:15" ht="15" customHeight="1" x14ac:dyDescent="0.25">
      <c r="A3751" s="2"/>
      <c r="B3751" s="2"/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</row>
    <row r="3752" spans="1:15" ht="15" customHeight="1" x14ac:dyDescent="0.25">
      <c r="A3752" s="3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</row>
    <row r="3753" spans="1:15" ht="15" customHeight="1" x14ac:dyDescent="0.25">
      <c r="A3753" s="2"/>
      <c r="B3753" s="2"/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</row>
    <row r="3754" spans="1:15" ht="15" customHeight="1" x14ac:dyDescent="0.25">
      <c r="A3754" s="3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</row>
    <row r="3755" spans="1:15" ht="15" customHeight="1" x14ac:dyDescent="0.25">
      <c r="A3755" s="2"/>
      <c r="B3755" s="2"/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</row>
    <row r="3756" spans="1:15" ht="15" customHeight="1" x14ac:dyDescent="0.25">
      <c r="A3756" s="3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</row>
    <row r="3757" spans="1:15" ht="15" customHeight="1" x14ac:dyDescent="0.25">
      <c r="A3757" s="2"/>
      <c r="B3757" s="2"/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</row>
    <row r="3758" spans="1:15" ht="15" customHeight="1" x14ac:dyDescent="0.25">
      <c r="A3758" s="3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</row>
    <row r="3759" spans="1:15" ht="15" customHeight="1" x14ac:dyDescent="0.25">
      <c r="A3759" s="2"/>
      <c r="B3759" s="2"/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</row>
    <row r="3760" spans="1:15" ht="15" customHeight="1" x14ac:dyDescent="0.25">
      <c r="A3760" s="3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</row>
    <row r="3761" spans="1:15" ht="15" customHeight="1" x14ac:dyDescent="0.25">
      <c r="A3761" s="2"/>
      <c r="B3761" s="2"/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</row>
    <row r="3762" spans="1:15" ht="15" customHeight="1" x14ac:dyDescent="0.25">
      <c r="A3762" s="3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</row>
    <row r="3763" spans="1:15" ht="15" customHeight="1" x14ac:dyDescent="0.25">
      <c r="A3763" s="2"/>
      <c r="B3763" s="2"/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</row>
    <row r="3764" spans="1:15" ht="15" customHeight="1" x14ac:dyDescent="0.25">
      <c r="A3764" s="3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</row>
    <row r="3765" spans="1:15" ht="15" customHeight="1" x14ac:dyDescent="0.25">
      <c r="A3765" s="2"/>
      <c r="B3765" s="2"/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</row>
    <row r="3766" spans="1:15" ht="15" customHeight="1" x14ac:dyDescent="0.25">
      <c r="A3766" s="3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</row>
    <row r="3767" spans="1:15" ht="15" customHeight="1" x14ac:dyDescent="0.25">
      <c r="A3767" s="2"/>
      <c r="B3767" s="2"/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</row>
    <row r="3768" spans="1:15" ht="15" customHeight="1" x14ac:dyDescent="0.25">
      <c r="A3768" s="3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</row>
    <row r="3769" spans="1:15" ht="15" customHeight="1" x14ac:dyDescent="0.25">
      <c r="A3769" s="2"/>
      <c r="B3769" s="2"/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</row>
    <row r="3770" spans="1:15" ht="15" customHeight="1" x14ac:dyDescent="0.25">
      <c r="A3770" s="3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</row>
    <row r="3771" spans="1:15" ht="15" customHeight="1" x14ac:dyDescent="0.25">
      <c r="A3771" s="2"/>
      <c r="B3771" s="2"/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</row>
    <row r="3772" spans="1:15" ht="15" customHeight="1" x14ac:dyDescent="0.25">
      <c r="A3772" s="3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</row>
    <row r="3773" spans="1:15" ht="15" customHeight="1" x14ac:dyDescent="0.25">
      <c r="A3773" s="2"/>
      <c r="B3773" s="2"/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</row>
    <row r="3774" spans="1:15" ht="15" customHeight="1" x14ac:dyDescent="0.25">
      <c r="A3774" s="3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</row>
    <row r="3775" spans="1:15" ht="15" customHeight="1" x14ac:dyDescent="0.25">
      <c r="A3775" s="2"/>
      <c r="B3775" s="2"/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</row>
    <row r="3776" spans="1:15" ht="15" customHeight="1" x14ac:dyDescent="0.25">
      <c r="A3776" s="3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</row>
    <row r="3777" spans="1:15" ht="15" customHeight="1" x14ac:dyDescent="0.25">
      <c r="A3777" s="2"/>
      <c r="B3777" s="2"/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</row>
    <row r="3778" spans="1:15" ht="15" customHeight="1" x14ac:dyDescent="0.25">
      <c r="A3778" s="3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</row>
    <row r="3779" spans="1:15" ht="15" customHeight="1" x14ac:dyDescent="0.25">
      <c r="A3779" s="2"/>
      <c r="B3779" s="2"/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</row>
    <row r="3780" spans="1:15" ht="15" customHeight="1" x14ac:dyDescent="0.25">
      <c r="A3780" s="3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</row>
    <row r="3781" spans="1:15" ht="15" customHeight="1" x14ac:dyDescent="0.25">
      <c r="A3781" s="2"/>
      <c r="B3781" s="2"/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</row>
    <row r="3782" spans="1:15" ht="15" customHeight="1" x14ac:dyDescent="0.25">
      <c r="A3782" s="3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</row>
    <row r="3783" spans="1:15" ht="15" customHeight="1" x14ac:dyDescent="0.25">
      <c r="A3783" s="2"/>
      <c r="B3783" s="2"/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</row>
    <row r="3784" spans="1:15" ht="15" customHeight="1" x14ac:dyDescent="0.25">
      <c r="A3784" s="3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</row>
    <row r="3785" spans="1:15" ht="15" customHeight="1" x14ac:dyDescent="0.25">
      <c r="A3785" s="2"/>
      <c r="B3785" s="2"/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</row>
    <row r="3786" spans="1:15" ht="15" customHeight="1" x14ac:dyDescent="0.25">
      <c r="A3786" s="3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</row>
    <row r="3787" spans="1:15" ht="15" customHeight="1" x14ac:dyDescent="0.25">
      <c r="A3787" s="2"/>
      <c r="B3787" s="2"/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</row>
    <row r="3788" spans="1:15" ht="15" customHeight="1" x14ac:dyDescent="0.25">
      <c r="A3788" s="3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</row>
    <row r="3789" spans="1:15" ht="15" customHeight="1" x14ac:dyDescent="0.25">
      <c r="A3789" s="2"/>
      <c r="B3789" s="2"/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</row>
    <row r="3790" spans="1:15" ht="15" customHeight="1" x14ac:dyDescent="0.25">
      <c r="A3790" s="3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</row>
    <row r="3791" spans="1:15" ht="15" customHeight="1" x14ac:dyDescent="0.25">
      <c r="A3791" s="2"/>
      <c r="B3791" s="2"/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</row>
    <row r="3792" spans="1:15" ht="15" customHeight="1" x14ac:dyDescent="0.25">
      <c r="A3792" s="3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</row>
    <row r="3793" spans="1:15" ht="15" customHeight="1" x14ac:dyDescent="0.25">
      <c r="A3793" s="2"/>
      <c r="B3793" s="2"/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</row>
    <row r="3794" spans="1:15" ht="15" customHeight="1" x14ac:dyDescent="0.25">
      <c r="A3794" s="3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</row>
    <row r="3795" spans="1:15" ht="15" customHeight="1" x14ac:dyDescent="0.25">
      <c r="A3795" s="2"/>
      <c r="B3795" s="2"/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</row>
    <row r="3796" spans="1:15" ht="15" customHeight="1" x14ac:dyDescent="0.25">
      <c r="A3796" s="3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</row>
    <row r="3797" spans="1:15" ht="15" customHeight="1" x14ac:dyDescent="0.25">
      <c r="A3797" s="2"/>
      <c r="B3797" s="2"/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</row>
    <row r="3798" spans="1:15" ht="15" customHeight="1" x14ac:dyDescent="0.25">
      <c r="A3798" s="3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</row>
    <row r="3799" spans="1:15" ht="15" customHeight="1" x14ac:dyDescent="0.25">
      <c r="A3799" s="2"/>
      <c r="B3799" s="2"/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</row>
    <row r="3800" spans="1:15" ht="15" customHeight="1" x14ac:dyDescent="0.25">
      <c r="A3800" s="3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</row>
    <row r="3801" spans="1:15" ht="15" customHeight="1" x14ac:dyDescent="0.25">
      <c r="A3801" s="2"/>
      <c r="B3801" s="2"/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</row>
    <row r="3802" spans="1:15" ht="15" customHeight="1" x14ac:dyDescent="0.25">
      <c r="A3802" s="3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</row>
    <row r="3803" spans="1:15" ht="15" customHeight="1" x14ac:dyDescent="0.25">
      <c r="A3803" s="2"/>
      <c r="B3803" s="2"/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</row>
    <row r="3804" spans="1:15" ht="15" customHeight="1" x14ac:dyDescent="0.25">
      <c r="A3804" s="3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</row>
    <row r="3805" spans="1:15" ht="15" customHeight="1" x14ac:dyDescent="0.25">
      <c r="A3805" s="2"/>
      <c r="B3805" s="2"/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</row>
    <row r="3806" spans="1:15" ht="15" customHeight="1" x14ac:dyDescent="0.25">
      <c r="A3806" s="3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</row>
    <row r="3807" spans="1:15" ht="15" customHeight="1" x14ac:dyDescent="0.25">
      <c r="A3807" s="2"/>
      <c r="B3807" s="2"/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</row>
    <row r="3808" spans="1:15" ht="15" customHeight="1" x14ac:dyDescent="0.25">
      <c r="A3808" s="3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</row>
    <row r="3809" spans="1:15" ht="15" customHeight="1" x14ac:dyDescent="0.25">
      <c r="A3809" s="2"/>
      <c r="B3809" s="2"/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</row>
    <row r="3810" spans="1:15" ht="15" customHeight="1" x14ac:dyDescent="0.25">
      <c r="A3810" s="3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</row>
    <row r="3811" spans="1:15" ht="15" customHeight="1" x14ac:dyDescent="0.25">
      <c r="A3811" s="2"/>
      <c r="B3811" s="2"/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</row>
    <row r="3812" spans="1:15" ht="15" customHeight="1" x14ac:dyDescent="0.25">
      <c r="A3812" s="3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</row>
    <row r="3813" spans="1:15" ht="15" customHeight="1" x14ac:dyDescent="0.25">
      <c r="A3813" s="2"/>
      <c r="B3813" s="2"/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</row>
    <row r="3814" spans="1:15" ht="15" customHeight="1" x14ac:dyDescent="0.25">
      <c r="A3814" s="3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</row>
    <row r="3815" spans="1:15" ht="15" customHeight="1" x14ac:dyDescent="0.25">
      <c r="A3815" s="2"/>
      <c r="B3815" s="2"/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</row>
    <row r="3816" spans="1:15" ht="15" customHeight="1" x14ac:dyDescent="0.25">
      <c r="A3816" s="3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</row>
    <row r="3817" spans="1:15" ht="15" customHeight="1" x14ac:dyDescent="0.25">
      <c r="A3817" s="2"/>
      <c r="B3817" s="2"/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</row>
    <row r="3818" spans="1:15" ht="15" customHeight="1" x14ac:dyDescent="0.25">
      <c r="A3818" s="3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</row>
    <row r="3819" spans="1:15" ht="15" customHeight="1" x14ac:dyDescent="0.25">
      <c r="A3819" s="2"/>
      <c r="B3819" s="2"/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</row>
    <row r="3820" spans="1:15" ht="15" customHeight="1" x14ac:dyDescent="0.25">
      <c r="A3820" s="3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</row>
    <row r="3821" spans="1:15" ht="15" customHeight="1" x14ac:dyDescent="0.25">
      <c r="A3821" s="2"/>
      <c r="B3821" s="2"/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</row>
    <row r="3822" spans="1:15" ht="15" customHeight="1" x14ac:dyDescent="0.25">
      <c r="A3822" s="3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</row>
    <row r="3823" spans="1:15" ht="15" customHeight="1" x14ac:dyDescent="0.25">
      <c r="A3823" s="2"/>
      <c r="B3823" s="2"/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</row>
    <row r="3824" spans="1:15" ht="15" customHeight="1" x14ac:dyDescent="0.25">
      <c r="A3824" s="3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</row>
    <row r="3825" spans="1:15" ht="15" customHeight="1" x14ac:dyDescent="0.25">
      <c r="A3825" s="2"/>
      <c r="B3825" s="2"/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</row>
    <row r="3826" spans="1:15" ht="15" customHeight="1" x14ac:dyDescent="0.25">
      <c r="A3826" s="3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</row>
    <row r="3827" spans="1:15" ht="15" customHeight="1" x14ac:dyDescent="0.25">
      <c r="A3827" s="2"/>
      <c r="B3827" s="2"/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</row>
    <row r="3828" spans="1:15" ht="15" customHeight="1" x14ac:dyDescent="0.25">
      <c r="A3828" s="3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</row>
    <row r="3829" spans="1:15" ht="15" customHeight="1" x14ac:dyDescent="0.25">
      <c r="A3829" s="2"/>
      <c r="B3829" s="2"/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</row>
    <row r="3830" spans="1:15" ht="15" customHeight="1" x14ac:dyDescent="0.25">
      <c r="A3830" s="3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</row>
    <row r="3831" spans="1:15" ht="15" customHeight="1" x14ac:dyDescent="0.25">
      <c r="A3831" s="2"/>
      <c r="B3831" s="2"/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</row>
    <row r="3832" spans="1:15" ht="15" customHeight="1" x14ac:dyDescent="0.25">
      <c r="A3832" s="3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</row>
    <row r="3833" spans="1:15" ht="15" customHeight="1" x14ac:dyDescent="0.25">
      <c r="A3833" s="2"/>
      <c r="B3833" s="2"/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</row>
    <row r="3834" spans="1:15" ht="15" customHeight="1" x14ac:dyDescent="0.25">
      <c r="A3834" s="3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</row>
    <row r="3835" spans="1:15" ht="15" customHeight="1" x14ac:dyDescent="0.25">
      <c r="A3835" s="2"/>
      <c r="B3835" s="2"/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</row>
    <row r="3836" spans="1:15" ht="15" customHeight="1" x14ac:dyDescent="0.25">
      <c r="A3836" s="3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</row>
    <row r="3837" spans="1:15" ht="15" customHeight="1" x14ac:dyDescent="0.25">
      <c r="A3837" s="2"/>
      <c r="B3837" s="2"/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</row>
    <row r="3838" spans="1:15" ht="15" customHeight="1" x14ac:dyDescent="0.25">
      <c r="A3838" s="3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</row>
    <row r="3839" spans="1:15" ht="15" customHeight="1" x14ac:dyDescent="0.25">
      <c r="A3839" s="2"/>
      <c r="B3839" s="2"/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</row>
    <row r="3840" spans="1:15" ht="15" customHeight="1" x14ac:dyDescent="0.25">
      <c r="A3840" s="3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</row>
    <row r="3841" spans="1:15" ht="15" customHeight="1" x14ac:dyDescent="0.25">
      <c r="A3841" s="2"/>
      <c r="B3841" s="2"/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</row>
    <row r="3842" spans="1:15" ht="15" customHeight="1" x14ac:dyDescent="0.25">
      <c r="A3842" s="3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</row>
    <row r="3843" spans="1:15" ht="15" customHeight="1" x14ac:dyDescent="0.25">
      <c r="A3843" s="2"/>
      <c r="B3843" s="2"/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</row>
    <row r="3844" spans="1:15" ht="15" customHeight="1" x14ac:dyDescent="0.25">
      <c r="A3844" s="3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</row>
    <row r="3845" spans="1:15" ht="15" customHeight="1" x14ac:dyDescent="0.25">
      <c r="A3845" s="2"/>
      <c r="B3845" s="2"/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</row>
    <row r="3846" spans="1:15" ht="15" customHeight="1" x14ac:dyDescent="0.25">
      <c r="A3846" s="3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</row>
    <row r="3847" spans="1:15" ht="15" customHeight="1" x14ac:dyDescent="0.25">
      <c r="A3847" s="2"/>
      <c r="B3847" s="2"/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</row>
    <row r="3848" spans="1:15" ht="15" customHeight="1" x14ac:dyDescent="0.25">
      <c r="A3848" s="3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</row>
    <row r="3849" spans="1:15" ht="15" customHeight="1" x14ac:dyDescent="0.25">
      <c r="A3849" s="2"/>
      <c r="B3849" s="2"/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</row>
    <row r="3850" spans="1:15" ht="15" customHeight="1" x14ac:dyDescent="0.25">
      <c r="A3850" s="3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</row>
    <row r="3851" spans="1:15" ht="15" customHeight="1" x14ac:dyDescent="0.25">
      <c r="A3851" s="2"/>
      <c r="B3851" s="2"/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</row>
    <row r="3852" spans="1:15" ht="15" customHeight="1" x14ac:dyDescent="0.25">
      <c r="A3852" s="3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</row>
    <row r="3853" spans="1:15" ht="15" customHeight="1" x14ac:dyDescent="0.25">
      <c r="A3853" s="2"/>
      <c r="B3853" s="2"/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</row>
    <row r="3854" spans="1:15" ht="15" customHeight="1" x14ac:dyDescent="0.25">
      <c r="A3854" s="3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</row>
    <row r="3855" spans="1:15" ht="15" customHeight="1" x14ac:dyDescent="0.25">
      <c r="A3855" s="2"/>
      <c r="B3855" s="2"/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</row>
    <row r="3856" spans="1:15" ht="15" customHeight="1" x14ac:dyDescent="0.25">
      <c r="A3856" s="3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</row>
    <row r="3857" spans="1:15" ht="15" customHeight="1" x14ac:dyDescent="0.25">
      <c r="A3857" s="2"/>
      <c r="B3857" s="2"/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</row>
    <row r="3858" spans="1:15" ht="15" customHeight="1" x14ac:dyDescent="0.25">
      <c r="A3858" s="3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</row>
    <row r="3859" spans="1:15" ht="15" customHeight="1" x14ac:dyDescent="0.25">
      <c r="A3859" s="2"/>
      <c r="B3859" s="2"/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</row>
    <row r="3860" spans="1:15" ht="15" customHeight="1" x14ac:dyDescent="0.25">
      <c r="A3860" s="3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</row>
    <row r="3861" spans="1:15" ht="15" customHeight="1" x14ac:dyDescent="0.25">
      <c r="A3861" s="2"/>
      <c r="B3861" s="2"/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</row>
    <row r="3862" spans="1:15" ht="15" customHeight="1" x14ac:dyDescent="0.25">
      <c r="A3862" s="3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</row>
    <row r="3863" spans="1:15" ht="15" customHeight="1" x14ac:dyDescent="0.25">
      <c r="A3863" s="2"/>
      <c r="B3863" s="2"/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</row>
    <row r="3864" spans="1:15" ht="15" customHeight="1" x14ac:dyDescent="0.25">
      <c r="A3864" s="3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</row>
    <row r="3865" spans="1:15" ht="15" customHeight="1" x14ac:dyDescent="0.25">
      <c r="A3865" s="2"/>
      <c r="B3865" s="2"/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</row>
    <row r="3866" spans="1:15" ht="15" customHeight="1" x14ac:dyDescent="0.25">
      <c r="A3866" s="3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</row>
    <row r="3867" spans="1:15" ht="15" customHeight="1" x14ac:dyDescent="0.25">
      <c r="A3867" s="2"/>
      <c r="B3867" s="2"/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</row>
    <row r="3868" spans="1:15" ht="15" customHeight="1" x14ac:dyDescent="0.25">
      <c r="A3868" s="3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</row>
    <row r="3869" spans="1:15" ht="15" customHeight="1" x14ac:dyDescent="0.25">
      <c r="A3869" s="2"/>
      <c r="B3869" s="2"/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</row>
    <row r="3870" spans="1:15" ht="15" customHeight="1" x14ac:dyDescent="0.25">
      <c r="A3870" s="3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</row>
    <row r="3871" spans="1:15" ht="15" customHeight="1" x14ac:dyDescent="0.25">
      <c r="A3871" s="2"/>
      <c r="B3871" s="2"/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</row>
    <row r="3872" spans="1:15" ht="15" customHeight="1" x14ac:dyDescent="0.25">
      <c r="A3872" s="3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</row>
    <row r="3873" spans="1:15" ht="15" customHeight="1" x14ac:dyDescent="0.25">
      <c r="A3873" s="2"/>
      <c r="B3873" s="2"/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</row>
    <row r="3874" spans="1:15" ht="15" customHeight="1" x14ac:dyDescent="0.25">
      <c r="A3874" s="3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</row>
    <row r="3875" spans="1:15" ht="15" customHeight="1" x14ac:dyDescent="0.25">
      <c r="A3875" s="2"/>
      <c r="B3875" s="2"/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</row>
    <row r="3876" spans="1:15" ht="15" customHeight="1" x14ac:dyDescent="0.25">
      <c r="A3876" s="3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</row>
    <row r="3877" spans="1:15" ht="15" customHeight="1" x14ac:dyDescent="0.25">
      <c r="A3877" s="2"/>
      <c r="B3877" s="2"/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</row>
    <row r="3878" spans="1:15" ht="15" customHeight="1" x14ac:dyDescent="0.25">
      <c r="A3878" s="3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</row>
    <row r="3879" spans="1:15" ht="15" customHeight="1" x14ac:dyDescent="0.25">
      <c r="A3879" s="2"/>
      <c r="B3879" s="2"/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</row>
    <row r="3880" spans="1:15" ht="15" customHeight="1" x14ac:dyDescent="0.25">
      <c r="A3880" s="3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</row>
    <row r="3881" spans="1:15" ht="15" customHeight="1" x14ac:dyDescent="0.25">
      <c r="A3881" s="2"/>
      <c r="B3881" s="2"/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</row>
    <row r="3882" spans="1:15" ht="15" customHeight="1" x14ac:dyDescent="0.25">
      <c r="A3882" s="3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</row>
    <row r="3883" spans="1:15" ht="15" customHeight="1" x14ac:dyDescent="0.25">
      <c r="A3883" s="2"/>
      <c r="B3883" s="2"/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</row>
    <row r="3884" spans="1:15" ht="15" customHeight="1" x14ac:dyDescent="0.25">
      <c r="A3884" s="3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</row>
    <row r="3885" spans="1:15" ht="15" customHeight="1" x14ac:dyDescent="0.25">
      <c r="A3885" s="2"/>
      <c r="B3885" s="2"/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</row>
    <row r="3886" spans="1:15" ht="15" customHeight="1" x14ac:dyDescent="0.25">
      <c r="A3886" s="3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</row>
    <row r="3887" spans="1:15" ht="15" customHeight="1" x14ac:dyDescent="0.25">
      <c r="A3887" s="2"/>
      <c r="B3887" s="2"/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</row>
    <row r="3888" spans="1:15" ht="15" customHeight="1" x14ac:dyDescent="0.25">
      <c r="A3888" s="3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</row>
    <row r="3889" spans="1:15" ht="15" customHeight="1" x14ac:dyDescent="0.25">
      <c r="A3889" s="2"/>
      <c r="B3889" s="2"/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</row>
    <row r="3890" spans="1:15" ht="15" customHeight="1" x14ac:dyDescent="0.25">
      <c r="A3890" s="3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</row>
    <row r="3891" spans="1:15" ht="15" customHeight="1" x14ac:dyDescent="0.25">
      <c r="A3891" s="2"/>
      <c r="B3891" s="2"/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</row>
    <row r="3892" spans="1:15" ht="15" customHeight="1" x14ac:dyDescent="0.25">
      <c r="A3892" s="3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</row>
    <row r="3893" spans="1:15" ht="15" customHeight="1" x14ac:dyDescent="0.25">
      <c r="A3893" s="2"/>
      <c r="B3893" s="2"/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</row>
    <row r="3894" spans="1:15" ht="15" customHeight="1" x14ac:dyDescent="0.25">
      <c r="A3894" s="3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</row>
    <row r="3895" spans="1:15" ht="15" customHeight="1" x14ac:dyDescent="0.25">
      <c r="A3895" s="2"/>
      <c r="B3895" s="2"/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</row>
    <row r="3896" spans="1:15" ht="15" customHeight="1" x14ac:dyDescent="0.25">
      <c r="A3896" s="3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</row>
    <row r="3897" spans="1:15" ht="15" customHeight="1" x14ac:dyDescent="0.25">
      <c r="A3897" s="2"/>
      <c r="B3897" s="2"/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</row>
    <row r="3898" spans="1:15" ht="15" customHeight="1" x14ac:dyDescent="0.25">
      <c r="A3898" s="3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</row>
    <row r="3899" spans="1:15" ht="15" customHeight="1" x14ac:dyDescent="0.25">
      <c r="A3899" s="2"/>
      <c r="B3899" s="2"/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</row>
    <row r="3900" spans="1:15" ht="15" customHeight="1" x14ac:dyDescent="0.25">
      <c r="A3900" s="3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</row>
    <row r="3901" spans="1:15" ht="15" customHeight="1" x14ac:dyDescent="0.25">
      <c r="A3901" s="2"/>
      <c r="B3901" s="2"/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</row>
    <row r="3902" spans="1:15" ht="15" customHeight="1" x14ac:dyDescent="0.25">
      <c r="A3902" s="3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</row>
    <row r="3903" spans="1:15" ht="15" customHeight="1" x14ac:dyDescent="0.25">
      <c r="A3903" s="2"/>
      <c r="B3903" s="2"/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</row>
    <row r="3904" spans="1:15" ht="15" customHeight="1" x14ac:dyDescent="0.25">
      <c r="A3904" s="3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</row>
    <row r="3905" spans="1:15" ht="15" customHeight="1" x14ac:dyDescent="0.25">
      <c r="A3905" s="2"/>
      <c r="B3905" s="2"/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</row>
    <row r="3906" spans="1:15" ht="15" customHeight="1" x14ac:dyDescent="0.25">
      <c r="A3906" s="3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</row>
    <row r="3907" spans="1:15" ht="15" customHeight="1" x14ac:dyDescent="0.25">
      <c r="A3907" s="2"/>
      <c r="B3907" s="2"/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</row>
    <row r="3908" spans="1:15" ht="15" customHeight="1" x14ac:dyDescent="0.25">
      <c r="A3908" s="3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</row>
    <row r="3909" spans="1:15" ht="15" customHeight="1" x14ac:dyDescent="0.25">
      <c r="A3909" s="2"/>
      <c r="B3909" s="2"/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</row>
    <row r="3910" spans="1:15" ht="15" customHeight="1" x14ac:dyDescent="0.25">
      <c r="A3910" s="3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</row>
    <row r="3911" spans="1:15" ht="15" customHeight="1" x14ac:dyDescent="0.25">
      <c r="A3911" s="2"/>
      <c r="B3911" s="2"/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</row>
    <row r="3912" spans="1:15" ht="15" customHeight="1" x14ac:dyDescent="0.25">
      <c r="A3912" s="3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</row>
    <row r="3913" spans="1:15" ht="15" customHeight="1" x14ac:dyDescent="0.25">
      <c r="A3913" s="2"/>
      <c r="B3913" s="2"/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</row>
    <row r="3914" spans="1:15" ht="15" customHeight="1" x14ac:dyDescent="0.25">
      <c r="A3914" s="3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</row>
    <row r="3915" spans="1:15" ht="15" customHeight="1" x14ac:dyDescent="0.25">
      <c r="A3915" s="2"/>
      <c r="B3915" s="2"/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</row>
    <row r="3916" spans="1:15" ht="15" customHeight="1" x14ac:dyDescent="0.25">
      <c r="A3916" s="3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</row>
    <row r="3917" spans="1:15" ht="15" customHeight="1" x14ac:dyDescent="0.25">
      <c r="A3917" s="2"/>
      <c r="B3917" s="2"/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</row>
    <row r="3918" spans="1:15" ht="15" customHeight="1" x14ac:dyDescent="0.25">
      <c r="A3918" s="3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</row>
    <row r="3919" spans="1:15" ht="15" customHeight="1" x14ac:dyDescent="0.25">
      <c r="A3919" s="2"/>
      <c r="B3919" s="2"/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</row>
    <row r="3920" spans="1:15" ht="15" customHeight="1" x14ac:dyDescent="0.25">
      <c r="A3920" s="3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</row>
    <row r="3921" spans="1:15" ht="15" customHeight="1" x14ac:dyDescent="0.25">
      <c r="A3921" s="2"/>
      <c r="B3921" s="2"/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</row>
    <row r="3922" spans="1:15" ht="15" customHeight="1" x14ac:dyDescent="0.25">
      <c r="A3922" s="3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</row>
    <row r="3923" spans="1:15" ht="15" customHeight="1" x14ac:dyDescent="0.25">
      <c r="A3923" s="2"/>
      <c r="B3923" s="2"/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</row>
    <row r="3924" spans="1:15" ht="15" customHeight="1" x14ac:dyDescent="0.25">
      <c r="A3924" s="3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</row>
    <row r="3925" spans="1:15" ht="15" customHeight="1" x14ac:dyDescent="0.25">
      <c r="A3925" s="2"/>
      <c r="B3925" s="2"/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</row>
    <row r="3926" spans="1:15" ht="15" customHeight="1" x14ac:dyDescent="0.25">
      <c r="A3926" s="3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</row>
    <row r="3927" spans="1:15" ht="15" customHeight="1" x14ac:dyDescent="0.25">
      <c r="A3927" s="2"/>
      <c r="B3927" s="2"/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</row>
    <row r="3928" spans="1:15" ht="15" customHeight="1" x14ac:dyDescent="0.25">
      <c r="A3928" s="3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</row>
    <row r="3929" spans="1:15" ht="15" customHeight="1" x14ac:dyDescent="0.25">
      <c r="A3929" s="2"/>
      <c r="B3929" s="2"/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</row>
    <row r="3930" spans="1:15" ht="15" customHeight="1" x14ac:dyDescent="0.25">
      <c r="A3930" s="3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</row>
    <row r="3931" spans="1:15" ht="15" customHeight="1" x14ac:dyDescent="0.25">
      <c r="A3931" s="2"/>
      <c r="B3931" s="2"/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</row>
    <row r="3932" spans="1:15" ht="15" customHeight="1" x14ac:dyDescent="0.25">
      <c r="A3932" s="3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</row>
    <row r="3933" spans="1:15" ht="15" customHeight="1" x14ac:dyDescent="0.25">
      <c r="A3933" s="2"/>
      <c r="B3933" s="2"/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</row>
    <row r="3934" spans="1:15" ht="15" customHeight="1" x14ac:dyDescent="0.25">
      <c r="A3934" s="3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</row>
    <row r="3935" spans="1:15" ht="15" customHeight="1" x14ac:dyDescent="0.25">
      <c r="A3935" s="2"/>
      <c r="B3935" s="2"/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</row>
    <row r="3936" spans="1:15" ht="15" customHeight="1" x14ac:dyDescent="0.25">
      <c r="A3936" s="3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</row>
    <row r="3937" spans="1:15" ht="15" customHeight="1" x14ac:dyDescent="0.25">
      <c r="A3937" s="2"/>
      <c r="B3937" s="2"/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</row>
    <row r="3938" spans="1:15" ht="15" customHeight="1" x14ac:dyDescent="0.25">
      <c r="A3938" s="3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</row>
    <row r="3939" spans="1:15" ht="15" customHeight="1" x14ac:dyDescent="0.25">
      <c r="A3939" s="2"/>
      <c r="B3939" s="2"/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</row>
    <row r="3940" spans="1:15" ht="15" customHeight="1" x14ac:dyDescent="0.25">
      <c r="A3940" s="3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</row>
    <row r="3941" spans="1:15" ht="15" customHeight="1" x14ac:dyDescent="0.25">
      <c r="A3941" s="2"/>
      <c r="B3941" s="2"/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</row>
    <row r="3942" spans="1:15" ht="15" customHeight="1" x14ac:dyDescent="0.25">
      <c r="A3942" s="3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</row>
    <row r="3943" spans="1:15" ht="15" customHeight="1" x14ac:dyDescent="0.25">
      <c r="A3943" s="2"/>
      <c r="B3943" s="2"/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</row>
    <row r="3944" spans="1:15" ht="15" customHeight="1" x14ac:dyDescent="0.25">
      <c r="A3944" s="3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</row>
    <row r="3945" spans="1:15" ht="15" customHeight="1" x14ac:dyDescent="0.25">
      <c r="A3945" s="2"/>
      <c r="B3945" s="2"/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</row>
    <row r="3946" spans="1:15" ht="15" customHeight="1" x14ac:dyDescent="0.25">
      <c r="A3946" s="3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</row>
    <row r="3947" spans="1:15" ht="15" customHeight="1" x14ac:dyDescent="0.25">
      <c r="A3947" s="2"/>
      <c r="B3947" s="2"/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</row>
    <row r="3948" spans="1:15" ht="15" customHeight="1" x14ac:dyDescent="0.25">
      <c r="A3948" s="3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</row>
    <row r="3949" spans="1:15" ht="15" customHeight="1" x14ac:dyDescent="0.25">
      <c r="A3949" s="2"/>
      <c r="B3949" s="2"/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</row>
    <row r="3950" spans="1:15" ht="15" customHeight="1" x14ac:dyDescent="0.25">
      <c r="A3950" s="3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</row>
    <row r="3951" spans="1:15" ht="15" customHeight="1" x14ac:dyDescent="0.25">
      <c r="A3951" s="2"/>
      <c r="B3951" s="2"/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</row>
    <row r="3952" spans="1:15" ht="15" customHeight="1" x14ac:dyDescent="0.25">
      <c r="A3952" s="3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</row>
    <row r="3953" spans="1:15" ht="15" customHeight="1" x14ac:dyDescent="0.25">
      <c r="A3953" s="2"/>
      <c r="B3953" s="2"/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</row>
    <row r="3954" spans="1:15" ht="15" customHeight="1" x14ac:dyDescent="0.25">
      <c r="A3954" s="3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</row>
    <row r="3955" spans="1:15" ht="15" customHeight="1" x14ac:dyDescent="0.25">
      <c r="A3955" s="2"/>
      <c r="B3955" s="2"/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</row>
    <row r="3956" spans="1:15" ht="15" customHeight="1" x14ac:dyDescent="0.25">
      <c r="A3956" s="3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</row>
    <row r="3957" spans="1:15" ht="15" customHeight="1" x14ac:dyDescent="0.25">
      <c r="A3957" s="2"/>
      <c r="B3957" s="2"/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</row>
    <row r="3958" spans="1:15" ht="15" customHeight="1" x14ac:dyDescent="0.25">
      <c r="A3958" s="3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</row>
    <row r="3959" spans="1:15" ht="15" customHeight="1" x14ac:dyDescent="0.25">
      <c r="A3959" s="2"/>
      <c r="B3959" s="2"/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</row>
    <row r="3960" spans="1:15" ht="15" customHeight="1" x14ac:dyDescent="0.25">
      <c r="A3960" s="3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</row>
    <row r="3961" spans="1:15" ht="15" customHeight="1" x14ac:dyDescent="0.25">
      <c r="A3961" s="2"/>
      <c r="B3961" s="2"/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</row>
    <row r="3962" spans="1:15" ht="15" customHeight="1" x14ac:dyDescent="0.25">
      <c r="A3962" s="3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</row>
    <row r="3963" spans="1:15" ht="15" customHeight="1" x14ac:dyDescent="0.25">
      <c r="A3963" s="2"/>
      <c r="B3963" s="2"/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</row>
    <row r="3964" spans="1:15" ht="15" customHeight="1" x14ac:dyDescent="0.25">
      <c r="A3964" s="3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</row>
    <row r="3965" spans="1:15" ht="15" customHeight="1" x14ac:dyDescent="0.25">
      <c r="A3965" s="2"/>
      <c r="B3965" s="2"/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</row>
    <row r="3966" spans="1:15" ht="15" customHeight="1" x14ac:dyDescent="0.25">
      <c r="A3966" s="3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</row>
    <row r="3967" spans="1:15" ht="15" customHeight="1" x14ac:dyDescent="0.25">
      <c r="A3967" s="2"/>
      <c r="B3967" s="2"/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</row>
    <row r="3968" spans="1:15" ht="15" customHeight="1" x14ac:dyDescent="0.25">
      <c r="A3968" s="3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</row>
    <row r="3969" spans="1:15" ht="15" customHeight="1" x14ac:dyDescent="0.25">
      <c r="A3969" s="2"/>
      <c r="B3969" s="2"/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</row>
    <row r="3970" spans="1:15" ht="15" customHeight="1" x14ac:dyDescent="0.25">
      <c r="A3970" s="3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</row>
    <row r="3971" spans="1:15" ht="15" customHeight="1" x14ac:dyDescent="0.25">
      <c r="A3971" s="2"/>
      <c r="B3971" s="2"/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</row>
    <row r="3972" spans="1:15" ht="15" customHeight="1" x14ac:dyDescent="0.25">
      <c r="A3972" s="3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</row>
    <row r="3973" spans="1:15" ht="15" customHeight="1" x14ac:dyDescent="0.25">
      <c r="A3973" s="2"/>
      <c r="B3973" s="2"/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</row>
    <row r="3974" spans="1:15" ht="15" customHeight="1" x14ac:dyDescent="0.25">
      <c r="A3974" s="3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</row>
    <row r="3975" spans="1:15" ht="15" customHeight="1" x14ac:dyDescent="0.25">
      <c r="A3975" s="2"/>
      <c r="B3975" s="2"/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</row>
    <row r="3976" spans="1:15" ht="15" customHeight="1" x14ac:dyDescent="0.25">
      <c r="A3976" s="3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</row>
    <row r="3977" spans="1:15" ht="15" customHeight="1" x14ac:dyDescent="0.25">
      <c r="A3977" s="2"/>
      <c r="B3977" s="2"/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</row>
    <row r="3978" spans="1:15" ht="15" customHeight="1" x14ac:dyDescent="0.25">
      <c r="A3978" s="3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</row>
    <row r="3979" spans="1:15" ht="15" customHeight="1" x14ac:dyDescent="0.25">
      <c r="A3979" s="2"/>
      <c r="B3979" s="2"/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</row>
    <row r="3980" spans="1:15" ht="15" customHeight="1" x14ac:dyDescent="0.25">
      <c r="A3980" s="3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</row>
    <row r="3981" spans="1:15" ht="15" customHeight="1" x14ac:dyDescent="0.25">
      <c r="A3981" s="2"/>
      <c r="B3981" s="2"/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</row>
    <row r="3982" spans="1:15" ht="15" customHeight="1" x14ac:dyDescent="0.25">
      <c r="A3982" s="3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</row>
    <row r="3983" spans="1:15" ht="15" customHeight="1" x14ac:dyDescent="0.25">
      <c r="A3983" s="2"/>
      <c r="B3983" s="2"/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</row>
    <row r="3984" spans="1:15" ht="15" customHeight="1" x14ac:dyDescent="0.25">
      <c r="A3984" s="3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</row>
    <row r="3985" spans="1:15" ht="15" customHeight="1" x14ac:dyDescent="0.25">
      <c r="A3985" s="2"/>
      <c r="B3985" s="2"/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</row>
    <row r="3986" spans="1:15" ht="15" customHeight="1" x14ac:dyDescent="0.25">
      <c r="A3986" s="3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</row>
    <row r="3987" spans="1:15" ht="15" customHeight="1" x14ac:dyDescent="0.25">
      <c r="A3987" s="2"/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</row>
    <row r="3988" spans="1:15" ht="15" customHeight="1" x14ac:dyDescent="0.25">
      <c r="A3988" s="3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</row>
    <row r="3989" spans="1:15" ht="15" customHeight="1" x14ac:dyDescent="0.25">
      <c r="A3989" s="2"/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</row>
    <row r="3990" spans="1:15" ht="15" customHeight="1" x14ac:dyDescent="0.25">
      <c r="A3990" s="3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</row>
    <row r="3991" spans="1:15" ht="15" customHeight="1" x14ac:dyDescent="0.25">
      <c r="A3991" s="2"/>
      <c r="B3991" s="2"/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</row>
    <row r="3992" spans="1:15" ht="15" customHeight="1" x14ac:dyDescent="0.25">
      <c r="A3992" s="3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</row>
    <row r="3993" spans="1:15" ht="15" customHeight="1" x14ac:dyDescent="0.25">
      <c r="A3993" s="2"/>
      <c r="B3993" s="2"/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</row>
    <row r="3994" spans="1:15" ht="15" customHeight="1" x14ac:dyDescent="0.25">
      <c r="A3994" s="3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</row>
    <row r="3995" spans="1:15" ht="15" customHeight="1" x14ac:dyDescent="0.25">
      <c r="A3995" s="2"/>
      <c r="B3995" s="2"/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</row>
    <row r="3996" spans="1:15" ht="15" customHeight="1" x14ac:dyDescent="0.25">
      <c r="A3996" s="3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</row>
    <row r="3997" spans="1:15" ht="15" customHeight="1" x14ac:dyDescent="0.25">
      <c r="A3997" s="2"/>
      <c r="B3997" s="2"/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</row>
    <row r="3998" spans="1:15" ht="15" customHeight="1" x14ac:dyDescent="0.25">
      <c r="A3998" s="3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</row>
    <row r="3999" spans="1:15" ht="15" customHeight="1" x14ac:dyDescent="0.25">
      <c r="A3999" s="2"/>
      <c r="B3999" s="2"/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</row>
    <row r="4000" spans="1:15" ht="15" customHeight="1" x14ac:dyDescent="0.25">
      <c r="A4000" s="3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</row>
    <row r="4001" spans="1:15" ht="15" customHeight="1" x14ac:dyDescent="0.25">
      <c r="A4001" s="2"/>
      <c r="B4001" s="2"/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</row>
    <row r="4002" spans="1:15" ht="15" customHeight="1" x14ac:dyDescent="0.25">
      <c r="A4002" s="3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</row>
    <row r="4003" spans="1:15" ht="15" customHeight="1" x14ac:dyDescent="0.25">
      <c r="A4003" s="2"/>
      <c r="B4003" s="2"/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</row>
    <row r="4004" spans="1:15" ht="15" customHeight="1" x14ac:dyDescent="0.25">
      <c r="A4004" s="3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</row>
    <row r="4005" spans="1:15" ht="15" customHeight="1" x14ac:dyDescent="0.25">
      <c r="A4005" s="2"/>
      <c r="B4005" s="2"/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</row>
    <row r="4006" spans="1:15" ht="15" customHeight="1" x14ac:dyDescent="0.25">
      <c r="A4006" s="3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</row>
    <row r="4007" spans="1:15" ht="15" customHeight="1" x14ac:dyDescent="0.25">
      <c r="A4007" s="2"/>
      <c r="B4007" s="2"/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</row>
    <row r="4008" spans="1:15" ht="15" customHeight="1" x14ac:dyDescent="0.25">
      <c r="A4008" s="3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</row>
    <row r="4009" spans="1:15" ht="15" customHeight="1" x14ac:dyDescent="0.25">
      <c r="A4009" s="2"/>
      <c r="B4009" s="2"/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</row>
    <row r="4010" spans="1:15" ht="15" customHeight="1" x14ac:dyDescent="0.25">
      <c r="A4010" s="3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</row>
    <row r="4011" spans="1:15" ht="15" customHeight="1" x14ac:dyDescent="0.25">
      <c r="A4011" s="2"/>
      <c r="B4011" s="2"/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</row>
    <row r="4012" spans="1:15" ht="15" customHeight="1" x14ac:dyDescent="0.25">
      <c r="A4012" s="3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</row>
    <row r="4013" spans="1:15" ht="15" customHeight="1" x14ac:dyDescent="0.25">
      <c r="A4013" s="2"/>
      <c r="B4013" s="2"/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</row>
    <row r="4014" spans="1:15" ht="15" customHeight="1" x14ac:dyDescent="0.25">
      <c r="A4014" s="3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</row>
    <row r="4015" spans="1:15" ht="15" customHeight="1" x14ac:dyDescent="0.25">
      <c r="A4015" s="2"/>
      <c r="B4015" s="2"/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</row>
    <row r="4016" spans="1:15" ht="15" customHeight="1" x14ac:dyDescent="0.25">
      <c r="A4016" s="3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</row>
    <row r="4017" spans="1:15" ht="15" customHeight="1" x14ac:dyDescent="0.25">
      <c r="A4017" s="2"/>
      <c r="B4017" s="2"/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</row>
    <row r="4018" spans="1:15" ht="15" customHeight="1" x14ac:dyDescent="0.25">
      <c r="A4018" s="3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</row>
    <row r="4019" spans="1:15" ht="15" customHeight="1" x14ac:dyDescent="0.25">
      <c r="A4019" s="2"/>
      <c r="B4019" s="2"/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</row>
    <row r="4020" spans="1:15" ht="15" customHeight="1" x14ac:dyDescent="0.25">
      <c r="A4020" s="3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</row>
    <row r="4021" spans="1:15" ht="15" customHeight="1" x14ac:dyDescent="0.25">
      <c r="A4021" s="2"/>
      <c r="B4021" s="2"/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</row>
    <row r="4022" spans="1:15" ht="15" customHeight="1" x14ac:dyDescent="0.25">
      <c r="A4022" s="3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</row>
    <row r="4023" spans="1:15" ht="15" customHeight="1" x14ac:dyDescent="0.25">
      <c r="A4023" s="2"/>
      <c r="B4023" s="2"/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</row>
    <row r="4024" spans="1:15" ht="15" customHeight="1" x14ac:dyDescent="0.25">
      <c r="A4024" s="3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</row>
    <row r="4025" spans="1:15" ht="15" customHeight="1" x14ac:dyDescent="0.25">
      <c r="A4025" s="2"/>
      <c r="B4025" s="2"/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</row>
    <row r="4026" spans="1:15" ht="15" customHeight="1" x14ac:dyDescent="0.25">
      <c r="A4026" s="3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</row>
    <row r="4027" spans="1:15" ht="15" customHeight="1" x14ac:dyDescent="0.25">
      <c r="A4027" s="2"/>
      <c r="B4027" s="2"/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</row>
    <row r="4028" spans="1:15" ht="15" customHeight="1" x14ac:dyDescent="0.25">
      <c r="A4028" s="3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</row>
    <row r="4029" spans="1:15" ht="15" customHeight="1" x14ac:dyDescent="0.25">
      <c r="A4029" s="2"/>
      <c r="B4029" s="2"/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</row>
    <row r="4030" spans="1:15" ht="15" customHeight="1" x14ac:dyDescent="0.25">
      <c r="A4030" s="3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</row>
    <row r="4031" spans="1:15" ht="15" customHeight="1" x14ac:dyDescent="0.25">
      <c r="A4031" s="2"/>
      <c r="B4031" s="2"/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</row>
    <row r="4032" spans="1:15" ht="15" customHeight="1" x14ac:dyDescent="0.25">
      <c r="A4032" s="3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</row>
    <row r="4033" spans="1:15" ht="15" customHeight="1" x14ac:dyDescent="0.25">
      <c r="A4033" s="2"/>
      <c r="B4033" s="2"/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</row>
    <row r="4034" spans="1:15" ht="15" customHeight="1" x14ac:dyDescent="0.25">
      <c r="A4034" s="3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</row>
    <row r="4035" spans="1:15" ht="15" customHeight="1" x14ac:dyDescent="0.25">
      <c r="A4035" s="2"/>
      <c r="B4035" s="2"/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</row>
    <row r="4036" spans="1:15" ht="15" customHeight="1" x14ac:dyDescent="0.25">
      <c r="A4036" s="3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</row>
    <row r="4037" spans="1:15" ht="15" customHeight="1" x14ac:dyDescent="0.25">
      <c r="A4037" s="2"/>
      <c r="B4037" s="2"/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</row>
    <row r="4038" spans="1:15" ht="15" customHeight="1" x14ac:dyDescent="0.25">
      <c r="A4038" s="3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</row>
    <row r="4039" spans="1:15" ht="15" customHeight="1" x14ac:dyDescent="0.25">
      <c r="A4039" s="2"/>
      <c r="B4039" s="2"/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</row>
    <row r="4040" spans="1:15" ht="15" customHeight="1" x14ac:dyDescent="0.25">
      <c r="A4040" s="3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</row>
    <row r="4041" spans="1:15" ht="15" customHeight="1" x14ac:dyDescent="0.25">
      <c r="A4041" s="2"/>
      <c r="B4041" s="2"/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</row>
    <row r="4042" spans="1:15" ht="15" customHeight="1" x14ac:dyDescent="0.25">
      <c r="A4042" s="3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</row>
    <row r="4043" spans="1:15" ht="15" customHeight="1" x14ac:dyDescent="0.25">
      <c r="A4043" s="2"/>
      <c r="B4043" s="2"/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</row>
    <row r="4044" spans="1:15" ht="15" customHeight="1" x14ac:dyDescent="0.25">
      <c r="A4044" s="3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</row>
    <row r="4045" spans="1:15" ht="15" customHeight="1" x14ac:dyDescent="0.25">
      <c r="A4045" s="2"/>
      <c r="B4045" s="2"/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</row>
    <row r="4046" spans="1:15" ht="15" customHeight="1" x14ac:dyDescent="0.25">
      <c r="A4046" s="3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</row>
    <row r="4047" spans="1:15" ht="15" customHeight="1" x14ac:dyDescent="0.25">
      <c r="A4047" s="2"/>
      <c r="B4047" s="2"/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</row>
    <row r="4048" spans="1:15" ht="15" customHeight="1" x14ac:dyDescent="0.25">
      <c r="A4048" s="3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</row>
    <row r="4049" spans="1:15" ht="15" customHeight="1" x14ac:dyDescent="0.25">
      <c r="A4049" s="2"/>
      <c r="B4049" s="2"/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</row>
    <row r="4050" spans="1:15" ht="15" customHeight="1" x14ac:dyDescent="0.25">
      <c r="A4050" s="3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</row>
    <row r="4051" spans="1:15" ht="15" customHeight="1" x14ac:dyDescent="0.25">
      <c r="A4051" s="2"/>
      <c r="B4051" s="2"/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</row>
    <row r="4052" spans="1:15" ht="15" customHeight="1" x14ac:dyDescent="0.25">
      <c r="A4052" s="3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</row>
    <row r="4053" spans="1:15" ht="15" customHeight="1" x14ac:dyDescent="0.25">
      <c r="A4053" s="2"/>
      <c r="B4053" s="2"/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</row>
    <row r="4054" spans="1:15" ht="15" customHeight="1" x14ac:dyDescent="0.25">
      <c r="A4054" s="3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</row>
    <row r="4055" spans="1:15" ht="15" customHeight="1" x14ac:dyDescent="0.25">
      <c r="A4055" s="2"/>
      <c r="B4055" s="2"/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</row>
    <row r="4056" spans="1:15" ht="15" customHeight="1" x14ac:dyDescent="0.25">
      <c r="A4056" s="3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</row>
    <row r="4057" spans="1:15" ht="15" customHeight="1" x14ac:dyDescent="0.25">
      <c r="A4057" s="2"/>
      <c r="B4057" s="2"/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</row>
    <row r="4058" spans="1:15" ht="15" customHeight="1" x14ac:dyDescent="0.25">
      <c r="A4058" s="3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</row>
    <row r="4059" spans="1:15" ht="15" customHeight="1" x14ac:dyDescent="0.25">
      <c r="A4059" s="2"/>
      <c r="B4059" s="2"/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</row>
    <row r="4060" spans="1:15" ht="15" customHeight="1" x14ac:dyDescent="0.25">
      <c r="A4060" s="3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</row>
    <row r="4061" spans="1:15" ht="15" customHeight="1" x14ac:dyDescent="0.25">
      <c r="A4061" s="2"/>
      <c r="B4061" s="2"/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</row>
    <row r="4062" spans="1:15" ht="15" customHeight="1" x14ac:dyDescent="0.25">
      <c r="A4062" s="3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</row>
    <row r="4063" spans="1:15" ht="15" customHeight="1" x14ac:dyDescent="0.25">
      <c r="A4063" s="2"/>
      <c r="B4063" s="2"/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</row>
    <row r="4064" spans="1:15" ht="15" customHeight="1" x14ac:dyDescent="0.25">
      <c r="A4064" s="3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</row>
    <row r="4065" spans="1:15" ht="15" customHeight="1" x14ac:dyDescent="0.25">
      <c r="A4065" s="2"/>
      <c r="B4065" s="2"/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</row>
    <row r="4066" spans="1:15" ht="15" customHeight="1" x14ac:dyDescent="0.25">
      <c r="A4066" s="3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</row>
    <row r="4067" spans="1:15" ht="15" customHeight="1" x14ac:dyDescent="0.25">
      <c r="A4067" s="2"/>
      <c r="B4067" s="2"/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</row>
    <row r="4068" spans="1:15" ht="15" customHeight="1" x14ac:dyDescent="0.25">
      <c r="A4068" s="3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</row>
    <row r="4069" spans="1:15" ht="15" customHeight="1" x14ac:dyDescent="0.25">
      <c r="A4069" s="2"/>
      <c r="B4069" s="2"/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</row>
    <row r="4070" spans="1:15" ht="15" customHeight="1" x14ac:dyDescent="0.25">
      <c r="A4070" s="3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</row>
    <row r="4071" spans="1:15" ht="15" customHeight="1" x14ac:dyDescent="0.25">
      <c r="A4071" s="2"/>
      <c r="B4071" s="2"/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</row>
    <row r="4072" spans="1:15" ht="15" customHeight="1" x14ac:dyDescent="0.25">
      <c r="A4072" s="3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</row>
    <row r="4073" spans="1:15" ht="15" customHeight="1" x14ac:dyDescent="0.25">
      <c r="A4073" s="2"/>
      <c r="B4073" s="2"/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</row>
    <row r="4074" spans="1:15" ht="15" customHeight="1" x14ac:dyDescent="0.25">
      <c r="A4074" s="3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</row>
    <row r="4075" spans="1:15" ht="15" customHeight="1" x14ac:dyDescent="0.25">
      <c r="A4075" s="2"/>
      <c r="B4075" s="2"/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</row>
    <row r="4076" spans="1:15" ht="15" customHeight="1" x14ac:dyDescent="0.25">
      <c r="A4076" s="3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</row>
    <row r="4077" spans="1:15" ht="15" customHeight="1" x14ac:dyDescent="0.25">
      <c r="A4077" s="2"/>
      <c r="B4077" s="2"/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</row>
    <row r="4078" spans="1:15" ht="15" customHeight="1" x14ac:dyDescent="0.25">
      <c r="A4078" s="3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</row>
    <row r="4079" spans="1:15" ht="15" customHeight="1" x14ac:dyDescent="0.25">
      <c r="A4079" s="2"/>
      <c r="B4079" s="2"/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</row>
    <row r="4080" spans="1:15" ht="15" customHeight="1" x14ac:dyDescent="0.25">
      <c r="A4080" s="3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</row>
    <row r="4081" spans="1:15" ht="15" customHeight="1" x14ac:dyDescent="0.25">
      <c r="A4081" s="2"/>
      <c r="B4081" s="2"/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</row>
    <row r="4082" spans="1:15" ht="15" customHeight="1" x14ac:dyDescent="0.25">
      <c r="A4082" s="3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</row>
    <row r="4083" spans="1:15" ht="15" customHeight="1" x14ac:dyDescent="0.25">
      <c r="A4083" s="2"/>
      <c r="B4083" s="2"/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</row>
    <row r="4084" spans="1:15" ht="15" customHeight="1" x14ac:dyDescent="0.25">
      <c r="A4084" s="3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</row>
    <row r="4085" spans="1:15" ht="15" customHeight="1" x14ac:dyDescent="0.25">
      <c r="A4085" s="2"/>
      <c r="B4085" s="2"/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</row>
    <row r="4086" spans="1:15" ht="15" customHeight="1" x14ac:dyDescent="0.25">
      <c r="A4086" s="3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</row>
    <row r="4087" spans="1:15" ht="15" customHeight="1" x14ac:dyDescent="0.25">
      <c r="A4087" s="2"/>
      <c r="B4087" s="2"/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</row>
    <row r="4088" spans="1:15" ht="15" customHeight="1" x14ac:dyDescent="0.25">
      <c r="A4088" s="3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</row>
    <row r="4089" spans="1:15" ht="15" customHeight="1" x14ac:dyDescent="0.25">
      <c r="A4089" s="2"/>
      <c r="B4089" s="2"/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</row>
    <row r="4090" spans="1:15" ht="15" customHeight="1" x14ac:dyDescent="0.25">
      <c r="A4090" s="3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</row>
    <row r="4091" spans="1:15" ht="15" customHeight="1" x14ac:dyDescent="0.25">
      <c r="A4091" s="2"/>
      <c r="B4091" s="2"/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</row>
    <row r="4092" spans="1:15" ht="15" customHeight="1" x14ac:dyDescent="0.25">
      <c r="A4092" s="3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</row>
    <row r="4093" spans="1:15" ht="15" customHeight="1" x14ac:dyDescent="0.25">
      <c r="A4093" s="2"/>
      <c r="B4093" s="2"/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</row>
    <row r="4094" spans="1:15" ht="15" customHeight="1" x14ac:dyDescent="0.25">
      <c r="A4094" s="3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</row>
    <row r="4095" spans="1:15" ht="15" customHeight="1" x14ac:dyDescent="0.25">
      <c r="A4095" s="2"/>
      <c r="B4095" s="2"/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</row>
    <row r="4096" spans="1:15" ht="15" customHeight="1" x14ac:dyDescent="0.25">
      <c r="A4096" s="3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</row>
    <row r="4097" spans="1:15" ht="15" customHeight="1" x14ac:dyDescent="0.25">
      <c r="A4097" s="2"/>
      <c r="B4097" s="2"/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</row>
    <row r="4098" spans="1:15" ht="15" customHeight="1" x14ac:dyDescent="0.25">
      <c r="A4098" s="3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</row>
    <row r="4099" spans="1:15" ht="15" customHeight="1" x14ac:dyDescent="0.25">
      <c r="A4099" s="2"/>
      <c r="B4099" s="2"/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</row>
    <row r="4100" spans="1:15" ht="15" customHeight="1" x14ac:dyDescent="0.25">
      <c r="A4100" s="3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</row>
    <row r="4101" spans="1:15" ht="15" customHeight="1" x14ac:dyDescent="0.25">
      <c r="A4101" s="2"/>
      <c r="B4101" s="2"/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</row>
    <row r="4102" spans="1:15" ht="15" customHeight="1" x14ac:dyDescent="0.25">
      <c r="A4102" s="3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</row>
    <row r="4103" spans="1:15" ht="15" customHeight="1" x14ac:dyDescent="0.25">
      <c r="A4103" s="2"/>
      <c r="B4103" s="2"/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</row>
    <row r="4104" spans="1:15" ht="15" customHeight="1" x14ac:dyDescent="0.25">
      <c r="A4104" s="3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</row>
    <row r="4105" spans="1:15" ht="15" customHeight="1" x14ac:dyDescent="0.25">
      <c r="A4105" s="2"/>
      <c r="B4105" s="2"/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</row>
    <row r="4106" spans="1:15" ht="15" customHeight="1" x14ac:dyDescent="0.25">
      <c r="A4106" s="3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</row>
    <row r="4107" spans="1:15" ht="15" customHeight="1" x14ac:dyDescent="0.25">
      <c r="A4107" s="2"/>
      <c r="B4107" s="2"/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</row>
    <row r="4108" spans="1:15" ht="15" customHeight="1" x14ac:dyDescent="0.25">
      <c r="A4108" s="3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</row>
    <row r="4109" spans="1:15" ht="15" customHeight="1" x14ac:dyDescent="0.25">
      <c r="A4109" s="2"/>
      <c r="B4109" s="2"/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</row>
    <row r="4110" spans="1:15" ht="15" customHeight="1" x14ac:dyDescent="0.25">
      <c r="A4110" s="3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</row>
    <row r="4111" spans="1:15" ht="15" customHeight="1" x14ac:dyDescent="0.25">
      <c r="A4111" s="2"/>
      <c r="B4111" s="2"/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</row>
    <row r="4112" spans="1:15" ht="15" customHeight="1" x14ac:dyDescent="0.25">
      <c r="A4112" s="3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</row>
    <row r="4113" spans="1:15" ht="15" customHeight="1" x14ac:dyDescent="0.25">
      <c r="A4113" s="2"/>
      <c r="B4113" s="2"/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</row>
    <row r="4114" spans="1:15" ht="15" customHeight="1" x14ac:dyDescent="0.25">
      <c r="A4114" s="3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</row>
    <row r="4115" spans="1:15" ht="15" customHeight="1" x14ac:dyDescent="0.25">
      <c r="A4115" s="2"/>
      <c r="B4115" s="2"/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</row>
    <row r="4116" spans="1:15" ht="15" customHeight="1" x14ac:dyDescent="0.25">
      <c r="A4116" s="3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</row>
    <row r="4117" spans="1:15" ht="15" customHeight="1" x14ac:dyDescent="0.25">
      <c r="A4117" s="2"/>
      <c r="B4117" s="2"/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</row>
    <row r="4118" spans="1:15" ht="15" customHeight="1" x14ac:dyDescent="0.25">
      <c r="A4118" s="3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</row>
    <row r="4119" spans="1:15" ht="15" customHeight="1" x14ac:dyDescent="0.25">
      <c r="A4119" s="2"/>
      <c r="B4119" s="2"/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</row>
    <row r="4120" spans="1:15" ht="15" customHeight="1" x14ac:dyDescent="0.25">
      <c r="A4120" s="3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</row>
    <row r="4121" spans="1:15" ht="15" customHeight="1" x14ac:dyDescent="0.25">
      <c r="A4121" s="2"/>
      <c r="B4121" s="2"/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</row>
    <row r="4122" spans="1:15" ht="15" customHeight="1" x14ac:dyDescent="0.25">
      <c r="A4122" s="3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</row>
    <row r="4123" spans="1:15" ht="15" customHeight="1" x14ac:dyDescent="0.25">
      <c r="A4123" s="2"/>
      <c r="B4123" s="2"/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</row>
    <row r="4124" spans="1:15" ht="15" customHeight="1" x14ac:dyDescent="0.25">
      <c r="A4124" s="3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</row>
    <row r="4125" spans="1:15" ht="15" customHeight="1" x14ac:dyDescent="0.25">
      <c r="A4125" s="2"/>
      <c r="B4125" s="2"/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</row>
    <row r="4126" spans="1:15" ht="15" customHeight="1" x14ac:dyDescent="0.25">
      <c r="A4126" s="3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</row>
    <row r="4127" spans="1:15" ht="15" customHeight="1" x14ac:dyDescent="0.25">
      <c r="A4127" s="2"/>
      <c r="B4127" s="2"/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</row>
    <row r="4128" spans="1:15" ht="15" customHeight="1" x14ac:dyDescent="0.25">
      <c r="A4128" s="3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</row>
    <row r="4129" spans="1:15" ht="15" customHeight="1" x14ac:dyDescent="0.25">
      <c r="A4129" s="2"/>
      <c r="B4129" s="2"/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</row>
    <row r="4130" spans="1:15" ht="15" customHeight="1" x14ac:dyDescent="0.25">
      <c r="A4130" s="3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</row>
    <row r="4131" spans="1:15" ht="15" customHeight="1" x14ac:dyDescent="0.25">
      <c r="A4131" s="2"/>
      <c r="B4131" s="2"/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</row>
    <row r="4132" spans="1:15" ht="15" customHeight="1" x14ac:dyDescent="0.25">
      <c r="A4132" s="3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</row>
    <row r="4133" spans="1:15" ht="15" customHeight="1" x14ac:dyDescent="0.25">
      <c r="A4133" s="2"/>
      <c r="B4133" s="2"/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</row>
    <row r="4134" spans="1:15" ht="15" customHeight="1" x14ac:dyDescent="0.25">
      <c r="A4134" s="3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</row>
    <row r="4135" spans="1:15" ht="15" customHeight="1" x14ac:dyDescent="0.25">
      <c r="A4135" s="2"/>
      <c r="B4135" s="2"/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</row>
    <row r="4136" spans="1:15" ht="15" customHeight="1" x14ac:dyDescent="0.25">
      <c r="A4136" s="3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</row>
    <row r="4137" spans="1:15" ht="15" customHeight="1" x14ac:dyDescent="0.25">
      <c r="A4137" s="2"/>
      <c r="B4137" s="2"/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</row>
    <row r="4138" spans="1:15" ht="15" customHeight="1" x14ac:dyDescent="0.25">
      <c r="A4138" s="3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</row>
    <row r="4139" spans="1:15" ht="15" customHeight="1" x14ac:dyDescent="0.25">
      <c r="A4139" s="2"/>
      <c r="B4139" s="2"/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</row>
    <row r="4140" spans="1:15" ht="15" customHeight="1" x14ac:dyDescent="0.25">
      <c r="A4140" s="3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</row>
    <row r="4141" spans="1:15" ht="15" customHeight="1" x14ac:dyDescent="0.25">
      <c r="A4141" s="2"/>
      <c r="B4141" s="2"/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</row>
    <row r="4142" spans="1:15" ht="15" customHeight="1" x14ac:dyDescent="0.25">
      <c r="A4142" s="3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</row>
    <row r="4143" spans="1:15" ht="15" customHeight="1" x14ac:dyDescent="0.25">
      <c r="A4143" s="2"/>
      <c r="B4143" s="2"/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</row>
    <row r="4144" spans="1:15" ht="15" customHeight="1" x14ac:dyDescent="0.25">
      <c r="A4144" s="3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</row>
    <row r="4145" spans="1:15" ht="15" customHeight="1" x14ac:dyDescent="0.25">
      <c r="A4145" s="2"/>
      <c r="B4145" s="2"/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</row>
    <row r="4146" spans="1:15" ht="15" customHeight="1" x14ac:dyDescent="0.25">
      <c r="A4146" s="3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</row>
    <row r="4147" spans="1:15" ht="15" customHeight="1" x14ac:dyDescent="0.25">
      <c r="A4147" s="2"/>
      <c r="B4147" s="2"/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</row>
    <row r="4148" spans="1:15" ht="15" customHeight="1" x14ac:dyDescent="0.25">
      <c r="A4148" s="3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</row>
    <row r="4149" spans="1:15" ht="15" customHeight="1" x14ac:dyDescent="0.25">
      <c r="A4149" s="2"/>
      <c r="B4149" s="2"/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</row>
    <row r="4150" spans="1:15" ht="15" customHeight="1" x14ac:dyDescent="0.25">
      <c r="A4150" s="3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</row>
    <row r="4151" spans="1:15" ht="15" customHeight="1" x14ac:dyDescent="0.25">
      <c r="A4151" s="2"/>
      <c r="B4151" s="2"/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</row>
    <row r="4152" spans="1:15" ht="15" customHeight="1" x14ac:dyDescent="0.25">
      <c r="A4152" s="3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</row>
    <row r="4153" spans="1:15" ht="15" customHeight="1" x14ac:dyDescent="0.25">
      <c r="A4153" s="2"/>
      <c r="B4153" s="2"/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</row>
    <row r="4154" spans="1:15" ht="15" customHeight="1" x14ac:dyDescent="0.25">
      <c r="A4154" s="3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</row>
    <row r="4155" spans="1:15" ht="15" customHeight="1" x14ac:dyDescent="0.25">
      <c r="A4155" s="2"/>
      <c r="B4155" s="2"/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</row>
    <row r="4156" spans="1:15" ht="15" customHeight="1" x14ac:dyDescent="0.25">
      <c r="A4156" s="3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</row>
    <row r="4157" spans="1:15" ht="15" customHeight="1" x14ac:dyDescent="0.25">
      <c r="A4157" s="2"/>
      <c r="B4157" s="2"/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</row>
    <row r="4158" spans="1:15" ht="15" customHeight="1" x14ac:dyDescent="0.25">
      <c r="A4158" s="3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</row>
    <row r="4159" spans="1:15" ht="15" customHeight="1" x14ac:dyDescent="0.25">
      <c r="A4159" s="2"/>
      <c r="B4159" s="2"/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</row>
    <row r="4160" spans="1:15" ht="15" customHeight="1" x14ac:dyDescent="0.25">
      <c r="A4160" s="3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</row>
    <row r="4161" spans="1:15" ht="15" customHeight="1" x14ac:dyDescent="0.25">
      <c r="A4161" s="2"/>
      <c r="B4161" s="2"/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</row>
    <row r="4162" spans="1:15" ht="15" customHeight="1" x14ac:dyDescent="0.25">
      <c r="A4162" s="3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</row>
    <row r="4163" spans="1:15" ht="15" customHeight="1" x14ac:dyDescent="0.25">
      <c r="A4163" s="2"/>
      <c r="B4163" s="2"/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</row>
    <row r="4164" spans="1:15" ht="15" customHeight="1" x14ac:dyDescent="0.25">
      <c r="A4164" s="3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</row>
    <row r="4165" spans="1:15" ht="15" customHeight="1" x14ac:dyDescent="0.25">
      <c r="A4165" s="2"/>
      <c r="B4165" s="2"/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</row>
    <row r="4166" spans="1:15" ht="15" customHeight="1" x14ac:dyDescent="0.25">
      <c r="A4166" s="3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</row>
    <row r="4167" spans="1:15" ht="15" customHeight="1" x14ac:dyDescent="0.25">
      <c r="A4167" s="2"/>
      <c r="B4167" s="2"/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</row>
    <row r="4168" spans="1:15" ht="15" customHeight="1" x14ac:dyDescent="0.25">
      <c r="A4168" s="3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</row>
    <row r="4169" spans="1:15" ht="15" customHeight="1" x14ac:dyDescent="0.25">
      <c r="A4169" s="2"/>
      <c r="B4169" s="2"/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</row>
    <row r="4170" spans="1:15" ht="15" customHeight="1" x14ac:dyDescent="0.25">
      <c r="A4170" s="3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</row>
    <row r="4171" spans="1:15" ht="15" customHeight="1" x14ac:dyDescent="0.25">
      <c r="A4171" s="2"/>
      <c r="B4171" s="2"/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</row>
    <row r="4172" spans="1:15" ht="15" customHeight="1" x14ac:dyDescent="0.25">
      <c r="A4172" s="3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</row>
    <row r="4173" spans="1:15" ht="15" customHeight="1" x14ac:dyDescent="0.25">
      <c r="A4173" s="2"/>
      <c r="B4173" s="2"/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</row>
    <row r="4174" spans="1:15" ht="15" customHeight="1" x14ac:dyDescent="0.25">
      <c r="A4174" s="3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</row>
    <row r="4175" spans="1:15" ht="15" customHeight="1" x14ac:dyDescent="0.25">
      <c r="A4175" s="2"/>
      <c r="B4175" s="2"/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</row>
    <row r="4176" spans="1:15" ht="15" customHeight="1" x14ac:dyDescent="0.25">
      <c r="A4176" s="3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</row>
    <row r="4177" spans="1:15" ht="15" customHeight="1" x14ac:dyDescent="0.25">
      <c r="A4177" s="2"/>
      <c r="B4177" s="2"/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</row>
    <row r="4178" spans="1:15" ht="15" customHeight="1" x14ac:dyDescent="0.25">
      <c r="A4178" s="3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</row>
    <row r="4179" spans="1:15" ht="15" customHeight="1" x14ac:dyDescent="0.25">
      <c r="A4179" s="2"/>
      <c r="B4179" s="2"/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</row>
    <row r="4180" spans="1:15" ht="15" customHeight="1" x14ac:dyDescent="0.25">
      <c r="A4180" s="3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</row>
    <row r="4181" spans="1:15" ht="15" customHeight="1" x14ac:dyDescent="0.25">
      <c r="A4181" s="2"/>
      <c r="B4181" s="2"/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</row>
    <row r="4182" spans="1:15" ht="15" customHeight="1" x14ac:dyDescent="0.25">
      <c r="A4182" s="3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</row>
    <row r="4183" spans="1:15" ht="15" customHeight="1" x14ac:dyDescent="0.25">
      <c r="A4183" s="2"/>
      <c r="B4183" s="2"/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</row>
    <row r="4184" spans="1:15" ht="15" customHeight="1" x14ac:dyDescent="0.25">
      <c r="A4184" s="3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</row>
    <row r="4185" spans="1:15" ht="15" customHeight="1" x14ac:dyDescent="0.25">
      <c r="A4185" s="2"/>
      <c r="B4185" s="2"/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</row>
    <row r="4186" spans="1:15" ht="15" customHeight="1" x14ac:dyDescent="0.25">
      <c r="A4186" s="3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</row>
    <row r="4187" spans="1:15" ht="15" customHeight="1" x14ac:dyDescent="0.25">
      <c r="A4187" s="2"/>
      <c r="B4187" s="2"/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</row>
    <row r="4188" spans="1:15" ht="15" customHeight="1" x14ac:dyDescent="0.25">
      <c r="A4188" s="3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</row>
    <row r="4189" spans="1:15" ht="15" customHeight="1" x14ac:dyDescent="0.25">
      <c r="A4189" s="2"/>
      <c r="B4189" s="2"/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</row>
    <row r="4190" spans="1:15" ht="15" customHeight="1" x14ac:dyDescent="0.25">
      <c r="A4190" s="3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</row>
    <row r="4191" spans="1:15" ht="15" customHeight="1" x14ac:dyDescent="0.25">
      <c r="A4191" s="2"/>
      <c r="B4191" s="2"/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</row>
    <row r="4192" spans="1:15" ht="15" customHeight="1" x14ac:dyDescent="0.25">
      <c r="A4192" s="3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</row>
    <row r="4193" spans="1:15" ht="15" customHeight="1" x14ac:dyDescent="0.25">
      <c r="A4193" s="2"/>
      <c r="B4193" s="2"/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</row>
    <row r="4194" spans="1:15" ht="15" customHeight="1" x14ac:dyDescent="0.25">
      <c r="A4194" s="3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</row>
    <row r="4195" spans="1:15" ht="15" customHeight="1" x14ac:dyDescent="0.25">
      <c r="A4195" s="2"/>
      <c r="B4195" s="2"/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</row>
    <row r="4196" spans="1:15" ht="15" customHeight="1" x14ac:dyDescent="0.25">
      <c r="A4196" s="3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</row>
    <row r="4197" spans="1:15" ht="15" customHeight="1" x14ac:dyDescent="0.25">
      <c r="A4197" s="2"/>
      <c r="B4197" s="2"/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</row>
    <row r="4198" spans="1:15" ht="15" customHeight="1" x14ac:dyDescent="0.25">
      <c r="A4198" s="3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</row>
    <row r="4199" spans="1:15" ht="15" customHeight="1" x14ac:dyDescent="0.25">
      <c r="A4199" s="2"/>
      <c r="B4199" s="2"/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</row>
    <row r="4200" spans="1:15" ht="15" customHeight="1" x14ac:dyDescent="0.25">
      <c r="A4200" s="3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</row>
    <row r="4201" spans="1:15" ht="15" customHeight="1" x14ac:dyDescent="0.25">
      <c r="A4201" s="2"/>
      <c r="B4201" s="2"/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</row>
    <row r="4202" spans="1:15" ht="15" customHeight="1" x14ac:dyDescent="0.25">
      <c r="A4202" s="3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</row>
    <row r="4203" spans="1:15" ht="15" customHeight="1" x14ac:dyDescent="0.25">
      <c r="A4203" s="2"/>
      <c r="B4203" s="2"/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</row>
    <row r="4204" spans="1:15" ht="15" customHeight="1" x14ac:dyDescent="0.25">
      <c r="A4204" s="3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</row>
    <row r="4205" spans="1:15" ht="15" customHeight="1" x14ac:dyDescent="0.25">
      <c r="A4205" s="2"/>
      <c r="B4205" s="2"/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</row>
    <row r="4206" spans="1:15" ht="15" customHeight="1" x14ac:dyDescent="0.25">
      <c r="A4206" s="3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</row>
    <row r="4207" spans="1:15" ht="15" customHeight="1" x14ac:dyDescent="0.25">
      <c r="A4207" s="2"/>
      <c r="B4207" s="2"/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</row>
    <row r="4208" spans="1:15" ht="15" customHeight="1" x14ac:dyDescent="0.25">
      <c r="A4208" s="3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</row>
    <row r="4209" spans="1:15" ht="15" customHeight="1" x14ac:dyDescent="0.25">
      <c r="A4209" s="2"/>
      <c r="B4209" s="2"/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</row>
    <row r="4210" spans="1:15" ht="15" customHeight="1" x14ac:dyDescent="0.25">
      <c r="A4210" s="3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</row>
    <row r="4211" spans="1:15" ht="15" customHeight="1" x14ac:dyDescent="0.25">
      <c r="A4211" s="2"/>
      <c r="B4211" s="2"/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</row>
    <row r="4212" spans="1:15" ht="15" customHeight="1" x14ac:dyDescent="0.25">
      <c r="A4212" s="3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</row>
    <row r="4213" spans="1:15" ht="15" customHeight="1" x14ac:dyDescent="0.25">
      <c r="A4213" s="2"/>
      <c r="B4213" s="2"/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</row>
    <row r="4214" spans="1:15" ht="15" customHeight="1" x14ac:dyDescent="0.25">
      <c r="A4214" s="3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</row>
    <row r="4215" spans="1:15" ht="15" customHeight="1" x14ac:dyDescent="0.25">
      <c r="A4215" s="2"/>
      <c r="B4215" s="2"/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</row>
    <row r="4216" spans="1:15" ht="15" customHeight="1" x14ac:dyDescent="0.25">
      <c r="A4216" s="3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</row>
    <row r="4217" spans="1:15" ht="15" customHeight="1" x14ac:dyDescent="0.25">
      <c r="A4217" s="2"/>
      <c r="B4217" s="2"/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</row>
    <row r="4218" spans="1:15" ht="15" customHeight="1" x14ac:dyDescent="0.25">
      <c r="A4218" s="3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</row>
    <row r="4219" spans="1:15" ht="15" customHeight="1" x14ac:dyDescent="0.25">
      <c r="A4219" s="2"/>
      <c r="B4219" s="2"/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</row>
    <row r="4220" spans="1:15" ht="15" customHeight="1" x14ac:dyDescent="0.25">
      <c r="A4220" s="3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</row>
    <row r="4221" spans="1:15" ht="15" customHeight="1" x14ac:dyDescent="0.25">
      <c r="A4221" s="2"/>
      <c r="B4221" s="2"/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</row>
    <row r="4222" spans="1:15" ht="15" customHeight="1" x14ac:dyDescent="0.25">
      <c r="A4222" s="3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</row>
    <row r="4223" spans="1:15" ht="15" customHeight="1" x14ac:dyDescent="0.25">
      <c r="A4223" s="2"/>
      <c r="B4223" s="2"/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</row>
    <row r="4224" spans="1:15" ht="15" customHeight="1" x14ac:dyDescent="0.25">
      <c r="A4224" s="3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</row>
    <row r="4225" spans="1:15" ht="15" customHeight="1" x14ac:dyDescent="0.25">
      <c r="A4225" s="2"/>
      <c r="B4225" s="2"/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</row>
    <row r="4226" spans="1:15" ht="15" customHeight="1" x14ac:dyDescent="0.25">
      <c r="A4226" s="3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</row>
    <row r="4227" spans="1:15" ht="15" customHeight="1" x14ac:dyDescent="0.25">
      <c r="A4227" s="2"/>
      <c r="B4227" s="2"/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</row>
    <row r="4228" spans="1:15" ht="15" customHeight="1" x14ac:dyDescent="0.25">
      <c r="A4228" s="3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</row>
    <row r="4229" spans="1:15" ht="15" customHeight="1" x14ac:dyDescent="0.25">
      <c r="A4229" s="2"/>
      <c r="B4229" s="2"/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</row>
    <row r="4230" spans="1:15" ht="15" customHeight="1" x14ac:dyDescent="0.25">
      <c r="A4230" s="3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</row>
    <row r="4231" spans="1:15" ht="15" customHeight="1" x14ac:dyDescent="0.25">
      <c r="A4231" s="2"/>
      <c r="B4231" s="2"/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</row>
    <row r="4232" spans="1:15" ht="15" customHeight="1" x14ac:dyDescent="0.25">
      <c r="A4232" s="3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</row>
    <row r="4233" spans="1:15" ht="15" customHeight="1" x14ac:dyDescent="0.25">
      <c r="A4233" s="2"/>
      <c r="B4233" s="2"/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</row>
    <row r="4234" spans="1:15" ht="15" customHeight="1" x14ac:dyDescent="0.25">
      <c r="A4234" s="3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</row>
    <row r="4235" spans="1:15" ht="15" customHeight="1" x14ac:dyDescent="0.25">
      <c r="A4235" s="2"/>
      <c r="B4235" s="2"/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</row>
    <row r="4236" spans="1:15" ht="15" customHeight="1" x14ac:dyDescent="0.25">
      <c r="A4236" s="3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</row>
    <row r="4237" spans="1:15" ht="15" customHeight="1" x14ac:dyDescent="0.25">
      <c r="A4237" s="2"/>
      <c r="B4237" s="2"/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</row>
    <row r="4238" spans="1:15" ht="15" customHeight="1" x14ac:dyDescent="0.25">
      <c r="A4238" s="3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</row>
    <row r="4239" spans="1:15" ht="15" customHeight="1" x14ac:dyDescent="0.25">
      <c r="A4239" s="2"/>
      <c r="B4239" s="2"/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</row>
    <row r="4240" spans="1:15" ht="15" customHeight="1" x14ac:dyDescent="0.25">
      <c r="A4240" s="3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</row>
    <row r="4241" spans="1:15" ht="15" customHeight="1" x14ac:dyDescent="0.25">
      <c r="A4241" s="2"/>
      <c r="B4241" s="2"/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</row>
    <row r="4242" spans="1:15" ht="15" customHeight="1" x14ac:dyDescent="0.25">
      <c r="A4242" s="3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</row>
    <row r="4243" spans="1:15" ht="15" customHeight="1" x14ac:dyDescent="0.25">
      <c r="A4243" s="2"/>
      <c r="B4243" s="2"/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</row>
    <row r="4244" spans="1:15" ht="15" customHeight="1" x14ac:dyDescent="0.25">
      <c r="A4244" s="3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</row>
    <row r="4245" spans="1:15" ht="15" customHeight="1" x14ac:dyDescent="0.25">
      <c r="A4245" s="2"/>
      <c r="B4245" s="2"/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</row>
    <row r="4246" spans="1:15" ht="15" customHeight="1" x14ac:dyDescent="0.25">
      <c r="A4246" s="3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</row>
    <row r="4247" spans="1:15" ht="15" customHeight="1" x14ac:dyDescent="0.25">
      <c r="A4247" s="2"/>
      <c r="B4247" s="2"/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</row>
    <row r="4248" spans="1:15" ht="15" customHeight="1" x14ac:dyDescent="0.25">
      <c r="A4248" s="3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</row>
    <row r="4249" spans="1:15" ht="15" customHeight="1" x14ac:dyDescent="0.25">
      <c r="A4249" s="2"/>
      <c r="B4249" s="2"/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</row>
    <row r="4250" spans="1:15" ht="15" customHeight="1" x14ac:dyDescent="0.25">
      <c r="A4250" s="3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</row>
    <row r="4251" spans="1:15" ht="15" customHeight="1" x14ac:dyDescent="0.25">
      <c r="A4251" s="2"/>
      <c r="B4251" s="2"/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</row>
    <row r="4252" spans="1:15" ht="15" customHeight="1" x14ac:dyDescent="0.25">
      <c r="A4252" s="3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</row>
    <row r="4253" spans="1:15" ht="15" customHeight="1" x14ac:dyDescent="0.25">
      <c r="A4253" s="2"/>
      <c r="B4253" s="2"/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</row>
    <row r="4254" spans="1:15" ht="15" customHeight="1" x14ac:dyDescent="0.25">
      <c r="A4254" s="3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</row>
    <row r="4255" spans="1:15" ht="15" customHeight="1" x14ac:dyDescent="0.25">
      <c r="A4255" s="2"/>
      <c r="B4255" s="2"/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</row>
    <row r="4256" spans="1:15" ht="15" customHeight="1" x14ac:dyDescent="0.25">
      <c r="A4256" s="3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</row>
    <row r="4257" spans="1:15" ht="15" customHeight="1" x14ac:dyDescent="0.25">
      <c r="A4257" s="2"/>
      <c r="B4257" s="2"/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</row>
    <row r="4258" spans="1:15" ht="15" customHeight="1" x14ac:dyDescent="0.25">
      <c r="A4258" s="3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</row>
    <row r="4259" spans="1:15" ht="15" customHeight="1" x14ac:dyDescent="0.25">
      <c r="A4259" s="2"/>
      <c r="B4259" s="2"/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</row>
    <row r="4260" spans="1:15" ht="15" customHeight="1" x14ac:dyDescent="0.25">
      <c r="A4260" s="3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</row>
    <row r="4261" spans="1:15" ht="15" customHeight="1" x14ac:dyDescent="0.25">
      <c r="A4261" s="2"/>
      <c r="B4261" s="2"/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</row>
    <row r="4262" spans="1:15" ht="15" customHeight="1" x14ac:dyDescent="0.25">
      <c r="A4262" s="3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</row>
    <row r="4263" spans="1:15" ht="15" customHeight="1" x14ac:dyDescent="0.25">
      <c r="A4263" s="2"/>
      <c r="B4263" s="2"/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</row>
    <row r="4264" spans="1:15" ht="15" customHeight="1" x14ac:dyDescent="0.25">
      <c r="A4264" s="3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</row>
    <row r="4265" spans="1:15" ht="15" customHeight="1" x14ac:dyDescent="0.25">
      <c r="A4265" s="2"/>
      <c r="B4265" s="2"/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</row>
    <row r="4266" spans="1:15" ht="15" customHeight="1" x14ac:dyDescent="0.25">
      <c r="A4266" s="3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</row>
    <row r="4267" spans="1:15" ht="15" customHeight="1" x14ac:dyDescent="0.25">
      <c r="A4267" s="2"/>
      <c r="B4267" s="2"/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</row>
    <row r="4268" spans="1:15" ht="15" customHeight="1" x14ac:dyDescent="0.25">
      <c r="A4268" s="3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</row>
    <row r="4269" spans="1:15" ht="15" customHeight="1" x14ac:dyDescent="0.25">
      <c r="A4269" s="2"/>
      <c r="B4269" s="2"/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</row>
    <row r="4270" spans="1:15" ht="15" customHeight="1" x14ac:dyDescent="0.25">
      <c r="A4270" s="3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</row>
    <row r="4271" spans="1:15" ht="15" customHeight="1" x14ac:dyDescent="0.25">
      <c r="A4271" s="2"/>
      <c r="B4271" s="2"/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</row>
    <row r="4272" spans="1:15" ht="15" customHeight="1" x14ac:dyDescent="0.25">
      <c r="A4272" s="3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</row>
    <row r="4273" spans="1:15" ht="15" customHeight="1" x14ac:dyDescent="0.25">
      <c r="A4273" s="2"/>
      <c r="B4273" s="2"/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</row>
    <row r="4274" spans="1:15" ht="15" customHeight="1" x14ac:dyDescent="0.25">
      <c r="A4274" s="3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</row>
    <row r="4275" spans="1:15" ht="15" customHeight="1" x14ac:dyDescent="0.25">
      <c r="A4275" s="2"/>
      <c r="B4275" s="2"/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</row>
    <row r="4276" spans="1:15" ht="15" customHeight="1" x14ac:dyDescent="0.25">
      <c r="A4276" s="3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</row>
    <row r="4277" spans="1:15" ht="15" customHeight="1" x14ac:dyDescent="0.25">
      <c r="A4277" s="2"/>
      <c r="B4277" s="2"/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</row>
    <row r="4278" spans="1:15" ht="15" customHeight="1" x14ac:dyDescent="0.25">
      <c r="A4278" s="3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</row>
    <row r="4279" spans="1:15" ht="15" customHeight="1" x14ac:dyDescent="0.25">
      <c r="A4279" s="2"/>
      <c r="B4279" s="2"/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</row>
    <row r="4280" spans="1:15" ht="15" customHeight="1" x14ac:dyDescent="0.25">
      <c r="A4280" s="3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</row>
    <row r="4281" spans="1:15" ht="15" customHeight="1" x14ac:dyDescent="0.25">
      <c r="A4281" s="2"/>
      <c r="B4281" s="2"/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</row>
    <row r="4282" spans="1:15" ht="15" customHeight="1" x14ac:dyDescent="0.25">
      <c r="A4282" s="3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</row>
    <row r="4283" spans="1:15" ht="15" customHeight="1" x14ac:dyDescent="0.25">
      <c r="A4283" s="2"/>
      <c r="B4283" s="2"/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</row>
    <row r="4284" spans="1:15" ht="15" customHeight="1" x14ac:dyDescent="0.25">
      <c r="A4284" s="3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</row>
    <row r="4285" spans="1:15" ht="15" customHeight="1" x14ac:dyDescent="0.25">
      <c r="A4285" s="2"/>
      <c r="B4285" s="2"/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</row>
    <row r="4286" spans="1:15" ht="15" customHeight="1" x14ac:dyDescent="0.25">
      <c r="A4286" s="3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</row>
    <row r="4287" spans="1:15" ht="15" customHeight="1" x14ac:dyDescent="0.25">
      <c r="A4287" s="2"/>
      <c r="B4287" s="2"/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</row>
    <row r="4288" spans="1:15" ht="15" customHeight="1" x14ac:dyDescent="0.25">
      <c r="A4288" s="3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</row>
    <row r="4289" spans="1:15" ht="15" customHeight="1" x14ac:dyDescent="0.25">
      <c r="A4289" s="2"/>
      <c r="B4289" s="2"/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</row>
    <row r="4290" spans="1:15" ht="15" customHeight="1" x14ac:dyDescent="0.25">
      <c r="A4290" s="3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</row>
    <row r="4291" spans="1:15" ht="15" customHeight="1" x14ac:dyDescent="0.25">
      <c r="A4291" s="2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</row>
    <row r="4292" spans="1:15" ht="15" customHeight="1" x14ac:dyDescent="0.25">
      <c r="A4292" s="3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</row>
    <row r="4293" spans="1:15" ht="15" customHeight="1" x14ac:dyDescent="0.25">
      <c r="A4293" s="2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</row>
    <row r="4294" spans="1:15" ht="15" customHeight="1" x14ac:dyDescent="0.25">
      <c r="A4294" s="3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</row>
    <row r="4295" spans="1:15" ht="15" customHeight="1" x14ac:dyDescent="0.25">
      <c r="A4295" s="2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</row>
    <row r="4296" spans="1:15" ht="15" customHeight="1" x14ac:dyDescent="0.25">
      <c r="A4296" s="3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</row>
    <row r="4297" spans="1:15" ht="15" customHeight="1" x14ac:dyDescent="0.25">
      <c r="A4297" s="2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</row>
    <row r="4298" spans="1:15" ht="15" customHeight="1" x14ac:dyDescent="0.25">
      <c r="A4298" s="3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</row>
    <row r="4299" spans="1:15" ht="15" customHeight="1" x14ac:dyDescent="0.25">
      <c r="A4299" s="2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</row>
    <row r="4300" spans="1:15" ht="15" customHeight="1" x14ac:dyDescent="0.25">
      <c r="A4300" s="3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</row>
    <row r="4301" spans="1:15" ht="15" customHeight="1" x14ac:dyDescent="0.25">
      <c r="A4301" s="2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</row>
    <row r="4302" spans="1:15" ht="15" customHeight="1" x14ac:dyDescent="0.25">
      <c r="A4302" s="3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</row>
    <row r="4303" spans="1:15" ht="15" customHeight="1" x14ac:dyDescent="0.25">
      <c r="A4303" s="2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</row>
    <row r="4304" spans="1:15" ht="15" customHeight="1" x14ac:dyDescent="0.25">
      <c r="A4304" s="3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</row>
    <row r="4305" spans="1:15" ht="15" customHeight="1" x14ac:dyDescent="0.25">
      <c r="A4305" s="2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</row>
    <row r="4306" spans="1:15" ht="15" customHeight="1" x14ac:dyDescent="0.25">
      <c r="A4306" s="3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</row>
    <row r="4307" spans="1:15" ht="15" customHeight="1" x14ac:dyDescent="0.25">
      <c r="A4307" s="2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</row>
    <row r="4308" spans="1:15" ht="15" customHeight="1" x14ac:dyDescent="0.25">
      <c r="A4308" s="3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</row>
    <row r="4309" spans="1:15" ht="15" customHeight="1" x14ac:dyDescent="0.25">
      <c r="A4309" s="2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</row>
    <row r="4310" spans="1:15" ht="15" customHeight="1" x14ac:dyDescent="0.25">
      <c r="A4310" s="3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</row>
    <row r="4311" spans="1:15" ht="15" customHeight="1" x14ac:dyDescent="0.25">
      <c r="A4311" s="2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</row>
    <row r="4312" spans="1:15" ht="15" customHeight="1" x14ac:dyDescent="0.25">
      <c r="A4312" s="3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</row>
    <row r="4313" spans="1:15" ht="15" customHeight="1" x14ac:dyDescent="0.25">
      <c r="A4313" s="2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</row>
    <row r="4314" spans="1:15" ht="15" customHeight="1" x14ac:dyDescent="0.25">
      <c r="A4314" s="3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</row>
    <row r="4315" spans="1:15" ht="15" customHeight="1" x14ac:dyDescent="0.25">
      <c r="A4315" s="2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</row>
    <row r="4316" spans="1:15" ht="15" customHeight="1" x14ac:dyDescent="0.25">
      <c r="A4316" s="3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</row>
    <row r="4317" spans="1:15" ht="15" customHeight="1" x14ac:dyDescent="0.25">
      <c r="A4317" s="2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</row>
    <row r="4318" spans="1:15" ht="15" customHeight="1" x14ac:dyDescent="0.25">
      <c r="A4318" s="3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</row>
    <row r="4319" spans="1:15" ht="15" customHeight="1" x14ac:dyDescent="0.25">
      <c r="A4319" s="2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</row>
    <row r="4320" spans="1:15" ht="15" customHeight="1" x14ac:dyDescent="0.25">
      <c r="A4320" s="3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</row>
    <row r="4321" spans="1:15" ht="15" customHeight="1" x14ac:dyDescent="0.25">
      <c r="A4321" s="2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</row>
    <row r="4322" spans="1:15" ht="15" customHeight="1" x14ac:dyDescent="0.25">
      <c r="A4322" s="3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</row>
    <row r="4323" spans="1:15" ht="15" customHeight="1" x14ac:dyDescent="0.25">
      <c r="A4323" s="2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</row>
    <row r="4324" spans="1:15" ht="15" customHeight="1" x14ac:dyDescent="0.25">
      <c r="A4324" s="3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</row>
    <row r="4325" spans="1:15" ht="15" customHeight="1" x14ac:dyDescent="0.25">
      <c r="A4325" s="2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</row>
    <row r="4326" spans="1:15" ht="15" customHeight="1" x14ac:dyDescent="0.25">
      <c r="A4326" s="3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</row>
    <row r="4327" spans="1:15" ht="15" customHeight="1" x14ac:dyDescent="0.25">
      <c r="A4327" s="2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</row>
    <row r="4328" spans="1:15" ht="15" customHeight="1" x14ac:dyDescent="0.25">
      <c r="A4328" s="3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</row>
    <row r="4329" spans="1:15" ht="15" customHeight="1" x14ac:dyDescent="0.25">
      <c r="A4329" s="2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</row>
    <row r="4330" spans="1:15" ht="15" customHeight="1" x14ac:dyDescent="0.25">
      <c r="A4330" s="3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</row>
    <row r="4331" spans="1:15" ht="15" customHeight="1" x14ac:dyDescent="0.25">
      <c r="A4331" s="2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</row>
    <row r="4332" spans="1:15" ht="15" customHeight="1" x14ac:dyDescent="0.25">
      <c r="A4332" s="3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</row>
    <row r="4333" spans="1:15" ht="15" customHeight="1" x14ac:dyDescent="0.25">
      <c r="A4333" s="2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</row>
    <row r="4334" spans="1:15" ht="15" customHeight="1" x14ac:dyDescent="0.25">
      <c r="A4334" s="3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</row>
    <row r="4335" spans="1:15" ht="15" customHeight="1" x14ac:dyDescent="0.25">
      <c r="A4335" s="2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</row>
    <row r="4336" spans="1:15" ht="15" customHeight="1" x14ac:dyDescent="0.25">
      <c r="A4336" s="3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</row>
    <row r="4337" spans="1:15" ht="15" customHeight="1" x14ac:dyDescent="0.25">
      <c r="A4337" s="2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</row>
    <row r="4338" spans="1:15" ht="15" customHeight="1" x14ac:dyDescent="0.25">
      <c r="A4338" s="3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</row>
    <row r="4339" spans="1:15" ht="15" customHeight="1" x14ac:dyDescent="0.25">
      <c r="A4339" s="2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</row>
    <row r="4340" spans="1:15" ht="15" customHeight="1" x14ac:dyDescent="0.25">
      <c r="A4340" s="3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</row>
    <row r="4341" spans="1:15" ht="15" customHeight="1" x14ac:dyDescent="0.25">
      <c r="A4341" s="2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</row>
    <row r="4342" spans="1:15" ht="15" customHeight="1" x14ac:dyDescent="0.25">
      <c r="A4342" s="3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</row>
    <row r="4343" spans="1:15" ht="15" customHeight="1" x14ac:dyDescent="0.25">
      <c r="A4343" s="2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</row>
    <row r="4344" spans="1:15" ht="15" customHeight="1" x14ac:dyDescent="0.25">
      <c r="A4344" s="3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</row>
    <row r="4345" spans="1:15" ht="15" customHeight="1" x14ac:dyDescent="0.25">
      <c r="A4345" s="2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</row>
    <row r="4346" spans="1:15" ht="15" customHeight="1" x14ac:dyDescent="0.25">
      <c r="A4346" s="3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</row>
    <row r="4347" spans="1:15" ht="15" customHeight="1" x14ac:dyDescent="0.25">
      <c r="A4347" s="2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</row>
    <row r="4348" spans="1:15" ht="15" customHeight="1" x14ac:dyDescent="0.25">
      <c r="A4348" s="3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</row>
    <row r="4349" spans="1:15" ht="15" customHeight="1" x14ac:dyDescent="0.25">
      <c r="A4349" s="2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</row>
    <row r="4350" spans="1:15" ht="15" customHeight="1" x14ac:dyDescent="0.25">
      <c r="A4350" s="3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</row>
    <row r="4351" spans="1:15" ht="15" customHeight="1" x14ac:dyDescent="0.25">
      <c r="A4351" s="2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</row>
    <row r="4352" spans="1:15" ht="15" customHeight="1" x14ac:dyDescent="0.25">
      <c r="A4352" s="3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</row>
    <row r="4353" spans="1:15" ht="15" customHeight="1" x14ac:dyDescent="0.25">
      <c r="A4353" s="2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</row>
    <row r="4354" spans="1:15" ht="15" customHeight="1" x14ac:dyDescent="0.25">
      <c r="A4354" s="3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</row>
    <row r="4355" spans="1:15" ht="15" customHeight="1" x14ac:dyDescent="0.25">
      <c r="A4355" s="2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</row>
    <row r="4356" spans="1:15" ht="15" customHeight="1" x14ac:dyDescent="0.25">
      <c r="A4356" s="3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</row>
    <row r="4357" spans="1:15" ht="15" customHeight="1" x14ac:dyDescent="0.25">
      <c r="A4357" s="2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</row>
    <row r="4358" spans="1:15" ht="15" customHeight="1" x14ac:dyDescent="0.25">
      <c r="A4358" s="3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</row>
    <row r="4359" spans="1:15" ht="15" customHeight="1" x14ac:dyDescent="0.25">
      <c r="A4359" s="2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</row>
    <row r="4360" spans="1:15" ht="15" customHeight="1" x14ac:dyDescent="0.25">
      <c r="A4360" s="3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</row>
    <row r="4361" spans="1:15" ht="15" customHeight="1" x14ac:dyDescent="0.25">
      <c r="A4361" s="2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</row>
    <row r="4362" spans="1:15" ht="15" customHeight="1" x14ac:dyDescent="0.25">
      <c r="A4362" s="3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</row>
    <row r="4363" spans="1:15" ht="15" customHeight="1" x14ac:dyDescent="0.25">
      <c r="A4363" s="2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</row>
    <row r="4364" spans="1:15" ht="15" customHeight="1" x14ac:dyDescent="0.25">
      <c r="A4364" s="3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</row>
    <row r="4365" spans="1:15" ht="15" customHeight="1" x14ac:dyDescent="0.25">
      <c r="A4365" s="2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</row>
    <row r="4366" spans="1:15" ht="15" customHeight="1" x14ac:dyDescent="0.25">
      <c r="A4366" s="3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</row>
    <row r="4367" spans="1:15" ht="15" customHeight="1" x14ac:dyDescent="0.25">
      <c r="A4367" s="2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</row>
    <row r="4368" spans="1:15" ht="15" customHeight="1" x14ac:dyDescent="0.25">
      <c r="A4368" s="3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</row>
    <row r="4369" spans="1:15" ht="15" customHeight="1" x14ac:dyDescent="0.25">
      <c r="A4369" s="2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</row>
    <row r="4370" spans="1:15" ht="15" customHeight="1" x14ac:dyDescent="0.25">
      <c r="A4370" s="3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</row>
    <row r="4371" spans="1:15" ht="15" customHeight="1" x14ac:dyDescent="0.25">
      <c r="A4371" s="2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</row>
    <row r="4372" spans="1:15" ht="15" customHeight="1" x14ac:dyDescent="0.25">
      <c r="A4372" s="3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</row>
    <row r="4373" spans="1:15" ht="15" customHeight="1" x14ac:dyDescent="0.25">
      <c r="A4373" s="2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</row>
    <row r="4374" spans="1:15" ht="15" customHeight="1" x14ac:dyDescent="0.25">
      <c r="A4374" s="3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</row>
    <row r="4375" spans="1:15" ht="15" customHeight="1" x14ac:dyDescent="0.25">
      <c r="A4375" s="2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</row>
    <row r="4376" spans="1:15" ht="15" customHeight="1" x14ac:dyDescent="0.25">
      <c r="A4376" s="3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</row>
    <row r="4377" spans="1:15" ht="15" customHeight="1" x14ac:dyDescent="0.25">
      <c r="A4377" s="2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</row>
    <row r="4378" spans="1:15" ht="15" customHeight="1" x14ac:dyDescent="0.25">
      <c r="A4378" s="3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</row>
    <row r="4379" spans="1:15" ht="15" customHeight="1" x14ac:dyDescent="0.25">
      <c r="A4379" s="2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</row>
    <row r="4380" spans="1:15" ht="15" customHeight="1" x14ac:dyDescent="0.25">
      <c r="A4380" s="3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</row>
    <row r="4381" spans="1:15" ht="15" customHeight="1" x14ac:dyDescent="0.25">
      <c r="A4381" s="2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</row>
    <row r="4382" spans="1:15" ht="15" customHeight="1" x14ac:dyDescent="0.25">
      <c r="A4382" s="3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</row>
    <row r="4383" spans="1:15" ht="15" customHeight="1" x14ac:dyDescent="0.25">
      <c r="A4383" s="2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</row>
    <row r="4384" spans="1:15" ht="15" customHeight="1" x14ac:dyDescent="0.25">
      <c r="A4384" s="3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</row>
    <row r="4385" spans="1:15" ht="15" customHeight="1" x14ac:dyDescent="0.25">
      <c r="A4385" s="2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</row>
    <row r="4386" spans="1:15" ht="15" customHeight="1" x14ac:dyDescent="0.25">
      <c r="A4386" s="3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</row>
    <row r="4387" spans="1:15" ht="15" customHeight="1" x14ac:dyDescent="0.25">
      <c r="A4387" s="2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</row>
    <row r="4388" spans="1:15" ht="15" customHeight="1" x14ac:dyDescent="0.25">
      <c r="A4388" s="3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</row>
    <row r="4389" spans="1:15" ht="15" customHeight="1" x14ac:dyDescent="0.25">
      <c r="A4389" s="2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</row>
    <row r="4390" spans="1:15" ht="15" customHeight="1" x14ac:dyDescent="0.25">
      <c r="A4390" s="3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</row>
    <row r="4391" spans="1:15" ht="15" customHeight="1" x14ac:dyDescent="0.25">
      <c r="A4391" s="2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</row>
    <row r="4392" spans="1:15" ht="15" customHeight="1" x14ac:dyDescent="0.25">
      <c r="A4392" s="3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</row>
    <row r="4393" spans="1:15" ht="15" customHeight="1" x14ac:dyDescent="0.25">
      <c r="A4393" s="2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</row>
    <row r="4394" spans="1:15" ht="15" customHeight="1" x14ac:dyDescent="0.25">
      <c r="A4394" s="3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</row>
    <row r="4395" spans="1:15" ht="15" customHeight="1" x14ac:dyDescent="0.25">
      <c r="A4395" s="2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</row>
    <row r="4396" spans="1:15" ht="15" customHeight="1" x14ac:dyDescent="0.25">
      <c r="A4396" s="3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</row>
    <row r="4397" spans="1:15" ht="15" customHeight="1" x14ac:dyDescent="0.25">
      <c r="A4397" s="2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</row>
    <row r="4398" spans="1:15" ht="15" customHeight="1" x14ac:dyDescent="0.25">
      <c r="A4398" s="3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</row>
    <row r="4399" spans="1:15" ht="15" customHeight="1" x14ac:dyDescent="0.25">
      <c r="A4399" s="2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</row>
    <row r="4400" spans="1:15" ht="15" customHeight="1" x14ac:dyDescent="0.25">
      <c r="A4400" s="3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</row>
    <row r="4401" spans="1:15" ht="15" customHeight="1" x14ac:dyDescent="0.25">
      <c r="A4401" s="2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</row>
    <row r="4402" spans="1:15" ht="15" customHeight="1" x14ac:dyDescent="0.25">
      <c r="A4402" s="3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</row>
    <row r="4403" spans="1:15" ht="15" customHeight="1" x14ac:dyDescent="0.25">
      <c r="A4403" s="2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</row>
    <row r="4404" spans="1:15" ht="15" customHeight="1" x14ac:dyDescent="0.25">
      <c r="A4404" s="3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</row>
    <row r="4405" spans="1:15" ht="15" customHeight="1" x14ac:dyDescent="0.25">
      <c r="A4405" s="2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</row>
    <row r="4406" spans="1:15" ht="15" customHeight="1" x14ac:dyDescent="0.25">
      <c r="A4406" s="3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</row>
    <row r="4407" spans="1:15" ht="15" customHeight="1" x14ac:dyDescent="0.25">
      <c r="A4407" s="2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</row>
    <row r="4408" spans="1:15" ht="15" customHeight="1" x14ac:dyDescent="0.25">
      <c r="A4408" s="3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</row>
    <row r="4409" spans="1:15" ht="15" customHeight="1" x14ac:dyDescent="0.25">
      <c r="A4409" s="2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</row>
    <row r="4410" spans="1:15" ht="15" customHeight="1" x14ac:dyDescent="0.25">
      <c r="A4410" s="3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</row>
    <row r="4411" spans="1:15" ht="15" customHeight="1" x14ac:dyDescent="0.25">
      <c r="A4411" s="2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</row>
    <row r="4412" spans="1:15" ht="15" customHeight="1" x14ac:dyDescent="0.25">
      <c r="A4412" s="3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</row>
    <row r="4413" spans="1:15" ht="15" customHeight="1" x14ac:dyDescent="0.25">
      <c r="A4413" s="2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</row>
    <row r="4414" spans="1:15" ht="15" customHeight="1" x14ac:dyDescent="0.25">
      <c r="A4414" s="3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</row>
    <row r="4415" spans="1:15" ht="15" customHeight="1" x14ac:dyDescent="0.25">
      <c r="A4415" s="2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</row>
    <row r="4416" spans="1:15" ht="15" customHeight="1" x14ac:dyDescent="0.25">
      <c r="A4416" s="3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</row>
    <row r="4417" spans="1:15" ht="15" customHeight="1" x14ac:dyDescent="0.25">
      <c r="A4417" s="2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</row>
    <row r="4418" spans="1:15" ht="15" customHeight="1" x14ac:dyDescent="0.25">
      <c r="A4418" s="3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</row>
    <row r="4419" spans="1:15" ht="15" customHeight="1" x14ac:dyDescent="0.25">
      <c r="A4419" s="2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</row>
    <row r="4420" spans="1:15" ht="15" customHeight="1" x14ac:dyDescent="0.25">
      <c r="A4420" s="3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</row>
    <row r="4421" spans="1:15" ht="15" customHeight="1" x14ac:dyDescent="0.25">
      <c r="A4421" s="2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</row>
    <row r="4422" spans="1:15" ht="15" customHeight="1" x14ac:dyDescent="0.25">
      <c r="A4422" s="3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</row>
    <row r="4423" spans="1:15" ht="15" customHeight="1" x14ac:dyDescent="0.25">
      <c r="A4423" s="2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</row>
    <row r="4424" spans="1:15" ht="15" customHeight="1" x14ac:dyDescent="0.25">
      <c r="A4424" s="3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</row>
    <row r="4425" spans="1:15" ht="15" customHeight="1" x14ac:dyDescent="0.25">
      <c r="A4425" s="2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</row>
    <row r="4426" spans="1:15" ht="15" customHeight="1" x14ac:dyDescent="0.25">
      <c r="A4426" s="3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</row>
    <row r="4427" spans="1:15" ht="15" customHeight="1" x14ac:dyDescent="0.25">
      <c r="A4427" s="2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</row>
    <row r="4428" spans="1:15" ht="15" customHeight="1" x14ac:dyDescent="0.25">
      <c r="A4428" s="3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</row>
    <row r="4429" spans="1:15" ht="15" customHeight="1" x14ac:dyDescent="0.25">
      <c r="A4429" s="2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</row>
    <row r="4430" spans="1:15" ht="15" customHeight="1" x14ac:dyDescent="0.25">
      <c r="A4430" s="3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</row>
    <row r="4431" spans="1:15" ht="15" customHeight="1" x14ac:dyDescent="0.25">
      <c r="A4431" s="2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</row>
    <row r="4432" spans="1:15" ht="15" customHeight="1" x14ac:dyDescent="0.25">
      <c r="A4432" s="3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</row>
    <row r="4433" spans="1:15" ht="15" customHeight="1" x14ac:dyDescent="0.25">
      <c r="A4433" s="2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</row>
    <row r="4434" spans="1:15" ht="15" customHeight="1" x14ac:dyDescent="0.25">
      <c r="A4434" s="3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</row>
    <row r="4435" spans="1:15" ht="15" customHeight="1" x14ac:dyDescent="0.25">
      <c r="A4435" s="2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</row>
    <row r="4436" spans="1:15" ht="15" customHeight="1" x14ac:dyDescent="0.25">
      <c r="A4436" s="3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</row>
    <row r="4437" spans="1:15" ht="15" customHeight="1" x14ac:dyDescent="0.25">
      <c r="A4437" s="2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</row>
    <row r="4438" spans="1:15" ht="15" customHeight="1" x14ac:dyDescent="0.25">
      <c r="A4438" s="3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</row>
    <row r="4439" spans="1:15" ht="15" customHeight="1" x14ac:dyDescent="0.25">
      <c r="A4439" s="2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</row>
    <row r="4440" spans="1:15" ht="15" customHeight="1" x14ac:dyDescent="0.25">
      <c r="A4440" s="3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</row>
    <row r="4441" spans="1:15" ht="15" customHeight="1" x14ac:dyDescent="0.25">
      <c r="A4441" s="2"/>
      <c r="B4441" s="2"/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</row>
    <row r="4442" spans="1:15" ht="15" customHeight="1" x14ac:dyDescent="0.25">
      <c r="A4442" s="3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</row>
    <row r="4443" spans="1:15" ht="15" customHeight="1" x14ac:dyDescent="0.25">
      <c r="A4443" s="2"/>
      <c r="B4443" s="2"/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</row>
    <row r="4444" spans="1:15" ht="15" customHeight="1" x14ac:dyDescent="0.25">
      <c r="A4444" s="3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</row>
    <row r="4445" spans="1:15" ht="15" customHeight="1" x14ac:dyDescent="0.25">
      <c r="A4445" s="2"/>
      <c r="B4445" s="2"/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</row>
    <row r="4446" spans="1:15" ht="15" customHeight="1" x14ac:dyDescent="0.25">
      <c r="A4446" s="3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</row>
    <row r="4447" spans="1:15" ht="15" customHeight="1" x14ac:dyDescent="0.25">
      <c r="A4447" s="2"/>
      <c r="B4447" s="2"/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</row>
    <row r="4448" spans="1:15" ht="15" customHeight="1" x14ac:dyDescent="0.25">
      <c r="A4448" s="3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</row>
    <row r="4449" spans="1:15" ht="15" customHeight="1" x14ac:dyDescent="0.25">
      <c r="A4449" s="2"/>
      <c r="B4449" s="2"/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</row>
    <row r="4450" spans="1:15" ht="15" customHeight="1" x14ac:dyDescent="0.25">
      <c r="A4450" s="3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</row>
    <row r="4451" spans="1:15" ht="15" customHeight="1" x14ac:dyDescent="0.25">
      <c r="A4451" s="2"/>
      <c r="B4451" s="2"/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</row>
    <row r="4452" spans="1:15" ht="15" customHeight="1" x14ac:dyDescent="0.25">
      <c r="A4452" s="3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</row>
    <row r="4453" spans="1:15" ht="15" customHeight="1" x14ac:dyDescent="0.25">
      <c r="A4453" s="2"/>
      <c r="B4453" s="2"/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</row>
    <row r="4454" spans="1:15" ht="15" customHeight="1" x14ac:dyDescent="0.25">
      <c r="A4454" s="3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</row>
    <row r="4455" spans="1:15" ht="15" customHeight="1" x14ac:dyDescent="0.25">
      <c r="A4455" s="2"/>
      <c r="B4455" s="2"/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</row>
    <row r="4456" spans="1:15" ht="15" customHeight="1" x14ac:dyDescent="0.25">
      <c r="A4456" s="3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</row>
    <row r="4457" spans="1:15" ht="15" customHeight="1" x14ac:dyDescent="0.25">
      <c r="A4457" s="2"/>
      <c r="B4457" s="2"/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</row>
    <row r="4458" spans="1:15" ht="15" customHeight="1" x14ac:dyDescent="0.25">
      <c r="A4458" s="3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</row>
    <row r="4459" spans="1:15" ht="15" customHeight="1" x14ac:dyDescent="0.25">
      <c r="A4459" s="2"/>
      <c r="B4459" s="2"/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</row>
    <row r="4460" spans="1:15" ht="15" customHeight="1" x14ac:dyDescent="0.25">
      <c r="A4460" s="3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</row>
    <row r="4461" spans="1:15" ht="15" customHeight="1" x14ac:dyDescent="0.25">
      <c r="A4461" s="2"/>
      <c r="B4461" s="2"/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</row>
    <row r="4462" spans="1:15" ht="15" customHeight="1" x14ac:dyDescent="0.25">
      <c r="A4462" s="3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</row>
    <row r="4463" spans="1:15" ht="15" customHeight="1" x14ac:dyDescent="0.25">
      <c r="A4463" s="2"/>
      <c r="B4463" s="2"/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</row>
    <row r="4464" spans="1:15" ht="15" customHeight="1" x14ac:dyDescent="0.25">
      <c r="A4464" s="3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</row>
    <row r="4465" spans="1:15" ht="15" customHeight="1" x14ac:dyDescent="0.25">
      <c r="A4465" s="2"/>
      <c r="B4465" s="2"/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</row>
    <row r="4466" spans="1:15" ht="15" customHeight="1" x14ac:dyDescent="0.25">
      <c r="A4466" s="3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</row>
    <row r="4467" spans="1:15" ht="15" customHeight="1" x14ac:dyDescent="0.25">
      <c r="A4467" s="2"/>
      <c r="B4467" s="2"/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</row>
    <row r="4468" spans="1:15" ht="15" customHeight="1" x14ac:dyDescent="0.25">
      <c r="A4468" s="3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</row>
    <row r="4469" spans="1:15" ht="15" customHeight="1" x14ac:dyDescent="0.25">
      <c r="A4469" s="2"/>
      <c r="B4469" s="2"/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</row>
    <row r="4470" spans="1:15" ht="15" customHeight="1" x14ac:dyDescent="0.25">
      <c r="A4470" s="3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</row>
    <row r="4471" spans="1:15" ht="15" customHeight="1" x14ac:dyDescent="0.25">
      <c r="A4471" s="2"/>
      <c r="B4471" s="2"/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</row>
    <row r="4472" spans="1:15" ht="15" customHeight="1" x14ac:dyDescent="0.25">
      <c r="A4472" s="3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</row>
    <row r="4473" spans="1:15" ht="15" customHeight="1" x14ac:dyDescent="0.25">
      <c r="A4473" s="2"/>
      <c r="B4473" s="2"/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</row>
    <row r="4474" spans="1:15" ht="15" customHeight="1" x14ac:dyDescent="0.25">
      <c r="A4474" s="3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</row>
    <row r="4475" spans="1:15" ht="15" customHeight="1" x14ac:dyDescent="0.25">
      <c r="A4475" s="2"/>
      <c r="B4475" s="2"/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</row>
    <row r="4476" spans="1:15" ht="15" customHeight="1" x14ac:dyDescent="0.25">
      <c r="A4476" s="3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</row>
    <row r="4477" spans="1:15" ht="15" customHeight="1" x14ac:dyDescent="0.25">
      <c r="A4477" s="2"/>
      <c r="B4477" s="2"/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</row>
    <row r="4478" spans="1:15" ht="15" customHeight="1" x14ac:dyDescent="0.25">
      <c r="A4478" s="3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</row>
    <row r="4479" spans="1:15" ht="15" customHeight="1" x14ac:dyDescent="0.25">
      <c r="A4479" s="2"/>
      <c r="B4479" s="2"/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</row>
    <row r="4480" spans="1:15" ht="15" customHeight="1" x14ac:dyDescent="0.25">
      <c r="A4480" s="3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</row>
    <row r="4481" spans="1:15" ht="15" customHeight="1" x14ac:dyDescent="0.25">
      <c r="A4481" s="2"/>
      <c r="B4481" s="2"/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</row>
    <row r="4482" spans="1:15" ht="15" customHeight="1" x14ac:dyDescent="0.25">
      <c r="A4482" s="3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</row>
    <row r="4483" spans="1:15" ht="15" customHeight="1" x14ac:dyDescent="0.25">
      <c r="A4483" s="2"/>
      <c r="B4483" s="2"/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</row>
    <row r="4484" spans="1:15" ht="15" customHeight="1" x14ac:dyDescent="0.25">
      <c r="A4484" s="3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</row>
    <row r="4485" spans="1:15" ht="15" customHeight="1" x14ac:dyDescent="0.25">
      <c r="A4485" s="2"/>
      <c r="B4485" s="2"/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</row>
    <row r="4486" spans="1:15" ht="15" customHeight="1" x14ac:dyDescent="0.25">
      <c r="A4486" s="3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</row>
    <row r="4487" spans="1:15" ht="15" customHeight="1" x14ac:dyDescent="0.25">
      <c r="A4487" s="2"/>
      <c r="B4487" s="2"/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</row>
    <row r="4488" spans="1:15" ht="15" customHeight="1" x14ac:dyDescent="0.25">
      <c r="A4488" s="3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</row>
    <row r="4489" spans="1:15" ht="15" customHeight="1" x14ac:dyDescent="0.25">
      <c r="A4489" s="2"/>
      <c r="B4489" s="2"/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</row>
    <row r="4490" spans="1:15" ht="15" customHeight="1" x14ac:dyDescent="0.25">
      <c r="A4490" s="3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</row>
    <row r="4491" spans="1:15" ht="15" customHeight="1" x14ac:dyDescent="0.25">
      <c r="A4491" s="2"/>
      <c r="B4491" s="2"/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</row>
    <row r="4492" spans="1:15" ht="15" customHeight="1" x14ac:dyDescent="0.25">
      <c r="A4492" s="3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</row>
    <row r="4493" spans="1:15" ht="15" customHeight="1" x14ac:dyDescent="0.25">
      <c r="A4493" s="2"/>
      <c r="B4493" s="2"/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</row>
    <row r="4494" spans="1:15" ht="15" customHeight="1" x14ac:dyDescent="0.25">
      <c r="A4494" s="3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</row>
    <row r="4495" spans="1:15" ht="15" customHeight="1" x14ac:dyDescent="0.25">
      <c r="A4495" s="2"/>
      <c r="B4495" s="2"/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</row>
    <row r="4496" spans="1:15" ht="15" customHeight="1" x14ac:dyDescent="0.25">
      <c r="A4496" s="3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</row>
    <row r="4497" spans="1:15" ht="15" customHeight="1" x14ac:dyDescent="0.25">
      <c r="A4497" s="2"/>
      <c r="B4497" s="2"/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</row>
    <row r="4498" spans="1:15" ht="15" customHeight="1" x14ac:dyDescent="0.25">
      <c r="A4498" s="3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</row>
    <row r="4499" spans="1:15" ht="15" customHeight="1" x14ac:dyDescent="0.25">
      <c r="A4499" s="2"/>
      <c r="B4499" s="2"/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</row>
    <row r="4500" spans="1:15" ht="15" customHeight="1" x14ac:dyDescent="0.25">
      <c r="A4500" s="3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</row>
    <row r="4501" spans="1:15" ht="15" customHeight="1" x14ac:dyDescent="0.25">
      <c r="A4501" s="2"/>
      <c r="B4501" s="2"/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</row>
    <row r="4502" spans="1:15" ht="15" customHeight="1" x14ac:dyDescent="0.25">
      <c r="A4502" s="3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</row>
    <row r="4503" spans="1:15" ht="15" customHeight="1" x14ac:dyDescent="0.25">
      <c r="A4503" s="2"/>
      <c r="B4503" s="2"/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</row>
    <row r="4504" spans="1:15" ht="15" customHeight="1" x14ac:dyDescent="0.25">
      <c r="A4504" s="3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</row>
    <row r="4505" spans="1:15" ht="15" customHeight="1" x14ac:dyDescent="0.25">
      <c r="A4505" s="2"/>
      <c r="B4505" s="2"/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</row>
    <row r="4506" spans="1:15" ht="15" customHeight="1" x14ac:dyDescent="0.25">
      <c r="A4506" s="3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</row>
    <row r="4507" spans="1:15" ht="15" customHeight="1" x14ac:dyDescent="0.25">
      <c r="A4507" s="2"/>
      <c r="B4507" s="2"/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</row>
    <row r="4508" spans="1:15" ht="15" customHeight="1" x14ac:dyDescent="0.25">
      <c r="A4508" s="3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</row>
    <row r="4509" spans="1:15" ht="15" customHeight="1" x14ac:dyDescent="0.25">
      <c r="A4509" s="2"/>
      <c r="B4509" s="2"/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</row>
    <row r="4510" spans="1:15" ht="15" customHeight="1" x14ac:dyDescent="0.25">
      <c r="A4510" s="3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</row>
    <row r="4511" spans="1:15" ht="15" customHeight="1" x14ac:dyDescent="0.25">
      <c r="A4511" s="2"/>
      <c r="B4511" s="2"/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</row>
    <row r="4512" spans="1:15" ht="15" customHeight="1" x14ac:dyDescent="0.25">
      <c r="A4512" s="3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</row>
    <row r="4513" spans="1:15" ht="15" customHeight="1" x14ac:dyDescent="0.25">
      <c r="A4513" s="2"/>
      <c r="B4513" s="2"/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</row>
    <row r="4514" spans="1:15" ht="15" customHeight="1" x14ac:dyDescent="0.25">
      <c r="A4514" s="3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</row>
    <row r="4515" spans="1:15" ht="15" customHeight="1" x14ac:dyDescent="0.25">
      <c r="A4515" s="2"/>
      <c r="B4515" s="2"/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</row>
    <row r="4516" spans="1:15" ht="15" customHeight="1" x14ac:dyDescent="0.25">
      <c r="A4516" s="3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</row>
    <row r="4517" spans="1:15" ht="15" customHeight="1" x14ac:dyDescent="0.25">
      <c r="A4517" s="2"/>
      <c r="B4517" s="2"/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</row>
    <row r="4518" spans="1:15" ht="15" customHeight="1" x14ac:dyDescent="0.25">
      <c r="A4518" s="3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</row>
    <row r="4519" spans="1:15" ht="15" customHeight="1" x14ac:dyDescent="0.25">
      <c r="A4519" s="2"/>
      <c r="B4519" s="2"/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</row>
    <row r="4520" spans="1:15" ht="15" customHeight="1" x14ac:dyDescent="0.25">
      <c r="A4520" s="3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</row>
    <row r="4521" spans="1:15" ht="15" customHeight="1" x14ac:dyDescent="0.25">
      <c r="A4521" s="2"/>
      <c r="B4521" s="2"/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</row>
    <row r="4522" spans="1:15" ht="15" customHeight="1" x14ac:dyDescent="0.25">
      <c r="A4522" s="3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</row>
    <row r="4523" spans="1:15" ht="15" customHeight="1" x14ac:dyDescent="0.25">
      <c r="A4523" s="2"/>
      <c r="B4523" s="2"/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</row>
    <row r="4524" spans="1:15" ht="15" customHeight="1" x14ac:dyDescent="0.25">
      <c r="A4524" s="3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</row>
    <row r="4525" spans="1:15" ht="15" customHeight="1" x14ac:dyDescent="0.25">
      <c r="A4525" s="2"/>
      <c r="B4525" s="2"/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</row>
    <row r="4526" spans="1:15" ht="15" customHeight="1" x14ac:dyDescent="0.25">
      <c r="A4526" s="3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</row>
    <row r="4527" spans="1:15" ht="15" customHeight="1" x14ac:dyDescent="0.25">
      <c r="A4527" s="2"/>
      <c r="B4527" s="2"/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</row>
    <row r="4528" spans="1:15" ht="15" customHeight="1" x14ac:dyDescent="0.25">
      <c r="A4528" s="3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</row>
    <row r="4529" spans="1:15" ht="15" customHeight="1" x14ac:dyDescent="0.25">
      <c r="A4529" s="2"/>
      <c r="B4529" s="2"/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</row>
    <row r="4530" spans="1:15" ht="15" customHeight="1" x14ac:dyDescent="0.25">
      <c r="A4530" s="3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</row>
    <row r="4531" spans="1:15" ht="15" customHeight="1" x14ac:dyDescent="0.25">
      <c r="A4531" s="2"/>
      <c r="B4531" s="2"/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</row>
    <row r="4532" spans="1:15" ht="15" customHeight="1" x14ac:dyDescent="0.25">
      <c r="A4532" s="3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</row>
    <row r="4533" spans="1:15" ht="15" customHeight="1" x14ac:dyDescent="0.25">
      <c r="A4533" s="2"/>
      <c r="B4533" s="2"/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</row>
    <row r="4534" spans="1:15" ht="15" customHeight="1" x14ac:dyDescent="0.25">
      <c r="A4534" s="3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</row>
    <row r="4535" spans="1:15" ht="15" customHeight="1" x14ac:dyDescent="0.25">
      <c r="A4535" s="2"/>
      <c r="B4535" s="2"/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</row>
    <row r="4536" spans="1:15" ht="15" customHeight="1" x14ac:dyDescent="0.25">
      <c r="A4536" s="3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</row>
    <row r="4537" spans="1:15" ht="15" customHeight="1" x14ac:dyDescent="0.25">
      <c r="A4537" s="2"/>
      <c r="B4537" s="2"/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</row>
    <row r="4538" spans="1:15" ht="15" customHeight="1" x14ac:dyDescent="0.25">
      <c r="A4538" s="3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</row>
    <row r="4539" spans="1:15" ht="15" customHeight="1" x14ac:dyDescent="0.25">
      <c r="A4539" s="2"/>
      <c r="B4539" s="2"/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</row>
    <row r="4540" spans="1:15" ht="15" customHeight="1" x14ac:dyDescent="0.25">
      <c r="A4540" s="3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</row>
    <row r="4541" spans="1:15" ht="15" customHeight="1" x14ac:dyDescent="0.25">
      <c r="A4541" s="2"/>
      <c r="B4541" s="2"/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</row>
    <row r="4542" spans="1:15" ht="15" customHeight="1" x14ac:dyDescent="0.25">
      <c r="A4542" s="3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</row>
    <row r="4543" spans="1:15" ht="15" customHeight="1" x14ac:dyDescent="0.25">
      <c r="A4543" s="2"/>
      <c r="B4543" s="2"/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</row>
    <row r="4544" spans="1:15" ht="15" customHeight="1" x14ac:dyDescent="0.25">
      <c r="A4544" s="3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</row>
    <row r="4545" spans="1:15" ht="15" customHeight="1" x14ac:dyDescent="0.25">
      <c r="A4545" s="2"/>
      <c r="B4545" s="2"/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</row>
    <row r="4546" spans="1:15" ht="15" customHeight="1" x14ac:dyDescent="0.25">
      <c r="A4546" s="3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</row>
    <row r="4547" spans="1:15" ht="15" customHeight="1" x14ac:dyDescent="0.25">
      <c r="A4547" s="2"/>
      <c r="B4547" s="2"/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</row>
    <row r="4548" spans="1:15" ht="15" customHeight="1" x14ac:dyDescent="0.25">
      <c r="A4548" s="3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</row>
    <row r="4549" spans="1:15" ht="15" customHeight="1" x14ac:dyDescent="0.25">
      <c r="A4549" s="2"/>
      <c r="B4549" s="2"/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</row>
    <row r="4550" spans="1:15" ht="15" customHeight="1" x14ac:dyDescent="0.25">
      <c r="A4550" s="3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</row>
    <row r="4551" spans="1:15" ht="15" customHeight="1" x14ac:dyDescent="0.25">
      <c r="A4551" s="2"/>
      <c r="B4551" s="2"/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</row>
    <row r="4552" spans="1:15" ht="15" customHeight="1" x14ac:dyDescent="0.25">
      <c r="A4552" s="3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</row>
    <row r="4553" spans="1:15" ht="15" customHeight="1" x14ac:dyDescent="0.25">
      <c r="A4553" s="2"/>
      <c r="B4553" s="2"/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</row>
    <row r="4554" spans="1:15" ht="15" customHeight="1" x14ac:dyDescent="0.25">
      <c r="A4554" s="3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</row>
    <row r="4555" spans="1:15" ht="15" customHeight="1" x14ac:dyDescent="0.25">
      <c r="A4555" s="2"/>
      <c r="B4555" s="2"/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</row>
    <row r="4556" spans="1:15" ht="15" customHeight="1" x14ac:dyDescent="0.25">
      <c r="A4556" s="3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</row>
    <row r="4557" spans="1:15" ht="15" customHeight="1" x14ac:dyDescent="0.25">
      <c r="A4557" s="2"/>
      <c r="B4557" s="2"/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</row>
    <row r="4558" spans="1:15" ht="15" customHeight="1" x14ac:dyDescent="0.25">
      <c r="A4558" s="3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</row>
    <row r="4559" spans="1:15" ht="15" customHeight="1" x14ac:dyDescent="0.25">
      <c r="A4559" s="2"/>
      <c r="B4559" s="2"/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</row>
    <row r="4560" spans="1:15" ht="15" customHeight="1" x14ac:dyDescent="0.25">
      <c r="A4560" s="3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</row>
    <row r="4561" spans="1:15" ht="15" customHeight="1" x14ac:dyDescent="0.25">
      <c r="A4561" s="2"/>
      <c r="B4561" s="2"/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</row>
    <row r="4562" spans="1:15" ht="15" customHeight="1" x14ac:dyDescent="0.25">
      <c r="A4562" s="3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</row>
    <row r="4563" spans="1:15" ht="15" customHeight="1" x14ac:dyDescent="0.25">
      <c r="A4563" s="2"/>
      <c r="B4563" s="2"/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</row>
    <row r="4564" spans="1:15" ht="15" customHeight="1" x14ac:dyDescent="0.25">
      <c r="A4564" s="3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</row>
    <row r="4565" spans="1:15" ht="15" customHeight="1" x14ac:dyDescent="0.25">
      <c r="A4565" s="2"/>
      <c r="B4565" s="2"/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</row>
    <row r="4566" spans="1:15" ht="15" customHeight="1" x14ac:dyDescent="0.25">
      <c r="A4566" s="3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</row>
    <row r="4567" spans="1:15" ht="15" customHeight="1" x14ac:dyDescent="0.25">
      <c r="A4567" s="2"/>
      <c r="B4567" s="2"/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</row>
    <row r="4568" spans="1:15" ht="15" customHeight="1" x14ac:dyDescent="0.25">
      <c r="A4568" s="3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</row>
    <row r="4569" spans="1:15" ht="15" customHeight="1" x14ac:dyDescent="0.25">
      <c r="A4569" s="2"/>
      <c r="B4569" s="2"/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</row>
    <row r="4570" spans="1:15" ht="15" customHeight="1" x14ac:dyDescent="0.25">
      <c r="A4570" s="3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</row>
    <row r="4571" spans="1:15" ht="15" customHeight="1" x14ac:dyDescent="0.25">
      <c r="A4571" s="2"/>
      <c r="B4571" s="2"/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</row>
    <row r="4572" spans="1:15" ht="15" customHeight="1" x14ac:dyDescent="0.25">
      <c r="A4572" s="3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</row>
    <row r="4573" spans="1:15" ht="15" customHeight="1" x14ac:dyDescent="0.25">
      <c r="A4573" s="2"/>
      <c r="B4573" s="2"/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</row>
    <row r="4574" spans="1:15" ht="15" customHeight="1" x14ac:dyDescent="0.25">
      <c r="A4574" s="3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</row>
    <row r="4575" spans="1:15" ht="15" customHeight="1" x14ac:dyDescent="0.25">
      <c r="A4575" s="2"/>
      <c r="B4575" s="2"/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</row>
    <row r="4576" spans="1:15" ht="15" customHeight="1" x14ac:dyDescent="0.25">
      <c r="A4576" s="3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</row>
    <row r="4577" spans="1:15" ht="15" customHeight="1" x14ac:dyDescent="0.25">
      <c r="A4577" s="2"/>
      <c r="B4577" s="2"/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</row>
    <row r="4578" spans="1:15" ht="15" customHeight="1" x14ac:dyDescent="0.25">
      <c r="A4578" s="3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</row>
    <row r="4579" spans="1:15" ht="15" customHeight="1" x14ac:dyDescent="0.25">
      <c r="A4579" s="2"/>
      <c r="B4579" s="2"/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</row>
    <row r="4580" spans="1:15" ht="15" customHeight="1" x14ac:dyDescent="0.25">
      <c r="A4580" s="3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</row>
    <row r="4581" spans="1:15" ht="15" customHeight="1" x14ac:dyDescent="0.25">
      <c r="A4581" s="2"/>
      <c r="B4581" s="2"/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</row>
    <row r="4582" spans="1:15" ht="15" customHeight="1" x14ac:dyDescent="0.25">
      <c r="A4582" s="3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</row>
    <row r="4583" spans="1:15" ht="15" customHeight="1" x14ac:dyDescent="0.25">
      <c r="A4583" s="2"/>
      <c r="B4583" s="2"/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</row>
    <row r="4584" spans="1:15" ht="15" customHeight="1" x14ac:dyDescent="0.25">
      <c r="A4584" s="3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</row>
    <row r="4585" spans="1:15" ht="15" customHeight="1" x14ac:dyDescent="0.25">
      <c r="A4585" s="2"/>
      <c r="B4585" s="2"/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</row>
    <row r="4586" spans="1:15" ht="15" customHeight="1" x14ac:dyDescent="0.25">
      <c r="A4586" s="3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</row>
    <row r="4587" spans="1:15" ht="15" customHeight="1" x14ac:dyDescent="0.25">
      <c r="A4587" s="2"/>
      <c r="B4587" s="2"/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</row>
    <row r="4588" spans="1:15" ht="15" customHeight="1" x14ac:dyDescent="0.25">
      <c r="A4588" s="3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</row>
    <row r="4589" spans="1:15" ht="15" customHeight="1" x14ac:dyDescent="0.25">
      <c r="A4589" s="2"/>
      <c r="B4589" s="2"/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</row>
    <row r="4590" spans="1:15" ht="15" customHeight="1" x14ac:dyDescent="0.25">
      <c r="A4590" s="3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</row>
    <row r="4591" spans="1:15" ht="15" customHeight="1" x14ac:dyDescent="0.25">
      <c r="A4591" s="2"/>
      <c r="B4591" s="2"/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</row>
    <row r="4592" spans="1:15" ht="15" customHeight="1" x14ac:dyDescent="0.25">
      <c r="A4592" s="3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</row>
    <row r="4593" spans="1:15" ht="15" customHeight="1" x14ac:dyDescent="0.25">
      <c r="A4593" s="2"/>
      <c r="B4593" s="2"/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</row>
    <row r="4594" spans="1:15" ht="15" customHeight="1" x14ac:dyDescent="0.25">
      <c r="A4594" s="3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</row>
    <row r="4595" spans="1:15" ht="15" customHeight="1" x14ac:dyDescent="0.25">
      <c r="A4595" s="2"/>
      <c r="B4595" s="2"/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</row>
    <row r="4596" spans="1:15" ht="15" customHeight="1" x14ac:dyDescent="0.25">
      <c r="A4596" s="3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</row>
    <row r="4597" spans="1:15" ht="15" customHeight="1" x14ac:dyDescent="0.25">
      <c r="A4597" s="2"/>
      <c r="B4597" s="2"/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</row>
    <row r="4598" spans="1:15" ht="15" customHeight="1" x14ac:dyDescent="0.25">
      <c r="A4598" s="3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</row>
    <row r="4599" spans="1:15" ht="15" customHeight="1" x14ac:dyDescent="0.25">
      <c r="A4599" s="2"/>
      <c r="B4599" s="2"/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</row>
    <row r="4600" spans="1:15" ht="15" customHeight="1" x14ac:dyDescent="0.25">
      <c r="A4600" s="3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</row>
    <row r="4601" spans="1:15" ht="15" customHeight="1" x14ac:dyDescent="0.25">
      <c r="A4601" s="2"/>
      <c r="B4601" s="2"/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</row>
    <row r="4602" spans="1:15" ht="15" customHeight="1" x14ac:dyDescent="0.25">
      <c r="A4602" s="3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</row>
    <row r="4603" spans="1:15" ht="15" customHeight="1" x14ac:dyDescent="0.25">
      <c r="A4603" s="2"/>
      <c r="B4603" s="2"/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</row>
    <row r="4604" spans="1:15" ht="15" customHeight="1" x14ac:dyDescent="0.25">
      <c r="A4604" s="3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</row>
    <row r="4605" spans="1:15" ht="15" customHeight="1" x14ac:dyDescent="0.25">
      <c r="A4605" s="2"/>
      <c r="B4605" s="2"/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</row>
    <row r="4606" spans="1:15" ht="15" customHeight="1" x14ac:dyDescent="0.25">
      <c r="A4606" s="3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</row>
    <row r="4607" spans="1:15" ht="15" customHeight="1" x14ac:dyDescent="0.25">
      <c r="A4607" s="2"/>
      <c r="B4607" s="2"/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</row>
    <row r="4608" spans="1:15" ht="15" customHeight="1" x14ac:dyDescent="0.25">
      <c r="A4608" s="3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</row>
    <row r="4609" spans="1:15" ht="15" customHeight="1" x14ac:dyDescent="0.25">
      <c r="A4609" s="2"/>
      <c r="B4609" s="2"/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</row>
    <row r="4610" spans="1:15" ht="15" customHeight="1" x14ac:dyDescent="0.25">
      <c r="A4610" s="3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</row>
    <row r="4611" spans="1:15" ht="15" customHeight="1" x14ac:dyDescent="0.25">
      <c r="A4611" s="2"/>
      <c r="B4611" s="2"/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</row>
    <row r="4612" spans="1:15" ht="15" customHeight="1" x14ac:dyDescent="0.25">
      <c r="A4612" s="3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</row>
    <row r="4613" spans="1:15" ht="15" customHeight="1" x14ac:dyDescent="0.25">
      <c r="A4613" s="2"/>
      <c r="B4613" s="2"/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</row>
    <row r="4614" spans="1:15" ht="15" customHeight="1" x14ac:dyDescent="0.25">
      <c r="A4614" s="3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</row>
    <row r="4615" spans="1:15" ht="15" customHeight="1" x14ac:dyDescent="0.25">
      <c r="A4615" s="2"/>
      <c r="B4615" s="2"/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</row>
    <row r="4616" spans="1:15" ht="15" customHeight="1" x14ac:dyDescent="0.25">
      <c r="A4616" s="3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</row>
    <row r="4617" spans="1:15" ht="15" customHeight="1" x14ac:dyDescent="0.25">
      <c r="A4617" s="2"/>
      <c r="B4617" s="2"/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</row>
    <row r="4618" spans="1:15" ht="15" customHeight="1" x14ac:dyDescent="0.25">
      <c r="A4618" s="3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</row>
    <row r="4619" spans="1:15" ht="15" customHeight="1" x14ac:dyDescent="0.25">
      <c r="A4619" s="2"/>
      <c r="B4619" s="2"/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</row>
    <row r="4620" spans="1:15" ht="15" customHeight="1" x14ac:dyDescent="0.25">
      <c r="A4620" s="3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</row>
    <row r="4621" spans="1:15" ht="15" customHeight="1" x14ac:dyDescent="0.25">
      <c r="A4621" s="2"/>
      <c r="B4621" s="2"/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</row>
    <row r="4622" spans="1:15" ht="15" customHeight="1" x14ac:dyDescent="0.25">
      <c r="A4622" s="3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</row>
    <row r="4623" spans="1:15" ht="15" customHeight="1" x14ac:dyDescent="0.25">
      <c r="A4623" s="2"/>
      <c r="B4623" s="2"/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</row>
    <row r="4624" spans="1:15" ht="15" customHeight="1" x14ac:dyDescent="0.25">
      <c r="A4624" s="3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</row>
    <row r="4625" spans="1:15" ht="15" customHeight="1" x14ac:dyDescent="0.25">
      <c r="A4625" s="2"/>
      <c r="B4625" s="2"/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</row>
    <row r="4626" spans="1:15" ht="15" customHeight="1" x14ac:dyDescent="0.25">
      <c r="A4626" s="3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</row>
    <row r="4627" spans="1:15" ht="15" customHeight="1" x14ac:dyDescent="0.25">
      <c r="A4627" s="2"/>
      <c r="B4627" s="2"/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</row>
    <row r="4628" spans="1:15" ht="15" customHeight="1" x14ac:dyDescent="0.25">
      <c r="A4628" s="3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</row>
    <row r="4629" spans="1:15" ht="15" customHeight="1" x14ac:dyDescent="0.25">
      <c r="A4629" s="2"/>
      <c r="B4629" s="2"/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</row>
    <row r="4630" spans="1:15" ht="15" customHeight="1" x14ac:dyDescent="0.25">
      <c r="A4630" s="3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</row>
    <row r="4631" spans="1:15" ht="15" customHeight="1" x14ac:dyDescent="0.25">
      <c r="A4631" s="2"/>
      <c r="B4631" s="2"/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</row>
    <row r="4632" spans="1:15" ht="15" customHeight="1" x14ac:dyDescent="0.25">
      <c r="A4632" s="3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</row>
    <row r="4633" spans="1:15" ht="15" customHeight="1" x14ac:dyDescent="0.25">
      <c r="A4633" s="2"/>
      <c r="B4633" s="2"/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</row>
    <row r="4634" spans="1:15" ht="15" customHeight="1" x14ac:dyDescent="0.25">
      <c r="A4634" s="3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</row>
    <row r="4635" spans="1:15" ht="15" customHeight="1" x14ac:dyDescent="0.25">
      <c r="A4635" s="2"/>
      <c r="B4635" s="2"/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</row>
    <row r="4636" spans="1:15" ht="15" customHeight="1" x14ac:dyDescent="0.25">
      <c r="A4636" s="3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</row>
    <row r="4637" spans="1:15" ht="15" customHeight="1" x14ac:dyDescent="0.25">
      <c r="A4637" s="2"/>
      <c r="B4637" s="2"/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</row>
    <row r="4638" spans="1:15" ht="15" customHeight="1" x14ac:dyDescent="0.25">
      <c r="A4638" s="3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</row>
    <row r="4639" spans="1:15" ht="15" customHeight="1" x14ac:dyDescent="0.25">
      <c r="A4639" s="2"/>
      <c r="B4639" s="2"/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</row>
    <row r="4640" spans="1:15" ht="15" customHeight="1" x14ac:dyDescent="0.25">
      <c r="A4640" s="3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</row>
    <row r="4641" spans="1:15" ht="15" customHeight="1" x14ac:dyDescent="0.25">
      <c r="A4641" s="2"/>
      <c r="B4641" s="2"/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</row>
    <row r="4642" spans="1:15" ht="15" customHeight="1" x14ac:dyDescent="0.25">
      <c r="A4642" s="3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</row>
    <row r="4643" spans="1:15" ht="15" customHeight="1" x14ac:dyDescent="0.25">
      <c r="A4643" s="2"/>
      <c r="B4643" s="2"/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</row>
    <row r="4644" spans="1:15" ht="15" customHeight="1" x14ac:dyDescent="0.25">
      <c r="A4644" s="3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</row>
    <row r="4645" spans="1:15" ht="15" customHeight="1" x14ac:dyDescent="0.25">
      <c r="A4645" s="2"/>
      <c r="B4645" s="2"/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</row>
    <row r="4646" spans="1:15" ht="15" customHeight="1" x14ac:dyDescent="0.25">
      <c r="A4646" s="3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</row>
    <row r="4647" spans="1:15" ht="15" customHeight="1" x14ac:dyDescent="0.25">
      <c r="A4647" s="2"/>
      <c r="B4647" s="2"/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</row>
    <row r="4648" spans="1:15" ht="15" customHeight="1" x14ac:dyDescent="0.25">
      <c r="A4648" s="3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</row>
    <row r="4649" spans="1:15" ht="15" customHeight="1" x14ac:dyDescent="0.25">
      <c r="A4649" s="2"/>
      <c r="B4649" s="2"/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</row>
    <row r="4650" spans="1:15" ht="15" customHeight="1" x14ac:dyDescent="0.25">
      <c r="A4650" s="3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</row>
    <row r="4651" spans="1:15" ht="15" customHeight="1" x14ac:dyDescent="0.25">
      <c r="A4651" s="2"/>
      <c r="B4651" s="2"/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</row>
    <row r="4652" spans="1:15" ht="15" customHeight="1" x14ac:dyDescent="0.25">
      <c r="A4652" s="3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</row>
    <row r="4653" spans="1:15" ht="15" customHeight="1" x14ac:dyDescent="0.25">
      <c r="A4653" s="2"/>
      <c r="B4653" s="2"/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</row>
    <row r="4654" spans="1:15" ht="15" customHeight="1" x14ac:dyDescent="0.25">
      <c r="A4654" s="3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</row>
    <row r="4655" spans="1:15" ht="15" customHeight="1" x14ac:dyDescent="0.25">
      <c r="A4655" s="2"/>
      <c r="B4655" s="2"/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</row>
    <row r="4656" spans="1:15" ht="15" customHeight="1" x14ac:dyDescent="0.25">
      <c r="A4656" s="3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</row>
    <row r="4657" spans="1:15" ht="15" customHeight="1" x14ac:dyDescent="0.25">
      <c r="A4657" s="2"/>
      <c r="B4657" s="2"/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</row>
    <row r="4658" spans="1:15" ht="15" customHeight="1" x14ac:dyDescent="0.25">
      <c r="A4658" s="3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</row>
    <row r="4659" spans="1:15" ht="15" customHeight="1" x14ac:dyDescent="0.25">
      <c r="A4659" s="2"/>
      <c r="B4659" s="2"/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</row>
    <row r="4660" spans="1:15" ht="15" customHeight="1" x14ac:dyDescent="0.25">
      <c r="A4660" s="3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</row>
    <row r="4661" spans="1:15" ht="15" customHeight="1" x14ac:dyDescent="0.25">
      <c r="A4661" s="2"/>
      <c r="B4661" s="2"/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</row>
    <row r="4662" spans="1:15" ht="15" customHeight="1" x14ac:dyDescent="0.25">
      <c r="A4662" s="3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</row>
    <row r="4663" spans="1:15" ht="15" customHeight="1" x14ac:dyDescent="0.25">
      <c r="A4663" s="2"/>
      <c r="B4663" s="2"/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</row>
    <row r="4664" spans="1:15" ht="15" customHeight="1" x14ac:dyDescent="0.25">
      <c r="A4664" s="3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</row>
    <row r="4665" spans="1:15" ht="15" customHeight="1" x14ac:dyDescent="0.25">
      <c r="A4665" s="2"/>
      <c r="B4665" s="2"/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</row>
    <row r="4666" spans="1:15" ht="15" customHeight="1" x14ac:dyDescent="0.25">
      <c r="A4666" s="3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</row>
    <row r="4667" spans="1:15" ht="15" customHeight="1" x14ac:dyDescent="0.25">
      <c r="A4667" s="2"/>
      <c r="B4667" s="2"/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</row>
    <row r="4668" spans="1:15" ht="15" customHeight="1" x14ac:dyDescent="0.25">
      <c r="A4668" s="3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</row>
    <row r="4669" spans="1:15" ht="15" customHeight="1" x14ac:dyDescent="0.25">
      <c r="A4669" s="2"/>
      <c r="B4669" s="2"/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</row>
    <row r="4670" spans="1:15" ht="15" customHeight="1" x14ac:dyDescent="0.25">
      <c r="A4670" s="3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</row>
    <row r="4671" spans="1:15" ht="15" customHeight="1" x14ac:dyDescent="0.25">
      <c r="A4671" s="2"/>
      <c r="B4671" s="2"/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</row>
    <row r="4672" spans="1:15" ht="15" customHeight="1" x14ac:dyDescent="0.25">
      <c r="A4672" s="3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</row>
    <row r="4673" spans="1:15" ht="15" customHeight="1" x14ac:dyDescent="0.25">
      <c r="A4673" s="2"/>
      <c r="B4673" s="2"/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</row>
    <row r="4674" spans="1:15" ht="15" customHeight="1" x14ac:dyDescent="0.25">
      <c r="A4674" s="3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</row>
    <row r="4675" spans="1:15" ht="15" customHeight="1" x14ac:dyDescent="0.25">
      <c r="A4675" s="2"/>
      <c r="B4675" s="2"/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</row>
    <row r="4676" spans="1:15" ht="15" customHeight="1" x14ac:dyDescent="0.25">
      <c r="A4676" s="3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</row>
    <row r="4677" spans="1:15" ht="15" customHeight="1" x14ac:dyDescent="0.25">
      <c r="A4677" s="2"/>
      <c r="B4677" s="2"/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</row>
    <row r="4678" spans="1:15" ht="15" customHeight="1" x14ac:dyDescent="0.25">
      <c r="A4678" s="3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</row>
    <row r="4679" spans="1:15" ht="15" customHeight="1" x14ac:dyDescent="0.25">
      <c r="A4679" s="2"/>
      <c r="B4679" s="2"/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</row>
    <row r="4680" spans="1:15" ht="15" customHeight="1" x14ac:dyDescent="0.25">
      <c r="A4680" s="3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</row>
    <row r="4681" spans="1:15" ht="15" customHeight="1" x14ac:dyDescent="0.25">
      <c r="A4681" s="2"/>
      <c r="B4681" s="2"/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</row>
    <row r="4682" spans="1:15" ht="15" customHeight="1" x14ac:dyDescent="0.25">
      <c r="A4682" s="3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</row>
    <row r="4683" spans="1:15" ht="15" customHeight="1" x14ac:dyDescent="0.25">
      <c r="A4683" s="2"/>
      <c r="B4683" s="2"/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</row>
    <row r="4684" spans="1:15" ht="15" customHeight="1" x14ac:dyDescent="0.25">
      <c r="A4684" s="3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</row>
    <row r="4685" spans="1:15" ht="15" customHeight="1" x14ac:dyDescent="0.25">
      <c r="A4685" s="2"/>
      <c r="B4685" s="2"/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</row>
    <row r="4686" spans="1:15" ht="15" customHeight="1" x14ac:dyDescent="0.25">
      <c r="A4686" s="3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</row>
    <row r="4687" spans="1:15" ht="15" customHeight="1" x14ac:dyDescent="0.25">
      <c r="A4687" s="2"/>
      <c r="B4687" s="2"/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</row>
    <row r="4688" spans="1:15" ht="15" customHeight="1" x14ac:dyDescent="0.25">
      <c r="A4688" s="3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</row>
    <row r="4689" spans="1:15" ht="15" customHeight="1" x14ac:dyDescent="0.25">
      <c r="A4689" s="2"/>
      <c r="B4689" s="2"/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</row>
    <row r="4690" spans="1:15" ht="15" customHeight="1" x14ac:dyDescent="0.25">
      <c r="A4690" s="3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</row>
    <row r="4691" spans="1:15" ht="15" customHeight="1" x14ac:dyDescent="0.25">
      <c r="A4691" s="2"/>
      <c r="B4691" s="2"/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</row>
    <row r="4692" spans="1:15" ht="15" customHeight="1" x14ac:dyDescent="0.25">
      <c r="A4692" s="3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</row>
    <row r="4693" spans="1:15" ht="15" customHeight="1" x14ac:dyDescent="0.25">
      <c r="A4693" s="2"/>
      <c r="B4693" s="2"/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</row>
    <row r="4694" spans="1:15" ht="15" customHeight="1" x14ac:dyDescent="0.25">
      <c r="A4694" s="3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</row>
    <row r="4695" spans="1:15" ht="15" customHeight="1" x14ac:dyDescent="0.25">
      <c r="A4695" s="2"/>
      <c r="B4695" s="2"/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</row>
    <row r="4696" spans="1:15" ht="15" customHeight="1" x14ac:dyDescent="0.25">
      <c r="A4696" s="3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</row>
    <row r="4697" spans="1:15" ht="15" customHeight="1" x14ac:dyDescent="0.25">
      <c r="A4697" s="2"/>
      <c r="B4697" s="2"/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</row>
    <row r="4698" spans="1:15" ht="15" customHeight="1" x14ac:dyDescent="0.25">
      <c r="A4698" s="3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</row>
    <row r="4699" spans="1:15" ht="15" customHeight="1" x14ac:dyDescent="0.25">
      <c r="A4699" s="2"/>
      <c r="B4699" s="2"/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</row>
    <row r="4700" spans="1:15" ht="15" customHeight="1" x14ac:dyDescent="0.25">
      <c r="A4700" s="3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</row>
    <row r="4701" spans="1:15" ht="15" customHeight="1" x14ac:dyDescent="0.25">
      <c r="A4701" s="2"/>
      <c r="B4701" s="2"/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</row>
    <row r="4702" spans="1:15" ht="15" customHeight="1" x14ac:dyDescent="0.25">
      <c r="A4702" s="3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</row>
    <row r="4703" spans="1:15" ht="15" customHeight="1" x14ac:dyDescent="0.25">
      <c r="A4703" s="2"/>
      <c r="B4703" s="2"/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</row>
    <row r="4704" spans="1:15" ht="15" customHeight="1" x14ac:dyDescent="0.25">
      <c r="A4704" s="3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</row>
    <row r="4705" spans="1:15" ht="15" customHeight="1" x14ac:dyDescent="0.25">
      <c r="A4705" s="2"/>
      <c r="B4705" s="2"/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</row>
    <row r="4706" spans="1:15" ht="15" customHeight="1" x14ac:dyDescent="0.25">
      <c r="A4706" s="3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</row>
    <row r="4707" spans="1:15" ht="15" customHeight="1" x14ac:dyDescent="0.25">
      <c r="A4707" s="2"/>
      <c r="B4707" s="2"/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</row>
    <row r="4708" spans="1:15" ht="15" customHeight="1" x14ac:dyDescent="0.25">
      <c r="A4708" s="3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</row>
    <row r="4709" spans="1:15" ht="15" customHeight="1" x14ac:dyDescent="0.25">
      <c r="A4709" s="2"/>
      <c r="B4709" s="2"/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</row>
    <row r="4710" spans="1:15" ht="15" customHeight="1" x14ac:dyDescent="0.25">
      <c r="A4710" s="3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</row>
    <row r="4711" spans="1:15" ht="15" customHeight="1" x14ac:dyDescent="0.25">
      <c r="A4711" s="2"/>
      <c r="B4711" s="2"/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</row>
    <row r="4712" spans="1:15" ht="15" customHeight="1" x14ac:dyDescent="0.25">
      <c r="A4712" s="3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</row>
    <row r="4713" spans="1:15" ht="15" customHeight="1" x14ac:dyDescent="0.25">
      <c r="A4713" s="2"/>
      <c r="B4713" s="2"/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</row>
    <row r="4714" spans="1:15" ht="15" customHeight="1" x14ac:dyDescent="0.25">
      <c r="A4714" s="3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</row>
    <row r="4715" spans="1:15" ht="15" customHeight="1" x14ac:dyDescent="0.25">
      <c r="A4715" s="2"/>
      <c r="B4715" s="2"/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</row>
    <row r="4716" spans="1:15" ht="15" customHeight="1" x14ac:dyDescent="0.25">
      <c r="A4716" s="3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</row>
    <row r="4717" spans="1:15" ht="15" customHeight="1" x14ac:dyDescent="0.25">
      <c r="A4717" s="2"/>
      <c r="B4717" s="2"/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</row>
    <row r="4718" spans="1:15" ht="15" customHeight="1" x14ac:dyDescent="0.25">
      <c r="A4718" s="3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</row>
    <row r="4719" spans="1:15" ht="15" customHeight="1" x14ac:dyDescent="0.25">
      <c r="A4719" s="2"/>
      <c r="B4719" s="2"/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</row>
    <row r="4720" spans="1:15" ht="15" customHeight="1" x14ac:dyDescent="0.25">
      <c r="A4720" s="3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</row>
    <row r="4721" spans="1:15" ht="15" customHeight="1" x14ac:dyDescent="0.25">
      <c r="A4721" s="2"/>
      <c r="B4721" s="2"/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</row>
    <row r="4722" spans="1:15" ht="15" customHeight="1" x14ac:dyDescent="0.25">
      <c r="A4722" s="3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</row>
    <row r="4723" spans="1:15" ht="15" customHeight="1" x14ac:dyDescent="0.25">
      <c r="A4723" s="2"/>
      <c r="B4723" s="2"/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</row>
    <row r="4724" spans="1:15" ht="15" customHeight="1" x14ac:dyDescent="0.25">
      <c r="A4724" s="3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</row>
    <row r="4725" spans="1:15" ht="15" customHeight="1" x14ac:dyDescent="0.25">
      <c r="A4725" s="2"/>
      <c r="B4725" s="2"/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</row>
    <row r="4726" spans="1:15" ht="15" customHeight="1" x14ac:dyDescent="0.25">
      <c r="A4726" s="3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</row>
    <row r="4727" spans="1:15" ht="15" customHeight="1" x14ac:dyDescent="0.25">
      <c r="A4727" s="2"/>
      <c r="B4727" s="2"/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</row>
    <row r="4728" spans="1:15" ht="15" customHeight="1" x14ac:dyDescent="0.25">
      <c r="A4728" s="3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</row>
    <row r="4729" spans="1:15" ht="15" customHeight="1" x14ac:dyDescent="0.25">
      <c r="A4729" s="2"/>
      <c r="B4729" s="2"/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</row>
    <row r="4730" spans="1:15" ht="15" customHeight="1" x14ac:dyDescent="0.25">
      <c r="A4730" s="3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</row>
    <row r="4731" spans="1:15" ht="15" customHeight="1" x14ac:dyDescent="0.25">
      <c r="A4731" s="2"/>
      <c r="B4731" s="2"/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</row>
    <row r="4732" spans="1:15" ht="15" customHeight="1" x14ac:dyDescent="0.25">
      <c r="A4732" s="3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</row>
    <row r="4733" spans="1:15" ht="15" customHeight="1" x14ac:dyDescent="0.25">
      <c r="A4733" s="2"/>
      <c r="B4733" s="2"/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</row>
    <row r="4734" spans="1:15" ht="15" customHeight="1" x14ac:dyDescent="0.25">
      <c r="A4734" s="3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</row>
    <row r="4735" spans="1:15" ht="15" customHeight="1" x14ac:dyDescent="0.25">
      <c r="A4735" s="2"/>
      <c r="B4735" s="2"/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</row>
    <row r="4736" spans="1:15" ht="15" customHeight="1" x14ac:dyDescent="0.25">
      <c r="A4736" s="3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</row>
    <row r="4737" spans="1:15" ht="15" customHeight="1" x14ac:dyDescent="0.25">
      <c r="A4737" s="2"/>
      <c r="B4737" s="2"/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</row>
    <row r="4738" spans="1:15" ht="15" customHeight="1" x14ac:dyDescent="0.25">
      <c r="A4738" s="3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</row>
    <row r="4739" spans="1:15" ht="15" customHeight="1" x14ac:dyDescent="0.25">
      <c r="A4739" s="2"/>
      <c r="B4739" s="2"/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</row>
    <row r="4740" spans="1:15" ht="15" customHeight="1" x14ac:dyDescent="0.25">
      <c r="A4740" s="3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</row>
    <row r="4741" spans="1:15" ht="15" customHeight="1" x14ac:dyDescent="0.25">
      <c r="A4741" s="2"/>
      <c r="B4741" s="2"/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</row>
    <row r="4742" spans="1:15" ht="15" customHeight="1" x14ac:dyDescent="0.25">
      <c r="A4742" s="3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</row>
    <row r="4743" spans="1:15" ht="15" customHeight="1" x14ac:dyDescent="0.25">
      <c r="A4743" s="2"/>
      <c r="B4743" s="2"/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</row>
    <row r="4744" spans="1:15" ht="15" customHeight="1" x14ac:dyDescent="0.25">
      <c r="A4744" s="3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</row>
    <row r="4745" spans="1:15" ht="15" customHeight="1" x14ac:dyDescent="0.25">
      <c r="A4745" s="2"/>
      <c r="B4745" s="2"/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</row>
    <row r="4746" spans="1:15" ht="15" customHeight="1" x14ac:dyDescent="0.25">
      <c r="A4746" s="3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</row>
    <row r="4747" spans="1:15" ht="15" customHeight="1" x14ac:dyDescent="0.25">
      <c r="A4747" s="2"/>
      <c r="B4747" s="2"/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</row>
    <row r="4748" spans="1:15" ht="15" customHeight="1" x14ac:dyDescent="0.25">
      <c r="A4748" s="3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</row>
    <row r="4749" spans="1:15" ht="15" customHeight="1" x14ac:dyDescent="0.25">
      <c r="A4749" s="2"/>
      <c r="B4749" s="2"/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</row>
    <row r="4750" spans="1:15" ht="15" customHeight="1" x14ac:dyDescent="0.25">
      <c r="A4750" s="3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</row>
    <row r="4751" spans="1:15" ht="15" customHeight="1" x14ac:dyDescent="0.25">
      <c r="A4751" s="2"/>
      <c r="B4751" s="2"/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</row>
    <row r="4752" spans="1:15" ht="15" customHeight="1" x14ac:dyDescent="0.25">
      <c r="A4752" s="3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</row>
    <row r="4753" spans="1:15" ht="15" customHeight="1" x14ac:dyDescent="0.25">
      <c r="A4753" s="2"/>
      <c r="B4753" s="2"/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</row>
    <row r="4754" spans="1:15" ht="15" customHeight="1" x14ac:dyDescent="0.25">
      <c r="A4754" s="3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</row>
    <row r="4755" spans="1:15" ht="15" customHeight="1" x14ac:dyDescent="0.25">
      <c r="A4755" s="2"/>
      <c r="B4755" s="2"/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</row>
    <row r="4756" spans="1:15" ht="15" customHeight="1" x14ac:dyDescent="0.25">
      <c r="A4756" s="3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</row>
    <row r="4757" spans="1:15" ht="15" customHeight="1" x14ac:dyDescent="0.25">
      <c r="A4757" s="2"/>
      <c r="B4757" s="2"/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</row>
    <row r="4758" spans="1:15" ht="15" customHeight="1" x14ac:dyDescent="0.25">
      <c r="A4758" s="3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</row>
    <row r="4759" spans="1:15" ht="15" customHeight="1" x14ac:dyDescent="0.25">
      <c r="A4759" s="2"/>
      <c r="B4759" s="2"/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</row>
    <row r="4760" spans="1:15" ht="15" customHeight="1" x14ac:dyDescent="0.25">
      <c r="A4760" s="3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</row>
    <row r="4761" spans="1:15" ht="15" customHeight="1" x14ac:dyDescent="0.25">
      <c r="A4761" s="2"/>
      <c r="B4761" s="2"/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</row>
    <row r="4762" spans="1:15" ht="15" customHeight="1" x14ac:dyDescent="0.25">
      <c r="A4762" s="3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</row>
    <row r="4763" spans="1:15" ht="15" customHeight="1" x14ac:dyDescent="0.25">
      <c r="A4763" s="2"/>
      <c r="B4763" s="2"/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</row>
    <row r="4764" spans="1:15" ht="15" customHeight="1" x14ac:dyDescent="0.25">
      <c r="A4764" s="3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</row>
    <row r="4765" spans="1:15" ht="15" customHeight="1" x14ac:dyDescent="0.25">
      <c r="A4765" s="2"/>
      <c r="B4765" s="2"/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</row>
    <row r="4766" spans="1:15" ht="15" customHeight="1" x14ac:dyDescent="0.25">
      <c r="A4766" s="3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</row>
    <row r="4767" spans="1:15" ht="15" customHeight="1" x14ac:dyDescent="0.25">
      <c r="A4767" s="2"/>
      <c r="B4767" s="2"/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</row>
    <row r="4768" spans="1:15" ht="15" customHeight="1" x14ac:dyDescent="0.25">
      <c r="A4768" s="3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</row>
    <row r="4769" spans="1:15" ht="15" customHeight="1" x14ac:dyDescent="0.25">
      <c r="A4769" s="2"/>
      <c r="B4769" s="2"/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</row>
    <row r="4770" spans="1:15" ht="15" customHeight="1" x14ac:dyDescent="0.25">
      <c r="A4770" s="3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</row>
    <row r="4771" spans="1:15" ht="15" customHeight="1" x14ac:dyDescent="0.25">
      <c r="A4771" s="2"/>
      <c r="B4771" s="2"/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</row>
    <row r="4772" spans="1:15" ht="15" customHeight="1" x14ac:dyDescent="0.25">
      <c r="A4772" s="3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</row>
    <row r="4773" spans="1:15" ht="15" customHeight="1" x14ac:dyDescent="0.25">
      <c r="A4773" s="2"/>
      <c r="B4773" s="2"/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</row>
    <row r="4774" spans="1:15" ht="15" customHeight="1" x14ac:dyDescent="0.25">
      <c r="A4774" s="3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</row>
    <row r="4775" spans="1:15" ht="15" customHeight="1" x14ac:dyDescent="0.25">
      <c r="A4775" s="2"/>
      <c r="B4775" s="2"/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</row>
    <row r="4776" spans="1:15" ht="15" customHeight="1" x14ac:dyDescent="0.25">
      <c r="A4776" s="3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</row>
    <row r="4777" spans="1:15" ht="15" customHeight="1" x14ac:dyDescent="0.25">
      <c r="A4777" s="2"/>
      <c r="B4777" s="2"/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</row>
    <row r="4778" spans="1:15" ht="15" customHeight="1" x14ac:dyDescent="0.25">
      <c r="A4778" s="3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</row>
    <row r="4779" spans="1:15" ht="15" customHeight="1" x14ac:dyDescent="0.25">
      <c r="A4779" s="2"/>
      <c r="B4779" s="2"/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</row>
    <row r="4780" spans="1:15" ht="15" customHeight="1" x14ac:dyDescent="0.25">
      <c r="A4780" s="3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</row>
    <row r="4781" spans="1:15" ht="15" customHeight="1" x14ac:dyDescent="0.25">
      <c r="A4781" s="2"/>
      <c r="B4781" s="2"/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</row>
    <row r="4782" spans="1:15" ht="15" customHeight="1" x14ac:dyDescent="0.25">
      <c r="A4782" s="3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</row>
    <row r="4783" spans="1:15" ht="15" customHeight="1" x14ac:dyDescent="0.25">
      <c r="A4783" s="2"/>
      <c r="B4783" s="2"/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</row>
    <row r="4784" spans="1:15" ht="15" customHeight="1" x14ac:dyDescent="0.25">
      <c r="A4784" s="3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</row>
    <row r="4785" spans="1:15" ht="15" customHeight="1" x14ac:dyDescent="0.25">
      <c r="A4785" s="2"/>
      <c r="B4785" s="2"/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</row>
    <row r="4786" spans="1:15" ht="15" customHeight="1" x14ac:dyDescent="0.25">
      <c r="A4786" s="3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</row>
    <row r="4787" spans="1:15" ht="15" customHeight="1" x14ac:dyDescent="0.25">
      <c r="A4787" s="2"/>
      <c r="B4787" s="2"/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</row>
    <row r="4788" spans="1:15" ht="15" customHeight="1" x14ac:dyDescent="0.25">
      <c r="A4788" s="3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</row>
    <row r="4789" spans="1:15" ht="15" customHeight="1" x14ac:dyDescent="0.25">
      <c r="A4789" s="2"/>
      <c r="B4789" s="2"/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</row>
    <row r="4790" spans="1:15" ht="15" customHeight="1" x14ac:dyDescent="0.25">
      <c r="A4790" s="3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</row>
    <row r="4791" spans="1:15" ht="15" customHeight="1" x14ac:dyDescent="0.25">
      <c r="A4791" s="2"/>
      <c r="B4791" s="2"/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</row>
    <row r="4792" spans="1:15" ht="15" customHeight="1" x14ac:dyDescent="0.25">
      <c r="A4792" s="3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</row>
    <row r="4793" spans="1:15" ht="15" customHeight="1" x14ac:dyDescent="0.25">
      <c r="A4793" s="2"/>
      <c r="B4793" s="2"/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</row>
    <row r="4794" spans="1:15" ht="15" customHeight="1" x14ac:dyDescent="0.25">
      <c r="A4794" s="3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</row>
    <row r="4795" spans="1:15" ht="15" customHeight="1" x14ac:dyDescent="0.25">
      <c r="A4795" s="2"/>
      <c r="B4795" s="2"/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</row>
    <row r="4796" spans="1:15" ht="15" customHeight="1" x14ac:dyDescent="0.25">
      <c r="A4796" s="3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</row>
    <row r="4797" spans="1:15" ht="15" customHeight="1" x14ac:dyDescent="0.25">
      <c r="A4797" s="2"/>
      <c r="B4797" s="2"/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</row>
    <row r="4798" spans="1:15" ht="15" customHeight="1" x14ac:dyDescent="0.25">
      <c r="A4798" s="3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</row>
    <row r="4799" spans="1:15" ht="15" customHeight="1" x14ac:dyDescent="0.25">
      <c r="A4799" s="2"/>
      <c r="B4799" s="2"/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</row>
    <row r="4800" spans="1:15" ht="15" customHeight="1" x14ac:dyDescent="0.25">
      <c r="A4800" s="3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</row>
    <row r="4801" spans="1:15" ht="15" customHeight="1" x14ac:dyDescent="0.25">
      <c r="A4801" s="2"/>
      <c r="B4801" s="2"/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</row>
    <row r="4802" spans="1:15" ht="15" customHeight="1" x14ac:dyDescent="0.25">
      <c r="A4802" s="3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</row>
    <row r="4803" spans="1:15" ht="15" customHeight="1" x14ac:dyDescent="0.25">
      <c r="A4803" s="2"/>
      <c r="B4803" s="2"/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</row>
    <row r="4804" spans="1:15" ht="15" customHeight="1" x14ac:dyDescent="0.25">
      <c r="A4804" s="3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</row>
    <row r="4805" spans="1:15" ht="15" customHeight="1" x14ac:dyDescent="0.25">
      <c r="A4805" s="2"/>
      <c r="B4805" s="2"/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</row>
    <row r="4806" spans="1:15" ht="15" customHeight="1" x14ac:dyDescent="0.25">
      <c r="A4806" s="3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</row>
    <row r="4807" spans="1:15" ht="15" customHeight="1" x14ac:dyDescent="0.25">
      <c r="A4807" s="2"/>
      <c r="B4807" s="2"/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</row>
    <row r="4808" spans="1:15" ht="15" customHeight="1" x14ac:dyDescent="0.25">
      <c r="A4808" s="3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</row>
    <row r="4809" spans="1:15" ht="15" customHeight="1" x14ac:dyDescent="0.25">
      <c r="A4809" s="2"/>
      <c r="B4809" s="2"/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</row>
    <row r="4810" spans="1:15" ht="15" customHeight="1" x14ac:dyDescent="0.25">
      <c r="A4810" s="3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</row>
    <row r="4811" spans="1:15" ht="15" customHeight="1" x14ac:dyDescent="0.25">
      <c r="A4811" s="2"/>
      <c r="B4811" s="2"/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</row>
    <row r="4812" spans="1:15" ht="15" customHeight="1" x14ac:dyDescent="0.25">
      <c r="A4812" s="3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</row>
    <row r="4813" spans="1:15" ht="15" customHeight="1" x14ac:dyDescent="0.25">
      <c r="A4813" s="2"/>
      <c r="B4813" s="2"/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</row>
    <row r="4814" spans="1:15" ht="15" customHeight="1" x14ac:dyDescent="0.25">
      <c r="A4814" s="3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</row>
    <row r="4815" spans="1:15" ht="15" customHeight="1" x14ac:dyDescent="0.25">
      <c r="A4815" s="2"/>
      <c r="B4815" s="2"/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</row>
    <row r="4816" spans="1:15" ht="15" customHeight="1" x14ac:dyDescent="0.25">
      <c r="A4816" s="3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</row>
    <row r="4817" spans="1:15" ht="15" customHeight="1" x14ac:dyDescent="0.25">
      <c r="A4817" s="2"/>
      <c r="B4817" s="2"/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</row>
    <row r="4818" spans="1:15" ht="15" customHeight="1" x14ac:dyDescent="0.25">
      <c r="A4818" s="3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</row>
    <row r="4819" spans="1:15" ht="15" customHeight="1" x14ac:dyDescent="0.25">
      <c r="A4819" s="2"/>
      <c r="B4819" s="2"/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</row>
    <row r="4820" spans="1:15" ht="15" customHeight="1" x14ac:dyDescent="0.25">
      <c r="A4820" s="3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</row>
    <row r="4821" spans="1:15" ht="15" customHeight="1" x14ac:dyDescent="0.25">
      <c r="A4821" s="2"/>
      <c r="B4821" s="2"/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</row>
    <row r="4822" spans="1:15" ht="15" customHeight="1" x14ac:dyDescent="0.25">
      <c r="A4822" s="3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</row>
    <row r="4823" spans="1:15" ht="15" customHeight="1" x14ac:dyDescent="0.25">
      <c r="A4823" s="2"/>
      <c r="B4823" s="2"/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</row>
    <row r="4824" spans="1:15" ht="15" customHeight="1" x14ac:dyDescent="0.25">
      <c r="A4824" s="3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</row>
    <row r="4825" spans="1:15" ht="15" customHeight="1" x14ac:dyDescent="0.25">
      <c r="A4825" s="2"/>
      <c r="B4825" s="2"/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</row>
    <row r="4826" spans="1:15" ht="15" customHeight="1" x14ac:dyDescent="0.25">
      <c r="A4826" s="3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</row>
    <row r="4827" spans="1:15" ht="15" customHeight="1" x14ac:dyDescent="0.25">
      <c r="A4827" s="2"/>
      <c r="B4827" s="2"/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</row>
    <row r="4828" spans="1:15" ht="15" customHeight="1" x14ac:dyDescent="0.25">
      <c r="A4828" s="3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</row>
    <row r="4829" spans="1:15" ht="15" customHeight="1" x14ac:dyDescent="0.25">
      <c r="A4829" s="2"/>
      <c r="B4829" s="2"/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</row>
    <row r="4830" spans="1:15" ht="15" customHeight="1" x14ac:dyDescent="0.25">
      <c r="A4830" s="3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</row>
    <row r="4831" spans="1:15" ht="15" customHeight="1" x14ac:dyDescent="0.25">
      <c r="A4831" s="2"/>
      <c r="B4831" s="2"/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</row>
    <row r="4832" spans="1:15" ht="15" customHeight="1" x14ac:dyDescent="0.25">
      <c r="A4832" s="3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</row>
    <row r="4833" spans="1:15" ht="15" customHeight="1" x14ac:dyDescent="0.25">
      <c r="A4833" s="2"/>
      <c r="B4833" s="2"/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</row>
    <row r="4834" spans="1:15" ht="15" customHeight="1" x14ac:dyDescent="0.25">
      <c r="A4834" s="3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</row>
    <row r="4835" spans="1:15" ht="15" customHeight="1" x14ac:dyDescent="0.25">
      <c r="A4835" s="2"/>
      <c r="B4835" s="2"/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</row>
    <row r="4836" spans="1:15" ht="15" customHeight="1" x14ac:dyDescent="0.25">
      <c r="A4836" s="3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</row>
    <row r="4837" spans="1:15" ht="15" customHeight="1" x14ac:dyDescent="0.25">
      <c r="A4837" s="2"/>
      <c r="B4837" s="2"/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</row>
    <row r="4838" spans="1:15" ht="15" customHeight="1" x14ac:dyDescent="0.25">
      <c r="A4838" s="3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</row>
    <row r="4839" spans="1:15" ht="15" customHeight="1" x14ac:dyDescent="0.25">
      <c r="A4839" s="2"/>
      <c r="B4839" s="2"/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</row>
    <row r="4840" spans="1:15" ht="15" customHeight="1" x14ac:dyDescent="0.25">
      <c r="A4840" s="3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</row>
    <row r="4841" spans="1:15" ht="15" customHeight="1" x14ac:dyDescent="0.25">
      <c r="A4841" s="2"/>
      <c r="B4841" s="2"/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</row>
    <row r="4842" spans="1:15" ht="15" customHeight="1" x14ac:dyDescent="0.25">
      <c r="A4842" s="3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</row>
    <row r="4843" spans="1:15" ht="15" customHeight="1" x14ac:dyDescent="0.25">
      <c r="A4843" s="2"/>
      <c r="B4843" s="2"/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</row>
    <row r="4844" spans="1:15" ht="15" customHeight="1" x14ac:dyDescent="0.25">
      <c r="A4844" s="3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</row>
    <row r="4845" spans="1:15" ht="15" customHeight="1" x14ac:dyDescent="0.25">
      <c r="A4845" s="2"/>
      <c r="B4845" s="2"/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</row>
    <row r="4846" spans="1:15" ht="15" customHeight="1" x14ac:dyDescent="0.25">
      <c r="A4846" s="3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</row>
    <row r="4847" spans="1:15" ht="15" customHeight="1" x14ac:dyDescent="0.25">
      <c r="A4847" s="2"/>
      <c r="B4847" s="2"/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</row>
    <row r="4848" spans="1:15" ht="15" customHeight="1" x14ac:dyDescent="0.25">
      <c r="A4848" s="3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</row>
    <row r="4849" spans="1:15" ht="15" customHeight="1" x14ac:dyDescent="0.25">
      <c r="A4849" s="2"/>
      <c r="B4849" s="2"/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</row>
    <row r="4850" spans="1:15" ht="15" customHeight="1" x14ac:dyDescent="0.25">
      <c r="A4850" s="3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</row>
    <row r="4851" spans="1:15" ht="15" customHeight="1" x14ac:dyDescent="0.25">
      <c r="A4851" s="2"/>
      <c r="B4851" s="2"/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</row>
    <row r="4852" spans="1:15" ht="15" customHeight="1" x14ac:dyDescent="0.25">
      <c r="A4852" s="3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</row>
    <row r="4853" spans="1:15" ht="15" customHeight="1" x14ac:dyDescent="0.25">
      <c r="A4853" s="2"/>
      <c r="B4853" s="2"/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</row>
    <row r="4854" spans="1:15" ht="15" customHeight="1" x14ac:dyDescent="0.25">
      <c r="A4854" s="3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</row>
    <row r="4855" spans="1:15" ht="15" customHeight="1" x14ac:dyDescent="0.25">
      <c r="A4855" s="2"/>
      <c r="B4855" s="2"/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</row>
    <row r="4856" spans="1:15" ht="15" customHeight="1" x14ac:dyDescent="0.25">
      <c r="A4856" s="3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</row>
    <row r="4857" spans="1:15" ht="15" customHeight="1" x14ac:dyDescent="0.25">
      <c r="A4857" s="2"/>
      <c r="B4857" s="2"/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</row>
    <row r="4858" spans="1:15" ht="15" customHeight="1" x14ac:dyDescent="0.25">
      <c r="A4858" s="3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</row>
    <row r="4859" spans="1:15" ht="15" customHeight="1" x14ac:dyDescent="0.25">
      <c r="A4859" s="2"/>
      <c r="B4859" s="2"/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</row>
    <row r="4860" spans="1:15" ht="15" customHeight="1" x14ac:dyDescent="0.25">
      <c r="A4860" s="3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</row>
    <row r="4861" spans="1:15" ht="15" customHeight="1" x14ac:dyDescent="0.25">
      <c r="A4861" s="2"/>
      <c r="B4861" s="2"/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</row>
    <row r="4862" spans="1:15" ht="15" customHeight="1" x14ac:dyDescent="0.25">
      <c r="A4862" s="3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</row>
    <row r="4863" spans="1:15" ht="15" customHeight="1" x14ac:dyDescent="0.25">
      <c r="A4863" s="2"/>
      <c r="B4863" s="2"/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</row>
    <row r="4864" spans="1:15" ht="15" customHeight="1" x14ac:dyDescent="0.25">
      <c r="A4864" s="3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</row>
    <row r="4865" spans="1:15" ht="15" customHeight="1" x14ac:dyDescent="0.25">
      <c r="A4865" s="2"/>
      <c r="B4865" s="2"/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</row>
    <row r="4866" spans="1:15" ht="15" customHeight="1" x14ac:dyDescent="0.25">
      <c r="A4866" s="3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</row>
    <row r="4867" spans="1:15" ht="15" customHeight="1" x14ac:dyDescent="0.25">
      <c r="A4867" s="2"/>
      <c r="B4867" s="2"/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</row>
    <row r="4868" spans="1:15" ht="15" customHeight="1" x14ac:dyDescent="0.25">
      <c r="A4868" s="3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</row>
    <row r="4869" spans="1:15" ht="15" customHeight="1" x14ac:dyDescent="0.25">
      <c r="A4869" s="2"/>
      <c r="B4869" s="2"/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</row>
    <row r="4870" spans="1:15" ht="15" customHeight="1" x14ac:dyDescent="0.25">
      <c r="A4870" s="3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</row>
    <row r="4871" spans="1:15" ht="15" customHeight="1" x14ac:dyDescent="0.25">
      <c r="A4871" s="2"/>
      <c r="B4871" s="2"/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</row>
    <row r="4872" spans="1:15" ht="15" customHeight="1" x14ac:dyDescent="0.25">
      <c r="A4872" s="3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</row>
    <row r="4873" spans="1:15" ht="15" customHeight="1" x14ac:dyDescent="0.25">
      <c r="A4873" s="2"/>
      <c r="B4873" s="2"/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</row>
    <row r="4874" spans="1:15" ht="15" customHeight="1" x14ac:dyDescent="0.25">
      <c r="A4874" s="3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</row>
    <row r="4875" spans="1:15" ht="15" customHeight="1" x14ac:dyDescent="0.25">
      <c r="A4875" s="2"/>
      <c r="B4875" s="2"/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</row>
    <row r="4876" spans="1:15" ht="15" customHeight="1" x14ac:dyDescent="0.25">
      <c r="A4876" s="3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</row>
    <row r="4877" spans="1:15" ht="15" customHeight="1" x14ac:dyDescent="0.25">
      <c r="A4877" s="2"/>
      <c r="B4877" s="2"/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</row>
    <row r="4878" spans="1:15" ht="15" customHeight="1" x14ac:dyDescent="0.25">
      <c r="A4878" s="3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</row>
    <row r="4879" spans="1:15" ht="15" customHeight="1" x14ac:dyDescent="0.25">
      <c r="A4879" s="2"/>
      <c r="B4879" s="2"/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</row>
    <row r="4880" spans="1:15" ht="15" customHeight="1" x14ac:dyDescent="0.25">
      <c r="A4880" s="3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</row>
    <row r="4881" spans="1:15" ht="15" customHeight="1" x14ac:dyDescent="0.25">
      <c r="A4881" s="2"/>
      <c r="B4881" s="2"/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</row>
    <row r="4882" spans="1:15" ht="15" customHeight="1" x14ac:dyDescent="0.25">
      <c r="A4882" s="3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</row>
    <row r="4883" spans="1:15" ht="15" customHeight="1" x14ac:dyDescent="0.25">
      <c r="A4883" s="2"/>
      <c r="B4883" s="2"/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</row>
    <row r="4884" spans="1:15" ht="15" customHeight="1" x14ac:dyDescent="0.25">
      <c r="A4884" s="3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</row>
    <row r="4885" spans="1:15" ht="15" customHeight="1" x14ac:dyDescent="0.25">
      <c r="A4885" s="2"/>
      <c r="B4885" s="2"/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</row>
    <row r="4886" spans="1:15" ht="15" customHeight="1" x14ac:dyDescent="0.25">
      <c r="A4886" s="3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</row>
    <row r="4887" spans="1:15" ht="15" customHeight="1" x14ac:dyDescent="0.25">
      <c r="A4887" s="2"/>
      <c r="B4887" s="2"/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</row>
    <row r="4888" spans="1:15" ht="15" customHeight="1" x14ac:dyDescent="0.25">
      <c r="A4888" s="3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</row>
    <row r="4889" spans="1:15" ht="15" customHeight="1" x14ac:dyDescent="0.25">
      <c r="A4889" s="2"/>
      <c r="B4889" s="2"/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</row>
    <row r="4890" spans="1:15" ht="15" customHeight="1" x14ac:dyDescent="0.25">
      <c r="A4890" s="3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</row>
    <row r="4891" spans="1:15" ht="15" customHeight="1" x14ac:dyDescent="0.25">
      <c r="A4891" s="2"/>
      <c r="B4891" s="2"/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</row>
    <row r="4892" spans="1:15" ht="15" customHeight="1" x14ac:dyDescent="0.25">
      <c r="A4892" s="3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</row>
    <row r="4893" spans="1:15" ht="15" customHeight="1" x14ac:dyDescent="0.25">
      <c r="A4893" s="2"/>
      <c r="B4893" s="2"/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</row>
    <row r="4894" spans="1:15" ht="15" customHeight="1" x14ac:dyDescent="0.25">
      <c r="A4894" s="3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</row>
    <row r="4895" spans="1:15" ht="15" customHeight="1" x14ac:dyDescent="0.25">
      <c r="A4895" s="2"/>
      <c r="B4895" s="2"/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</row>
    <row r="4896" spans="1:15" ht="15" customHeight="1" x14ac:dyDescent="0.25">
      <c r="A4896" s="3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</row>
    <row r="4897" spans="1:15" ht="15" customHeight="1" x14ac:dyDescent="0.25">
      <c r="A4897" s="2"/>
      <c r="B4897" s="2"/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</row>
    <row r="4898" spans="1:15" ht="15" customHeight="1" x14ac:dyDescent="0.25">
      <c r="A4898" s="3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</row>
    <row r="4899" spans="1:15" ht="15" customHeight="1" x14ac:dyDescent="0.25">
      <c r="A4899" s="2"/>
      <c r="B4899" s="2"/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</row>
    <row r="4900" spans="1:15" ht="15" customHeight="1" x14ac:dyDescent="0.25">
      <c r="A4900" s="3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</row>
    <row r="4901" spans="1:15" ht="15" customHeight="1" x14ac:dyDescent="0.25">
      <c r="A4901" s="2"/>
      <c r="B4901" s="2"/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</row>
    <row r="4902" spans="1:15" ht="15" customHeight="1" x14ac:dyDescent="0.25">
      <c r="A4902" s="3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</row>
    <row r="4903" spans="1:15" ht="15" customHeight="1" x14ac:dyDescent="0.25">
      <c r="A4903" s="2"/>
      <c r="B4903" s="2"/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</row>
    <row r="4904" spans="1:15" ht="15" customHeight="1" x14ac:dyDescent="0.25">
      <c r="A4904" s="3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</row>
    <row r="4905" spans="1:15" ht="15" customHeight="1" x14ac:dyDescent="0.25">
      <c r="A4905" s="2"/>
      <c r="B4905" s="2"/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</row>
    <row r="4906" spans="1:15" ht="15" customHeight="1" x14ac:dyDescent="0.25">
      <c r="A4906" s="3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</row>
    <row r="4907" spans="1:15" ht="15" customHeight="1" x14ac:dyDescent="0.25">
      <c r="A4907" s="2"/>
      <c r="B4907" s="2"/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</row>
    <row r="4908" spans="1:15" ht="15" customHeight="1" x14ac:dyDescent="0.25">
      <c r="A4908" s="3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</row>
    <row r="4909" spans="1:15" ht="15" customHeight="1" x14ac:dyDescent="0.25">
      <c r="A4909" s="2"/>
      <c r="B4909" s="2"/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</row>
    <row r="4910" spans="1:15" ht="15" customHeight="1" x14ac:dyDescent="0.25">
      <c r="A4910" s="3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</row>
    <row r="4911" spans="1:15" ht="15" customHeight="1" x14ac:dyDescent="0.25">
      <c r="A4911" s="2"/>
      <c r="B4911" s="2"/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</row>
    <row r="4912" spans="1:15" ht="15" customHeight="1" x14ac:dyDescent="0.25">
      <c r="A4912" s="3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</row>
    <row r="4913" spans="1:15" ht="15" customHeight="1" x14ac:dyDescent="0.25">
      <c r="A4913" s="2"/>
      <c r="B4913" s="2"/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</row>
    <row r="4914" spans="1:15" ht="15" customHeight="1" x14ac:dyDescent="0.25">
      <c r="A4914" s="3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</row>
    <row r="4915" spans="1:15" ht="15" customHeight="1" x14ac:dyDescent="0.25">
      <c r="A4915" s="2"/>
      <c r="B4915" s="2"/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</row>
    <row r="4916" spans="1:15" ht="15" customHeight="1" x14ac:dyDescent="0.25">
      <c r="A4916" s="3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</row>
    <row r="4917" spans="1:15" ht="15" customHeight="1" x14ac:dyDescent="0.25">
      <c r="A4917" s="2"/>
      <c r="B4917" s="2"/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</row>
    <row r="4918" spans="1:15" ht="15" customHeight="1" x14ac:dyDescent="0.25">
      <c r="A4918" s="3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</row>
    <row r="4919" spans="1:15" ht="15" customHeight="1" x14ac:dyDescent="0.25">
      <c r="A4919" s="2"/>
      <c r="B4919" s="2"/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</row>
    <row r="4920" spans="1:15" ht="15" customHeight="1" x14ac:dyDescent="0.25">
      <c r="A4920" s="3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</row>
    <row r="4921" spans="1:15" ht="15" customHeight="1" x14ac:dyDescent="0.25">
      <c r="A4921" s="2"/>
      <c r="B4921" s="2"/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</row>
    <row r="4922" spans="1:15" ht="15" customHeight="1" x14ac:dyDescent="0.25">
      <c r="A4922" s="3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</row>
    <row r="4923" spans="1:15" ht="15" customHeight="1" x14ac:dyDescent="0.25">
      <c r="A4923" s="2"/>
      <c r="B4923" s="2"/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</row>
    <row r="4924" spans="1:15" ht="15" customHeight="1" x14ac:dyDescent="0.25">
      <c r="A4924" s="3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</row>
    <row r="4925" spans="1:15" ht="15" customHeight="1" x14ac:dyDescent="0.25">
      <c r="A4925" s="2"/>
      <c r="B4925" s="2"/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</row>
    <row r="4926" spans="1:15" ht="15" customHeight="1" x14ac:dyDescent="0.25">
      <c r="A4926" s="3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</row>
    <row r="4927" spans="1:15" ht="15" customHeight="1" x14ac:dyDescent="0.25">
      <c r="A4927" s="2"/>
      <c r="B4927" s="2"/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</row>
    <row r="4928" spans="1:15" ht="15" customHeight="1" x14ac:dyDescent="0.25">
      <c r="A4928" s="3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</row>
    <row r="4929" spans="1:15" ht="15" customHeight="1" x14ac:dyDescent="0.25">
      <c r="A4929" s="2"/>
      <c r="B4929" s="2"/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</row>
    <row r="4930" spans="1:15" ht="15" customHeight="1" x14ac:dyDescent="0.25">
      <c r="A4930" s="3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</row>
    <row r="4931" spans="1:15" ht="15" customHeight="1" x14ac:dyDescent="0.25">
      <c r="A4931" s="2"/>
      <c r="B4931" s="2"/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</row>
    <row r="4932" spans="1:15" ht="15" customHeight="1" x14ac:dyDescent="0.25">
      <c r="A4932" s="3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</row>
    <row r="4933" spans="1:15" ht="15" customHeight="1" x14ac:dyDescent="0.25">
      <c r="A4933" s="2"/>
      <c r="B4933" s="2"/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</row>
    <row r="4934" spans="1:15" ht="15" customHeight="1" x14ac:dyDescent="0.25">
      <c r="A4934" s="3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</row>
    <row r="4935" spans="1:15" ht="15" customHeight="1" x14ac:dyDescent="0.25">
      <c r="A4935" s="2"/>
      <c r="B4935" s="2"/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</row>
    <row r="4936" spans="1:15" ht="15" customHeight="1" x14ac:dyDescent="0.25">
      <c r="A4936" s="3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</row>
    <row r="4937" spans="1:15" ht="15" customHeight="1" x14ac:dyDescent="0.25">
      <c r="A4937" s="2"/>
      <c r="B4937" s="2"/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</row>
    <row r="4938" spans="1:15" ht="15" customHeight="1" x14ac:dyDescent="0.25">
      <c r="A4938" s="3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</row>
    <row r="4939" spans="1:15" ht="15" customHeight="1" x14ac:dyDescent="0.25">
      <c r="A4939" s="2"/>
      <c r="B4939" s="2"/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</row>
    <row r="4940" spans="1:15" ht="15" customHeight="1" x14ac:dyDescent="0.25">
      <c r="A4940" s="3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</row>
    <row r="4941" spans="1:15" ht="15" customHeight="1" x14ac:dyDescent="0.25">
      <c r="A4941" s="2"/>
      <c r="B4941" s="2"/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</row>
    <row r="4942" spans="1:15" ht="15" customHeight="1" x14ac:dyDescent="0.25">
      <c r="A4942" s="3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</row>
    <row r="4943" spans="1:15" ht="15" customHeight="1" x14ac:dyDescent="0.25">
      <c r="A4943" s="2"/>
      <c r="B4943" s="2"/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</row>
    <row r="4944" spans="1:15" ht="15" customHeight="1" x14ac:dyDescent="0.25">
      <c r="A4944" s="3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</row>
    <row r="4945" spans="1:15" ht="15" customHeight="1" x14ac:dyDescent="0.25">
      <c r="A4945" s="2"/>
      <c r="B4945" s="2"/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</row>
    <row r="4946" spans="1:15" ht="15" customHeight="1" x14ac:dyDescent="0.25">
      <c r="A4946" s="3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</row>
    <row r="4947" spans="1:15" ht="15" customHeight="1" x14ac:dyDescent="0.25">
      <c r="A4947" s="2"/>
      <c r="B4947" s="2"/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</row>
    <row r="4948" spans="1:15" ht="15" customHeight="1" x14ac:dyDescent="0.25">
      <c r="A4948" s="3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</row>
    <row r="4949" spans="1:15" ht="15" customHeight="1" x14ac:dyDescent="0.25">
      <c r="A4949" s="2"/>
      <c r="B4949" s="2"/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</row>
    <row r="4950" spans="1:15" ht="15" customHeight="1" x14ac:dyDescent="0.25">
      <c r="A4950" s="3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</row>
    <row r="4951" spans="1:15" ht="15" customHeight="1" x14ac:dyDescent="0.25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</row>
    <row r="4952" spans="1:15" ht="15" customHeight="1" x14ac:dyDescent="0.25">
      <c r="A4952" s="3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</row>
    <row r="4953" spans="1:15" ht="15" customHeight="1" x14ac:dyDescent="0.25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</row>
    <row r="4954" spans="1:15" ht="15" customHeight="1" x14ac:dyDescent="0.25">
      <c r="A4954" s="3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</row>
    <row r="4955" spans="1:15" ht="15" customHeight="1" x14ac:dyDescent="0.25">
      <c r="A4955" s="2"/>
      <c r="B4955" s="2"/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</row>
    <row r="4956" spans="1:15" ht="15" customHeight="1" x14ac:dyDescent="0.25">
      <c r="A4956" s="3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</row>
    <row r="4957" spans="1:15" ht="15" customHeight="1" x14ac:dyDescent="0.25">
      <c r="A4957" s="2"/>
      <c r="B4957" s="2"/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</row>
    <row r="4958" spans="1:15" ht="15" customHeight="1" x14ac:dyDescent="0.25">
      <c r="A4958" s="3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</row>
    <row r="4959" spans="1:15" ht="15" customHeight="1" x14ac:dyDescent="0.25">
      <c r="A4959" s="2"/>
      <c r="B4959" s="2"/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</row>
    <row r="4960" spans="1:15" ht="15" customHeight="1" x14ac:dyDescent="0.25">
      <c r="A4960" s="3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</row>
    <row r="4961" spans="1:15" ht="15" customHeight="1" x14ac:dyDescent="0.25">
      <c r="A4961" s="2"/>
      <c r="B4961" s="2"/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</row>
    <row r="4962" spans="1:15" ht="15" customHeight="1" x14ac:dyDescent="0.25">
      <c r="A4962" s="3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</row>
    <row r="4963" spans="1:15" ht="15" customHeight="1" x14ac:dyDescent="0.25">
      <c r="A4963" s="2"/>
      <c r="B4963" s="2"/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</row>
    <row r="4964" spans="1:15" ht="15" customHeight="1" x14ac:dyDescent="0.25">
      <c r="A4964" s="3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</row>
    <row r="4965" spans="1:15" ht="15" customHeight="1" x14ac:dyDescent="0.25">
      <c r="A4965" s="2"/>
      <c r="B4965" s="2"/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</row>
    <row r="4966" spans="1:15" ht="15" customHeight="1" x14ac:dyDescent="0.25">
      <c r="A4966" s="3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</row>
    <row r="4967" spans="1:15" ht="15" customHeight="1" x14ac:dyDescent="0.25">
      <c r="A4967" s="2"/>
      <c r="B4967" s="2"/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</row>
    <row r="4968" spans="1:15" ht="15" customHeight="1" x14ac:dyDescent="0.25">
      <c r="A4968" s="3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</row>
    <row r="4969" spans="1:15" ht="15" customHeight="1" x14ac:dyDescent="0.25">
      <c r="A4969" s="2"/>
      <c r="B4969" s="2"/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</row>
    <row r="4970" spans="1:15" ht="15" customHeight="1" x14ac:dyDescent="0.25">
      <c r="A4970" s="3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</row>
    <row r="4971" spans="1:15" ht="15" customHeight="1" x14ac:dyDescent="0.25">
      <c r="A4971" s="2"/>
      <c r="B4971" s="2"/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</row>
    <row r="4972" spans="1:15" ht="15" customHeight="1" x14ac:dyDescent="0.25">
      <c r="A4972" s="3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</row>
    <row r="4973" spans="1:15" ht="15" customHeight="1" x14ac:dyDescent="0.25">
      <c r="A4973" s="2"/>
      <c r="B4973" s="2"/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</row>
    <row r="4974" spans="1:15" ht="15" customHeight="1" x14ac:dyDescent="0.25">
      <c r="A4974" s="3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</row>
    <row r="4975" spans="1:15" ht="15" customHeight="1" x14ac:dyDescent="0.25">
      <c r="A4975" s="2"/>
      <c r="B4975" s="2"/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</row>
    <row r="4976" spans="1:15" ht="15" customHeight="1" x14ac:dyDescent="0.25">
      <c r="A4976" s="3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</row>
    <row r="4977" spans="1:15" ht="15" customHeight="1" x14ac:dyDescent="0.25">
      <c r="A4977" s="2"/>
      <c r="B4977" s="2"/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</row>
    <row r="4978" spans="1:15" ht="15" customHeight="1" x14ac:dyDescent="0.25">
      <c r="A4978" s="3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</row>
    <row r="4979" spans="1:15" ht="15" customHeight="1" x14ac:dyDescent="0.25">
      <c r="A4979" s="2"/>
      <c r="B4979" s="2"/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</row>
    <row r="4980" spans="1:15" ht="15" customHeight="1" x14ac:dyDescent="0.25">
      <c r="A4980" s="3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</row>
    <row r="4981" spans="1:15" ht="15" customHeight="1" x14ac:dyDescent="0.25">
      <c r="A4981" s="2"/>
      <c r="B4981" s="2"/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</row>
    <row r="4982" spans="1:15" ht="15" customHeight="1" x14ac:dyDescent="0.25">
      <c r="A4982" s="3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</row>
    <row r="4983" spans="1:15" ht="15" customHeight="1" x14ac:dyDescent="0.25">
      <c r="A4983" s="2"/>
      <c r="B4983" s="2"/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</row>
    <row r="4984" spans="1:15" ht="15" customHeight="1" x14ac:dyDescent="0.25">
      <c r="A4984" s="3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</row>
    <row r="4985" spans="1:15" ht="15" customHeight="1" x14ac:dyDescent="0.25">
      <c r="A4985" s="2"/>
      <c r="B4985" s="2"/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</row>
    <row r="4986" spans="1:15" ht="15" customHeight="1" x14ac:dyDescent="0.25">
      <c r="A4986" s="3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</row>
    <row r="4987" spans="1:15" ht="15" customHeight="1" x14ac:dyDescent="0.25">
      <c r="A4987" s="2"/>
      <c r="B4987" s="2"/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</row>
    <row r="4988" spans="1:15" ht="15" customHeight="1" x14ac:dyDescent="0.25">
      <c r="A4988" s="3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</row>
    <row r="4989" spans="1:15" ht="15" customHeight="1" x14ac:dyDescent="0.25">
      <c r="A4989" s="2"/>
      <c r="B4989" s="2"/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</row>
    <row r="4990" spans="1:15" ht="15" customHeight="1" x14ac:dyDescent="0.25">
      <c r="A4990" s="3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</row>
    <row r="4991" spans="1:15" ht="15" customHeight="1" x14ac:dyDescent="0.25">
      <c r="A4991" s="2"/>
      <c r="B4991" s="2"/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</row>
    <row r="4992" spans="1:15" ht="15" customHeight="1" x14ac:dyDescent="0.25">
      <c r="A4992" s="3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</row>
    <row r="4993" spans="1:15" ht="15" customHeight="1" x14ac:dyDescent="0.25">
      <c r="A4993" s="2"/>
      <c r="B4993" s="2"/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</row>
    <row r="4994" spans="1:15" ht="15" customHeight="1" x14ac:dyDescent="0.25">
      <c r="A4994" s="3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</row>
    <row r="4995" spans="1:15" ht="15" customHeight="1" x14ac:dyDescent="0.25">
      <c r="A4995" s="2"/>
      <c r="B4995" s="2"/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</row>
    <row r="4996" spans="1:15" ht="15" customHeight="1" x14ac:dyDescent="0.25">
      <c r="A4996" s="3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</row>
    <row r="4997" spans="1:15" ht="15" customHeight="1" x14ac:dyDescent="0.25">
      <c r="A4997" s="2"/>
      <c r="B4997" s="2"/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</row>
    <row r="4998" spans="1:15" ht="15" customHeight="1" x14ac:dyDescent="0.25">
      <c r="A4998" s="3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</row>
    <row r="4999" spans="1:15" ht="15" customHeight="1" x14ac:dyDescent="0.25">
      <c r="A4999" s="2"/>
      <c r="B4999" s="2"/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</row>
    <row r="5000" spans="1:15" ht="15" customHeight="1" x14ac:dyDescent="0.25">
      <c r="A5000" s="3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</row>
    <row r="5001" spans="1:15" ht="15" customHeight="1" x14ac:dyDescent="0.25">
      <c r="A5001" s="2"/>
      <c r="B5001" s="2"/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</row>
    <row r="5002" spans="1:15" ht="15" customHeight="1" x14ac:dyDescent="0.25">
      <c r="A5002" s="3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</row>
    <row r="5003" spans="1:15" ht="15" customHeight="1" x14ac:dyDescent="0.25">
      <c r="A5003" s="2"/>
      <c r="B5003" s="2"/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</row>
    <row r="5004" spans="1:15" ht="15" customHeight="1" x14ac:dyDescent="0.25">
      <c r="A5004" s="3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</row>
    <row r="5005" spans="1:15" ht="15" customHeight="1" x14ac:dyDescent="0.25">
      <c r="A5005" s="2"/>
      <c r="B5005" s="2"/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</row>
    <row r="5006" spans="1:15" ht="15" customHeight="1" x14ac:dyDescent="0.25">
      <c r="A5006" s="3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</row>
    <row r="5007" spans="1:15" ht="15" customHeight="1" x14ac:dyDescent="0.25">
      <c r="A5007" s="2"/>
      <c r="B5007" s="2"/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</row>
    <row r="5008" spans="1:15" ht="15" customHeight="1" x14ac:dyDescent="0.25">
      <c r="A5008" s="3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</row>
    <row r="5009" spans="1:15" ht="15" customHeight="1" x14ac:dyDescent="0.25">
      <c r="A5009" s="2"/>
      <c r="B5009" s="2"/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</row>
    <row r="5010" spans="1:15" ht="15" customHeight="1" x14ac:dyDescent="0.25">
      <c r="A5010" s="3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</row>
    <row r="5011" spans="1:15" ht="15" customHeight="1" x14ac:dyDescent="0.25">
      <c r="A5011" s="2"/>
      <c r="B5011" s="2"/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</row>
    <row r="5012" spans="1:15" ht="15" customHeight="1" x14ac:dyDescent="0.25">
      <c r="A5012" s="3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</row>
    <row r="5013" spans="1:15" ht="15" customHeight="1" x14ac:dyDescent="0.25">
      <c r="A5013" s="2"/>
      <c r="B5013" s="2"/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</row>
    <row r="5014" spans="1:15" ht="15" customHeight="1" x14ac:dyDescent="0.25">
      <c r="A5014" s="3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</row>
    <row r="5015" spans="1:15" ht="15" customHeight="1" x14ac:dyDescent="0.25">
      <c r="A5015" s="2"/>
      <c r="B5015" s="2"/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</row>
    <row r="5016" spans="1:15" ht="15" customHeight="1" x14ac:dyDescent="0.25">
      <c r="A5016" s="3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</row>
    <row r="5017" spans="1:15" ht="15" customHeight="1" x14ac:dyDescent="0.25">
      <c r="A5017" s="2"/>
      <c r="B5017" s="2"/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</row>
    <row r="5018" spans="1:15" ht="15" customHeight="1" x14ac:dyDescent="0.25">
      <c r="A5018" s="3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</row>
    <row r="5019" spans="1:15" ht="15" customHeight="1" x14ac:dyDescent="0.25">
      <c r="A5019" s="2"/>
      <c r="B5019" s="2"/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</row>
    <row r="5020" spans="1:15" ht="15" customHeight="1" x14ac:dyDescent="0.25">
      <c r="A5020" s="3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</row>
    <row r="5021" spans="1:15" ht="15" customHeight="1" x14ac:dyDescent="0.25">
      <c r="A5021" s="2"/>
      <c r="B5021" s="2"/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</row>
    <row r="5022" spans="1:15" ht="15" customHeight="1" x14ac:dyDescent="0.25">
      <c r="A5022" s="3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</row>
    <row r="5023" spans="1:15" ht="15" customHeight="1" x14ac:dyDescent="0.25">
      <c r="A5023" s="2"/>
      <c r="B5023" s="2"/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</row>
    <row r="5024" spans="1:15" ht="15" customHeight="1" x14ac:dyDescent="0.25">
      <c r="A5024" s="3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</row>
    <row r="5025" spans="1:15" ht="15" customHeight="1" x14ac:dyDescent="0.25">
      <c r="A5025" s="2"/>
      <c r="B5025" s="2"/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</row>
    <row r="5026" spans="1:15" ht="15" customHeight="1" x14ac:dyDescent="0.25">
      <c r="A5026" s="3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</row>
    <row r="5027" spans="1:15" ht="15" customHeight="1" x14ac:dyDescent="0.25">
      <c r="A5027" s="2"/>
      <c r="B5027" s="2"/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</row>
    <row r="5028" spans="1:15" ht="15" customHeight="1" x14ac:dyDescent="0.25">
      <c r="A5028" s="3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</row>
    <row r="5029" spans="1:15" ht="15" customHeight="1" x14ac:dyDescent="0.25">
      <c r="A5029" s="2"/>
      <c r="B5029" s="2"/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</row>
    <row r="5030" spans="1:15" ht="15" customHeight="1" x14ac:dyDescent="0.25">
      <c r="A5030" s="3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</row>
    <row r="5031" spans="1:15" ht="15" customHeight="1" x14ac:dyDescent="0.25">
      <c r="A5031" s="2"/>
      <c r="B5031" s="2"/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</row>
    <row r="5032" spans="1:15" ht="15" customHeight="1" x14ac:dyDescent="0.25">
      <c r="A5032" s="3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</row>
    <row r="5033" spans="1:15" ht="15" customHeight="1" x14ac:dyDescent="0.25">
      <c r="A5033" s="2"/>
      <c r="B5033" s="2"/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</row>
    <row r="5034" spans="1:15" ht="15" customHeight="1" x14ac:dyDescent="0.25">
      <c r="A5034" s="3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</row>
    <row r="5035" spans="1:15" ht="15" customHeight="1" x14ac:dyDescent="0.25">
      <c r="A5035" s="2"/>
      <c r="B5035" s="2"/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</row>
    <row r="5036" spans="1:15" ht="15" customHeight="1" x14ac:dyDescent="0.25">
      <c r="A5036" s="3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</row>
    <row r="5037" spans="1:15" ht="15" customHeight="1" x14ac:dyDescent="0.25">
      <c r="A5037" s="2"/>
      <c r="B5037" s="2"/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</row>
    <row r="5038" spans="1:15" ht="15" customHeight="1" x14ac:dyDescent="0.25">
      <c r="A5038" s="3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</row>
    <row r="5039" spans="1:15" ht="15" customHeight="1" x14ac:dyDescent="0.25">
      <c r="A5039" s="2"/>
      <c r="B5039" s="2"/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</row>
    <row r="5040" spans="1:15" ht="15" customHeight="1" x14ac:dyDescent="0.25">
      <c r="A5040" s="3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</row>
    <row r="5041" spans="1:15" ht="15" customHeight="1" x14ac:dyDescent="0.25">
      <c r="A5041" s="2"/>
      <c r="B5041" s="2"/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</row>
    <row r="5042" spans="1:15" ht="15" customHeight="1" x14ac:dyDescent="0.25">
      <c r="A5042" s="3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</row>
    <row r="5043" spans="1:15" ht="15" customHeight="1" x14ac:dyDescent="0.25">
      <c r="A5043" s="2"/>
      <c r="B5043" s="2"/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</row>
    <row r="5044" spans="1:15" ht="15" customHeight="1" x14ac:dyDescent="0.25">
      <c r="A5044" s="3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</row>
    <row r="5045" spans="1:15" ht="15" customHeight="1" x14ac:dyDescent="0.25">
      <c r="A5045" s="2"/>
      <c r="B5045" s="2"/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</row>
    <row r="5046" spans="1:15" ht="15" customHeight="1" x14ac:dyDescent="0.25">
      <c r="A5046" s="3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</row>
    <row r="5047" spans="1:15" ht="15" customHeight="1" x14ac:dyDescent="0.25">
      <c r="A5047" s="2"/>
      <c r="B5047" s="2"/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</row>
    <row r="5048" spans="1:15" ht="15" customHeight="1" x14ac:dyDescent="0.25">
      <c r="A5048" s="3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</row>
    <row r="5049" spans="1:15" ht="15" customHeight="1" x14ac:dyDescent="0.25">
      <c r="A5049" s="2"/>
      <c r="B5049" s="2"/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</row>
    <row r="5050" spans="1:15" ht="15" customHeight="1" x14ac:dyDescent="0.25">
      <c r="A5050" s="3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</row>
    <row r="5051" spans="1:15" ht="15" customHeight="1" x14ac:dyDescent="0.25">
      <c r="A5051" s="2"/>
      <c r="B5051" s="2"/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</row>
    <row r="5052" spans="1:15" ht="15" customHeight="1" x14ac:dyDescent="0.25">
      <c r="A5052" s="3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</row>
    <row r="5053" spans="1:15" ht="15" customHeight="1" x14ac:dyDescent="0.25">
      <c r="A5053" s="2"/>
      <c r="B5053" s="2"/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</row>
    <row r="5054" spans="1:15" ht="15" customHeight="1" x14ac:dyDescent="0.25">
      <c r="A5054" s="3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</row>
    <row r="5055" spans="1:15" ht="15" customHeight="1" x14ac:dyDescent="0.25">
      <c r="A5055" s="2"/>
      <c r="B5055" s="2"/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</row>
    <row r="5056" spans="1:15" ht="15" customHeight="1" x14ac:dyDescent="0.25">
      <c r="A5056" s="3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</row>
    <row r="5057" spans="1:15" ht="15" customHeight="1" x14ac:dyDescent="0.25">
      <c r="A5057" s="2"/>
      <c r="B5057" s="2"/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</row>
    <row r="5058" spans="1:15" ht="15" customHeight="1" x14ac:dyDescent="0.25">
      <c r="A5058" s="3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</row>
    <row r="5059" spans="1:15" ht="15" customHeight="1" x14ac:dyDescent="0.25">
      <c r="A5059" s="2"/>
      <c r="B5059" s="2"/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</row>
    <row r="5060" spans="1:15" ht="15" customHeight="1" x14ac:dyDescent="0.25">
      <c r="A5060" s="3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</row>
    <row r="5061" spans="1:15" ht="15" customHeight="1" x14ac:dyDescent="0.25">
      <c r="A5061" s="2"/>
      <c r="B5061" s="2"/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</row>
    <row r="5062" spans="1:15" ht="15" customHeight="1" x14ac:dyDescent="0.25">
      <c r="A5062" s="3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</row>
    <row r="5063" spans="1:15" ht="15" customHeight="1" x14ac:dyDescent="0.25">
      <c r="A5063" s="2"/>
      <c r="B5063" s="2"/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</row>
    <row r="5064" spans="1:15" ht="15" customHeight="1" x14ac:dyDescent="0.25">
      <c r="A5064" s="3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</row>
    <row r="5065" spans="1:15" ht="15" customHeight="1" x14ac:dyDescent="0.25">
      <c r="A5065" s="2"/>
      <c r="B5065" s="2"/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</row>
    <row r="5066" spans="1:15" ht="15" customHeight="1" x14ac:dyDescent="0.25">
      <c r="A5066" s="3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</row>
    <row r="5067" spans="1:15" ht="15" customHeight="1" x14ac:dyDescent="0.25">
      <c r="A5067" s="2"/>
      <c r="B5067" s="2"/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</row>
    <row r="5068" spans="1:15" ht="15" customHeight="1" x14ac:dyDescent="0.25">
      <c r="A5068" s="3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</row>
    <row r="5069" spans="1:15" ht="15" customHeight="1" x14ac:dyDescent="0.25">
      <c r="A5069" s="2"/>
      <c r="B5069" s="2"/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</row>
    <row r="5070" spans="1:15" ht="15" customHeight="1" x14ac:dyDescent="0.25">
      <c r="A5070" s="3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</row>
    <row r="5071" spans="1:15" ht="15" customHeight="1" x14ac:dyDescent="0.25">
      <c r="A5071" s="2"/>
      <c r="B5071" s="2"/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</row>
    <row r="5072" spans="1:15" ht="15" customHeight="1" x14ac:dyDescent="0.25">
      <c r="A5072" s="3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</row>
    <row r="5073" spans="1:15" ht="15" customHeight="1" x14ac:dyDescent="0.25">
      <c r="A5073" s="2"/>
      <c r="B5073" s="2"/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</row>
    <row r="5074" spans="1:15" ht="15" customHeight="1" x14ac:dyDescent="0.25">
      <c r="A5074" s="3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</row>
    <row r="5075" spans="1:15" ht="15" customHeight="1" x14ac:dyDescent="0.25">
      <c r="A5075" s="2"/>
      <c r="B5075" s="2"/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</row>
    <row r="5076" spans="1:15" ht="15" customHeight="1" x14ac:dyDescent="0.25">
      <c r="A5076" s="3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</row>
    <row r="5077" spans="1:15" ht="15" customHeight="1" x14ac:dyDescent="0.25">
      <c r="A5077" s="2"/>
      <c r="B5077" s="2"/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</row>
    <row r="5078" spans="1:15" ht="15" customHeight="1" x14ac:dyDescent="0.25">
      <c r="A5078" s="3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</row>
    <row r="5079" spans="1:15" ht="15" customHeight="1" x14ac:dyDescent="0.25">
      <c r="A5079" s="2"/>
      <c r="B5079" s="2"/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</row>
    <row r="5080" spans="1:15" ht="15" customHeight="1" x14ac:dyDescent="0.25">
      <c r="A5080" s="3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</row>
    <row r="5081" spans="1:15" ht="15" customHeight="1" x14ac:dyDescent="0.25">
      <c r="A5081" s="2"/>
      <c r="B5081" s="2"/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</row>
    <row r="5082" spans="1:15" ht="15" customHeight="1" x14ac:dyDescent="0.25">
      <c r="A5082" s="3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</row>
    <row r="5083" spans="1:15" ht="15" customHeight="1" x14ac:dyDescent="0.25">
      <c r="A5083" s="2"/>
      <c r="B5083" s="2"/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</row>
    <row r="5084" spans="1:15" ht="15" customHeight="1" x14ac:dyDescent="0.25">
      <c r="A5084" s="3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</row>
    <row r="5085" spans="1:15" ht="15" customHeight="1" x14ac:dyDescent="0.25">
      <c r="A5085" s="2"/>
      <c r="B5085" s="2"/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</row>
    <row r="5086" spans="1:15" ht="15" customHeight="1" x14ac:dyDescent="0.25">
      <c r="A5086" s="3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</row>
    <row r="5087" spans="1:15" ht="15" customHeight="1" x14ac:dyDescent="0.25">
      <c r="A5087" s="2"/>
      <c r="B5087" s="2"/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</row>
    <row r="5088" spans="1:15" ht="15" customHeight="1" x14ac:dyDescent="0.25">
      <c r="A5088" s="3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</row>
    <row r="5089" spans="1:15" ht="15" customHeight="1" x14ac:dyDescent="0.25">
      <c r="A5089" s="2"/>
      <c r="B5089" s="2"/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</row>
    <row r="5090" spans="1:15" ht="15" customHeight="1" x14ac:dyDescent="0.25">
      <c r="A5090" s="3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</row>
    <row r="5091" spans="1:15" ht="15" customHeight="1" x14ac:dyDescent="0.25">
      <c r="A5091" s="2"/>
      <c r="B5091" s="2"/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</row>
    <row r="5092" spans="1:15" ht="15" customHeight="1" x14ac:dyDescent="0.25">
      <c r="A5092" s="3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</row>
    <row r="5093" spans="1:15" ht="15" customHeight="1" x14ac:dyDescent="0.25">
      <c r="A5093" s="2"/>
      <c r="B5093" s="2"/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</row>
    <row r="5094" spans="1:15" ht="15" customHeight="1" x14ac:dyDescent="0.25">
      <c r="A5094" s="3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</row>
    <row r="5095" spans="1:15" ht="15" customHeight="1" x14ac:dyDescent="0.25">
      <c r="A5095" s="2"/>
      <c r="B5095" s="2"/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</row>
    <row r="5096" spans="1:15" ht="15" customHeight="1" x14ac:dyDescent="0.25">
      <c r="A5096" s="3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</row>
    <row r="5097" spans="1:15" ht="15" customHeight="1" x14ac:dyDescent="0.25">
      <c r="A5097" s="2"/>
      <c r="B5097" s="2"/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</row>
    <row r="5098" spans="1:15" ht="15" customHeight="1" x14ac:dyDescent="0.25">
      <c r="A5098" s="3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</row>
    <row r="5099" spans="1:15" ht="15" customHeight="1" x14ac:dyDescent="0.25">
      <c r="A5099" s="2"/>
      <c r="B5099" s="2"/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</row>
    <row r="5100" spans="1:15" ht="15" customHeight="1" x14ac:dyDescent="0.25">
      <c r="A5100" s="3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</row>
    <row r="5101" spans="1:15" ht="15" customHeight="1" x14ac:dyDescent="0.25">
      <c r="A5101" s="2"/>
      <c r="B5101" s="2"/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</row>
    <row r="5102" spans="1:15" ht="15" customHeight="1" x14ac:dyDescent="0.25">
      <c r="A5102" s="3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</row>
    <row r="5103" spans="1:15" ht="15" customHeight="1" x14ac:dyDescent="0.25">
      <c r="A5103" s="2"/>
      <c r="B5103" s="2"/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</row>
    <row r="5104" spans="1:15" ht="15" customHeight="1" x14ac:dyDescent="0.25">
      <c r="A5104" s="3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</row>
    <row r="5105" spans="1:15" ht="15" customHeight="1" x14ac:dyDescent="0.25">
      <c r="A5105" s="2"/>
      <c r="B5105" s="2"/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</row>
    <row r="5106" spans="1:15" ht="15" customHeight="1" x14ac:dyDescent="0.25">
      <c r="A5106" s="3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</row>
    <row r="5107" spans="1:15" ht="15" customHeight="1" x14ac:dyDescent="0.25">
      <c r="A5107" s="2"/>
      <c r="B5107" s="2"/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</row>
    <row r="5108" spans="1:15" ht="15" customHeight="1" x14ac:dyDescent="0.25">
      <c r="A5108" s="3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</row>
    <row r="5109" spans="1:15" ht="15" customHeight="1" x14ac:dyDescent="0.25">
      <c r="A5109" s="2"/>
      <c r="B5109" s="2"/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</row>
    <row r="5110" spans="1:15" ht="15" customHeight="1" x14ac:dyDescent="0.25">
      <c r="A5110" s="3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</row>
    <row r="5111" spans="1:15" ht="15" customHeight="1" x14ac:dyDescent="0.25">
      <c r="A5111" s="2"/>
      <c r="B5111" s="2"/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</row>
    <row r="5112" spans="1:15" ht="15" customHeight="1" x14ac:dyDescent="0.25">
      <c r="A5112" s="3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</row>
    <row r="5113" spans="1:15" ht="15" customHeight="1" x14ac:dyDescent="0.25">
      <c r="A5113" s="2"/>
      <c r="B5113" s="2"/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</row>
    <row r="5114" spans="1:15" ht="15" customHeight="1" x14ac:dyDescent="0.25">
      <c r="A5114" s="3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</row>
    <row r="5115" spans="1:15" ht="15" customHeight="1" x14ac:dyDescent="0.25">
      <c r="A5115" s="2"/>
      <c r="B5115" s="2"/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</row>
    <row r="5116" spans="1:15" ht="15" customHeight="1" x14ac:dyDescent="0.25">
      <c r="A5116" s="3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</row>
    <row r="5117" spans="1:15" ht="15" customHeight="1" x14ac:dyDescent="0.25">
      <c r="A5117" s="2"/>
      <c r="B5117" s="2"/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</row>
    <row r="5118" spans="1:15" ht="15" customHeight="1" x14ac:dyDescent="0.25">
      <c r="A5118" s="3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</row>
    <row r="5119" spans="1:15" ht="15" customHeight="1" x14ac:dyDescent="0.25">
      <c r="A5119" s="2"/>
      <c r="B5119" s="2"/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</row>
    <row r="5120" spans="1:15" ht="15" customHeight="1" x14ac:dyDescent="0.25">
      <c r="A5120" s="3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</row>
    <row r="5121" spans="1:15" ht="15" customHeight="1" x14ac:dyDescent="0.25">
      <c r="A5121" s="2"/>
      <c r="B5121" s="2"/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</row>
    <row r="5122" spans="1:15" ht="15" customHeight="1" x14ac:dyDescent="0.25">
      <c r="A5122" s="3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</row>
    <row r="5123" spans="1:15" ht="15" customHeight="1" x14ac:dyDescent="0.25">
      <c r="A5123" s="2"/>
      <c r="B5123" s="2"/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</row>
    <row r="5124" spans="1:15" ht="15" customHeight="1" x14ac:dyDescent="0.25">
      <c r="A5124" s="3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</row>
    <row r="5125" spans="1:15" ht="15" customHeight="1" x14ac:dyDescent="0.25">
      <c r="A5125" s="2"/>
      <c r="B5125" s="2"/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</row>
    <row r="5126" spans="1:15" ht="15" customHeight="1" x14ac:dyDescent="0.25">
      <c r="A5126" s="3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</row>
    <row r="5127" spans="1:15" ht="15" customHeight="1" x14ac:dyDescent="0.25">
      <c r="A5127" s="2"/>
      <c r="B5127" s="2"/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</row>
    <row r="5128" spans="1:15" ht="15" customHeight="1" x14ac:dyDescent="0.25">
      <c r="A5128" s="3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</row>
    <row r="5129" spans="1:15" ht="15" customHeight="1" x14ac:dyDescent="0.25">
      <c r="A5129" s="2"/>
      <c r="B5129" s="2"/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</row>
    <row r="5130" spans="1:15" ht="15" customHeight="1" x14ac:dyDescent="0.25">
      <c r="A5130" s="3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</row>
    <row r="5131" spans="1:15" ht="15" customHeight="1" x14ac:dyDescent="0.25">
      <c r="A5131" s="2"/>
      <c r="B5131" s="2"/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</row>
    <row r="5132" spans="1:15" ht="15" customHeight="1" x14ac:dyDescent="0.25">
      <c r="A5132" s="3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</row>
    <row r="5133" spans="1:15" ht="15" customHeight="1" x14ac:dyDescent="0.25">
      <c r="A5133" s="2"/>
      <c r="B5133" s="2"/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</row>
    <row r="5134" spans="1:15" ht="15" customHeight="1" x14ac:dyDescent="0.25">
      <c r="A5134" s="3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</row>
    <row r="5135" spans="1:15" ht="15" customHeight="1" x14ac:dyDescent="0.25">
      <c r="A5135" s="2"/>
      <c r="B5135" s="2"/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</row>
    <row r="5136" spans="1:15" ht="15" customHeight="1" x14ac:dyDescent="0.25">
      <c r="A5136" s="3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</row>
    <row r="5137" spans="1:15" ht="15" customHeight="1" x14ac:dyDescent="0.25">
      <c r="A5137" s="2"/>
      <c r="B5137" s="2"/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</row>
    <row r="5138" spans="1:15" ht="15" customHeight="1" x14ac:dyDescent="0.25">
      <c r="A5138" s="3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</row>
    <row r="5139" spans="1:15" ht="15" customHeight="1" x14ac:dyDescent="0.25">
      <c r="A5139" s="2"/>
      <c r="B5139" s="2"/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</row>
    <row r="5140" spans="1:15" ht="15" customHeight="1" x14ac:dyDescent="0.25">
      <c r="A5140" s="3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</row>
    <row r="5141" spans="1:15" ht="15" customHeight="1" x14ac:dyDescent="0.25">
      <c r="A5141" s="2"/>
      <c r="B5141" s="2"/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</row>
    <row r="5142" spans="1:15" ht="15" customHeight="1" x14ac:dyDescent="0.25">
      <c r="A5142" s="3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</row>
    <row r="5143" spans="1:15" ht="15" customHeight="1" x14ac:dyDescent="0.25">
      <c r="A5143" s="2"/>
      <c r="B5143" s="2"/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</row>
    <row r="5144" spans="1:15" ht="15" customHeight="1" x14ac:dyDescent="0.25">
      <c r="A5144" s="3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</row>
    <row r="5145" spans="1:15" ht="15" customHeight="1" x14ac:dyDescent="0.25">
      <c r="A5145" s="2"/>
      <c r="B5145" s="2"/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</row>
    <row r="5146" spans="1:15" ht="15" customHeight="1" x14ac:dyDescent="0.25">
      <c r="A5146" s="3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</row>
    <row r="5147" spans="1:15" ht="15" customHeight="1" x14ac:dyDescent="0.25">
      <c r="A5147" s="2"/>
      <c r="B5147" s="2"/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</row>
    <row r="5148" spans="1:15" ht="15" customHeight="1" x14ac:dyDescent="0.25">
      <c r="A5148" s="3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</row>
    <row r="5149" spans="1:15" ht="15" customHeight="1" x14ac:dyDescent="0.25">
      <c r="A5149" s="2"/>
      <c r="B5149" s="2"/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</row>
    <row r="5150" spans="1:15" ht="15" customHeight="1" x14ac:dyDescent="0.25">
      <c r="A5150" s="3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</row>
    <row r="5151" spans="1:15" ht="15" customHeight="1" x14ac:dyDescent="0.25">
      <c r="A5151" s="2"/>
      <c r="B5151" s="2"/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</row>
    <row r="5152" spans="1:15" ht="15" customHeight="1" x14ac:dyDescent="0.25">
      <c r="A5152" s="3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</row>
    <row r="5153" spans="1:15" ht="15" customHeight="1" x14ac:dyDescent="0.25">
      <c r="A5153" s="2"/>
      <c r="B5153" s="2"/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</row>
    <row r="5154" spans="1:15" ht="15" customHeight="1" x14ac:dyDescent="0.25">
      <c r="A5154" s="3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</row>
    <row r="5155" spans="1:15" ht="15" customHeight="1" x14ac:dyDescent="0.25">
      <c r="A5155" s="2"/>
      <c r="B5155" s="2"/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</row>
    <row r="5156" spans="1:15" ht="15" customHeight="1" x14ac:dyDescent="0.25">
      <c r="A5156" s="3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</row>
    <row r="5157" spans="1:15" ht="15" customHeight="1" x14ac:dyDescent="0.25">
      <c r="A5157" s="2"/>
      <c r="B5157" s="2"/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</row>
    <row r="5158" spans="1:15" ht="15" customHeight="1" x14ac:dyDescent="0.25">
      <c r="A5158" s="3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</row>
    <row r="5159" spans="1:15" ht="15" customHeight="1" x14ac:dyDescent="0.25">
      <c r="A5159" s="2"/>
      <c r="B5159" s="2"/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</row>
    <row r="5160" spans="1:15" ht="15" customHeight="1" x14ac:dyDescent="0.25">
      <c r="A5160" s="3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</row>
    <row r="5161" spans="1:15" ht="15" customHeight="1" x14ac:dyDescent="0.25">
      <c r="A5161" s="2"/>
      <c r="B5161" s="2"/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</row>
    <row r="5162" spans="1:15" ht="15" customHeight="1" x14ac:dyDescent="0.25">
      <c r="A5162" s="3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</row>
    <row r="5163" spans="1:15" ht="15" customHeight="1" x14ac:dyDescent="0.25">
      <c r="A5163" s="2"/>
      <c r="B5163" s="2"/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</row>
    <row r="5164" spans="1:15" ht="15" customHeight="1" x14ac:dyDescent="0.25">
      <c r="A5164" s="3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</row>
    <row r="5165" spans="1:15" ht="15" customHeight="1" x14ac:dyDescent="0.25">
      <c r="A5165" s="2"/>
      <c r="B5165" s="2"/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</row>
    <row r="5166" spans="1:15" ht="15" customHeight="1" x14ac:dyDescent="0.25">
      <c r="A5166" s="3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</row>
    <row r="5167" spans="1:15" ht="15" customHeight="1" x14ac:dyDescent="0.25">
      <c r="A5167" s="2"/>
      <c r="B5167" s="2"/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</row>
    <row r="5168" spans="1:15" ht="15" customHeight="1" x14ac:dyDescent="0.25">
      <c r="A5168" s="3"/>
      <c r="B5168" s="3"/>
      <c r="C5168" s="3"/>
      <c r="D5168" s="3"/>
      <c r="E5168" s="3"/>
      <c r="F5168" s="3"/>
      <c r="G5168" s="3"/>
      <c r="H5168" s="3"/>
      <c r="I5168" s="3"/>
      <c r="J5168" s="3"/>
      <c r="K5168" s="3"/>
      <c r="L5168" s="3"/>
      <c r="M5168" s="3"/>
      <c r="N5168" s="3"/>
      <c r="O5168" s="3"/>
    </row>
    <row r="5169" spans="1:15" ht="15" customHeight="1" x14ac:dyDescent="0.25">
      <c r="A5169" s="2"/>
      <c r="B5169" s="2"/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</row>
    <row r="5170" spans="1:15" ht="15" customHeight="1" x14ac:dyDescent="0.25">
      <c r="A5170" s="3"/>
      <c r="B5170" s="3"/>
      <c r="C5170" s="3"/>
      <c r="D5170" s="3"/>
      <c r="E5170" s="3"/>
      <c r="F5170" s="3"/>
      <c r="G5170" s="3"/>
      <c r="H5170" s="3"/>
      <c r="I5170" s="3"/>
      <c r="J5170" s="3"/>
      <c r="K5170" s="3"/>
      <c r="L5170" s="3"/>
      <c r="M5170" s="3"/>
      <c r="N5170" s="3"/>
      <c r="O5170" s="3"/>
    </row>
    <row r="5171" spans="1:15" ht="15" customHeight="1" x14ac:dyDescent="0.25">
      <c r="A5171" s="2"/>
      <c r="B5171" s="2"/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</row>
    <row r="5172" spans="1:15" ht="15" customHeight="1" x14ac:dyDescent="0.25">
      <c r="A5172" s="3"/>
      <c r="B5172" s="3"/>
      <c r="C5172" s="3"/>
      <c r="D5172" s="3"/>
      <c r="E5172" s="3"/>
      <c r="F5172" s="3"/>
      <c r="G5172" s="3"/>
      <c r="H5172" s="3"/>
      <c r="I5172" s="3"/>
      <c r="J5172" s="3"/>
      <c r="K5172" s="3"/>
      <c r="L5172" s="3"/>
      <c r="M5172" s="3"/>
      <c r="N5172" s="3"/>
      <c r="O5172" s="3"/>
    </row>
    <row r="5173" spans="1:15" ht="15" customHeight="1" x14ac:dyDescent="0.25">
      <c r="A5173" s="2"/>
      <c r="B5173" s="2"/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</row>
    <row r="5174" spans="1:15" ht="15" customHeight="1" x14ac:dyDescent="0.25">
      <c r="A5174" s="3"/>
      <c r="B5174" s="3"/>
      <c r="C5174" s="3"/>
      <c r="D5174" s="3"/>
      <c r="E5174" s="3"/>
      <c r="F5174" s="3"/>
      <c r="G5174" s="3"/>
      <c r="H5174" s="3"/>
      <c r="I5174" s="3"/>
      <c r="J5174" s="3"/>
      <c r="K5174" s="3"/>
      <c r="L5174" s="3"/>
      <c r="M5174" s="3"/>
      <c r="N5174" s="3"/>
      <c r="O5174" s="3"/>
    </row>
    <row r="5175" spans="1:15" ht="15" customHeight="1" x14ac:dyDescent="0.25">
      <c r="A5175" s="2"/>
      <c r="B5175" s="2"/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</row>
    <row r="5176" spans="1:15" ht="15" customHeight="1" x14ac:dyDescent="0.25">
      <c r="A5176" s="3"/>
      <c r="B5176" s="3"/>
      <c r="C5176" s="3"/>
      <c r="D5176" s="3"/>
      <c r="E5176" s="3"/>
      <c r="F5176" s="3"/>
      <c r="G5176" s="3"/>
      <c r="H5176" s="3"/>
      <c r="I5176" s="3"/>
      <c r="J5176" s="3"/>
      <c r="K5176" s="3"/>
      <c r="L5176" s="3"/>
      <c r="M5176" s="3"/>
      <c r="N5176" s="3"/>
      <c r="O5176" s="3"/>
    </row>
    <row r="5177" spans="1:15" ht="15" customHeight="1" x14ac:dyDescent="0.25">
      <c r="A5177" s="2"/>
      <c r="B5177" s="2"/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</row>
    <row r="5178" spans="1:15" ht="15" customHeight="1" x14ac:dyDescent="0.25">
      <c r="A5178" s="3"/>
      <c r="B5178" s="3"/>
      <c r="C5178" s="3"/>
      <c r="D5178" s="3"/>
      <c r="E5178" s="3"/>
      <c r="F5178" s="3"/>
      <c r="G5178" s="3"/>
      <c r="H5178" s="3"/>
      <c r="I5178" s="3"/>
      <c r="J5178" s="3"/>
      <c r="K5178" s="3"/>
      <c r="L5178" s="3"/>
      <c r="M5178" s="3"/>
      <c r="N5178" s="3"/>
      <c r="O5178" s="3"/>
    </row>
    <row r="5179" spans="1:15" ht="15" customHeight="1" x14ac:dyDescent="0.25">
      <c r="A5179" s="2"/>
      <c r="B5179" s="2"/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</row>
    <row r="5180" spans="1:15" ht="15" customHeight="1" x14ac:dyDescent="0.25">
      <c r="A5180" s="3"/>
      <c r="B5180" s="3"/>
      <c r="C5180" s="3"/>
      <c r="D5180" s="3"/>
      <c r="E5180" s="3"/>
      <c r="F5180" s="3"/>
      <c r="G5180" s="3"/>
      <c r="H5180" s="3"/>
      <c r="I5180" s="3"/>
      <c r="J5180" s="3"/>
      <c r="K5180" s="3"/>
      <c r="L5180" s="3"/>
      <c r="M5180" s="3"/>
      <c r="N5180" s="3"/>
      <c r="O5180" s="3"/>
    </row>
    <row r="5181" spans="1:15" ht="15" customHeight="1" x14ac:dyDescent="0.25">
      <c r="A5181" s="2"/>
      <c r="B5181" s="2"/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</row>
    <row r="5182" spans="1:15" ht="15" customHeight="1" x14ac:dyDescent="0.25">
      <c r="A5182" s="3"/>
      <c r="B5182" s="3"/>
      <c r="C5182" s="3"/>
      <c r="D5182" s="3"/>
      <c r="E5182" s="3"/>
      <c r="F5182" s="3"/>
      <c r="G5182" s="3"/>
      <c r="H5182" s="3"/>
      <c r="I5182" s="3"/>
      <c r="J5182" s="3"/>
      <c r="K5182" s="3"/>
      <c r="L5182" s="3"/>
      <c r="M5182" s="3"/>
      <c r="N5182" s="3"/>
      <c r="O5182" s="3"/>
    </row>
    <row r="5183" spans="1:15" ht="15" customHeight="1" x14ac:dyDescent="0.25">
      <c r="A5183" s="2"/>
      <c r="B5183" s="2"/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</row>
    <row r="5184" spans="1:15" ht="15" customHeight="1" x14ac:dyDescent="0.25">
      <c r="A5184" s="3"/>
      <c r="B5184" s="3"/>
      <c r="C5184" s="3"/>
      <c r="D5184" s="3"/>
      <c r="E5184" s="3"/>
      <c r="F5184" s="3"/>
      <c r="G5184" s="3"/>
      <c r="H5184" s="3"/>
      <c r="I5184" s="3"/>
      <c r="J5184" s="3"/>
      <c r="K5184" s="3"/>
      <c r="L5184" s="3"/>
      <c r="M5184" s="3"/>
      <c r="N5184" s="3"/>
      <c r="O5184" s="3"/>
    </row>
    <row r="5185" spans="1:15" ht="15" customHeight="1" x14ac:dyDescent="0.25">
      <c r="A5185" s="2"/>
      <c r="B5185" s="2"/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</row>
    <row r="5186" spans="1:15" ht="15" customHeight="1" x14ac:dyDescent="0.25">
      <c r="A5186" s="3"/>
      <c r="B5186" s="3"/>
      <c r="C5186" s="3"/>
      <c r="D5186" s="3"/>
      <c r="E5186" s="3"/>
      <c r="F5186" s="3"/>
      <c r="G5186" s="3"/>
      <c r="H5186" s="3"/>
      <c r="I5186" s="3"/>
      <c r="J5186" s="3"/>
      <c r="K5186" s="3"/>
      <c r="L5186" s="3"/>
      <c r="M5186" s="3"/>
      <c r="N5186" s="3"/>
      <c r="O5186" s="3"/>
    </row>
    <row r="5187" spans="1:15" ht="15" customHeight="1" x14ac:dyDescent="0.25">
      <c r="A5187" s="2"/>
      <c r="B5187" s="2"/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</row>
    <row r="5188" spans="1:15" ht="15" customHeight="1" x14ac:dyDescent="0.25">
      <c r="A5188" s="3"/>
      <c r="B5188" s="3"/>
      <c r="C5188" s="3"/>
      <c r="D5188" s="3"/>
      <c r="E5188" s="3"/>
      <c r="F5188" s="3"/>
      <c r="G5188" s="3"/>
      <c r="H5188" s="3"/>
      <c r="I5188" s="3"/>
      <c r="J5188" s="3"/>
      <c r="K5188" s="3"/>
      <c r="L5188" s="3"/>
      <c r="M5188" s="3"/>
      <c r="N5188" s="3"/>
      <c r="O5188" s="3"/>
    </row>
    <row r="5189" spans="1:15" ht="15" customHeight="1" x14ac:dyDescent="0.25">
      <c r="A5189" s="2"/>
      <c r="B5189" s="2"/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</row>
    <row r="5190" spans="1:15" ht="15" customHeight="1" x14ac:dyDescent="0.25">
      <c r="A5190" s="3"/>
      <c r="B5190" s="3"/>
      <c r="C5190" s="3"/>
      <c r="D5190" s="3"/>
      <c r="E5190" s="3"/>
      <c r="F5190" s="3"/>
      <c r="G5190" s="3"/>
      <c r="H5190" s="3"/>
      <c r="I5190" s="3"/>
      <c r="J5190" s="3"/>
      <c r="K5190" s="3"/>
      <c r="L5190" s="3"/>
      <c r="M5190" s="3"/>
      <c r="N5190" s="3"/>
      <c r="O5190" s="3"/>
    </row>
    <row r="5191" spans="1:15" ht="15" customHeight="1" x14ac:dyDescent="0.25">
      <c r="A5191" s="2"/>
      <c r="B5191" s="2"/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</row>
    <row r="5192" spans="1:15" ht="15" customHeight="1" x14ac:dyDescent="0.25">
      <c r="A5192" s="3"/>
      <c r="B5192" s="3"/>
      <c r="C5192" s="3"/>
      <c r="D5192" s="3"/>
      <c r="E5192" s="3"/>
      <c r="F5192" s="3"/>
      <c r="G5192" s="3"/>
      <c r="H5192" s="3"/>
      <c r="I5192" s="3"/>
      <c r="J5192" s="3"/>
      <c r="K5192" s="3"/>
      <c r="L5192" s="3"/>
      <c r="M5192" s="3"/>
      <c r="N5192" s="3"/>
      <c r="O5192" s="3"/>
    </row>
    <row r="5193" spans="1:15" ht="15" customHeight="1" x14ac:dyDescent="0.25">
      <c r="A5193" s="2"/>
      <c r="B5193" s="2"/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</row>
    <row r="5194" spans="1:15" ht="15" customHeight="1" x14ac:dyDescent="0.25">
      <c r="A5194" s="3"/>
      <c r="B5194" s="3"/>
      <c r="C5194" s="3"/>
      <c r="D5194" s="3"/>
      <c r="E5194" s="3"/>
      <c r="F5194" s="3"/>
      <c r="G5194" s="3"/>
      <c r="H5194" s="3"/>
      <c r="I5194" s="3"/>
      <c r="J5194" s="3"/>
      <c r="K5194" s="3"/>
      <c r="L5194" s="3"/>
      <c r="M5194" s="3"/>
      <c r="N5194" s="3"/>
      <c r="O5194" s="3"/>
    </row>
    <row r="5195" spans="1:15" ht="15" customHeight="1" x14ac:dyDescent="0.25">
      <c r="A5195" s="2"/>
      <c r="B5195" s="2"/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</row>
    <row r="5196" spans="1:15" ht="15" customHeight="1" x14ac:dyDescent="0.25">
      <c r="A5196" s="3"/>
      <c r="B5196" s="3"/>
      <c r="C5196" s="3"/>
      <c r="D5196" s="3"/>
      <c r="E5196" s="3"/>
      <c r="F5196" s="3"/>
      <c r="G5196" s="3"/>
      <c r="H5196" s="3"/>
      <c r="I5196" s="3"/>
      <c r="J5196" s="3"/>
      <c r="K5196" s="3"/>
      <c r="L5196" s="3"/>
      <c r="M5196" s="3"/>
      <c r="N5196" s="3"/>
      <c r="O5196" s="3"/>
    </row>
    <row r="5197" spans="1:15" ht="15" customHeight="1" x14ac:dyDescent="0.25">
      <c r="A5197" s="2"/>
      <c r="B5197" s="2"/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</row>
    <row r="5198" spans="1:15" ht="15" customHeight="1" x14ac:dyDescent="0.25">
      <c r="A5198" s="3"/>
      <c r="B5198" s="3"/>
      <c r="C5198" s="3"/>
      <c r="D5198" s="3"/>
      <c r="E5198" s="3"/>
      <c r="F5198" s="3"/>
      <c r="G5198" s="3"/>
      <c r="H5198" s="3"/>
      <c r="I5198" s="3"/>
      <c r="J5198" s="3"/>
      <c r="K5198" s="3"/>
      <c r="L5198" s="3"/>
      <c r="M5198" s="3"/>
      <c r="N5198" s="3"/>
      <c r="O5198" s="3"/>
    </row>
    <row r="5199" spans="1:15" ht="15" customHeight="1" x14ac:dyDescent="0.25">
      <c r="A5199" s="2"/>
      <c r="B5199" s="2"/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</row>
    <row r="5200" spans="1:15" ht="15" customHeight="1" x14ac:dyDescent="0.25">
      <c r="A5200" s="3"/>
      <c r="B5200" s="3"/>
      <c r="C5200" s="3"/>
      <c r="D5200" s="3"/>
      <c r="E5200" s="3"/>
      <c r="F5200" s="3"/>
      <c r="G5200" s="3"/>
      <c r="H5200" s="3"/>
      <c r="I5200" s="3"/>
      <c r="J5200" s="3"/>
      <c r="K5200" s="3"/>
      <c r="L5200" s="3"/>
      <c r="M5200" s="3"/>
      <c r="N5200" s="3"/>
      <c r="O5200" s="3"/>
    </row>
    <row r="5201" spans="1:15" ht="15" customHeight="1" x14ac:dyDescent="0.25">
      <c r="A5201" s="2"/>
      <c r="B5201" s="2"/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</row>
    <row r="5202" spans="1:15" ht="15" customHeight="1" x14ac:dyDescent="0.25">
      <c r="A5202" s="3"/>
      <c r="B5202" s="3"/>
      <c r="C5202" s="3"/>
      <c r="D5202" s="3"/>
      <c r="E5202" s="3"/>
      <c r="F5202" s="3"/>
      <c r="G5202" s="3"/>
      <c r="H5202" s="3"/>
      <c r="I5202" s="3"/>
      <c r="J5202" s="3"/>
      <c r="K5202" s="3"/>
      <c r="L5202" s="3"/>
      <c r="M5202" s="3"/>
      <c r="N5202" s="3"/>
      <c r="O5202" s="3"/>
    </row>
    <row r="5203" spans="1:15" ht="15" customHeight="1" x14ac:dyDescent="0.25">
      <c r="A5203" s="2"/>
      <c r="B5203" s="2"/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</row>
    <row r="5204" spans="1:15" ht="15" customHeight="1" x14ac:dyDescent="0.25">
      <c r="A5204" s="3"/>
      <c r="B5204" s="3"/>
      <c r="C5204" s="3"/>
      <c r="D5204" s="3"/>
      <c r="E5204" s="3"/>
      <c r="F5204" s="3"/>
      <c r="G5204" s="3"/>
      <c r="H5204" s="3"/>
      <c r="I5204" s="3"/>
      <c r="J5204" s="3"/>
      <c r="K5204" s="3"/>
      <c r="L5204" s="3"/>
      <c r="M5204" s="3"/>
      <c r="N5204" s="3"/>
      <c r="O5204" s="3"/>
    </row>
    <row r="5205" spans="1:15" ht="15" customHeight="1" x14ac:dyDescent="0.25">
      <c r="A5205" s="2"/>
      <c r="B5205" s="2"/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</row>
    <row r="5206" spans="1:15" ht="15" customHeight="1" x14ac:dyDescent="0.25">
      <c r="A5206" s="3"/>
      <c r="B5206" s="3"/>
      <c r="C5206" s="3"/>
      <c r="D5206" s="3"/>
      <c r="E5206" s="3"/>
      <c r="F5206" s="3"/>
      <c r="G5206" s="3"/>
      <c r="H5206" s="3"/>
      <c r="I5206" s="3"/>
      <c r="J5206" s="3"/>
      <c r="K5206" s="3"/>
      <c r="L5206" s="3"/>
      <c r="M5206" s="3"/>
      <c r="N5206" s="3"/>
      <c r="O5206" s="3"/>
    </row>
    <row r="5207" spans="1:15" ht="15" customHeight="1" x14ac:dyDescent="0.25">
      <c r="A5207" s="2"/>
      <c r="B5207" s="2"/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</row>
    <row r="5208" spans="1:15" ht="15" customHeight="1" x14ac:dyDescent="0.25">
      <c r="A5208" s="3"/>
      <c r="B5208" s="3"/>
      <c r="C5208" s="3"/>
      <c r="D5208" s="3"/>
      <c r="E5208" s="3"/>
      <c r="F5208" s="3"/>
      <c r="G5208" s="3"/>
      <c r="H5208" s="3"/>
      <c r="I5208" s="3"/>
      <c r="J5208" s="3"/>
      <c r="K5208" s="3"/>
      <c r="L5208" s="3"/>
      <c r="M5208" s="3"/>
      <c r="N5208" s="3"/>
      <c r="O5208" s="3"/>
    </row>
    <row r="5209" spans="1:15" ht="15" customHeight="1" x14ac:dyDescent="0.25">
      <c r="A5209" s="2"/>
      <c r="B5209" s="2"/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</row>
    <row r="5210" spans="1:15" ht="15" customHeight="1" x14ac:dyDescent="0.25">
      <c r="A5210" s="3"/>
      <c r="B5210" s="3"/>
      <c r="C5210" s="3"/>
      <c r="D5210" s="3"/>
      <c r="E5210" s="3"/>
      <c r="F5210" s="3"/>
      <c r="G5210" s="3"/>
      <c r="H5210" s="3"/>
      <c r="I5210" s="3"/>
      <c r="J5210" s="3"/>
      <c r="K5210" s="3"/>
      <c r="L5210" s="3"/>
      <c r="M5210" s="3"/>
      <c r="N5210" s="3"/>
      <c r="O5210" s="3"/>
    </row>
    <row r="5211" spans="1:15" ht="15" customHeight="1" x14ac:dyDescent="0.25">
      <c r="A5211" s="2"/>
      <c r="B5211" s="2"/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</row>
    <row r="5212" spans="1:15" ht="15" customHeight="1" x14ac:dyDescent="0.25">
      <c r="A5212" s="3"/>
      <c r="B5212" s="3"/>
      <c r="C5212" s="3"/>
      <c r="D5212" s="3"/>
      <c r="E5212" s="3"/>
      <c r="F5212" s="3"/>
      <c r="G5212" s="3"/>
      <c r="H5212" s="3"/>
      <c r="I5212" s="3"/>
      <c r="J5212" s="3"/>
      <c r="K5212" s="3"/>
      <c r="L5212" s="3"/>
      <c r="M5212" s="3"/>
      <c r="N5212" s="3"/>
      <c r="O5212" s="3"/>
    </row>
    <row r="5213" spans="1:15" ht="15" customHeight="1" x14ac:dyDescent="0.25">
      <c r="A5213" s="2"/>
      <c r="B5213" s="2"/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</row>
    <row r="5214" spans="1:15" ht="15" customHeight="1" x14ac:dyDescent="0.25">
      <c r="A5214" s="3"/>
      <c r="B5214" s="3"/>
      <c r="C5214" s="3"/>
      <c r="D5214" s="3"/>
      <c r="E5214" s="3"/>
      <c r="F5214" s="3"/>
      <c r="G5214" s="3"/>
      <c r="H5214" s="3"/>
      <c r="I5214" s="3"/>
      <c r="J5214" s="3"/>
      <c r="K5214" s="3"/>
      <c r="L5214" s="3"/>
      <c r="M5214" s="3"/>
      <c r="N5214" s="3"/>
      <c r="O5214" s="3"/>
    </row>
    <row r="5215" spans="1:15" ht="15" customHeight="1" x14ac:dyDescent="0.25">
      <c r="A5215" s="2"/>
      <c r="B5215" s="2"/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</row>
    <row r="5216" spans="1:15" ht="15" customHeight="1" x14ac:dyDescent="0.25">
      <c r="A5216" s="3"/>
      <c r="B5216" s="3"/>
      <c r="C5216" s="3"/>
      <c r="D5216" s="3"/>
      <c r="E5216" s="3"/>
      <c r="F5216" s="3"/>
      <c r="G5216" s="3"/>
      <c r="H5216" s="3"/>
      <c r="I5216" s="3"/>
      <c r="J5216" s="3"/>
      <c r="K5216" s="3"/>
      <c r="L5216" s="3"/>
      <c r="M5216" s="3"/>
      <c r="N5216" s="3"/>
      <c r="O5216" s="3"/>
    </row>
    <row r="5217" spans="1:15" ht="15" customHeight="1" x14ac:dyDescent="0.25">
      <c r="A5217" s="2"/>
      <c r="B5217" s="2"/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</row>
    <row r="5218" spans="1:15" ht="15" customHeight="1" x14ac:dyDescent="0.25">
      <c r="A5218" s="3"/>
      <c r="B5218" s="3"/>
      <c r="C5218" s="3"/>
      <c r="D5218" s="3"/>
      <c r="E5218" s="3"/>
      <c r="F5218" s="3"/>
      <c r="G5218" s="3"/>
      <c r="H5218" s="3"/>
      <c r="I5218" s="3"/>
      <c r="J5218" s="3"/>
      <c r="K5218" s="3"/>
      <c r="L5218" s="3"/>
      <c r="M5218" s="3"/>
      <c r="N5218" s="3"/>
      <c r="O5218" s="3"/>
    </row>
    <row r="5219" spans="1:15" ht="15" customHeight="1" x14ac:dyDescent="0.25">
      <c r="A5219" s="2"/>
      <c r="B5219" s="2"/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</row>
    <row r="5220" spans="1:15" ht="15" customHeight="1" x14ac:dyDescent="0.25">
      <c r="A5220" s="3"/>
      <c r="B5220" s="3"/>
      <c r="C5220" s="3"/>
      <c r="D5220" s="3"/>
      <c r="E5220" s="3"/>
      <c r="F5220" s="3"/>
      <c r="G5220" s="3"/>
      <c r="H5220" s="3"/>
      <c r="I5220" s="3"/>
      <c r="J5220" s="3"/>
      <c r="K5220" s="3"/>
      <c r="L5220" s="3"/>
      <c r="M5220" s="3"/>
      <c r="N5220" s="3"/>
      <c r="O5220" s="3"/>
    </row>
    <row r="5221" spans="1:15" ht="15" customHeight="1" x14ac:dyDescent="0.25">
      <c r="A5221" s="2"/>
      <c r="B5221" s="2"/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</row>
    <row r="5222" spans="1:15" ht="15" customHeight="1" x14ac:dyDescent="0.25">
      <c r="A5222" s="3"/>
      <c r="B5222" s="3"/>
      <c r="C5222" s="3"/>
      <c r="D5222" s="3"/>
      <c r="E5222" s="3"/>
      <c r="F5222" s="3"/>
      <c r="G5222" s="3"/>
      <c r="H5222" s="3"/>
      <c r="I5222" s="3"/>
      <c r="J5222" s="3"/>
      <c r="K5222" s="3"/>
      <c r="L5222" s="3"/>
      <c r="M5222" s="3"/>
      <c r="N5222" s="3"/>
      <c r="O5222" s="3"/>
    </row>
    <row r="5223" spans="1:15" ht="15" customHeight="1" x14ac:dyDescent="0.25">
      <c r="A5223" s="2"/>
      <c r="B5223" s="2"/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</row>
    <row r="5224" spans="1:15" ht="15" customHeight="1" x14ac:dyDescent="0.25">
      <c r="A5224" s="3"/>
      <c r="B5224" s="3"/>
      <c r="C5224" s="3"/>
      <c r="D5224" s="3"/>
      <c r="E5224" s="3"/>
      <c r="F5224" s="3"/>
      <c r="G5224" s="3"/>
      <c r="H5224" s="3"/>
      <c r="I5224" s="3"/>
      <c r="J5224" s="3"/>
      <c r="K5224" s="3"/>
      <c r="L5224" s="3"/>
      <c r="M5224" s="3"/>
      <c r="N5224" s="3"/>
      <c r="O5224" s="3"/>
    </row>
    <row r="5225" spans="1:15" ht="15" customHeight="1" x14ac:dyDescent="0.25">
      <c r="A5225" s="2"/>
      <c r="B5225" s="2"/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</row>
    <row r="5226" spans="1:15" ht="15" customHeight="1" x14ac:dyDescent="0.25">
      <c r="A5226" s="3"/>
      <c r="B5226" s="3"/>
      <c r="C5226" s="3"/>
      <c r="D5226" s="3"/>
      <c r="E5226" s="3"/>
      <c r="F5226" s="3"/>
      <c r="G5226" s="3"/>
      <c r="H5226" s="3"/>
      <c r="I5226" s="3"/>
      <c r="J5226" s="3"/>
      <c r="K5226" s="3"/>
      <c r="L5226" s="3"/>
      <c r="M5226" s="3"/>
      <c r="N5226" s="3"/>
      <c r="O5226" s="3"/>
    </row>
    <row r="5227" spans="1:15" ht="15" customHeight="1" x14ac:dyDescent="0.25">
      <c r="A5227" s="2"/>
      <c r="B5227" s="2"/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</row>
    <row r="5228" spans="1:15" ht="15" customHeight="1" x14ac:dyDescent="0.25">
      <c r="A5228" s="3"/>
      <c r="B5228" s="3"/>
      <c r="C5228" s="3"/>
      <c r="D5228" s="3"/>
      <c r="E5228" s="3"/>
      <c r="F5228" s="3"/>
      <c r="G5228" s="3"/>
      <c r="H5228" s="3"/>
      <c r="I5228" s="3"/>
      <c r="J5228" s="3"/>
      <c r="K5228" s="3"/>
      <c r="L5228" s="3"/>
      <c r="M5228" s="3"/>
      <c r="N5228" s="3"/>
      <c r="O5228" s="3"/>
    </row>
    <row r="5229" spans="1:15" ht="15" customHeight="1" x14ac:dyDescent="0.25">
      <c r="A5229" s="2"/>
      <c r="B5229" s="2"/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</row>
    <row r="5230" spans="1:15" ht="15" customHeight="1" x14ac:dyDescent="0.25">
      <c r="A5230" s="3"/>
      <c r="B5230" s="3"/>
      <c r="C5230" s="3"/>
      <c r="D5230" s="3"/>
      <c r="E5230" s="3"/>
      <c r="F5230" s="3"/>
      <c r="G5230" s="3"/>
      <c r="H5230" s="3"/>
      <c r="I5230" s="3"/>
      <c r="J5230" s="3"/>
      <c r="K5230" s="3"/>
      <c r="L5230" s="3"/>
      <c r="M5230" s="3"/>
      <c r="N5230" s="3"/>
      <c r="O5230" s="3"/>
    </row>
    <row r="5231" spans="1:15" ht="15" customHeight="1" x14ac:dyDescent="0.25">
      <c r="A5231" s="2"/>
      <c r="B5231" s="2"/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</row>
    <row r="5232" spans="1:15" ht="15" customHeight="1" x14ac:dyDescent="0.25">
      <c r="A5232" s="3"/>
      <c r="B5232" s="3"/>
      <c r="C5232" s="3"/>
      <c r="D5232" s="3"/>
      <c r="E5232" s="3"/>
      <c r="F5232" s="3"/>
      <c r="G5232" s="3"/>
      <c r="H5232" s="3"/>
      <c r="I5232" s="3"/>
      <c r="J5232" s="3"/>
      <c r="K5232" s="3"/>
      <c r="L5232" s="3"/>
      <c r="M5232" s="3"/>
      <c r="N5232" s="3"/>
      <c r="O5232" s="3"/>
    </row>
    <row r="5233" spans="1:15" ht="15" customHeight="1" x14ac:dyDescent="0.25">
      <c r="A5233" s="2"/>
      <c r="B5233" s="2"/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</row>
    <row r="5234" spans="1:15" ht="15" customHeight="1" x14ac:dyDescent="0.25">
      <c r="A5234" s="3"/>
      <c r="B5234" s="3"/>
      <c r="C5234" s="3"/>
      <c r="D5234" s="3"/>
      <c r="E5234" s="3"/>
      <c r="F5234" s="3"/>
      <c r="G5234" s="3"/>
      <c r="H5234" s="3"/>
      <c r="I5234" s="3"/>
      <c r="J5234" s="3"/>
      <c r="K5234" s="3"/>
      <c r="L5234" s="3"/>
      <c r="M5234" s="3"/>
      <c r="N5234" s="3"/>
      <c r="O5234" s="3"/>
    </row>
    <row r="5235" spans="1:15" ht="15" customHeight="1" x14ac:dyDescent="0.25">
      <c r="A5235" s="2"/>
      <c r="B5235" s="2"/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</row>
    <row r="5236" spans="1:15" ht="15" customHeight="1" x14ac:dyDescent="0.25">
      <c r="A5236" s="3"/>
      <c r="B5236" s="3"/>
      <c r="C5236" s="3"/>
      <c r="D5236" s="3"/>
      <c r="E5236" s="3"/>
      <c r="F5236" s="3"/>
      <c r="G5236" s="3"/>
      <c r="H5236" s="3"/>
      <c r="I5236" s="3"/>
      <c r="J5236" s="3"/>
      <c r="K5236" s="3"/>
      <c r="L5236" s="3"/>
      <c r="M5236" s="3"/>
      <c r="N5236" s="3"/>
      <c r="O5236" s="3"/>
    </row>
    <row r="5237" spans="1:15" ht="15" customHeight="1" x14ac:dyDescent="0.25">
      <c r="A5237" s="2"/>
      <c r="B5237" s="2"/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</row>
    <row r="5238" spans="1:15" ht="15" customHeight="1" x14ac:dyDescent="0.25">
      <c r="A5238" s="3"/>
      <c r="B5238" s="3"/>
      <c r="C5238" s="3"/>
      <c r="D5238" s="3"/>
      <c r="E5238" s="3"/>
      <c r="F5238" s="3"/>
      <c r="G5238" s="3"/>
      <c r="H5238" s="3"/>
      <c r="I5238" s="3"/>
      <c r="J5238" s="3"/>
      <c r="K5238" s="3"/>
      <c r="L5238" s="3"/>
      <c r="M5238" s="3"/>
      <c r="N5238" s="3"/>
      <c r="O5238" s="3"/>
    </row>
    <row r="5239" spans="1:15" ht="15" customHeight="1" x14ac:dyDescent="0.25">
      <c r="A5239" s="2"/>
      <c r="B5239" s="2"/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</row>
    <row r="5240" spans="1:15" ht="15" customHeight="1" x14ac:dyDescent="0.25">
      <c r="A5240" s="3"/>
      <c r="B5240" s="3"/>
      <c r="C5240" s="3"/>
      <c r="D5240" s="3"/>
      <c r="E5240" s="3"/>
      <c r="F5240" s="3"/>
      <c r="G5240" s="3"/>
      <c r="H5240" s="3"/>
      <c r="I5240" s="3"/>
      <c r="J5240" s="3"/>
      <c r="K5240" s="3"/>
      <c r="L5240" s="3"/>
      <c r="M5240" s="3"/>
      <c r="N5240" s="3"/>
      <c r="O5240" s="3"/>
    </row>
    <row r="5241" spans="1:15" ht="15" customHeight="1" x14ac:dyDescent="0.25">
      <c r="A5241" s="2"/>
      <c r="B5241" s="2"/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</row>
    <row r="5242" spans="1:15" ht="15" customHeight="1" x14ac:dyDescent="0.25">
      <c r="A5242" s="3"/>
      <c r="B5242" s="3"/>
      <c r="C5242" s="3"/>
      <c r="D5242" s="3"/>
      <c r="E5242" s="3"/>
      <c r="F5242" s="3"/>
      <c r="G5242" s="3"/>
      <c r="H5242" s="3"/>
      <c r="I5242" s="3"/>
      <c r="J5242" s="3"/>
      <c r="K5242" s="3"/>
      <c r="L5242" s="3"/>
      <c r="M5242" s="3"/>
      <c r="N5242" s="3"/>
      <c r="O5242" s="3"/>
    </row>
    <row r="5243" spans="1:15" ht="15" customHeight="1" x14ac:dyDescent="0.25">
      <c r="A5243" s="2"/>
      <c r="B5243" s="2"/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</row>
    <row r="5244" spans="1:15" ht="15" customHeight="1" x14ac:dyDescent="0.25">
      <c r="A5244" s="3"/>
      <c r="B5244" s="3"/>
      <c r="C5244" s="3"/>
      <c r="D5244" s="3"/>
      <c r="E5244" s="3"/>
      <c r="F5244" s="3"/>
      <c r="G5244" s="3"/>
      <c r="H5244" s="3"/>
      <c r="I5244" s="3"/>
      <c r="J5244" s="3"/>
      <c r="K5244" s="3"/>
      <c r="L5244" s="3"/>
      <c r="M5244" s="3"/>
      <c r="N5244" s="3"/>
      <c r="O5244" s="3"/>
    </row>
    <row r="5245" spans="1:15" ht="15" customHeight="1" x14ac:dyDescent="0.25">
      <c r="A5245" s="2"/>
      <c r="B5245" s="2"/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</row>
    <row r="5246" spans="1:15" ht="15" customHeight="1" x14ac:dyDescent="0.25">
      <c r="A5246" s="3"/>
      <c r="B5246" s="3"/>
      <c r="C5246" s="3"/>
      <c r="D5246" s="3"/>
      <c r="E5246" s="3"/>
      <c r="F5246" s="3"/>
      <c r="G5246" s="3"/>
      <c r="H5246" s="3"/>
      <c r="I5246" s="3"/>
      <c r="J5246" s="3"/>
      <c r="K5246" s="3"/>
      <c r="L5246" s="3"/>
      <c r="M5246" s="3"/>
      <c r="N5246" s="3"/>
      <c r="O5246" s="3"/>
    </row>
    <row r="5247" spans="1:15" ht="15" customHeight="1" x14ac:dyDescent="0.25">
      <c r="A5247" s="2"/>
      <c r="B5247" s="2"/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</row>
    <row r="5248" spans="1:15" ht="15" customHeight="1" x14ac:dyDescent="0.25">
      <c r="A5248" s="3"/>
      <c r="B5248" s="3"/>
      <c r="C5248" s="3"/>
      <c r="D5248" s="3"/>
      <c r="E5248" s="3"/>
      <c r="F5248" s="3"/>
      <c r="G5248" s="3"/>
      <c r="H5248" s="3"/>
      <c r="I5248" s="3"/>
      <c r="J5248" s="3"/>
      <c r="K5248" s="3"/>
      <c r="L5248" s="3"/>
      <c r="M5248" s="3"/>
      <c r="N5248" s="3"/>
      <c r="O5248" s="3"/>
    </row>
    <row r="5249" spans="1:15" ht="15" customHeight="1" x14ac:dyDescent="0.25">
      <c r="A5249" s="2"/>
      <c r="B5249" s="2"/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</row>
    <row r="5250" spans="1:15" ht="15" customHeight="1" x14ac:dyDescent="0.25">
      <c r="A5250" s="3"/>
      <c r="B5250" s="3"/>
      <c r="C5250" s="3"/>
      <c r="D5250" s="3"/>
      <c r="E5250" s="3"/>
      <c r="F5250" s="3"/>
      <c r="G5250" s="3"/>
      <c r="H5250" s="3"/>
      <c r="I5250" s="3"/>
      <c r="J5250" s="3"/>
      <c r="K5250" s="3"/>
      <c r="L5250" s="3"/>
      <c r="M5250" s="3"/>
      <c r="N5250" s="3"/>
      <c r="O5250" s="3"/>
    </row>
    <row r="5251" spans="1:15" ht="15" customHeight="1" x14ac:dyDescent="0.25">
      <c r="A5251" s="2"/>
      <c r="B5251" s="2"/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</row>
    <row r="5252" spans="1:15" ht="15" customHeight="1" x14ac:dyDescent="0.25">
      <c r="A5252" s="3"/>
      <c r="B5252" s="3"/>
      <c r="C5252" s="3"/>
      <c r="D5252" s="3"/>
      <c r="E5252" s="3"/>
      <c r="F5252" s="3"/>
      <c r="G5252" s="3"/>
      <c r="H5252" s="3"/>
      <c r="I5252" s="3"/>
      <c r="J5252" s="3"/>
      <c r="K5252" s="3"/>
      <c r="L5252" s="3"/>
      <c r="M5252" s="3"/>
      <c r="N5252" s="3"/>
      <c r="O5252" s="3"/>
    </row>
    <row r="5253" spans="1:15" ht="15" customHeight="1" x14ac:dyDescent="0.25">
      <c r="A5253" s="2"/>
      <c r="B5253" s="2"/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</row>
    <row r="5254" spans="1:15" ht="15" customHeight="1" x14ac:dyDescent="0.25">
      <c r="A5254" s="3"/>
      <c r="B5254" s="3"/>
      <c r="C5254" s="3"/>
      <c r="D5254" s="3"/>
      <c r="E5254" s="3"/>
      <c r="F5254" s="3"/>
      <c r="G5254" s="3"/>
      <c r="H5254" s="3"/>
      <c r="I5254" s="3"/>
      <c r="J5254" s="3"/>
      <c r="K5254" s="3"/>
      <c r="L5254" s="3"/>
      <c r="M5254" s="3"/>
      <c r="N5254" s="3"/>
      <c r="O5254" s="3"/>
    </row>
    <row r="5255" spans="1:15" ht="15" customHeight="1" x14ac:dyDescent="0.25">
      <c r="A5255" s="2"/>
      <c r="B5255" s="2"/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</row>
    <row r="5256" spans="1:15" ht="15" customHeight="1" x14ac:dyDescent="0.25">
      <c r="A5256" s="3"/>
      <c r="B5256" s="3"/>
      <c r="C5256" s="3"/>
      <c r="D5256" s="3"/>
      <c r="E5256" s="3"/>
      <c r="F5256" s="3"/>
      <c r="G5256" s="3"/>
      <c r="H5256" s="3"/>
      <c r="I5256" s="3"/>
      <c r="J5256" s="3"/>
      <c r="K5256" s="3"/>
      <c r="L5256" s="3"/>
      <c r="M5256" s="3"/>
      <c r="N5256" s="3"/>
      <c r="O5256" s="3"/>
    </row>
    <row r="5257" spans="1:15" ht="15" customHeight="1" x14ac:dyDescent="0.25">
      <c r="A5257" s="2"/>
      <c r="B5257" s="2"/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</row>
    <row r="5258" spans="1:15" ht="15" customHeight="1" x14ac:dyDescent="0.25">
      <c r="A5258" s="3"/>
      <c r="B5258" s="3"/>
      <c r="C5258" s="3"/>
      <c r="D5258" s="3"/>
      <c r="E5258" s="3"/>
      <c r="F5258" s="3"/>
      <c r="G5258" s="3"/>
      <c r="H5258" s="3"/>
      <c r="I5258" s="3"/>
      <c r="J5258" s="3"/>
      <c r="K5258" s="3"/>
      <c r="L5258" s="3"/>
      <c r="M5258" s="3"/>
      <c r="N5258" s="3"/>
      <c r="O5258" s="3"/>
    </row>
    <row r="5259" spans="1:15" ht="15" customHeight="1" x14ac:dyDescent="0.25">
      <c r="A5259" s="2"/>
      <c r="B5259" s="2"/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</row>
    <row r="5260" spans="1:15" ht="15" customHeight="1" x14ac:dyDescent="0.25">
      <c r="A5260" s="3"/>
      <c r="B5260" s="3"/>
      <c r="C5260" s="3"/>
      <c r="D5260" s="3"/>
      <c r="E5260" s="3"/>
      <c r="F5260" s="3"/>
      <c r="G5260" s="3"/>
      <c r="H5260" s="3"/>
      <c r="I5260" s="3"/>
      <c r="J5260" s="3"/>
      <c r="K5260" s="3"/>
      <c r="L5260" s="3"/>
      <c r="M5260" s="3"/>
      <c r="N5260" s="3"/>
      <c r="O5260" s="3"/>
    </row>
    <row r="5261" spans="1:15" ht="15" customHeight="1" x14ac:dyDescent="0.25">
      <c r="A5261" s="2"/>
      <c r="B5261" s="2"/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</row>
    <row r="5262" spans="1:15" ht="15" customHeight="1" x14ac:dyDescent="0.25">
      <c r="A5262" s="3"/>
      <c r="B5262" s="3"/>
      <c r="C5262" s="3"/>
      <c r="D5262" s="3"/>
      <c r="E5262" s="3"/>
      <c r="F5262" s="3"/>
      <c r="G5262" s="3"/>
      <c r="H5262" s="3"/>
      <c r="I5262" s="3"/>
      <c r="J5262" s="3"/>
      <c r="K5262" s="3"/>
      <c r="L5262" s="3"/>
      <c r="M5262" s="3"/>
      <c r="N5262" s="3"/>
      <c r="O5262" s="3"/>
    </row>
    <row r="5263" spans="1:15" ht="15" customHeight="1" x14ac:dyDescent="0.25">
      <c r="A5263" s="2"/>
      <c r="B5263" s="2"/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</row>
    <row r="5264" spans="1:15" ht="15" customHeight="1" x14ac:dyDescent="0.25">
      <c r="A5264" s="3"/>
      <c r="B5264" s="3"/>
      <c r="C5264" s="3"/>
      <c r="D5264" s="3"/>
      <c r="E5264" s="3"/>
      <c r="F5264" s="3"/>
      <c r="G5264" s="3"/>
      <c r="H5264" s="3"/>
      <c r="I5264" s="3"/>
      <c r="J5264" s="3"/>
      <c r="K5264" s="3"/>
      <c r="L5264" s="3"/>
      <c r="M5264" s="3"/>
      <c r="N5264" s="3"/>
      <c r="O5264" s="3"/>
    </row>
    <row r="5265" spans="1:15" ht="15" customHeight="1" x14ac:dyDescent="0.25">
      <c r="A5265" s="2"/>
      <c r="B5265" s="2"/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</row>
    <row r="5266" spans="1:15" ht="15" customHeight="1" x14ac:dyDescent="0.25">
      <c r="A5266" s="3"/>
      <c r="B5266" s="3"/>
      <c r="C5266" s="3"/>
      <c r="D5266" s="3"/>
      <c r="E5266" s="3"/>
      <c r="F5266" s="3"/>
      <c r="G5266" s="3"/>
      <c r="H5266" s="3"/>
      <c r="I5266" s="3"/>
      <c r="J5266" s="3"/>
      <c r="K5266" s="3"/>
      <c r="L5266" s="3"/>
      <c r="M5266" s="3"/>
      <c r="N5266" s="3"/>
      <c r="O5266" s="3"/>
    </row>
    <row r="5267" spans="1:15" ht="15" customHeight="1" x14ac:dyDescent="0.25">
      <c r="A5267" s="2"/>
      <c r="B5267" s="2"/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</row>
    <row r="5268" spans="1:15" ht="15" customHeight="1" x14ac:dyDescent="0.25">
      <c r="A5268" s="3"/>
      <c r="B5268" s="3"/>
      <c r="C5268" s="3"/>
      <c r="D5268" s="3"/>
      <c r="E5268" s="3"/>
      <c r="F5268" s="3"/>
      <c r="G5268" s="3"/>
      <c r="H5268" s="3"/>
      <c r="I5268" s="3"/>
      <c r="J5268" s="3"/>
      <c r="K5268" s="3"/>
      <c r="L5268" s="3"/>
      <c r="M5268" s="3"/>
      <c r="N5268" s="3"/>
      <c r="O5268" s="3"/>
    </row>
    <row r="5269" spans="1:15" ht="15" customHeight="1" x14ac:dyDescent="0.25">
      <c r="A5269" s="2"/>
      <c r="B5269" s="2"/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</row>
    <row r="5270" spans="1:15" ht="15" customHeight="1" x14ac:dyDescent="0.25">
      <c r="A5270" s="3"/>
      <c r="B5270" s="3"/>
      <c r="C5270" s="3"/>
      <c r="D5270" s="3"/>
      <c r="E5270" s="3"/>
      <c r="F5270" s="3"/>
      <c r="G5270" s="3"/>
      <c r="H5270" s="3"/>
      <c r="I5270" s="3"/>
      <c r="J5270" s="3"/>
      <c r="K5270" s="3"/>
      <c r="L5270" s="3"/>
      <c r="M5270" s="3"/>
      <c r="N5270" s="3"/>
      <c r="O5270" s="3"/>
    </row>
    <row r="5271" spans="1:15" ht="15" customHeight="1" x14ac:dyDescent="0.25">
      <c r="A5271" s="2"/>
      <c r="B5271" s="2"/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</row>
    <row r="5272" spans="1:15" ht="15" customHeight="1" x14ac:dyDescent="0.25">
      <c r="A5272" s="3"/>
      <c r="B5272" s="3"/>
      <c r="C5272" s="3"/>
      <c r="D5272" s="3"/>
      <c r="E5272" s="3"/>
      <c r="F5272" s="3"/>
      <c r="G5272" s="3"/>
      <c r="H5272" s="3"/>
      <c r="I5272" s="3"/>
      <c r="J5272" s="3"/>
      <c r="K5272" s="3"/>
      <c r="L5272" s="3"/>
      <c r="M5272" s="3"/>
      <c r="N5272" s="3"/>
      <c r="O5272" s="3"/>
    </row>
    <row r="5273" spans="1:15" ht="15" customHeight="1" x14ac:dyDescent="0.25">
      <c r="A5273" s="2"/>
      <c r="B5273" s="2"/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</row>
    <row r="5274" spans="1:15" ht="15" customHeight="1" x14ac:dyDescent="0.25">
      <c r="A5274" s="3"/>
      <c r="B5274" s="3"/>
      <c r="C5274" s="3"/>
      <c r="D5274" s="3"/>
      <c r="E5274" s="3"/>
      <c r="F5274" s="3"/>
      <c r="G5274" s="3"/>
      <c r="H5274" s="3"/>
      <c r="I5274" s="3"/>
      <c r="J5274" s="3"/>
      <c r="K5274" s="3"/>
      <c r="L5274" s="3"/>
      <c r="M5274" s="3"/>
      <c r="N5274" s="3"/>
      <c r="O5274" s="3"/>
    </row>
    <row r="5275" spans="1:15" ht="15" customHeight="1" x14ac:dyDescent="0.25">
      <c r="A5275" s="2"/>
      <c r="B5275" s="2"/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</row>
    <row r="5276" spans="1:15" ht="15" customHeight="1" x14ac:dyDescent="0.25">
      <c r="A5276" s="3"/>
      <c r="B5276" s="3"/>
      <c r="C5276" s="3"/>
      <c r="D5276" s="3"/>
      <c r="E5276" s="3"/>
      <c r="F5276" s="3"/>
      <c r="G5276" s="3"/>
      <c r="H5276" s="3"/>
      <c r="I5276" s="3"/>
      <c r="J5276" s="3"/>
      <c r="K5276" s="3"/>
      <c r="L5276" s="3"/>
      <c r="M5276" s="3"/>
      <c r="N5276" s="3"/>
      <c r="O5276" s="3"/>
    </row>
    <row r="5277" spans="1:15" ht="15" customHeight="1" x14ac:dyDescent="0.25">
      <c r="A5277" s="2"/>
      <c r="B5277" s="2"/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</row>
    <row r="5278" spans="1:15" ht="15" customHeight="1" x14ac:dyDescent="0.25">
      <c r="A5278" s="3"/>
      <c r="B5278" s="3"/>
      <c r="C5278" s="3"/>
      <c r="D5278" s="3"/>
      <c r="E5278" s="3"/>
      <c r="F5278" s="3"/>
      <c r="G5278" s="3"/>
      <c r="H5278" s="3"/>
      <c r="I5278" s="3"/>
      <c r="J5278" s="3"/>
      <c r="K5278" s="3"/>
      <c r="L5278" s="3"/>
      <c r="M5278" s="3"/>
      <c r="N5278" s="3"/>
      <c r="O5278" s="3"/>
    </row>
    <row r="5279" spans="1:15" ht="15" customHeight="1" x14ac:dyDescent="0.25">
      <c r="A5279" s="2"/>
      <c r="B5279" s="2"/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</row>
    <row r="5280" spans="1:15" ht="15" customHeight="1" x14ac:dyDescent="0.25">
      <c r="A5280" s="3"/>
      <c r="B5280" s="3"/>
      <c r="C5280" s="3"/>
      <c r="D5280" s="3"/>
      <c r="E5280" s="3"/>
      <c r="F5280" s="3"/>
      <c r="G5280" s="3"/>
      <c r="H5280" s="3"/>
      <c r="I5280" s="3"/>
      <c r="J5280" s="3"/>
      <c r="K5280" s="3"/>
      <c r="L5280" s="3"/>
      <c r="M5280" s="3"/>
      <c r="N5280" s="3"/>
      <c r="O5280" s="3"/>
    </row>
    <row r="5281" spans="1:15" ht="15" customHeight="1" x14ac:dyDescent="0.25">
      <c r="A5281" s="2"/>
      <c r="B5281" s="2"/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</row>
    <row r="5282" spans="1:15" ht="15" customHeight="1" x14ac:dyDescent="0.25">
      <c r="A5282" s="3"/>
      <c r="B5282" s="3"/>
      <c r="C5282" s="3"/>
      <c r="D5282" s="3"/>
      <c r="E5282" s="3"/>
      <c r="F5282" s="3"/>
      <c r="G5282" s="3"/>
      <c r="H5282" s="3"/>
      <c r="I5282" s="3"/>
      <c r="J5282" s="3"/>
      <c r="K5282" s="3"/>
      <c r="L5282" s="3"/>
      <c r="M5282" s="3"/>
      <c r="N5282" s="3"/>
      <c r="O5282" s="3"/>
    </row>
    <row r="5283" spans="1:15" ht="15" customHeight="1" x14ac:dyDescent="0.25">
      <c r="A5283" s="2"/>
      <c r="B5283" s="2"/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</row>
    <row r="5284" spans="1:15" ht="15" customHeight="1" x14ac:dyDescent="0.25">
      <c r="A5284" s="3"/>
      <c r="B5284" s="3"/>
      <c r="C5284" s="3"/>
      <c r="D5284" s="3"/>
      <c r="E5284" s="3"/>
      <c r="F5284" s="3"/>
      <c r="G5284" s="3"/>
      <c r="H5284" s="3"/>
      <c r="I5284" s="3"/>
      <c r="J5284" s="3"/>
      <c r="K5284" s="3"/>
      <c r="L5284" s="3"/>
      <c r="M5284" s="3"/>
      <c r="N5284" s="3"/>
      <c r="O5284" s="3"/>
    </row>
    <row r="5285" spans="1:15" ht="15" customHeight="1" x14ac:dyDescent="0.25">
      <c r="A5285" s="2"/>
      <c r="B5285" s="2"/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</row>
    <row r="5286" spans="1:15" ht="15" customHeight="1" x14ac:dyDescent="0.25">
      <c r="A5286" s="3"/>
      <c r="B5286" s="3"/>
      <c r="C5286" s="3"/>
      <c r="D5286" s="3"/>
      <c r="E5286" s="3"/>
      <c r="F5286" s="3"/>
      <c r="G5286" s="3"/>
      <c r="H5286" s="3"/>
      <c r="I5286" s="3"/>
      <c r="J5286" s="3"/>
      <c r="K5286" s="3"/>
      <c r="L5286" s="3"/>
      <c r="M5286" s="3"/>
      <c r="N5286" s="3"/>
      <c r="O5286" s="3"/>
    </row>
    <row r="5287" spans="1:15" ht="15" customHeight="1" x14ac:dyDescent="0.25">
      <c r="A5287" s="2"/>
      <c r="B5287" s="2"/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</row>
    <row r="5288" spans="1:15" ht="15" customHeight="1" x14ac:dyDescent="0.25">
      <c r="A5288" s="3"/>
      <c r="B5288" s="3"/>
      <c r="C5288" s="3"/>
      <c r="D5288" s="3"/>
      <c r="E5288" s="3"/>
      <c r="F5288" s="3"/>
      <c r="G5288" s="3"/>
      <c r="H5288" s="3"/>
      <c r="I5288" s="3"/>
      <c r="J5288" s="3"/>
      <c r="K5288" s="3"/>
      <c r="L5288" s="3"/>
      <c r="M5288" s="3"/>
      <c r="N5288" s="3"/>
      <c r="O5288" s="3"/>
    </row>
    <row r="5289" spans="1:15" ht="15" customHeight="1" x14ac:dyDescent="0.25">
      <c r="A5289" s="2"/>
      <c r="B5289" s="2"/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</row>
    <row r="5290" spans="1:15" ht="15" customHeight="1" x14ac:dyDescent="0.25">
      <c r="A5290" s="3"/>
      <c r="B5290" s="3"/>
      <c r="C5290" s="3"/>
      <c r="D5290" s="3"/>
      <c r="E5290" s="3"/>
      <c r="F5290" s="3"/>
      <c r="G5290" s="3"/>
      <c r="H5290" s="3"/>
      <c r="I5290" s="3"/>
      <c r="J5290" s="3"/>
      <c r="K5290" s="3"/>
      <c r="L5290" s="3"/>
      <c r="M5290" s="3"/>
      <c r="N5290" s="3"/>
      <c r="O5290" s="3"/>
    </row>
    <row r="5291" spans="1:15" ht="15" customHeight="1" x14ac:dyDescent="0.25">
      <c r="A5291" s="2"/>
      <c r="B5291" s="2"/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</row>
    <row r="5292" spans="1:15" ht="15" customHeight="1" x14ac:dyDescent="0.25">
      <c r="A5292" s="3"/>
      <c r="B5292" s="3"/>
      <c r="C5292" s="3"/>
      <c r="D5292" s="3"/>
      <c r="E5292" s="3"/>
      <c r="F5292" s="3"/>
      <c r="G5292" s="3"/>
      <c r="H5292" s="3"/>
      <c r="I5292" s="3"/>
      <c r="J5292" s="3"/>
      <c r="K5292" s="3"/>
      <c r="L5292" s="3"/>
      <c r="M5292" s="3"/>
      <c r="N5292" s="3"/>
      <c r="O5292" s="3"/>
    </row>
    <row r="5293" spans="1:15" ht="15" customHeight="1" x14ac:dyDescent="0.25">
      <c r="A5293" s="2"/>
      <c r="B5293" s="2"/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</row>
    <row r="5294" spans="1:15" ht="15" customHeight="1" x14ac:dyDescent="0.25">
      <c r="A5294" s="3"/>
      <c r="B5294" s="3"/>
      <c r="C5294" s="3"/>
      <c r="D5294" s="3"/>
      <c r="E5294" s="3"/>
      <c r="F5294" s="3"/>
      <c r="G5294" s="3"/>
      <c r="H5294" s="3"/>
      <c r="I5294" s="3"/>
      <c r="J5294" s="3"/>
      <c r="K5294" s="3"/>
      <c r="L5294" s="3"/>
      <c r="M5294" s="3"/>
      <c r="N5294" s="3"/>
      <c r="O5294" s="3"/>
    </row>
    <row r="5295" spans="1:15" ht="15" customHeight="1" x14ac:dyDescent="0.25">
      <c r="A5295" s="2"/>
      <c r="B5295" s="2"/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</row>
    <row r="5296" spans="1:15" ht="15" customHeight="1" x14ac:dyDescent="0.25">
      <c r="A5296" s="3"/>
      <c r="B5296" s="3"/>
      <c r="C5296" s="3"/>
      <c r="D5296" s="3"/>
      <c r="E5296" s="3"/>
      <c r="F5296" s="3"/>
      <c r="G5296" s="3"/>
      <c r="H5296" s="3"/>
      <c r="I5296" s="3"/>
      <c r="J5296" s="3"/>
      <c r="K5296" s="3"/>
      <c r="L5296" s="3"/>
      <c r="M5296" s="3"/>
      <c r="N5296" s="3"/>
      <c r="O5296" s="3"/>
    </row>
    <row r="5297" spans="1:15" ht="15" customHeight="1" x14ac:dyDescent="0.25">
      <c r="A5297" s="2"/>
      <c r="B5297" s="2"/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</row>
    <row r="5298" spans="1:15" ht="15" customHeight="1" x14ac:dyDescent="0.25">
      <c r="A5298" s="3"/>
      <c r="B5298" s="3"/>
      <c r="C5298" s="3"/>
      <c r="D5298" s="3"/>
      <c r="E5298" s="3"/>
      <c r="F5298" s="3"/>
      <c r="G5298" s="3"/>
      <c r="H5298" s="3"/>
      <c r="I5298" s="3"/>
      <c r="J5298" s="3"/>
      <c r="K5298" s="3"/>
      <c r="L5298" s="3"/>
      <c r="M5298" s="3"/>
      <c r="N5298" s="3"/>
      <c r="O5298" s="3"/>
    </row>
    <row r="5299" spans="1:15" ht="15" customHeight="1" x14ac:dyDescent="0.25">
      <c r="A5299" s="2"/>
      <c r="B5299" s="2"/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</row>
    <row r="5300" spans="1:15" ht="15" customHeight="1" x14ac:dyDescent="0.25">
      <c r="A5300" s="3"/>
      <c r="B5300" s="3"/>
      <c r="C5300" s="3"/>
      <c r="D5300" s="3"/>
      <c r="E5300" s="3"/>
      <c r="F5300" s="3"/>
      <c r="G5300" s="3"/>
      <c r="H5300" s="3"/>
      <c r="I5300" s="3"/>
      <c r="J5300" s="3"/>
      <c r="K5300" s="3"/>
      <c r="L5300" s="3"/>
      <c r="M5300" s="3"/>
      <c r="N5300" s="3"/>
      <c r="O5300" s="3"/>
    </row>
    <row r="5301" spans="1:15" ht="15" customHeight="1" x14ac:dyDescent="0.25">
      <c r="A5301" s="2"/>
      <c r="B5301" s="2"/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</row>
    <row r="5302" spans="1:15" ht="15" customHeight="1" x14ac:dyDescent="0.25">
      <c r="A5302" s="3"/>
      <c r="B5302" s="3"/>
      <c r="C5302" s="3"/>
      <c r="D5302" s="3"/>
      <c r="E5302" s="3"/>
      <c r="F5302" s="3"/>
      <c r="G5302" s="3"/>
      <c r="H5302" s="3"/>
      <c r="I5302" s="3"/>
      <c r="J5302" s="3"/>
      <c r="K5302" s="3"/>
      <c r="L5302" s="3"/>
      <c r="M5302" s="3"/>
      <c r="N5302" s="3"/>
      <c r="O5302" s="3"/>
    </row>
    <row r="5303" spans="1:15" ht="15" customHeight="1" x14ac:dyDescent="0.25">
      <c r="A5303" s="2"/>
      <c r="B5303" s="2"/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</row>
    <row r="5304" spans="1:15" ht="15" customHeight="1" x14ac:dyDescent="0.25">
      <c r="A5304" s="3"/>
      <c r="B5304" s="3"/>
      <c r="C5304" s="3"/>
      <c r="D5304" s="3"/>
      <c r="E5304" s="3"/>
      <c r="F5304" s="3"/>
      <c r="G5304" s="3"/>
      <c r="H5304" s="3"/>
      <c r="I5304" s="3"/>
      <c r="J5304" s="3"/>
      <c r="K5304" s="3"/>
      <c r="L5304" s="3"/>
      <c r="M5304" s="3"/>
      <c r="N5304" s="3"/>
      <c r="O5304" s="3"/>
    </row>
    <row r="5305" spans="1:15" ht="15" customHeight="1" x14ac:dyDescent="0.25">
      <c r="A5305" s="2"/>
      <c r="B5305" s="2"/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</row>
    <row r="5306" spans="1:15" ht="15" customHeight="1" x14ac:dyDescent="0.25">
      <c r="A5306" s="3"/>
      <c r="B5306" s="3"/>
      <c r="C5306" s="3"/>
      <c r="D5306" s="3"/>
      <c r="E5306" s="3"/>
      <c r="F5306" s="3"/>
      <c r="G5306" s="3"/>
      <c r="H5306" s="3"/>
      <c r="I5306" s="3"/>
      <c r="J5306" s="3"/>
      <c r="K5306" s="3"/>
      <c r="L5306" s="3"/>
      <c r="M5306" s="3"/>
      <c r="N5306" s="3"/>
      <c r="O5306" s="3"/>
    </row>
    <row r="5307" spans="1:15" ht="15" customHeight="1" x14ac:dyDescent="0.25">
      <c r="A5307" s="2"/>
      <c r="B5307" s="2"/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</row>
    <row r="5308" spans="1:15" ht="15" customHeight="1" x14ac:dyDescent="0.25">
      <c r="A5308" s="3"/>
      <c r="B5308" s="3"/>
      <c r="C5308" s="3"/>
      <c r="D5308" s="3"/>
      <c r="E5308" s="3"/>
      <c r="F5308" s="3"/>
      <c r="G5308" s="3"/>
      <c r="H5308" s="3"/>
      <c r="I5308" s="3"/>
      <c r="J5308" s="3"/>
      <c r="K5308" s="3"/>
      <c r="L5308" s="3"/>
      <c r="M5308" s="3"/>
      <c r="N5308" s="3"/>
      <c r="O5308" s="3"/>
    </row>
    <row r="5309" spans="1:15" ht="15" customHeight="1" x14ac:dyDescent="0.25">
      <c r="A5309" s="2"/>
      <c r="B5309" s="2"/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</row>
    <row r="5310" spans="1:15" ht="15" customHeight="1" x14ac:dyDescent="0.25">
      <c r="A5310" s="3"/>
      <c r="B5310" s="3"/>
      <c r="C5310" s="3"/>
      <c r="D5310" s="3"/>
      <c r="E5310" s="3"/>
      <c r="F5310" s="3"/>
      <c r="G5310" s="3"/>
      <c r="H5310" s="3"/>
      <c r="I5310" s="3"/>
      <c r="J5310" s="3"/>
      <c r="K5310" s="3"/>
      <c r="L5310" s="3"/>
      <c r="M5310" s="3"/>
      <c r="N5310" s="3"/>
      <c r="O5310" s="3"/>
    </row>
    <row r="5311" spans="1:15" ht="15" customHeight="1" x14ac:dyDescent="0.25">
      <c r="A5311" s="2"/>
      <c r="B5311" s="2"/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</row>
    <row r="5312" spans="1:15" ht="15" customHeight="1" x14ac:dyDescent="0.25">
      <c r="A5312" s="3"/>
      <c r="B5312" s="3"/>
      <c r="C5312" s="3"/>
      <c r="D5312" s="3"/>
      <c r="E5312" s="3"/>
      <c r="F5312" s="3"/>
      <c r="G5312" s="3"/>
      <c r="H5312" s="3"/>
      <c r="I5312" s="3"/>
      <c r="J5312" s="3"/>
      <c r="K5312" s="3"/>
      <c r="L5312" s="3"/>
      <c r="M5312" s="3"/>
      <c r="N5312" s="3"/>
      <c r="O5312" s="3"/>
    </row>
    <row r="5313" spans="1:15" ht="15" customHeight="1" x14ac:dyDescent="0.25">
      <c r="A5313" s="2"/>
      <c r="B5313" s="2"/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</row>
    <row r="5314" spans="1:15" ht="15" customHeight="1" x14ac:dyDescent="0.25">
      <c r="A5314" s="3"/>
      <c r="B5314" s="3"/>
      <c r="C5314" s="3"/>
      <c r="D5314" s="3"/>
      <c r="E5314" s="3"/>
      <c r="F5314" s="3"/>
      <c r="G5314" s="3"/>
      <c r="H5314" s="3"/>
      <c r="I5314" s="3"/>
      <c r="J5314" s="3"/>
      <c r="K5314" s="3"/>
      <c r="L5314" s="3"/>
      <c r="M5314" s="3"/>
      <c r="N5314" s="3"/>
      <c r="O5314" s="3"/>
    </row>
    <row r="5315" spans="1:15" ht="15" customHeight="1" x14ac:dyDescent="0.25">
      <c r="A5315" s="2"/>
      <c r="B5315" s="2"/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</row>
    <row r="5316" spans="1:15" ht="15" customHeight="1" x14ac:dyDescent="0.25">
      <c r="A5316" s="3"/>
      <c r="B5316" s="3"/>
      <c r="C5316" s="3"/>
      <c r="D5316" s="3"/>
      <c r="E5316" s="3"/>
      <c r="F5316" s="3"/>
      <c r="G5316" s="3"/>
      <c r="H5316" s="3"/>
      <c r="I5316" s="3"/>
      <c r="J5316" s="3"/>
      <c r="K5316" s="3"/>
      <c r="L5316" s="3"/>
      <c r="M5316" s="3"/>
      <c r="N5316" s="3"/>
      <c r="O5316" s="3"/>
    </row>
    <row r="5317" spans="1:15" ht="15" customHeight="1" x14ac:dyDescent="0.25">
      <c r="A5317" s="2"/>
      <c r="B5317" s="2"/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</row>
    <row r="5318" spans="1:15" ht="15" customHeight="1" x14ac:dyDescent="0.25">
      <c r="A5318" s="3"/>
      <c r="B5318" s="3"/>
      <c r="C5318" s="3"/>
      <c r="D5318" s="3"/>
      <c r="E5318" s="3"/>
      <c r="F5318" s="3"/>
      <c r="G5318" s="3"/>
      <c r="H5318" s="3"/>
      <c r="I5318" s="3"/>
      <c r="J5318" s="3"/>
      <c r="K5318" s="3"/>
      <c r="L5318" s="3"/>
      <c r="M5318" s="3"/>
      <c r="N5318" s="3"/>
      <c r="O5318" s="3"/>
    </row>
    <row r="5319" spans="1:15" ht="15" customHeight="1" x14ac:dyDescent="0.25">
      <c r="A5319" s="2"/>
      <c r="B5319" s="2"/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</row>
    <row r="5320" spans="1:15" ht="15" customHeight="1" x14ac:dyDescent="0.25">
      <c r="A5320" s="3"/>
      <c r="B5320" s="3"/>
      <c r="C5320" s="3"/>
      <c r="D5320" s="3"/>
      <c r="E5320" s="3"/>
      <c r="F5320" s="3"/>
      <c r="G5320" s="3"/>
      <c r="H5320" s="3"/>
      <c r="I5320" s="3"/>
      <c r="J5320" s="3"/>
      <c r="K5320" s="3"/>
      <c r="L5320" s="3"/>
      <c r="M5320" s="3"/>
      <c r="N5320" s="3"/>
      <c r="O5320" s="3"/>
    </row>
    <row r="5321" spans="1:15" ht="15" customHeight="1" x14ac:dyDescent="0.25">
      <c r="A5321" s="2"/>
      <c r="B5321" s="2"/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</row>
    <row r="5322" spans="1:15" ht="15" customHeight="1" x14ac:dyDescent="0.25">
      <c r="A5322" s="3"/>
      <c r="B5322" s="3"/>
      <c r="C5322" s="3"/>
      <c r="D5322" s="3"/>
      <c r="E5322" s="3"/>
      <c r="F5322" s="3"/>
      <c r="G5322" s="3"/>
      <c r="H5322" s="3"/>
      <c r="I5322" s="3"/>
      <c r="J5322" s="3"/>
      <c r="K5322" s="3"/>
      <c r="L5322" s="3"/>
      <c r="M5322" s="3"/>
      <c r="N5322" s="3"/>
      <c r="O5322" s="3"/>
    </row>
    <row r="5323" spans="1:15" ht="15" customHeight="1" x14ac:dyDescent="0.25">
      <c r="A5323" s="2"/>
      <c r="B5323" s="2"/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</row>
    <row r="5324" spans="1:15" ht="15" customHeight="1" x14ac:dyDescent="0.25">
      <c r="A5324" s="3"/>
      <c r="B5324" s="3"/>
      <c r="C5324" s="3"/>
      <c r="D5324" s="3"/>
      <c r="E5324" s="3"/>
      <c r="F5324" s="3"/>
      <c r="G5324" s="3"/>
      <c r="H5324" s="3"/>
      <c r="I5324" s="3"/>
      <c r="J5324" s="3"/>
      <c r="K5324" s="3"/>
      <c r="L5324" s="3"/>
      <c r="M5324" s="3"/>
      <c r="N5324" s="3"/>
      <c r="O5324" s="3"/>
    </row>
    <row r="5325" spans="1:15" ht="15" customHeight="1" x14ac:dyDescent="0.25">
      <c r="A5325" s="2"/>
      <c r="B5325" s="2"/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</row>
    <row r="5326" spans="1:15" ht="15" customHeight="1" x14ac:dyDescent="0.25">
      <c r="A5326" s="3"/>
      <c r="B5326" s="3"/>
      <c r="C5326" s="3"/>
      <c r="D5326" s="3"/>
      <c r="E5326" s="3"/>
      <c r="F5326" s="3"/>
      <c r="G5326" s="3"/>
      <c r="H5326" s="3"/>
      <c r="I5326" s="3"/>
      <c r="J5326" s="3"/>
      <c r="K5326" s="3"/>
      <c r="L5326" s="3"/>
      <c r="M5326" s="3"/>
      <c r="N5326" s="3"/>
      <c r="O5326" s="3"/>
    </row>
    <row r="5327" spans="1:15" ht="15" customHeight="1" x14ac:dyDescent="0.25">
      <c r="A5327" s="2"/>
      <c r="B5327" s="2"/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</row>
    <row r="5328" spans="1:15" ht="15" customHeight="1" x14ac:dyDescent="0.25">
      <c r="A5328" s="3"/>
      <c r="B5328" s="3"/>
      <c r="C5328" s="3"/>
      <c r="D5328" s="3"/>
      <c r="E5328" s="3"/>
      <c r="F5328" s="3"/>
      <c r="G5328" s="3"/>
      <c r="H5328" s="3"/>
      <c r="I5328" s="3"/>
      <c r="J5328" s="3"/>
      <c r="K5328" s="3"/>
      <c r="L5328" s="3"/>
      <c r="M5328" s="3"/>
      <c r="N5328" s="3"/>
      <c r="O5328" s="3"/>
    </row>
    <row r="5329" spans="1:15" ht="15" customHeight="1" x14ac:dyDescent="0.25">
      <c r="A5329" s="2"/>
      <c r="B5329" s="2"/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</row>
    <row r="5330" spans="1:15" ht="15" customHeight="1" x14ac:dyDescent="0.25">
      <c r="A5330" s="3"/>
      <c r="B5330" s="3"/>
      <c r="C5330" s="3"/>
      <c r="D5330" s="3"/>
      <c r="E5330" s="3"/>
      <c r="F5330" s="3"/>
      <c r="G5330" s="3"/>
      <c r="H5330" s="3"/>
      <c r="I5330" s="3"/>
      <c r="J5330" s="3"/>
      <c r="K5330" s="3"/>
      <c r="L5330" s="3"/>
      <c r="M5330" s="3"/>
      <c r="N5330" s="3"/>
      <c r="O5330" s="3"/>
    </row>
    <row r="5331" spans="1:15" ht="15" customHeight="1" x14ac:dyDescent="0.25">
      <c r="A5331" s="2"/>
      <c r="B5331" s="2"/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</row>
    <row r="5332" spans="1:15" ht="15" customHeight="1" x14ac:dyDescent="0.25">
      <c r="A5332" s="3"/>
      <c r="B5332" s="3"/>
      <c r="C5332" s="3"/>
      <c r="D5332" s="3"/>
      <c r="E5332" s="3"/>
      <c r="F5332" s="3"/>
      <c r="G5332" s="3"/>
      <c r="H5332" s="3"/>
      <c r="I5332" s="3"/>
      <c r="J5332" s="3"/>
      <c r="K5332" s="3"/>
      <c r="L5332" s="3"/>
      <c r="M5332" s="3"/>
      <c r="N5332" s="3"/>
      <c r="O5332" s="3"/>
    </row>
    <row r="5333" spans="1:15" ht="15" customHeight="1" x14ac:dyDescent="0.25">
      <c r="A5333" s="2"/>
      <c r="B5333" s="2"/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</row>
    <row r="5334" spans="1:15" ht="15" customHeight="1" x14ac:dyDescent="0.25">
      <c r="A5334" s="3"/>
      <c r="B5334" s="3"/>
      <c r="C5334" s="3"/>
      <c r="D5334" s="3"/>
      <c r="E5334" s="3"/>
      <c r="F5334" s="3"/>
      <c r="G5334" s="3"/>
      <c r="H5334" s="3"/>
      <c r="I5334" s="3"/>
      <c r="J5334" s="3"/>
      <c r="K5334" s="3"/>
      <c r="L5334" s="3"/>
      <c r="M5334" s="3"/>
      <c r="N5334" s="3"/>
      <c r="O5334" s="3"/>
    </row>
    <row r="5335" spans="1:15" ht="15" customHeight="1" x14ac:dyDescent="0.25">
      <c r="A5335" s="2"/>
      <c r="B5335" s="2"/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</row>
    <row r="5336" spans="1:15" ht="15" customHeight="1" x14ac:dyDescent="0.25">
      <c r="A5336" s="3"/>
      <c r="B5336" s="3"/>
      <c r="C5336" s="3"/>
      <c r="D5336" s="3"/>
      <c r="E5336" s="3"/>
      <c r="F5336" s="3"/>
      <c r="G5336" s="3"/>
      <c r="H5336" s="3"/>
      <c r="I5336" s="3"/>
      <c r="J5336" s="3"/>
      <c r="K5336" s="3"/>
      <c r="L5336" s="3"/>
      <c r="M5336" s="3"/>
      <c r="N5336" s="3"/>
      <c r="O5336" s="3"/>
    </row>
    <row r="5337" spans="1:15" ht="15" customHeight="1" x14ac:dyDescent="0.25">
      <c r="A5337" s="2"/>
      <c r="B5337" s="2"/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</row>
    <row r="5338" spans="1:15" ht="15" customHeight="1" x14ac:dyDescent="0.25">
      <c r="A5338" s="3"/>
      <c r="B5338" s="3"/>
      <c r="C5338" s="3"/>
      <c r="D5338" s="3"/>
      <c r="E5338" s="3"/>
      <c r="F5338" s="3"/>
      <c r="G5338" s="3"/>
      <c r="H5338" s="3"/>
      <c r="I5338" s="3"/>
      <c r="J5338" s="3"/>
      <c r="K5338" s="3"/>
      <c r="L5338" s="3"/>
      <c r="M5338" s="3"/>
      <c r="N5338" s="3"/>
      <c r="O5338" s="3"/>
    </row>
    <row r="5339" spans="1:15" ht="15" customHeight="1" x14ac:dyDescent="0.25">
      <c r="A5339" s="2"/>
      <c r="B5339" s="2"/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</row>
    <row r="5340" spans="1:15" ht="15" customHeight="1" x14ac:dyDescent="0.25">
      <c r="A5340" s="3"/>
      <c r="B5340" s="3"/>
      <c r="C5340" s="3"/>
      <c r="D5340" s="3"/>
      <c r="E5340" s="3"/>
      <c r="F5340" s="3"/>
      <c r="G5340" s="3"/>
      <c r="H5340" s="3"/>
      <c r="I5340" s="3"/>
      <c r="J5340" s="3"/>
      <c r="K5340" s="3"/>
      <c r="L5340" s="3"/>
      <c r="M5340" s="3"/>
      <c r="N5340" s="3"/>
      <c r="O5340" s="3"/>
    </row>
    <row r="5341" spans="1:15" ht="15" customHeight="1" x14ac:dyDescent="0.25">
      <c r="A5341" s="2"/>
      <c r="B5341" s="2"/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</row>
    <row r="5342" spans="1:15" ht="15" customHeight="1" x14ac:dyDescent="0.25">
      <c r="A5342" s="3"/>
      <c r="B5342" s="3"/>
      <c r="C5342" s="3"/>
      <c r="D5342" s="3"/>
      <c r="E5342" s="3"/>
      <c r="F5342" s="3"/>
      <c r="G5342" s="3"/>
      <c r="H5342" s="3"/>
      <c r="I5342" s="3"/>
      <c r="J5342" s="3"/>
      <c r="K5342" s="3"/>
      <c r="L5342" s="3"/>
      <c r="M5342" s="3"/>
      <c r="N5342" s="3"/>
      <c r="O5342" s="3"/>
    </row>
    <row r="5343" spans="1:15" ht="15" customHeight="1" x14ac:dyDescent="0.25">
      <c r="A5343" s="2"/>
      <c r="B5343" s="2"/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</row>
    <row r="5344" spans="1:15" ht="15" customHeight="1" x14ac:dyDescent="0.25">
      <c r="A5344" s="3"/>
      <c r="B5344" s="3"/>
      <c r="C5344" s="3"/>
      <c r="D5344" s="3"/>
      <c r="E5344" s="3"/>
      <c r="F5344" s="3"/>
      <c r="G5344" s="3"/>
      <c r="H5344" s="3"/>
      <c r="I5344" s="3"/>
      <c r="J5344" s="3"/>
      <c r="K5344" s="3"/>
      <c r="L5344" s="3"/>
      <c r="M5344" s="3"/>
      <c r="N5344" s="3"/>
      <c r="O5344" s="3"/>
    </row>
    <row r="5345" spans="1:15" ht="15" customHeight="1" x14ac:dyDescent="0.25">
      <c r="A5345" s="2"/>
      <c r="B5345" s="2"/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</row>
    <row r="5346" spans="1:15" ht="15" customHeight="1" x14ac:dyDescent="0.25">
      <c r="A5346" s="3"/>
      <c r="B5346" s="3"/>
      <c r="C5346" s="3"/>
      <c r="D5346" s="3"/>
      <c r="E5346" s="3"/>
      <c r="F5346" s="3"/>
      <c r="G5346" s="3"/>
      <c r="H5346" s="3"/>
      <c r="I5346" s="3"/>
      <c r="J5346" s="3"/>
      <c r="K5346" s="3"/>
      <c r="L5346" s="3"/>
      <c r="M5346" s="3"/>
      <c r="N5346" s="3"/>
      <c r="O5346" s="3"/>
    </row>
    <row r="5347" spans="1:15" ht="15" customHeight="1" x14ac:dyDescent="0.25">
      <c r="A5347" s="2"/>
      <c r="B5347" s="2"/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</row>
    <row r="5348" spans="1:15" ht="15" customHeight="1" x14ac:dyDescent="0.25">
      <c r="A5348" s="3"/>
      <c r="B5348" s="3"/>
      <c r="C5348" s="3"/>
      <c r="D5348" s="3"/>
      <c r="E5348" s="3"/>
      <c r="F5348" s="3"/>
      <c r="G5348" s="3"/>
      <c r="H5348" s="3"/>
      <c r="I5348" s="3"/>
      <c r="J5348" s="3"/>
      <c r="K5348" s="3"/>
      <c r="L5348" s="3"/>
      <c r="M5348" s="3"/>
      <c r="N5348" s="3"/>
      <c r="O5348" s="3"/>
    </row>
    <row r="5349" spans="1:15" ht="15" customHeight="1" x14ac:dyDescent="0.25">
      <c r="A5349" s="2"/>
      <c r="B5349" s="2"/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</row>
    <row r="5350" spans="1:15" ht="15" customHeight="1" x14ac:dyDescent="0.25">
      <c r="A5350" s="3"/>
      <c r="B5350" s="3"/>
      <c r="C5350" s="3"/>
      <c r="D5350" s="3"/>
      <c r="E5350" s="3"/>
      <c r="F5350" s="3"/>
      <c r="G5350" s="3"/>
      <c r="H5350" s="3"/>
      <c r="I5350" s="3"/>
      <c r="J5350" s="3"/>
      <c r="K5350" s="3"/>
      <c r="L5350" s="3"/>
      <c r="M5350" s="3"/>
      <c r="N5350" s="3"/>
      <c r="O5350" s="3"/>
    </row>
    <row r="5351" spans="1:15" ht="15" customHeight="1" x14ac:dyDescent="0.25">
      <c r="A5351" s="2"/>
      <c r="B5351" s="2"/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</row>
    <row r="5352" spans="1:15" ht="15" customHeight="1" x14ac:dyDescent="0.25">
      <c r="A5352" s="3"/>
      <c r="B5352" s="3"/>
      <c r="C5352" s="3"/>
      <c r="D5352" s="3"/>
      <c r="E5352" s="3"/>
      <c r="F5352" s="3"/>
      <c r="G5352" s="3"/>
      <c r="H5352" s="3"/>
      <c r="I5352" s="3"/>
      <c r="J5352" s="3"/>
      <c r="K5352" s="3"/>
      <c r="L5352" s="3"/>
      <c r="M5352" s="3"/>
      <c r="N5352" s="3"/>
      <c r="O5352" s="3"/>
    </row>
    <row r="5353" spans="1:15" ht="15" customHeight="1" x14ac:dyDescent="0.25">
      <c r="A5353" s="2"/>
      <c r="B5353" s="2"/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</row>
    <row r="5354" spans="1:15" ht="15" customHeight="1" x14ac:dyDescent="0.25">
      <c r="A5354" s="3"/>
      <c r="B5354" s="3"/>
      <c r="C5354" s="3"/>
      <c r="D5354" s="3"/>
      <c r="E5354" s="3"/>
      <c r="F5354" s="3"/>
      <c r="G5354" s="3"/>
      <c r="H5354" s="3"/>
      <c r="I5354" s="3"/>
      <c r="J5354" s="3"/>
      <c r="K5354" s="3"/>
      <c r="L5354" s="3"/>
      <c r="M5354" s="3"/>
      <c r="N5354" s="3"/>
      <c r="O5354" s="3"/>
    </row>
    <row r="5355" spans="1:15" ht="15" customHeight="1" x14ac:dyDescent="0.25">
      <c r="A5355" s="2"/>
      <c r="B5355" s="2"/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</row>
    <row r="5356" spans="1:15" ht="15" customHeight="1" x14ac:dyDescent="0.25">
      <c r="A5356" s="3"/>
      <c r="B5356" s="3"/>
      <c r="C5356" s="3"/>
      <c r="D5356" s="3"/>
      <c r="E5356" s="3"/>
      <c r="F5356" s="3"/>
      <c r="G5356" s="3"/>
      <c r="H5356" s="3"/>
      <c r="I5356" s="3"/>
      <c r="J5356" s="3"/>
      <c r="K5356" s="3"/>
      <c r="L5356" s="3"/>
      <c r="M5356" s="3"/>
      <c r="N5356" s="3"/>
      <c r="O5356" s="3"/>
    </row>
    <row r="5357" spans="1:15" ht="15" customHeight="1" x14ac:dyDescent="0.25">
      <c r="A5357" s="2"/>
      <c r="B5357" s="2"/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</row>
    <row r="5358" spans="1:15" ht="15" customHeight="1" x14ac:dyDescent="0.25">
      <c r="A5358" s="3"/>
      <c r="B5358" s="3"/>
      <c r="C5358" s="3"/>
      <c r="D5358" s="3"/>
      <c r="E5358" s="3"/>
      <c r="F5358" s="3"/>
      <c r="G5358" s="3"/>
      <c r="H5358" s="3"/>
      <c r="I5358" s="3"/>
      <c r="J5358" s="3"/>
      <c r="K5358" s="3"/>
      <c r="L5358" s="3"/>
      <c r="M5358" s="3"/>
      <c r="N5358" s="3"/>
      <c r="O5358" s="3"/>
    </row>
    <row r="5359" spans="1:15" ht="15" customHeight="1" x14ac:dyDescent="0.25">
      <c r="A5359" s="2"/>
      <c r="B5359" s="2"/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</row>
    <row r="5360" spans="1:15" ht="15" customHeight="1" x14ac:dyDescent="0.25">
      <c r="A5360" s="3"/>
      <c r="B5360" s="3"/>
      <c r="C5360" s="3"/>
      <c r="D5360" s="3"/>
      <c r="E5360" s="3"/>
      <c r="F5360" s="3"/>
      <c r="G5360" s="3"/>
      <c r="H5360" s="3"/>
      <c r="I5360" s="3"/>
      <c r="J5360" s="3"/>
      <c r="K5360" s="3"/>
      <c r="L5360" s="3"/>
      <c r="M5360" s="3"/>
      <c r="N5360" s="3"/>
      <c r="O5360" s="3"/>
    </row>
    <row r="5361" spans="1:15" ht="15" customHeight="1" x14ac:dyDescent="0.25">
      <c r="A5361" s="2"/>
      <c r="B5361" s="2"/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</row>
    <row r="5362" spans="1:15" ht="15" customHeight="1" x14ac:dyDescent="0.25">
      <c r="A5362" s="3"/>
      <c r="B5362" s="3"/>
      <c r="C5362" s="3"/>
      <c r="D5362" s="3"/>
      <c r="E5362" s="3"/>
      <c r="F5362" s="3"/>
      <c r="G5362" s="3"/>
      <c r="H5362" s="3"/>
      <c r="I5362" s="3"/>
      <c r="J5362" s="3"/>
      <c r="K5362" s="3"/>
      <c r="L5362" s="3"/>
      <c r="M5362" s="3"/>
      <c r="N5362" s="3"/>
      <c r="O5362" s="3"/>
    </row>
    <row r="5363" spans="1:15" ht="15" customHeight="1" x14ac:dyDescent="0.25">
      <c r="A5363" s="2"/>
      <c r="B5363" s="2"/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</row>
    <row r="5364" spans="1:15" ht="15" customHeight="1" x14ac:dyDescent="0.25">
      <c r="A5364" s="3"/>
      <c r="B5364" s="3"/>
      <c r="C5364" s="3"/>
      <c r="D5364" s="3"/>
      <c r="E5364" s="3"/>
      <c r="F5364" s="3"/>
      <c r="G5364" s="3"/>
      <c r="H5364" s="3"/>
      <c r="I5364" s="3"/>
      <c r="J5364" s="3"/>
      <c r="K5364" s="3"/>
      <c r="L5364" s="3"/>
      <c r="M5364" s="3"/>
      <c r="N5364" s="3"/>
      <c r="O5364" s="3"/>
    </row>
    <row r="5365" spans="1:15" ht="15" customHeight="1" x14ac:dyDescent="0.25">
      <c r="A5365" s="2"/>
      <c r="B5365" s="2"/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</row>
    <row r="5366" spans="1:15" ht="15" customHeight="1" x14ac:dyDescent="0.25">
      <c r="A5366" s="3"/>
      <c r="B5366" s="3"/>
      <c r="C5366" s="3"/>
      <c r="D5366" s="3"/>
      <c r="E5366" s="3"/>
      <c r="F5366" s="3"/>
      <c r="G5366" s="3"/>
      <c r="H5366" s="3"/>
      <c r="I5366" s="3"/>
      <c r="J5366" s="3"/>
      <c r="K5366" s="3"/>
      <c r="L5366" s="3"/>
      <c r="M5366" s="3"/>
      <c r="N5366" s="3"/>
      <c r="O5366" s="3"/>
    </row>
    <row r="5367" spans="1:15" ht="15" customHeight="1" x14ac:dyDescent="0.25">
      <c r="A5367" s="2"/>
      <c r="B5367" s="2"/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</row>
    <row r="5368" spans="1:15" ht="15" customHeight="1" x14ac:dyDescent="0.25">
      <c r="A5368" s="3"/>
      <c r="B5368" s="3"/>
      <c r="C5368" s="3"/>
      <c r="D5368" s="3"/>
      <c r="E5368" s="3"/>
      <c r="F5368" s="3"/>
      <c r="G5368" s="3"/>
      <c r="H5368" s="3"/>
      <c r="I5368" s="3"/>
      <c r="J5368" s="3"/>
      <c r="K5368" s="3"/>
      <c r="L5368" s="3"/>
      <c r="M5368" s="3"/>
      <c r="N5368" s="3"/>
      <c r="O5368" s="3"/>
    </row>
    <row r="5369" spans="1:15" ht="15" customHeight="1" x14ac:dyDescent="0.25">
      <c r="A5369" s="2"/>
      <c r="B5369" s="2"/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</row>
    <row r="5370" spans="1:15" ht="15" customHeight="1" x14ac:dyDescent="0.25">
      <c r="A5370" s="3"/>
      <c r="B5370" s="3"/>
      <c r="C5370" s="3"/>
      <c r="D5370" s="3"/>
      <c r="E5370" s="3"/>
      <c r="F5370" s="3"/>
      <c r="G5370" s="3"/>
      <c r="H5370" s="3"/>
      <c r="I5370" s="3"/>
      <c r="J5370" s="3"/>
      <c r="K5370" s="3"/>
      <c r="L5370" s="3"/>
      <c r="M5370" s="3"/>
      <c r="N5370" s="3"/>
      <c r="O5370" s="3"/>
    </row>
    <row r="5371" spans="1:15" ht="15" customHeight="1" x14ac:dyDescent="0.25">
      <c r="A5371" s="2"/>
      <c r="B5371" s="2"/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</row>
    <row r="5372" spans="1:15" ht="15" customHeight="1" x14ac:dyDescent="0.25">
      <c r="A5372" s="3"/>
      <c r="B5372" s="3"/>
      <c r="C5372" s="3"/>
      <c r="D5372" s="3"/>
      <c r="E5372" s="3"/>
      <c r="F5372" s="3"/>
      <c r="G5372" s="3"/>
      <c r="H5372" s="3"/>
      <c r="I5372" s="3"/>
      <c r="J5372" s="3"/>
      <c r="K5372" s="3"/>
      <c r="L5372" s="3"/>
      <c r="M5372" s="3"/>
      <c r="N5372" s="3"/>
      <c r="O5372" s="3"/>
    </row>
    <row r="5373" spans="1:15" ht="15" customHeight="1" x14ac:dyDescent="0.25">
      <c r="A5373" s="2"/>
      <c r="B5373" s="2"/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</row>
    <row r="5374" spans="1:15" ht="15" customHeight="1" x14ac:dyDescent="0.25">
      <c r="A5374" s="3"/>
      <c r="B5374" s="3"/>
      <c r="C5374" s="3"/>
      <c r="D5374" s="3"/>
      <c r="E5374" s="3"/>
      <c r="F5374" s="3"/>
      <c r="G5374" s="3"/>
      <c r="H5374" s="3"/>
      <c r="I5374" s="3"/>
      <c r="J5374" s="3"/>
      <c r="K5374" s="3"/>
      <c r="L5374" s="3"/>
      <c r="M5374" s="3"/>
      <c r="N5374" s="3"/>
      <c r="O5374" s="3"/>
    </row>
    <row r="5375" spans="1:15" ht="15" customHeight="1" x14ac:dyDescent="0.25">
      <c r="A5375" s="2"/>
      <c r="B5375" s="2"/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</row>
    <row r="5376" spans="1:15" ht="15" customHeight="1" x14ac:dyDescent="0.25">
      <c r="A5376" s="3"/>
      <c r="B5376" s="3"/>
      <c r="C5376" s="3"/>
      <c r="D5376" s="3"/>
      <c r="E5376" s="3"/>
      <c r="F5376" s="3"/>
      <c r="G5376" s="3"/>
      <c r="H5376" s="3"/>
      <c r="I5376" s="3"/>
      <c r="J5376" s="3"/>
      <c r="K5376" s="3"/>
      <c r="L5376" s="3"/>
      <c r="M5376" s="3"/>
      <c r="N5376" s="3"/>
      <c r="O5376" s="3"/>
    </row>
    <row r="5377" spans="1:15" ht="15" customHeight="1" x14ac:dyDescent="0.25">
      <c r="A5377" s="2"/>
      <c r="B5377" s="2"/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</row>
    <row r="5378" spans="1:15" ht="15" customHeight="1" x14ac:dyDescent="0.25">
      <c r="A5378" s="3"/>
      <c r="B5378" s="3"/>
      <c r="C5378" s="3"/>
      <c r="D5378" s="3"/>
      <c r="E5378" s="3"/>
      <c r="F5378" s="3"/>
      <c r="G5378" s="3"/>
      <c r="H5378" s="3"/>
      <c r="I5378" s="3"/>
      <c r="J5378" s="3"/>
      <c r="K5378" s="3"/>
      <c r="L5378" s="3"/>
      <c r="M5378" s="3"/>
      <c r="N5378" s="3"/>
      <c r="O5378" s="3"/>
    </row>
    <row r="5379" spans="1:15" ht="15" customHeight="1" x14ac:dyDescent="0.25">
      <c r="A5379" s="2"/>
      <c r="B5379" s="2"/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</row>
    <row r="5380" spans="1:15" ht="15" customHeight="1" x14ac:dyDescent="0.25">
      <c r="A5380" s="3"/>
      <c r="B5380" s="3"/>
      <c r="C5380" s="3"/>
      <c r="D5380" s="3"/>
      <c r="E5380" s="3"/>
      <c r="F5380" s="3"/>
      <c r="G5380" s="3"/>
      <c r="H5380" s="3"/>
      <c r="I5380" s="3"/>
      <c r="J5380" s="3"/>
      <c r="K5380" s="3"/>
      <c r="L5380" s="3"/>
      <c r="M5380" s="3"/>
      <c r="N5380" s="3"/>
      <c r="O5380" s="3"/>
    </row>
    <row r="5381" spans="1:15" ht="15" customHeight="1" x14ac:dyDescent="0.25">
      <c r="A5381" s="2"/>
      <c r="B5381" s="2"/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</row>
    <row r="5382" spans="1:15" ht="15" customHeight="1" x14ac:dyDescent="0.25">
      <c r="A5382" s="3"/>
      <c r="B5382" s="3"/>
      <c r="C5382" s="3"/>
      <c r="D5382" s="3"/>
      <c r="E5382" s="3"/>
      <c r="F5382" s="3"/>
      <c r="G5382" s="3"/>
      <c r="H5382" s="3"/>
      <c r="I5382" s="3"/>
      <c r="J5382" s="3"/>
      <c r="K5382" s="3"/>
      <c r="L5382" s="3"/>
      <c r="M5382" s="3"/>
      <c r="N5382" s="3"/>
      <c r="O5382" s="3"/>
    </row>
    <row r="5383" spans="1:15" ht="15" customHeight="1" x14ac:dyDescent="0.25">
      <c r="A5383" s="2"/>
      <c r="B5383" s="2"/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</row>
    <row r="5384" spans="1:15" ht="15" customHeight="1" x14ac:dyDescent="0.25">
      <c r="A5384" s="3"/>
      <c r="B5384" s="3"/>
      <c r="C5384" s="3"/>
      <c r="D5384" s="3"/>
      <c r="E5384" s="3"/>
      <c r="F5384" s="3"/>
      <c r="G5384" s="3"/>
      <c r="H5384" s="3"/>
      <c r="I5384" s="3"/>
      <c r="J5384" s="3"/>
      <c r="K5384" s="3"/>
      <c r="L5384" s="3"/>
      <c r="M5384" s="3"/>
      <c r="N5384" s="3"/>
      <c r="O5384" s="3"/>
    </row>
    <row r="5385" spans="1:15" ht="15" customHeight="1" x14ac:dyDescent="0.25">
      <c r="A5385" s="2"/>
      <c r="B5385" s="2"/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</row>
    <row r="5386" spans="1:15" ht="15" customHeight="1" x14ac:dyDescent="0.25">
      <c r="A5386" s="3"/>
      <c r="B5386" s="3"/>
      <c r="C5386" s="3"/>
      <c r="D5386" s="3"/>
      <c r="E5386" s="3"/>
      <c r="F5386" s="3"/>
      <c r="G5386" s="3"/>
      <c r="H5386" s="3"/>
      <c r="I5386" s="3"/>
      <c r="J5386" s="3"/>
      <c r="K5386" s="3"/>
      <c r="L5386" s="3"/>
      <c r="M5386" s="3"/>
      <c r="N5386" s="3"/>
      <c r="O5386" s="3"/>
    </row>
    <row r="5387" spans="1:15" ht="15" customHeight="1" x14ac:dyDescent="0.25">
      <c r="A5387" s="2"/>
      <c r="B5387" s="2"/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</row>
    <row r="5388" spans="1:15" ht="15" customHeight="1" x14ac:dyDescent="0.25">
      <c r="A5388" s="3"/>
      <c r="B5388" s="3"/>
      <c r="C5388" s="3"/>
      <c r="D5388" s="3"/>
      <c r="E5388" s="3"/>
      <c r="F5388" s="3"/>
      <c r="G5388" s="3"/>
      <c r="H5388" s="3"/>
      <c r="I5388" s="3"/>
      <c r="J5388" s="3"/>
      <c r="K5388" s="3"/>
      <c r="L5388" s="3"/>
      <c r="M5388" s="3"/>
      <c r="N5388" s="3"/>
      <c r="O5388" s="3"/>
    </row>
    <row r="5389" spans="1:15" ht="15" customHeight="1" x14ac:dyDescent="0.25">
      <c r="A5389" s="2"/>
      <c r="B5389" s="2"/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</row>
    <row r="5390" spans="1:15" ht="15" customHeight="1" x14ac:dyDescent="0.25">
      <c r="A5390" s="3"/>
      <c r="B5390" s="3"/>
      <c r="C5390" s="3"/>
      <c r="D5390" s="3"/>
      <c r="E5390" s="3"/>
      <c r="F5390" s="3"/>
      <c r="G5390" s="3"/>
      <c r="H5390" s="3"/>
      <c r="I5390" s="3"/>
      <c r="J5390" s="3"/>
      <c r="K5390" s="3"/>
      <c r="L5390" s="3"/>
      <c r="M5390" s="3"/>
      <c r="N5390" s="3"/>
      <c r="O5390" s="3"/>
    </row>
    <row r="5391" spans="1:15" ht="15" customHeight="1" x14ac:dyDescent="0.25">
      <c r="A5391" s="2"/>
      <c r="B5391" s="2"/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</row>
    <row r="5392" spans="1:15" ht="15" customHeight="1" x14ac:dyDescent="0.25">
      <c r="A5392" s="3"/>
      <c r="B5392" s="3"/>
      <c r="C5392" s="3"/>
      <c r="D5392" s="3"/>
      <c r="E5392" s="3"/>
      <c r="F5392" s="3"/>
      <c r="G5392" s="3"/>
      <c r="H5392" s="3"/>
      <c r="I5392" s="3"/>
      <c r="J5392" s="3"/>
      <c r="K5392" s="3"/>
      <c r="L5392" s="3"/>
      <c r="M5392" s="3"/>
      <c r="N5392" s="3"/>
      <c r="O5392" s="3"/>
    </row>
    <row r="5393" spans="1:15" ht="15" customHeight="1" x14ac:dyDescent="0.25">
      <c r="A5393" s="2"/>
      <c r="B5393" s="2"/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</row>
    <row r="5394" spans="1:15" ht="15" customHeight="1" x14ac:dyDescent="0.25">
      <c r="A5394" s="3"/>
      <c r="B5394" s="3"/>
      <c r="C5394" s="3"/>
      <c r="D5394" s="3"/>
      <c r="E5394" s="3"/>
      <c r="F5394" s="3"/>
      <c r="G5394" s="3"/>
      <c r="H5394" s="3"/>
      <c r="I5394" s="3"/>
      <c r="J5394" s="3"/>
      <c r="K5394" s="3"/>
      <c r="L5394" s="3"/>
      <c r="M5394" s="3"/>
      <c r="N5394" s="3"/>
      <c r="O5394" s="3"/>
    </row>
    <row r="5395" spans="1:15" ht="15" customHeight="1" x14ac:dyDescent="0.25">
      <c r="A5395" s="2"/>
      <c r="B5395" s="2"/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</row>
    <row r="5396" spans="1:15" ht="15" customHeight="1" x14ac:dyDescent="0.25">
      <c r="A5396" s="3"/>
      <c r="B5396" s="3"/>
      <c r="C5396" s="3"/>
      <c r="D5396" s="3"/>
      <c r="E5396" s="3"/>
      <c r="F5396" s="3"/>
      <c r="G5396" s="3"/>
      <c r="H5396" s="3"/>
      <c r="I5396" s="3"/>
      <c r="J5396" s="3"/>
      <c r="K5396" s="3"/>
      <c r="L5396" s="3"/>
      <c r="M5396" s="3"/>
      <c r="N5396" s="3"/>
      <c r="O5396" s="3"/>
    </row>
    <row r="5397" spans="1:15" ht="15" customHeight="1" x14ac:dyDescent="0.25">
      <c r="A5397" s="2"/>
      <c r="B5397" s="2"/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</row>
    <row r="5398" spans="1:15" ht="15" customHeight="1" x14ac:dyDescent="0.25">
      <c r="A5398" s="3"/>
      <c r="B5398" s="3"/>
      <c r="C5398" s="3"/>
      <c r="D5398" s="3"/>
      <c r="E5398" s="3"/>
      <c r="F5398" s="3"/>
      <c r="G5398" s="3"/>
      <c r="H5398" s="3"/>
      <c r="I5398" s="3"/>
      <c r="J5398" s="3"/>
      <c r="K5398" s="3"/>
      <c r="L5398" s="3"/>
      <c r="M5398" s="3"/>
      <c r="N5398" s="3"/>
      <c r="O5398" s="3"/>
    </row>
    <row r="5399" spans="1:15" ht="15" customHeight="1" x14ac:dyDescent="0.25">
      <c r="A5399" s="2"/>
      <c r="B5399" s="2"/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</row>
    <row r="5400" spans="1:15" ht="15" customHeight="1" x14ac:dyDescent="0.25">
      <c r="A5400" s="3"/>
      <c r="B5400" s="3"/>
      <c r="C5400" s="3"/>
      <c r="D5400" s="3"/>
      <c r="E5400" s="3"/>
      <c r="F5400" s="3"/>
      <c r="G5400" s="3"/>
      <c r="H5400" s="3"/>
      <c r="I5400" s="3"/>
      <c r="J5400" s="3"/>
      <c r="K5400" s="3"/>
      <c r="L5400" s="3"/>
      <c r="M5400" s="3"/>
      <c r="N5400" s="3"/>
      <c r="O5400" s="3"/>
    </row>
    <row r="5401" spans="1:15" ht="15" customHeight="1" x14ac:dyDescent="0.25">
      <c r="A5401" s="2"/>
      <c r="B5401" s="2"/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</row>
    <row r="5402" spans="1:15" ht="15" customHeight="1" x14ac:dyDescent="0.25">
      <c r="A5402" s="3"/>
      <c r="B5402" s="3"/>
      <c r="C5402" s="3"/>
      <c r="D5402" s="3"/>
      <c r="E5402" s="3"/>
      <c r="F5402" s="3"/>
      <c r="G5402" s="3"/>
      <c r="H5402" s="3"/>
      <c r="I5402" s="3"/>
      <c r="J5402" s="3"/>
      <c r="K5402" s="3"/>
      <c r="L5402" s="3"/>
      <c r="M5402" s="3"/>
      <c r="N5402" s="3"/>
      <c r="O5402" s="3"/>
    </row>
    <row r="5403" spans="1:15" ht="15" customHeight="1" x14ac:dyDescent="0.25">
      <c r="A5403" s="2"/>
      <c r="B5403" s="2"/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</row>
    <row r="5404" spans="1:15" ht="15" customHeight="1" x14ac:dyDescent="0.25">
      <c r="A5404" s="3"/>
      <c r="B5404" s="3"/>
      <c r="C5404" s="3"/>
      <c r="D5404" s="3"/>
      <c r="E5404" s="3"/>
      <c r="F5404" s="3"/>
      <c r="G5404" s="3"/>
      <c r="H5404" s="3"/>
      <c r="I5404" s="3"/>
      <c r="J5404" s="3"/>
      <c r="K5404" s="3"/>
      <c r="L5404" s="3"/>
      <c r="M5404" s="3"/>
      <c r="N5404" s="3"/>
      <c r="O5404" s="3"/>
    </row>
    <row r="5405" spans="1:15" ht="15" customHeight="1" x14ac:dyDescent="0.25">
      <c r="A5405" s="2"/>
      <c r="B5405" s="2"/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</row>
    <row r="5406" spans="1:15" ht="15" customHeight="1" x14ac:dyDescent="0.25">
      <c r="A5406" s="3"/>
      <c r="B5406" s="3"/>
      <c r="C5406" s="3"/>
      <c r="D5406" s="3"/>
      <c r="E5406" s="3"/>
      <c r="F5406" s="3"/>
      <c r="G5406" s="3"/>
      <c r="H5406" s="3"/>
      <c r="I5406" s="3"/>
      <c r="J5406" s="3"/>
      <c r="K5406" s="3"/>
      <c r="L5406" s="3"/>
      <c r="M5406" s="3"/>
      <c r="N5406" s="3"/>
      <c r="O5406" s="3"/>
    </row>
    <row r="5407" spans="1:15" ht="15" customHeight="1" x14ac:dyDescent="0.25">
      <c r="A5407" s="2"/>
      <c r="B5407" s="2"/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</row>
    <row r="5408" spans="1:15" ht="15" customHeight="1" x14ac:dyDescent="0.25">
      <c r="A5408" s="3"/>
      <c r="B5408" s="3"/>
      <c r="C5408" s="3"/>
      <c r="D5408" s="3"/>
      <c r="E5408" s="3"/>
      <c r="F5408" s="3"/>
      <c r="G5408" s="3"/>
      <c r="H5408" s="3"/>
      <c r="I5408" s="3"/>
      <c r="J5408" s="3"/>
      <c r="K5408" s="3"/>
      <c r="L5408" s="3"/>
      <c r="M5408" s="3"/>
      <c r="N5408" s="3"/>
      <c r="O5408" s="3"/>
    </row>
    <row r="5409" spans="1:15" ht="15" customHeight="1" x14ac:dyDescent="0.25">
      <c r="A5409" s="2"/>
      <c r="B5409" s="2"/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</row>
    <row r="5410" spans="1:15" ht="15" customHeight="1" x14ac:dyDescent="0.25">
      <c r="A5410" s="3"/>
      <c r="B5410" s="3"/>
      <c r="C5410" s="3"/>
      <c r="D5410" s="3"/>
      <c r="E5410" s="3"/>
      <c r="F5410" s="3"/>
      <c r="G5410" s="3"/>
      <c r="H5410" s="3"/>
      <c r="I5410" s="3"/>
      <c r="J5410" s="3"/>
      <c r="K5410" s="3"/>
      <c r="L5410" s="3"/>
      <c r="M5410" s="3"/>
      <c r="N5410" s="3"/>
      <c r="O5410" s="3"/>
    </row>
    <row r="5411" spans="1:15" ht="15" customHeight="1" x14ac:dyDescent="0.25">
      <c r="A5411" s="2"/>
      <c r="B5411" s="2"/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</row>
    <row r="5412" spans="1:15" ht="15" customHeight="1" x14ac:dyDescent="0.25">
      <c r="A5412" s="3"/>
      <c r="B5412" s="3"/>
      <c r="C5412" s="3"/>
      <c r="D5412" s="3"/>
      <c r="E5412" s="3"/>
      <c r="F5412" s="3"/>
      <c r="G5412" s="3"/>
      <c r="H5412" s="3"/>
      <c r="I5412" s="3"/>
      <c r="J5412" s="3"/>
      <c r="K5412" s="3"/>
      <c r="L5412" s="3"/>
      <c r="M5412" s="3"/>
      <c r="N5412" s="3"/>
      <c r="O5412" s="3"/>
    </row>
    <row r="5413" spans="1:15" ht="15" customHeight="1" x14ac:dyDescent="0.25">
      <c r="A5413" s="2"/>
      <c r="B5413" s="2"/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</row>
    <row r="5414" spans="1:15" ht="15" customHeight="1" x14ac:dyDescent="0.25">
      <c r="A5414" s="3"/>
      <c r="B5414" s="3"/>
      <c r="C5414" s="3"/>
      <c r="D5414" s="3"/>
      <c r="E5414" s="3"/>
      <c r="F5414" s="3"/>
      <c r="G5414" s="3"/>
      <c r="H5414" s="3"/>
      <c r="I5414" s="3"/>
      <c r="J5414" s="3"/>
      <c r="K5414" s="3"/>
      <c r="L5414" s="3"/>
      <c r="M5414" s="3"/>
      <c r="N5414" s="3"/>
      <c r="O5414" s="3"/>
    </row>
    <row r="5415" spans="1:15" ht="15" customHeight="1" x14ac:dyDescent="0.25">
      <c r="A5415" s="2"/>
      <c r="B5415" s="2"/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</row>
    <row r="5416" spans="1:15" ht="15" customHeight="1" x14ac:dyDescent="0.25">
      <c r="A5416" s="3"/>
      <c r="B5416" s="3"/>
      <c r="C5416" s="3"/>
      <c r="D5416" s="3"/>
      <c r="E5416" s="3"/>
      <c r="F5416" s="3"/>
      <c r="G5416" s="3"/>
      <c r="H5416" s="3"/>
      <c r="I5416" s="3"/>
      <c r="J5416" s="3"/>
      <c r="K5416" s="3"/>
      <c r="L5416" s="3"/>
      <c r="M5416" s="3"/>
      <c r="N5416" s="3"/>
      <c r="O5416" s="3"/>
    </row>
    <row r="5417" spans="1:15" ht="15" customHeight="1" x14ac:dyDescent="0.25">
      <c r="A5417" s="2"/>
      <c r="B5417" s="2"/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</row>
    <row r="5418" spans="1:15" ht="15" customHeight="1" x14ac:dyDescent="0.25">
      <c r="A5418" s="3"/>
      <c r="B5418" s="3"/>
      <c r="C5418" s="3"/>
      <c r="D5418" s="3"/>
      <c r="E5418" s="3"/>
      <c r="F5418" s="3"/>
      <c r="G5418" s="3"/>
      <c r="H5418" s="3"/>
      <c r="I5418" s="3"/>
      <c r="J5418" s="3"/>
      <c r="K5418" s="3"/>
      <c r="L5418" s="3"/>
      <c r="M5418" s="3"/>
      <c r="N5418" s="3"/>
      <c r="O5418" s="3"/>
    </row>
    <row r="5419" spans="1:15" ht="15" customHeight="1" x14ac:dyDescent="0.25">
      <c r="A5419" s="2"/>
      <c r="B5419" s="2"/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</row>
    <row r="5420" spans="1:15" ht="15" customHeight="1" x14ac:dyDescent="0.25">
      <c r="A5420" s="3"/>
      <c r="B5420" s="3"/>
      <c r="C5420" s="3"/>
      <c r="D5420" s="3"/>
      <c r="E5420" s="3"/>
      <c r="F5420" s="3"/>
      <c r="G5420" s="3"/>
      <c r="H5420" s="3"/>
      <c r="I5420" s="3"/>
      <c r="J5420" s="3"/>
      <c r="K5420" s="3"/>
      <c r="L5420" s="3"/>
      <c r="M5420" s="3"/>
      <c r="N5420" s="3"/>
      <c r="O5420" s="3"/>
    </row>
    <row r="5421" spans="1:15" ht="15" customHeight="1" x14ac:dyDescent="0.25">
      <c r="A5421" s="2"/>
      <c r="B5421" s="2"/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</row>
    <row r="5422" spans="1:15" ht="15" customHeight="1" x14ac:dyDescent="0.25">
      <c r="A5422" s="3"/>
      <c r="B5422" s="3"/>
      <c r="C5422" s="3"/>
      <c r="D5422" s="3"/>
      <c r="E5422" s="3"/>
      <c r="F5422" s="3"/>
      <c r="G5422" s="3"/>
      <c r="H5422" s="3"/>
      <c r="I5422" s="3"/>
      <c r="J5422" s="3"/>
      <c r="K5422" s="3"/>
      <c r="L5422" s="3"/>
      <c r="M5422" s="3"/>
      <c r="N5422" s="3"/>
      <c r="O5422" s="3"/>
    </row>
    <row r="5423" spans="1:15" ht="15" customHeight="1" x14ac:dyDescent="0.25">
      <c r="A5423" s="2"/>
      <c r="B5423" s="2"/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</row>
    <row r="5424" spans="1:15" ht="15" customHeight="1" x14ac:dyDescent="0.25">
      <c r="A5424" s="3"/>
      <c r="B5424" s="3"/>
      <c r="C5424" s="3"/>
      <c r="D5424" s="3"/>
      <c r="E5424" s="3"/>
      <c r="F5424" s="3"/>
      <c r="G5424" s="3"/>
      <c r="H5424" s="3"/>
      <c r="I5424" s="3"/>
      <c r="J5424" s="3"/>
      <c r="K5424" s="3"/>
      <c r="L5424" s="3"/>
      <c r="M5424" s="3"/>
      <c r="N5424" s="3"/>
      <c r="O5424" s="3"/>
    </row>
    <row r="5425" spans="1:15" ht="15" customHeight="1" x14ac:dyDescent="0.25">
      <c r="A5425" s="2"/>
      <c r="B5425" s="2"/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</row>
    <row r="5426" spans="1:15" ht="15" customHeight="1" x14ac:dyDescent="0.25">
      <c r="A5426" s="3"/>
      <c r="B5426" s="3"/>
      <c r="C5426" s="3"/>
      <c r="D5426" s="3"/>
      <c r="E5426" s="3"/>
      <c r="F5426" s="3"/>
      <c r="G5426" s="3"/>
      <c r="H5426" s="3"/>
      <c r="I5426" s="3"/>
      <c r="J5426" s="3"/>
      <c r="K5426" s="3"/>
      <c r="L5426" s="3"/>
      <c r="M5426" s="3"/>
      <c r="N5426" s="3"/>
      <c r="O5426" s="3"/>
    </row>
    <row r="5427" spans="1:15" ht="15" customHeight="1" x14ac:dyDescent="0.25">
      <c r="A5427" s="2"/>
      <c r="B5427" s="2"/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</row>
    <row r="5428" spans="1:15" ht="15" customHeight="1" x14ac:dyDescent="0.25">
      <c r="A5428" s="3"/>
      <c r="B5428" s="3"/>
      <c r="C5428" s="3"/>
      <c r="D5428" s="3"/>
      <c r="E5428" s="3"/>
      <c r="F5428" s="3"/>
      <c r="G5428" s="3"/>
      <c r="H5428" s="3"/>
      <c r="I5428" s="3"/>
      <c r="J5428" s="3"/>
      <c r="K5428" s="3"/>
      <c r="L5428" s="3"/>
      <c r="M5428" s="3"/>
      <c r="N5428" s="3"/>
      <c r="O5428" s="3"/>
    </row>
    <row r="5429" spans="1:15" ht="15" customHeight="1" x14ac:dyDescent="0.25">
      <c r="A5429" s="2"/>
      <c r="B5429" s="2"/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</row>
    <row r="5430" spans="1:15" ht="15" customHeight="1" x14ac:dyDescent="0.25">
      <c r="A5430" s="3"/>
      <c r="B5430" s="3"/>
      <c r="C5430" s="3"/>
      <c r="D5430" s="3"/>
      <c r="E5430" s="3"/>
      <c r="F5430" s="3"/>
      <c r="G5430" s="3"/>
      <c r="H5430" s="3"/>
      <c r="I5430" s="3"/>
      <c r="J5430" s="3"/>
      <c r="K5430" s="3"/>
      <c r="L5430" s="3"/>
      <c r="M5430" s="3"/>
      <c r="N5430" s="3"/>
      <c r="O5430" s="3"/>
    </row>
    <row r="5431" spans="1:15" ht="15" customHeight="1" x14ac:dyDescent="0.25">
      <c r="A5431" s="2"/>
      <c r="B5431" s="2"/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</row>
    <row r="5432" spans="1:15" ht="15" customHeight="1" x14ac:dyDescent="0.25">
      <c r="A5432" s="3"/>
      <c r="B5432" s="3"/>
      <c r="C5432" s="3"/>
      <c r="D5432" s="3"/>
      <c r="E5432" s="3"/>
      <c r="F5432" s="3"/>
      <c r="G5432" s="3"/>
      <c r="H5432" s="3"/>
      <c r="I5432" s="3"/>
      <c r="J5432" s="3"/>
      <c r="K5432" s="3"/>
      <c r="L5432" s="3"/>
      <c r="M5432" s="3"/>
      <c r="N5432" s="3"/>
      <c r="O5432" s="3"/>
    </row>
    <row r="5433" spans="1:15" ht="15" customHeight="1" x14ac:dyDescent="0.25">
      <c r="A5433" s="2"/>
      <c r="B5433" s="2"/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</row>
    <row r="5434" spans="1:15" ht="15" customHeight="1" x14ac:dyDescent="0.25">
      <c r="A5434" s="3"/>
      <c r="B5434" s="3"/>
      <c r="C5434" s="3"/>
      <c r="D5434" s="3"/>
      <c r="E5434" s="3"/>
      <c r="F5434" s="3"/>
      <c r="G5434" s="3"/>
      <c r="H5434" s="3"/>
      <c r="I5434" s="3"/>
      <c r="J5434" s="3"/>
      <c r="K5434" s="3"/>
      <c r="L5434" s="3"/>
      <c r="M5434" s="3"/>
      <c r="N5434" s="3"/>
      <c r="O5434" s="3"/>
    </row>
    <row r="5435" spans="1:15" ht="15" customHeight="1" x14ac:dyDescent="0.25">
      <c r="A5435" s="2"/>
      <c r="B5435" s="2"/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</row>
    <row r="5436" spans="1:15" ht="15" customHeight="1" x14ac:dyDescent="0.25">
      <c r="A5436" s="3"/>
      <c r="B5436" s="3"/>
      <c r="C5436" s="3"/>
      <c r="D5436" s="3"/>
      <c r="E5436" s="3"/>
      <c r="F5436" s="3"/>
      <c r="G5436" s="3"/>
      <c r="H5436" s="3"/>
      <c r="I5436" s="3"/>
      <c r="J5436" s="3"/>
      <c r="K5436" s="3"/>
      <c r="L5436" s="3"/>
      <c r="M5436" s="3"/>
      <c r="N5436" s="3"/>
      <c r="O5436" s="3"/>
    </row>
    <row r="5437" spans="1:15" ht="15" customHeight="1" x14ac:dyDescent="0.25">
      <c r="A5437" s="2"/>
      <c r="B5437" s="2"/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</row>
    <row r="5438" spans="1:15" ht="15" customHeight="1" x14ac:dyDescent="0.25">
      <c r="A5438" s="3"/>
      <c r="B5438" s="3"/>
      <c r="C5438" s="3"/>
      <c r="D5438" s="3"/>
      <c r="E5438" s="3"/>
      <c r="F5438" s="3"/>
      <c r="G5438" s="3"/>
      <c r="H5438" s="3"/>
      <c r="I5438" s="3"/>
      <c r="J5438" s="3"/>
      <c r="K5438" s="3"/>
      <c r="L5438" s="3"/>
      <c r="M5438" s="3"/>
      <c r="N5438" s="3"/>
      <c r="O5438" s="3"/>
    </row>
    <row r="5439" spans="1:15" ht="15" customHeight="1" x14ac:dyDescent="0.25">
      <c r="A5439" s="2"/>
      <c r="B5439" s="2"/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</row>
    <row r="5440" spans="1:15" ht="15" customHeight="1" x14ac:dyDescent="0.25">
      <c r="A5440" s="3"/>
      <c r="B5440" s="3"/>
      <c r="C5440" s="3"/>
      <c r="D5440" s="3"/>
      <c r="E5440" s="3"/>
      <c r="F5440" s="3"/>
      <c r="G5440" s="3"/>
      <c r="H5440" s="3"/>
      <c r="I5440" s="3"/>
      <c r="J5440" s="3"/>
      <c r="K5440" s="3"/>
      <c r="L5440" s="3"/>
      <c r="M5440" s="3"/>
      <c r="N5440" s="3"/>
      <c r="O5440" s="3"/>
    </row>
    <row r="5441" spans="1:15" ht="15" customHeight="1" x14ac:dyDescent="0.25">
      <c r="A5441" s="2"/>
      <c r="B5441" s="2"/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</row>
    <row r="5442" spans="1:15" ht="15" customHeight="1" x14ac:dyDescent="0.25">
      <c r="A5442" s="3"/>
      <c r="B5442" s="3"/>
      <c r="C5442" s="3"/>
      <c r="D5442" s="3"/>
      <c r="E5442" s="3"/>
      <c r="F5442" s="3"/>
      <c r="G5442" s="3"/>
      <c r="H5442" s="3"/>
      <c r="I5442" s="3"/>
      <c r="J5442" s="3"/>
      <c r="K5442" s="3"/>
      <c r="L5442" s="3"/>
      <c r="M5442" s="3"/>
      <c r="N5442" s="3"/>
      <c r="O5442" s="3"/>
    </row>
    <row r="5443" spans="1:15" ht="15" customHeight="1" x14ac:dyDescent="0.25">
      <c r="A5443" s="2"/>
      <c r="B5443" s="2"/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</row>
    <row r="5444" spans="1:15" ht="15" customHeight="1" x14ac:dyDescent="0.25">
      <c r="A5444" s="3"/>
      <c r="B5444" s="3"/>
      <c r="C5444" s="3"/>
      <c r="D5444" s="3"/>
      <c r="E5444" s="3"/>
      <c r="F5444" s="3"/>
      <c r="G5444" s="3"/>
      <c r="H5444" s="3"/>
      <c r="I5444" s="3"/>
      <c r="J5444" s="3"/>
      <c r="K5444" s="3"/>
      <c r="L5444" s="3"/>
      <c r="M5444" s="3"/>
      <c r="N5444" s="3"/>
      <c r="O5444" s="3"/>
    </row>
    <row r="5445" spans="1:15" ht="15" customHeight="1" x14ac:dyDescent="0.25">
      <c r="A5445" s="2"/>
      <c r="B5445" s="2"/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</row>
    <row r="5446" spans="1:15" ht="15" customHeight="1" x14ac:dyDescent="0.25">
      <c r="A5446" s="3"/>
      <c r="B5446" s="3"/>
      <c r="C5446" s="3"/>
      <c r="D5446" s="3"/>
      <c r="E5446" s="3"/>
      <c r="F5446" s="3"/>
      <c r="G5446" s="3"/>
      <c r="H5446" s="3"/>
      <c r="I5446" s="3"/>
      <c r="J5446" s="3"/>
      <c r="K5446" s="3"/>
      <c r="L5446" s="3"/>
      <c r="M5446" s="3"/>
      <c r="N5446" s="3"/>
      <c r="O5446" s="3"/>
    </row>
    <row r="5447" spans="1:15" ht="15" customHeight="1" x14ac:dyDescent="0.25">
      <c r="A5447" s="2"/>
      <c r="B5447" s="2"/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</row>
    <row r="5448" spans="1:15" ht="15" customHeight="1" x14ac:dyDescent="0.25">
      <c r="A5448" s="3"/>
      <c r="B5448" s="3"/>
      <c r="C5448" s="3"/>
      <c r="D5448" s="3"/>
      <c r="E5448" s="3"/>
      <c r="F5448" s="3"/>
      <c r="G5448" s="3"/>
      <c r="H5448" s="3"/>
      <c r="I5448" s="3"/>
      <c r="J5448" s="3"/>
      <c r="K5448" s="3"/>
      <c r="L5448" s="3"/>
      <c r="M5448" s="3"/>
      <c r="N5448" s="3"/>
      <c r="O5448" s="3"/>
    </row>
    <row r="5449" spans="1:15" ht="15" customHeight="1" x14ac:dyDescent="0.25">
      <c r="A5449" s="2"/>
      <c r="B5449" s="2"/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</row>
    <row r="5450" spans="1:15" ht="15" customHeight="1" x14ac:dyDescent="0.25">
      <c r="A5450" s="3"/>
      <c r="B5450" s="3"/>
      <c r="C5450" s="3"/>
      <c r="D5450" s="3"/>
      <c r="E5450" s="3"/>
      <c r="F5450" s="3"/>
      <c r="G5450" s="3"/>
      <c r="H5450" s="3"/>
      <c r="I5450" s="3"/>
      <c r="J5450" s="3"/>
      <c r="K5450" s="3"/>
      <c r="L5450" s="3"/>
      <c r="M5450" s="3"/>
      <c r="N5450" s="3"/>
      <c r="O5450" s="3"/>
    </row>
    <row r="5451" spans="1:15" ht="15" customHeight="1" x14ac:dyDescent="0.25">
      <c r="A5451" s="2"/>
      <c r="B5451" s="2"/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</row>
    <row r="5452" spans="1:15" ht="15" customHeight="1" x14ac:dyDescent="0.25">
      <c r="A5452" s="3"/>
      <c r="B5452" s="3"/>
      <c r="C5452" s="3"/>
      <c r="D5452" s="3"/>
      <c r="E5452" s="3"/>
      <c r="F5452" s="3"/>
      <c r="G5452" s="3"/>
      <c r="H5452" s="3"/>
      <c r="I5452" s="3"/>
      <c r="J5452" s="3"/>
      <c r="K5452" s="3"/>
      <c r="L5452" s="3"/>
      <c r="M5452" s="3"/>
      <c r="N5452" s="3"/>
      <c r="O5452" s="3"/>
    </row>
    <row r="5453" spans="1:15" ht="15" customHeight="1" x14ac:dyDescent="0.25">
      <c r="A5453" s="2"/>
      <c r="B5453" s="2"/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</row>
    <row r="5454" spans="1:15" ht="15" customHeight="1" x14ac:dyDescent="0.25">
      <c r="A5454" s="3"/>
      <c r="B5454" s="3"/>
      <c r="C5454" s="3"/>
      <c r="D5454" s="3"/>
      <c r="E5454" s="3"/>
      <c r="F5454" s="3"/>
      <c r="G5454" s="3"/>
      <c r="H5454" s="3"/>
      <c r="I5454" s="3"/>
      <c r="J5454" s="3"/>
      <c r="K5454" s="3"/>
      <c r="L5454" s="3"/>
      <c r="M5454" s="3"/>
      <c r="N5454" s="3"/>
      <c r="O5454" s="3"/>
    </row>
    <row r="5455" spans="1:15" ht="15" customHeight="1" x14ac:dyDescent="0.25">
      <c r="A5455" s="2"/>
      <c r="B5455" s="2"/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</row>
    <row r="5456" spans="1:15" ht="15" customHeight="1" x14ac:dyDescent="0.25">
      <c r="A5456" s="3"/>
      <c r="B5456" s="3"/>
      <c r="C5456" s="3"/>
      <c r="D5456" s="3"/>
      <c r="E5456" s="3"/>
      <c r="F5456" s="3"/>
      <c r="G5456" s="3"/>
      <c r="H5456" s="3"/>
      <c r="I5456" s="3"/>
      <c r="J5456" s="3"/>
      <c r="K5456" s="3"/>
      <c r="L5456" s="3"/>
      <c r="M5456" s="3"/>
      <c r="N5456" s="3"/>
      <c r="O5456" s="3"/>
    </row>
    <row r="5457" spans="1:15" ht="15" customHeight="1" x14ac:dyDescent="0.25">
      <c r="A5457" s="2"/>
      <c r="B5457" s="2"/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</row>
    <row r="5458" spans="1:15" ht="15" customHeight="1" x14ac:dyDescent="0.25">
      <c r="A5458" s="3"/>
      <c r="B5458" s="3"/>
      <c r="C5458" s="3"/>
      <c r="D5458" s="3"/>
      <c r="E5458" s="3"/>
      <c r="F5458" s="3"/>
      <c r="G5458" s="3"/>
      <c r="H5458" s="3"/>
      <c r="I5458" s="3"/>
      <c r="J5458" s="3"/>
      <c r="K5458" s="3"/>
      <c r="L5458" s="3"/>
      <c r="M5458" s="3"/>
      <c r="N5458" s="3"/>
      <c r="O5458" s="3"/>
    </row>
    <row r="5459" spans="1:15" ht="15" customHeight="1" x14ac:dyDescent="0.25">
      <c r="A5459" s="2"/>
      <c r="B5459" s="2"/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</row>
    <row r="5460" spans="1:15" ht="15" customHeight="1" x14ac:dyDescent="0.25">
      <c r="A5460" s="3"/>
      <c r="B5460" s="3"/>
      <c r="C5460" s="3"/>
      <c r="D5460" s="3"/>
      <c r="E5460" s="3"/>
      <c r="F5460" s="3"/>
      <c r="G5460" s="3"/>
      <c r="H5460" s="3"/>
      <c r="I5460" s="3"/>
      <c r="J5460" s="3"/>
      <c r="K5460" s="3"/>
      <c r="L5460" s="3"/>
      <c r="M5460" s="3"/>
      <c r="N5460" s="3"/>
      <c r="O5460" s="3"/>
    </row>
    <row r="5461" spans="1:15" ht="15" customHeight="1" x14ac:dyDescent="0.25">
      <c r="A5461" s="2"/>
      <c r="B5461" s="2"/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</row>
    <row r="5462" spans="1:15" ht="15" customHeight="1" x14ac:dyDescent="0.25">
      <c r="A5462" s="3"/>
      <c r="B5462" s="3"/>
      <c r="C5462" s="3"/>
      <c r="D5462" s="3"/>
      <c r="E5462" s="3"/>
      <c r="F5462" s="3"/>
      <c r="G5462" s="3"/>
      <c r="H5462" s="3"/>
      <c r="I5462" s="3"/>
      <c r="J5462" s="3"/>
      <c r="K5462" s="3"/>
      <c r="L5462" s="3"/>
      <c r="M5462" s="3"/>
      <c r="N5462" s="3"/>
      <c r="O5462" s="3"/>
    </row>
    <row r="5463" spans="1:15" ht="15" customHeight="1" x14ac:dyDescent="0.25">
      <c r="A5463" s="2"/>
      <c r="B5463" s="2"/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</row>
    <row r="5464" spans="1:15" ht="15" customHeight="1" x14ac:dyDescent="0.25">
      <c r="A5464" s="3"/>
      <c r="B5464" s="3"/>
      <c r="C5464" s="3"/>
      <c r="D5464" s="3"/>
      <c r="E5464" s="3"/>
      <c r="F5464" s="3"/>
      <c r="G5464" s="3"/>
      <c r="H5464" s="3"/>
      <c r="I5464" s="3"/>
      <c r="J5464" s="3"/>
      <c r="K5464" s="3"/>
      <c r="L5464" s="3"/>
      <c r="M5464" s="3"/>
      <c r="N5464" s="3"/>
      <c r="O5464" s="3"/>
    </row>
    <row r="5465" spans="1:15" ht="15" customHeight="1" x14ac:dyDescent="0.25">
      <c r="A5465" s="2"/>
      <c r="B5465" s="2"/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</row>
    <row r="5466" spans="1:15" ht="15" customHeight="1" x14ac:dyDescent="0.25">
      <c r="A5466" s="3"/>
      <c r="B5466" s="3"/>
      <c r="C5466" s="3"/>
      <c r="D5466" s="3"/>
      <c r="E5466" s="3"/>
      <c r="F5466" s="3"/>
      <c r="G5466" s="3"/>
      <c r="H5466" s="3"/>
      <c r="I5466" s="3"/>
      <c r="J5466" s="3"/>
      <c r="K5466" s="3"/>
      <c r="L5466" s="3"/>
      <c r="M5466" s="3"/>
      <c r="N5466" s="3"/>
      <c r="O5466" s="3"/>
    </row>
    <row r="5467" spans="1:15" ht="15" customHeight="1" x14ac:dyDescent="0.25">
      <c r="A5467" s="2"/>
      <c r="B5467" s="2"/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</row>
    <row r="5468" spans="1:15" ht="15" customHeight="1" x14ac:dyDescent="0.25">
      <c r="A5468" s="3"/>
      <c r="B5468" s="3"/>
      <c r="C5468" s="3"/>
      <c r="D5468" s="3"/>
      <c r="E5468" s="3"/>
      <c r="F5468" s="3"/>
      <c r="G5468" s="3"/>
      <c r="H5468" s="3"/>
      <c r="I5468" s="3"/>
      <c r="J5468" s="3"/>
      <c r="K5468" s="3"/>
      <c r="L5468" s="3"/>
      <c r="M5468" s="3"/>
      <c r="N5468" s="3"/>
      <c r="O5468" s="3"/>
    </row>
    <row r="5469" spans="1:15" ht="15" customHeight="1" x14ac:dyDescent="0.25">
      <c r="A5469" s="2"/>
      <c r="B5469" s="2"/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</row>
    <row r="5470" spans="1:15" ht="15" customHeight="1" x14ac:dyDescent="0.25">
      <c r="A5470" s="3"/>
      <c r="B5470" s="3"/>
      <c r="C5470" s="3"/>
      <c r="D5470" s="3"/>
      <c r="E5470" s="3"/>
      <c r="F5470" s="3"/>
      <c r="G5470" s="3"/>
      <c r="H5470" s="3"/>
      <c r="I5470" s="3"/>
      <c r="J5470" s="3"/>
      <c r="K5470" s="3"/>
      <c r="L5470" s="3"/>
      <c r="M5470" s="3"/>
      <c r="N5470" s="3"/>
      <c r="O5470" s="3"/>
    </row>
    <row r="5471" spans="1:15" ht="15" customHeight="1" x14ac:dyDescent="0.25">
      <c r="A5471" s="2"/>
      <c r="B5471" s="2"/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</row>
    <row r="5472" spans="1:15" ht="15" customHeight="1" x14ac:dyDescent="0.25">
      <c r="A5472" s="3"/>
      <c r="B5472" s="3"/>
      <c r="C5472" s="3"/>
      <c r="D5472" s="3"/>
      <c r="E5472" s="3"/>
      <c r="F5472" s="3"/>
      <c r="G5472" s="3"/>
      <c r="H5472" s="3"/>
      <c r="I5472" s="3"/>
      <c r="J5472" s="3"/>
      <c r="K5472" s="3"/>
      <c r="L5472" s="3"/>
      <c r="M5472" s="3"/>
      <c r="N5472" s="3"/>
      <c r="O5472" s="3"/>
    </row>
    <row r="5473" spans="1:15" ht="15" customHeight="1" x14ac:dyDescent="0.25">
      <c r="A5473" s="2"/>
      <c r="B5473" s="2"/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</row>
    <row r="5474" spans="1:15" ht="15" customHeight="1" x14ac:dyDescent="0.25">
      <c r="A5474" s="3"/>
      <c r="B5474" s="3"/>
      <c r="C5474" s="3"/>
      <c r="D5474" s="3"/>
      <c r="E5474" s="3"/>
      <c r="F5474" s="3"/>
      <c r="G5474" s="3"/>
      <c r="H5474" s="3"/>
      <c r="I5474" s="3"/>
      <c r="J5474" s="3"/>
      <c r="K5474" s="3"/>
      <c r="L5474" s="3"/>
      <c r="M5474" s="3"/>
      <c r="N5474" s="3"/>
      <c r="O5474" s="3"/>
    </row>
    <row r="5475" spans="1:15" ht="15" customHeight="1" x14ac:dyDescent="0.25">
      <c r="A5475" s="2"/>
      <c r="B5475" s="2"/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</row>
    <row r="5476" spans="1:15" ht="15" customHeight="1" x14ac:dyDescent="0.25">
      <c r="A5476" s="3"/>
      <c r="B5476" s="3"/>
      <c r="C5476" s="3"/>
      <c r="D5476" s="3"/>
      <c r="E5476" s="3"/>
      <c r="F5476" s="3"/>
      <c r="G5476" s="3"/>
      <c r="H5476" s="3"/>
      <c r="I5476" s="3"/>
      <c r="J5476" s="3"/>
      <c r="K5476" s="3"/>
      <c r="L5476" s="3"/>
      <c r="M5476" s="3"/>
      <c r="N5476" s="3"/>
      <c r="O5476" s="3"/>
    </row>
    <row r="5477" spans="1:15" ht="15" customHeight="1" x14ac:dyDescent="0.25">
      <c r="A5477" s="2"/>
      <c r="B5477" s="2"/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</row>
    <row r="5478" spans="1:15" ht="15" customHeight="1" x14ac:dyDescent="0.25">
      <c r="A5478" s="3"/>
      <c r="B5478" s="3"/>
      <c r="C5478" s="3"/>
      <c r="D5478" s="3"/>
      <c r="E5478" s="3"/>
      <c r="F5478" s="3"/>
      <c r="G5478" s="3"/>
      <c r="H5478" s="3"/>
      <c r="I5478" s="3"/>
      <c r="J5478" s="3"/>
      <c r="K5478" s="3"/>
      <c r="L5478" s="3"/>
      <c r="M5478" s="3"/>
      <c r="N5478" s="3"/>
      <c r="O5478" s="3"/>
    </row>
    <row r="5479" spans="1:15" ht="15" customHeight="1" x14ac:dyDescent="0.25">
      <c r="A5479" s="2"/>
      <c r="B5479" s="2"/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</row>
    <row r="5480" spans="1:15" ht="15" customHeight="1" x14ac:dyDescent="0.25">
      <c r="A5480" s="3"/>
      <c r="B5480" s="3"/>
      <c r="C5480" s="3"/>
      <c r="D5480" s="3"/>
      <c r="E5480" s="3"/>
      <c r="F5480" s="3"/>
      <c r="G5480" s="3"/>
      <c r="H5480" s="3"/>
      <c r="I5480" s="3"/>
      <c r="J5480" s="3"/>
      <c r="K5480" s="3"/>
      <c r="L5480" s="3"/>
      <c r="M5480" s="3"/>
      <c r="N5480" s="3"/>
      <c r="O5480" s="3"/>
    </row>
    <row r="5481" spans="1:15" ht="15" customHeight="1" x14ac:dyDescent="0.25">
      <c r="A5481" s="2"/>
      <c r="B5481" s="2"/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</row>
    <row r="5482" spans="1:15" ht="15" customHeight="1" x14ac:dyDescent="0.25">
      <c r="A5482" s="3"/>
      <c r="B5482" s="3"/>
      <c r="C5482" s="3"/>
      <c r="D5482" s="3"/>
      <c r="E5482" s="3"/>
      <c r="F5482" s="3"/>
      <c r="G5482" s="3"/>
      <c r="H5482" s="3"/>
      <c r="I5482" s="3"/>
      <c r="J5482" s="3"/>
      <c r="K5482" s="3"/>
      <c r="L5482" s="3"/>
      <c r="M5482" s="3"/>
      <c r="N5482" s="3"/>
      <c r="O5482" s="3"/>
    </row>
    <row r="5483" spans="1:15" ht="15" customHeight="1" x14ac:dyDescent="0.25">
      <c r="A5483" s="2"/>
      <c r="B5483" s="2"/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</row>
    <row r="5484" spans="1:15" ht="15" customHeight="1" x14ac:dyDescent="0.25">
      <c r="A5484" s="3"/>
      <c r="B5484" s="3"/>
      <c r="C5484" s="3"/>
      <c r="D5484" s="3"/>
      <c r="E5484" s="3"/>
      <c r="F5484" s="3"/>
      <c r="G5484" s="3"/>
      <c r="H5484" s="3"/>
      <c r="I5484" s="3"/>
      <c r="J5484" s="3"/>
      <c r="K5484" s="3"/>
      <c r="L5484" s="3"/>
      <c r="M5484" s="3"/>
      <c r="N5484" s="3"/>
      <c r="O5484" s="3"/>
    </row>
    <row r="5485" spans="1:15" ht="15" customHeight="1" x14ac:dyDescent="0.25">
      <c r="A5485" s="2"/>
      <c r="B5485" s="2"/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</row>
    <row r="5486" spans="1:15" ht="15" customHeight="1" x14ac:dyDescent="0.25">
      <c r="A5486" s="3"/>
      <c r="B5486" s="3"/>
      <c r="C5486" s="3"/>
      <c r="D5486" s="3"/>
      <c r="E5486" s="3"/>
      <c r="F5486" s="3"/>
      <c r="G5486" s="3"/>
      <c r="H5486" s="3"/>
      <c r="I5486" s="3"/>
      <c r="J5486" s="3"/>
      <c r="K5486" s="3"/>
      <c r="L5486" s="3"/>
      <c r="M5486" s="3"/>
      <c r="N5486" s="3"/>
      <c r="O5486" s="3"/>
    </row>
    <row r="5487" spans="1:15" ht="15" customHeight="1" x14ac:dyDescent="0.25">
      <c r="A5487" s="2"/>
      <c r="B5487" s="2"/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</row>
    <row r="5488" spans="1:15" ht="15" customHeight="1" x14ac:dyDescent="0.25">
      <c r="A5488" s="3"/>
      <c r="B5488" s="3"/>
      <c r="C5488" s="3"/>
      <c r="D5488" s="3"/>
      <c r="E5488" s="3"/>
      <c r="F5488" s="3"/>
      <c r="G5488" s="3"/>
      <c r="H5488" s="3"/>
      <c r="I5488" s="3"/>
      <c r="J5488" s="3"/>
      <c r="K5488" s="3"/>
      <c r="L5488" s="3"/>
      <c r="M5488" s="3"/>
      <c r="N5488" s="3"/>
      <c r="O5488" s="3"/>
    </row>
    <row r="5489" spans="1:15" ht="15" customHeight="1" x14ac:dyDescent="0.25">
      <c r="A5489" s="2"/>
      <c r="B5489" s="2"/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</row>
    <row r="5490" spans="1:15" ht="15" customHeight="1" x14ac:dyDescent="0.25">
      <c r="A5490" s="3"/>
      <c r="B5490" s="3"/>
      <c r="C5490" s="3"/>
      <c r="D5490" s="3"/>
      <c r="E5490" s="3"/>
      <c r="F5490" s="3"/>
      <c r="G5490" s="3"/>
      <c r="H5490" s="3"/>
      <c r="I5490" s="3"/>
      <c r="J5490" s="3"/>
      <c r="K5490" s="3"/>
      <c r="L5490" s="3"/>
      <c r="M5490" s="3"/>
      <c r="N5490" s="3"/>
      <c r="O5490" s="3"/>
    </row>
    <row r="5491" spans="1:15" ht="15" customHeight="1" x14ac:dyDescent="0.25">
      <c r="A5491" s="2"/>
      <c r="B5491" s="2"/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</row>
    <row r="5492" spans="1:15" ht="15" customHeight="1" x14ac:dyDescent="0.25">
      <c r="A5492" s="3"/>
      <c r="B5492" s="3"/>
      <c r="C5492" s="3"/>
      <c r="D5492" s="3"/>
      <c r="E5492" s="3"/>
      <c r="F5492" s="3"/>
      <c r="G5492" s="3"/>
      <c r="H5492" s="3"/>
      <c r="I5492" s="3"/>
      <c r="J5492" s="3"/>
      <c r="K5492" s="3"/>
      <c r="L5492" s="3"/>
      <c r="M5492" s="3"/>
      <c r="N5492" s="3"/>
      <c r="O5492" s="3"/>
    </row>
    <row r="5493" spans="1:15" ht="15" customHeight="1" x14ac:dyDescent="0.25">
      <c r="A5493" s="2"/>
      <c r="B5493" s="2"/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</row>
    <row r="5494" spans="1:15" ht="15" customHeight="1" x14ac:dyDescent="0.25">
      <c r="A5494" s="3"/>
      <c r="B5494" s="3"/>
      <c r="C5494" s="3"/>
      <c r="D5494" s="3"/>
      <c r="E5494" s="3"/>
      <c r="F5494" s="3"/>
      <c r="G5494" s="3"/>
      <c r="H5494" s="3"/>
      <c r="I5494" s="3"/>
      <c r="J5494" s="3"/>
      <c r="K5494" s="3"/>
      <c r="L5494" s="3"/>
      <c r="M5494" s="3"/>
      <c r="N5494" s="3"/>
      <c r="O5494" s="3"/>
    </row>
    <row r="5495" spans="1:15" ht="15" customHeight="1" x14ac:dyDescent="0.25">
      <c r="A5495" s="2"/>
      <c r="B5495" s="2"/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</row>
    <row r="5496" spans="1:15" ht="15" customHeight="1" x14ac:dyDescent="0.25">
      <c r="A5496" s="3"/>
      <c r="B5496" s="3"/>
      <c r="C5496" s="3"/>
      <c r="D5496" s="3"/>
      <c r="E5496" s="3"/>
      <c r="F5496" s="3"/>
      <c r="G5496" s="3"/>
      <c r="H5496" s="3"/>
      <c r="I5496" s="3"/>
      <c r="J5496" s="3"/>
      <c r="K5496" s="3"/>
      <c r="L5496" s="3"/>
      <c r="M5496" s="3"/>
      <c r="N5496" s="3"/>
      <c r="O5496" s="3"/>
    </row>
    <row r="5497" spans="1:15" ht="15" customHeight="1" x14ac:dyDescent="0.25">
      <c r="A5497" s="2"/>
      <c r="B5497" s="2"/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</row>
    <row r="5498" spans="1:15" ht="15" customHeight="1" x14ac:dyDescent="0.25">
      <c r="A5498" s="3"/>
      <c r="B5498" s="3"/>
      <c r="C5498" s="3"/>
      <c r="D5498" s="3"/>
      <c r="E5498" s="3"/>
      <c r="F5498" s="3"/>
      <c r="G5498" s="3"/>
      <c r="H5498" s="3"/>
      <c r="I5498" s="3"/>
      <c r="J5498" s="3"/>
      <c r="K5498" s="3"/>
      <c r="L5498" s="3"/>
      <c r="M5498" s="3"/>
      <c r="N5498" s="3"/>
      <c r="O5498" s="3"/>
    </row>
    <row r="5499" spans="1:15" ht="15" customHeight="1" x14ac:dyDescent="0.25">
      <c r="A5499" s="2"/>
      <c r="B5499" s="2"/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</row>
    <row r="5500" spans="1:15" ht="15" customHeight="1" x14ac:dyDescent="0.25">
      <c r="A5500" s="3"/>
      <c r="B5500" s="3"/>
      <c r="C5500" s="3"/>
      <c r="D5500" s="3"/>
      <c r="E5500" s="3"/>
      <c r="F5500" s="3"/>
      <c r="G5500" s="3"/>
      <c r="H5500" s="3"/>
      <c r="I5500" s="3"/>
      <c r="J5500" s="3"/>
      <c r="K5500" s="3"/>
      <c r="L5500" s="3"/>
      <c r="M5500" s="3"/>
      <c r="N5500" s="3"/>
      <c r="O5500" s="3"/>
    </row>
    <row r="5501" spans="1:15" ht="15" customHeight="1" x14ac:dyDescent="0.25">
      <c r="A5501" s="2"/>
      <c r="B5501" s="2"/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</row>
    <row r="5502" spans="1:15" ht="15" customHeight="1" x14ac:dyDescent="0.25">
      <c r="A5502" s="3"/>
      <c r="B5502" s="3"/>
      <c r="C5502" s="3"/>
      <c r="D5502" s="3"/>
      <c r="E5502" s="3"/>
      <c r="F5502" s="3"/>
      <c r="G5502" s="3"/>
      <c r="H5502" s="3"/>
      <c r="I5502" s="3"/>
      <c r="J5502" s="3"/>
      <c r="K5502" s="3"/>
      <c r="L5502" s="3"/>
      <c r="M5502" s="3"/>
      <c r="N5502" s="3"/>
      <c r="O5502" s="3"/>
    </row>
    <row r="5503" spans="1:15" ht="15" customHeight="1" x14ac:dyDescent="0.25">
      <c r="A5503" s="2"/>
      <c r="B5503" s="2"/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</row>
    <row r="5504" spans="1:15" ht="15" customHeight="1" x14ac:dyDescent="0.25">
      <c r="A5504" s="3"/>
      <c r="B5504" s="3"/>
      <c r="C5504" s="3"/>
      <c r="D5504" s="3"/>
      <c r="E5504" s="3"/>
      <c r="F5504" s="3"/>
      <c r="G5504" s="3"/>
      <c r="H5504" s="3"/>
      <c r="I5504" s="3"/>
      <c r="J5504" s="3"/>
      <c r="K5504" s="3"/>
      <c r="L5504" s="3"/>
      <c r="M5504" s="3"/>
      <c r="N5504" s="3"/>
      <c r="O5504" s="3"/>
    </row>
    <row r="5505" spans="1:15" ht="15" customHeight="1" x14ac:dyDescent="0.25">
      <c r="A5505" s="2"/>
      <c r="B5505" s="2"/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</row>
    <row r="5506" spans="1:15" ht="15" customHeight="1" x14ac:dyDescent="0.25">
      <c r="A5506" s="3"/>
      <c r="B5506" s="3"/>
      <c r="C5506" s="3"/>
      <c r="D5506" s="3"/>
      <c r="E5506" s="3"/>
      <c r="F5506" s="3"/>
      <c r="G5506" s="3"/>
      <c r="H5506" s="3"/>
      <c r="I5506" s="3"/>
      <c r="J5506" s="3"/>
      <c r="K5506" s="3"/>
      <c r="L5506" s="3"/>
      <c r="M5506" s="3"/>
      <c r="N5506" s="3"/>
      <c r="O5506" s="3"/>
    </row>
    <row r="5507" spans="1:15" ht="15" customHeight="1" x14ac:dyDescent="0.25">
      <c r="A5507" s="2"/>
      <c r="B5507" s="2"/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</row>
    <row r="5508" spans="1:15" ht="15" customHeight="1" x14ac:dyDescent="0.25">
      <c r="A5508" s="3"/>
      <c r="B5508" s="3"/>
      <c r="C5508" s="3"/>
      <c r="D5508" s="3"/>
      <c r="E5508" s="3"/>
      <c r="F5508" s="3"/>
      <c r="G5508" s="3"/>
      <c r="H5508" s="3"/>
      <c r="I5508" s="3"/>
      <c r="J5508" s="3"/>
      <c r="K5508" s="3"/>
      <c r="L5508" s="3"/>
      <c r="M5508" s="3"/>
      <c r="N5508" s="3"/>
      <c r="O5508" s="3"/>
    </row>
    <row r="5509" spans="1:15" ht="15" customHeight="1" x14ac:dyDescent="0.25">
      <c r="A5509" s="2"/>
      <c r="B5509" s="2"/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</row>
    <row r="5510" spans="1:15" ht="15" customHeight="1" x14ac:dyDescent="0.25">
      <c r="A5510" s="3"/>
      <c r="B5510" s="3"/>
      <c r="C5510" s="3"/>
      <c r="D5510" s="3"/>
      <c r="E5510" s="3"/>
      <c r="F5510" s="3"/>
      <c r="G5510" s="3"/>
      <c r="H5510" s="3"/>
      <c r="I5510" s="3"/>
      <c r="J5510" s="3"/>
      <c r="K5510" s="3"/>
      <c r="L5510" s="3"/>
      <c r="M5510" s="3"/>
      <c r="N5510" s="3"/>
      <c r="O5510" s="3"/>
    </row>
    <row r="5511" spans="1:15" ht="15" customHeight="1" x14ac:dyDescent="0.25">
      <c r="A5511" s="2"/>
      <c r="B5511" s="2"/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</row>
    <row r="5512" spans="1:15" ht="15" customHeight="1" x14ac:dyDescent="0.25">
      <c r="A5512" s="3"/>
      <c r="B5512" s="3"/>
      <c r="C5512" s="3"/>
      <c r="D5512" s="3"/>
      <c r="E5512" s="3"/>
      <c r="F5512" s="3"/>
      <c r="G5512" s="3"/>
      <c r="H5512" s="3"/>
      <c r="I5512" s="3"/>
      <c r="J5512" s="3"/>
      <c r="K5512" s="3"/>
      <c r="L5512" s="3"/>
      <c r="M5512" s="3"/>
      <c r="N5512" s="3"/>
      <c r="O5512" s="3"/>
    </row>
    <row r="5513" spans="1:15" ht="15" customHeight="1" x14ac:dyDescent="0.25">
      <c r="A5513" s="2"/>
      <c r="B5513" s="2"/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</row>
    <row r="5514" spans="1:15" ht="15" customHeight="1" x14ac:dyDescent="0.25">
      <c r="A5514" s="3"/>
      <c r="B5514" s="3"/>
      <c r="C5514" s="3"/>
      <c r="D5514" s="3"/>
      <c r="E5514" s="3"/>
      <c r="F5514" s="3"/>
      <c r="G5514" s="3"/>
      <c r="H5514" s="3"/>
      <c r="I5514" s="3"/>
      <c r="J5514" s="3"/>
      <c r="K5514" s="3"/>
      <c r="L5514" s="3"/>
      <c r="M5514" s="3"/>
      <c r="N5514" s="3"/>
      <c r="O5514" s="3"/>
    </row>
    <row r="5515" spans="1:15" ht="15" customHeight="1" x14ac:dyDescent="0.25">
      <c r="A5515" s="2"/>
      <c r="B5515" s="2"/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</row>
    <row r="5516" spans="1:15" ht="15" customHeight="1" x14ac:dyDescent="0.25">
      <c r="A5516" s="3"/>
      <c r="B5516" s="3"/>
      <c r="C5516" s="3"/>
      <c r="D5516" s="3"/>
      <c r="E5516" s="3"/>
      <c r="F5516" s="3"/>
      <c r="G5516" s="3"/>
      <c r="H5516" s="3"/>
      <c r="I5516" s="3"/>
      <c r="J5516" s="3"/>
      <c r="K5516" s="3"/>
      <c r="L5516" s="3"/>
      <c r="M5516" s="3"/>
      <c r="N5516" s="3"/>
      <c r="O5516" s="3"/>
    </row>
    <row r="5517" spans="1:15" ht="15" customHeight="1" x14ac:dyDescent="0.25">
      <c r="A5517" s="2"/>
      <c r="B5517" s="2"/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</row>
    <row r="5518" spans="1:15" ht="15" customHeight="1" x14ac:dyDescent="0.25">
      <c r="A5518" s="3"/>
      <c r="B5518" s="3"/>
      <c r="C5518" s="3"/>
      <c r="D5518" s="3"/>
      <c r="E5518" s="3"/>
      <c r="F5518" s="3"/>
      <c r="G5518" s="3"/>
      <c r="H5518" s="3"/>
      <c r="I5518" s="3"/>
      <c r="J5518" s="3"/>
      <c r="K5518" s="3"/>
      <c r="L5518" s="3"/>
      <c r="M5518" s="3"/>
      <c r="N5518" s="3"/>
      <c r="O5518" s="3"/>
    </row>
    <row r="5519" spans="1:15" ht="15" customHeight="1" x14ac:dyDescent="0.25">
      <c r="A5519" s="2"/>
      <c r="B5519" s="2"/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</row>
    <row r="5520" spans="1:15" ht="15" customHeight="1" x14ac:dyDescent="0.25">
      <c r="A5520" s="3"/>
      <c r="B5520" s="3"/>
      <c r="C5520" s="3"/>
      <c r="D5520" s="3"/>
      <c r="E5520" s="3"/>
      <c r="F5520" s="3"/>
      <c r="G5520" s="3"/>
      <c r="H5520" s="3"/>
      <c r="I5520" s="3"/>
      <c r="J5520" s="3"/>
      <c r="K5520" s="3"/>
      <c r="L5520" s="3"/>
      <c r="M5520" s="3"/>
      <c r="N5520" s="3"/>
      <c r="O5520" s="3"/>
    </row>
    <row r="5521" spans="1:15" ht="15" customHeight="1" x14ac:dyDescent="0.25">
      <c r="A5521" s="2"/>
      <c r="B5521" s="2"/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</row>
    <row r="5522" spans="1:15" ht="15" customHeight="1" x14ac:dyDescent="0.25">
      <c r="A5522" s="3"/>
      <c r="B5522" s="3"/>
      <c r="C5522" s="3"/>
      <c r="D5522" s="3"/>
      <c r="E5522" s="3"/>
      <c r="F5522" s="3"/>
      <c r="G5522" s="3"/>
      <c r="H5522" s="3"/>
      <c r="I5522" s="3"/>
      <c r="J5522" s="3"/>
      <c r="K5522" s="3"/>
      <c r="L5522" s="3"/>
      <c r="M5522" s="3"/>
      <c r="N5522" s="3"/>
      <c r="O5522" s="3"/>
    </row>
    <row r="5523" spans="1:15" ht="15" customHeight="1" x14ac:dyDescent="0.25">
      <c r="A5523" s="2"/>
      <c r="B5523" s="2"/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</row>
    <row r="5524" spans="1:15" ht="15" customHeight="1" x14ac:dyDescent="0.25">
      <c r="A5524" s="3"/>
      <c r="B5524" s="3"/>
      <c r="C5524" s="3"/>
      <c r="D5524" s="3"/>
      <c r="E5524" s="3"/>
      <c r="F5524" s="3"/>
      <c r="G5524" s="3"/>
      <c r="H5524" s="3"/>
      <c r="I5524" s="3"/>
      <c r="J5524" s="3"/>
      <c r="K5524" s="3"/>
      <c r="L5524" s="3"/>
      <c r="M5524" s="3"/>
      <c r="N5524" s="3"/>
      <c r="O5524" s="3"/>
    </row>
    <row r="5525" spans="1:15" ht="15" customHeight="1" x14ac:dyDescent="0.25">
      <c r="A5525" s="2"/>
      <c r="B5525" s="2"/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</row>
    <row r="5526" spans="1:15" ht="15" customHeight="1" x14ac:dyDescent="0.25">
      <c r="A5526" s="3"/>
      <c r="B5526" s="3"/>
      <c r="C5526" s="3"/>
      <c r="D5526" s="3"/>
      <c r="E5526" s="3"/>
      <c r="F5526" s="3"/>
      <c r="G5526" s="3"/>
      <c r="H5526" s="3"/>
      <c r="I5526" s="3"/>
      <c r="J5526" s="3"/>
      <c r="K5526" s="3"/>
      <c r="L5526" s="3"/>
      <c r="M5526" s="3"/>
      <c r="N5526" s="3"/>
      <c r="O5526" s="3"/>
    </row>
    <row r="5527" spans="1:15" ht="15" customHeight="1" x14ac:dyDescent="0.25">
      <c r="A5527" s="2"/>
      <c r="B5527" s="2"/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</row>
    <row r="5528" spans="1:15" ht="15" customHeight="1" x14ac:dyDescent="0.25">
      <c r="A5528" s="3"/>
      <c r="B5528" s="3"/>
      <c r="C5528" s="3"/>
      <c r="D5528" s="3"/>
      <c r="E5528" s="3"/>
      <c r="F5528" s="3"/>
      <c r="G5528" s="3"/>
      <c r="H5528" s="3"/>
      <c r="I5528" s="3"/>
      <c r="J5528" s="3"/>
      <c r="K5528" s="3"/>
      <c r="L5528" s="3"/>
      <c r="M5528" s="3"/>
      <c r="N5528" s="3"/>
      <c r="O5528" s="3"/>
    </row>
    <row r="5529" spans="1:15" ht="15" customHeight="1" x14ac:dyDescent="0.25">
      <c r="A5529" s="2"/>
      <c r="B5529" s="2"/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</row>
    <row r="5530" spans="1:15" ht="15" customHeight="1" x14ac:dyDescent="0.25">
      <c r="A5530" s="3"/>
      <c r="B5530" s="3"/>
      <c r="C5530" s="3"/>
      <c r="D5530" s="3"/>
      <c r="E5530" s="3"/>
      <c r="F5530" s="3"/>
      <c r="G5530" s="3"/>
      <c r="H5530" s="3"/>
      <c r="I5530" s="3"/>
      <c r="J5530" s="3"/>
      <c r="K5530" s="3"/>
      <c r="L5530" s="3"/>
      <c r="M5530" s="3"/>
      <c r="N5530" s="3"/>
      <c r="O5530" s="3"/>
    </row>
    <row r="5531" spans="1:15" ht="15" customHeight="1" x14ac:dyDescent="0.25">
      <c r="A5531" s="2"/>
      <c r="B5531" s="2"/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</row>
    <row r="5532" spans="1:15" ht="15" customHeight="1" x14ac:dyDescent="0.25">
      <c r="A5532" s="3"/>
      <c r="B5532" s="3"/>
      <c r="C5532" s="3"/>
      <c r="D5532" s="3"/>
      <c r="E5532" s="3"/>
      <c r="F5532" s="3"/>
      <c r="G5532" s="3"/>
      <c r="H5532" s="3"/>
      <c r="I5532" s="3"/>
      <c r="J5532" s="3"/>
      <c r="K5532" s="3"/>
      <c r="L5532" s="3"/>
      <c r="M5532" s="3"/>
      <c r="N5532" s="3"/>
      <c r="O5532" s="3"/>
    </row>
    <row r="5533" spans="1:15" ht="15" customHeight="1" x14ac:dyDescent="0.25">
      <c r="A5533" s="2"/>
      <c r="B5533" s="2"/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</row>
    <row r="5534" spans="1:15" ht="15" customHeight="1" x14ac:dyDescent="0.25">
      <c r="A5534" s="3"/>
      <c r="B5534" s="3"/>
      <c r="C5534" s="3"/>
      <c r="D5534" s="3"/>
      <c r="E5534" s="3"/>
      <c r="F5534" s="3"/>
      <c r="G5534" s="3"/>
      <c r="H5534" s="3"/>
      <c r="I5534" s="3"/>
      <c r="J5534" s="3"/>
      <c r="K5534" s="3"/>
      <c r="L5534" s="3"/>
      <c r="M5534" s="3"/>
      <c r="N5534" s="3"/>
      <c r="O5534" s="3"/>
    </row>
    <row r="5535" spans="1:15" ht="15" customHeight="1" x14ac:dyDescent="0.25">
      <c r="A5535" s="2"/>
      <c r="B5535" s="2"/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</row>
    <row r="5536" spans="1:15" ht="15" customHeight="1" x14ac:dyDescent="0.25">
      <c r="A5536" s="3"/>
      <c r="B5536" s="3"/>
      <c r="C5536" s="3"/>
      <c r="D5536" s="3"/>
      <c r="E5536" s="3"/>
      <c r="F5536" s="3"/>
      <c r="G5536" s="3"/>
      <c r="H5536" s="3"/>
      <c r="I5536" s="3"/>
      <c r="J5536" s="3"/>
      <c r="K5536" s="3"/>
      <c r="L5536" s="3"/>
      <c r="M5536" s="3"/>
      <c r="N5536" s="3"/>
      <c r="O5536" s="3"/>
    </row>
    <row r="5537" spans="1:15" ht="15" customHeight="1" x14ac:dyDescent="0.25">
      <c r="A5537" s="2"/>
      <c r="B5537" s="2"/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</row>
    <row r="5538" spans="1:15" ht="15" customHeight="1" x14ac:dyDescent="0.25">
      <c r="A5538" s="3"/>
      <c r="B5538" s="3"/>
      <c r="C5538" s="3"/>
      <c r="D5538" s="3"/>
      <c r="E5538" s="3"/>
      <c r="F5538" s="3"/>
      <c r="G5538" s="3"/>
      <c r="H5538" s="3"/>
      <c r="I5538" s="3"/>
      <c r="J5538" s="3"/>
      <c r="K5538" s="3"/>
      <c r="L5538" s="3"/>
      <c r="M5538" s="3"/>
      <c r="N5538" s="3"/>
      <c r="O5538" s="3"/>
    </row>
    <row r="5539" spans="1:15" ht="15" customHeight="1" x14ac:dyDescent="0.25">
      <c r="A5539" s="2"/>
      <c r="B5539" s="2"/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</row>
    <row r="5540" spans="1:15" ht="15" customHeight="1" x14ac:dyDescent="0.25">
      <c r="A5540" s="3"/>
      <c r="B5540" s="3"/>
      <c r="C5540" s="3"/>
      <c r="D5540" s="3"/>
      <c r="E5540" s="3"/>
      <c r="F5540" s="3"/>
      <c r="G5540" s="3"/>
      <c r="H5540" s="3"/>
      <c r="I5540" s="3"/>
      <c r="J5540" s="3"/>
      <c r="K5540" s="3"/>
      <c r="L5540" s="3"/>
      <c r="M5540" s="3"/>
      <c r="N5540" s="3"/>
      <c r="O5540" s="3"/>
    </row>
    <row r="5541" spans="1:15" ht="15" customHeight="1" x14ac:dyDescent="0.25">
      <c r="A5541" s="2"/>
      <c r="B5541" s="2"/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</row>
    <row r="5542" spans="1:15" ht="15" customHeight="1" x14ac:dyDescent="0.25">
      <c r="A5542" s="3"/>
      <c r="B5542" s="3"/>
      <c r="C5542" s="3"/>
      <c r="D5542" s="3"/>
      <c r="E5542" s="3"/>
      <c r="F5542" s="3"/>
      <c r="G5542" s="3"/>
      <c r="H5542" s="3"/>
      <c r="I5542" s="3"/>
      <c r="J5542" s="3"/>
      <c r="K5542" s="3"/>
      <c r="L5542" s="3"/>
      <c r="M5542" s="3"/>
      <c r="N5542" s="3"/>
      <c r="O5542" s="3"/>
    </row>
    <row r="5543" spans="1:15" ht="15" customHeight="1" x14ac:dyDescent="0.25">
      <c r="A5543" s="2"/>
      <c r="B5543" s="2"/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</row>
    <row r="5544" spans="1:15" ht="15" customHeight="1" x14ac:dyDescent="0.25">
      <c r="A5544" s="3"/>
      <c r="B5544" s="3"/>
      <c r="C5544" s="3"/>
      <c r="D5544" s="3"/>
      <c r="E5544" s="3"/>
      <c r="F5544" s="3"/>
      <c r="G5544" s="3"/>
      <c r="H5544" s="3"/>
      <c r="I5544" s="3"/>
      <c r="J5544" s="3"/>
      <c r="K5544" s="3"/>
      <c r="L5544" s="3"/>
      <c r="M5544" s="3"/>
      <c r="N5544" s="3"/>
      <c r="O5544" s="3"/>
    </row>
    <row r="5545" spans="1:15" ht="15" customHeight="1" x14ac:dyDescent="0.25">
      <c r="A5545" s="2"/>
      <c r="B5545" s="2"/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</row>
    <row r="5546" spans="1:15" ht="15" customHeight="1" x14ac:dyDescent="0.25">
      <c r="A5546" s="3"/>
      <c r="B5546" s="3"/>
      <c r="C5546" s="3"/>
      <c r="D5546" s="3"/>
      <c r="E5546" s="3"/>
      <c r="F5546" s="3"/>
      <c r="G5546" s="3"/>
      <c r="H5546" s="3"/>
      <c r="I5546" s="3"/>
      <c r="J5546" s="3"/>
      <c r="K5546" s="3"/>
      <c r="L5546" s="3"/>
      <c r="M5546" s="3"/>
      <c r="N5546" s="3"/>
      <c r="O5546" s="3"/>
    </row>
    <row r="5547" spans="1:15" ht="15" customHeight="1" x14ac:dyDescent="0.25">
      <c r="A5547" s="2"/>
      <c r="B5547" s="2"/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</row>
    <row r="5548" spans="1:15" ht="15" customHeight="1" x14ac:dyDescent="0.25">
      <c r="A5548" s="3"/>
      <c r="B5548" s="3"/>
      <c r="C5548" s="3"/>
      <c r="D5548" s="3"/>
      <c r="E5548" s="3"/>
      <c r="F5548" s="3"/>
      <c r="G5548" s="3"/>
      <c r="H5548" s="3"/>
      <c r="I5548" s="3"/>
      <c r="J5548" s="3"/>
      <c r="K5548" s="3"/>
      <c r="L5548" s="3"/>
      <c r="M5548" s="3"/>
      <c r="N5548" s="3"/>
      <c r="O5548" s="3"/>
    </row>
    <row r="5549" spans="1:15" ht="15" customHeight="1" x14ac:dyDescent="0.25">
      <c r="A5549" s="2"/>
      <c r="B5549" s="2"/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</row>
    <row r="5550" spans="1:15" ht="15" customHeight="1" x14ac:dyDescent="0.25">
      <c r="A5550" s="3"/>
      <c r="B5550" s="3"/>
      <c r="C5550" s="3"/>
      <c r="D5550" s="3"/>
      <c r="E5550" s="3"/>
      <c r="F5550" s="3"/>
      <c r="G5550" s="3"/>
      <c r="H5550" s="3"/>
      <c r="I5550" s="3"/>
      <c r="J5550" s="3"/>
      <c r="K5550" s="3"/>
      <c r="L5550" s="3"/>
      <c r="M5550" s="3"/>
      <c r="N5550" s="3"/>
      <c r="O5550" s="3"/>
    </row>
    <row r="5551" spans="1:15" ht="15" customHeight="1" x14ac:dyDescent="0.25">
      <c r="A5551" s="2"/>
      <c r="B5551" s="2"/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</row>
    <row r="5552" spans="1:15" ht="15" customHeight="1" x14ac:dyDescent="0.25">
      <c r="A5552" s="3"/>
      <c r="B5552" s="3"/>
      <c r="C5552" s="3"/>
      <c r="D5552" s="3"/>
      <c r="E5552" s="3"/>
      <c r="F5552" s="3"/>
      <c r="G5552" s="3"/>
      <c r="H5552" s="3"/>
      <c r="I5552" s="3"/>
      <c r="J5552" s="3"/>
      <c r="K5552" s="3"/>
      <c r="L5552" s="3"/>
      <c r="M5552" s="3"/>
      <c r="N5552" s="3"/>
      <c r="O5552" s="3"/>
    </row>
    <row r="5553" spans="1:15" ht="15" customHeight="1" x14ac:dyDescent="0.25">
      <c r="A5553" s="2"/>
      <c r="B5553" s="2"/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</row>
    <row r="5554" spans="1:15" ht="15" customHeight="1" x14ac:dyDescent="0.25">
      <c r="A5554" s="3"/>
      <c r="B5554" s="3"/>
      <c r="C5554" s="3"/>
      <c r="D5554" s="3"/>
      <c r="E5554" s="3"/>
      <c r="F5554" s="3"/>
      <c r="G5554" s="3"/>
      <c r="H5554" s="3"/>
      <c r="I5554" s="3"/>
      <c r="J5554" s="3"/>
      <c r="K5554" s="3"/>
      <c r="L5554" s="3"/>
      <c r="M5554" s="3"/>
      <c r="N5554" s="3"/>
      <c r="O5554" s="3"/>
    </row>
    <row r="5555" spans="1:15" ht="15" customHeight="1" x14ac:dyDescent="0.25">
      <c r="A5555" s="2"/>
      <c r="B5555" s="2"/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</row>
    <row r="5556" spans="1:15" ht="15" customHeight="1" x14ac:dyDescent="0.25">
      <c r="A5556" s="3"/>
      <c r="B5556" s="3"/>
      <c r="C5556" s="3"/>
      <c r="D5556" s="3"/>
      <c r="E5556" s="3"/>
      <c r="F5556" s="3"/>
      <c r="G5556" s="3"/>
      <c r="H5556" s="3"/>
      <c r="I5556" s="3"/>
      <c r="J5556" s="3"/>
      <c r="K5556" s="3"/>
      <c r="L5556" s="3"/>
      <c r="M5556" s="3"/>
      <c r="N5556" s="3"/>
      <c r="O5556" s="3"/>
    </row>
    <row r="5557" spans="1:15" ht="15" customHeight="1" x14ac:dyDescent="0.25">
      <c r="A5557" s="2"/>
      <c r="B5557" s="2"/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</row>
    <row r="5558" spans="1:15" ht="15" customHeight="1" x14ac:dyDescent="0.25">
      <c r="A5558" s="3"/>
      <c r="B5558" s="3"/>
      <c r="C5558" s="3"/>
      <c r="D5558" s="3"/>
      <c r="E5558" s="3"/>
      <c r="F5558" s="3"/>
      <c r="G5558" s="3"/>
      <c r="H5558" s="3"/>
      <c r="I5558" s="3"/>
      <c r="J5558" s="3"/>
      <c r="K5558" s="3"/>
      <c r="L5558" s="3"/>
      <c r="M5558" s="3"/>
      <c r="N5558" s="3"/>
      <c r="O5558" s="3"/>
    </row>
    <row r="5559" spans="1:15" ht="15" customHeight="1" x14ac:dyDescent="0.25">
      <c r="A5559" s="2"/>
      <c r="B5559" s="2"/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</row>
    <row r="5560" spans="1:15" ht="15" customHeight="1" x14ac:dyDescent="0.25">
      <c r="A5560" s="3"/>
      <c r="B5560" s="3"/>
      <c r="C5560" s="3"/>
      <c r="D5560" s="3"/>
      <c r="E5560" s="3"/>
      <c r="F5560" s="3"/>
      <c r="G5560" s="3"/>
      <c r="H5560" s="3"/>
      <c r="I5560" s="3"/>
      <c r="J5560" s="3"/>
      <c r="K5560" s="3"/>
      <c r="L5560" s="3"/>
      <c r="M5560" s="3"/>
      <c r="N5560" s="3"/>
      <c r="O5560" s="3"/>
    </row>
    <row r="5561" spans="1:15" ht="15" customHeight="1" x14ac:dyDescent="0.25">
      <c r="A5561" s="2"/>
      <c r="B5561" s="2"/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</row>
    <row r="5562" spans="1:15" ht="15" customHeight="1" x14ac:dyDescent="0.25">
      <c r="A5562" s="3"/>
      <c r="B5562" s="3"/>
      <c r="C5562" s="3"/>
      <c r="D5562" s="3"/>
      <c r="E5562" s="3"/>
      <c r="F5562" s="3"/>
      <c r="G5562" s="3"/>
      <c r="H5562" s="3"/>
      <c r="I5562" s="3"/>
      <c r="J5562" s="3"/>
      <c r="K5562" s="3"/>
      <c r="L5562" s="3"/>
      <c r="M5562" s="3"/>
      <c r="N5562" s="3"/>
      <c r="O5562" s="3"/>
    </row>
    <row r="5563" spans="1:15" ht="15" customHeight="1" x14ac:dyDescent="0.25">
      <c r="A5563" s="2"/>
      <c r="B5563" s="2"/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</row>
    <row r="5564" spans="1:15" ht="15" customHeight="1" x14ac:dyDescent="0.25">
      <c r="A5564" s="3"/>
      <c r="B5564" s="3"/>
      <c r="C5564" s="3"/>
      <c r="D5564" s="3"/>
      <c r="E5564" s="3"/>
      <c r="F5564" s="3"/>
      <c r="G5564" s="3"/>
      <c r="H5564" s="3"/>
      <c r="I5564" s="3"/>
      <c r="J5564" s="3"/>
      <c r="K5564" s="3"/>
      <c r="L5564" s="3"/>
      <c r="M5564" s="3"/>
      <c r="N5564" s="3"/>
      <c r="O5564" s="3"/>
    </row>
    <row r="5565" spans="1:15" ht="15" customHeight="1" x14ac:dyDescent="0.25">
      <c r="A5565" s="2"/>
      <c r="B5565" s="2"/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</row>
    <row r="5566" spans="1:15" ht="15" customHeight="1" x14ac:dyDescent="0.25">
      <c r="A5566" s="3"/>
      <c r="B5566" s="3"/>
      <c r="C5566" s="3"/>
      <c r="D5566" s="3"/>
      <c r="E5566" s="3"/>
      <c r="F5566" s="3"/>
      <c r="G5566" s="3"/>
      <c r="H5566" s="3"/>
      <c r="I5566" s="3"/>
      <c r="J5566" s="3"/>
      <c r="K5566" s="3"/>
      <c r="L5566" s="3"/>
      <c r="M5566" s="3"/>
      <c r="N5566" s="3"/>
      <c r="O5566" s="3"/>
    </row>
    <row r="5567" spans="1:15" ht="15" customHeight="1" x14ac:dyDescent="0.25">
      <c r="A5567" s="2"/>
      <c r="B5567" s="2"/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</row>
    <row r="5568" spans="1:15" ht="15" customHeight="1" x14ac:dyDescent="0.25">
      <c r="A5568" s="3"/>
      <c r="B5568" s="3"/>
      <c r="C5568" s="3"/>
      <c r="D5568" s="3"/>
      <c r="E5568" s="3"/>
      <c r="F5568" s="3"/>
      <c r="G5568" s="3"/>
      <c r="H5568" s="3"/>
      <c r="I5568" s="3"/>
      <c r="J5568" s="3"/>
      <c r="K5568" s="3"/>
      <c r="L5568" s="3"/>
      <c r="M5568" s="3"/>
      <c r="N5568" s="3"/>
      <c r="O5568" s="3"/>
    </row>
    <row r="5569" spans="1:15" ht="15" customHeight="1" x14ac:dyDescent="0.25">
      <c r="A5569" s="2"/>
      <c r="B5569" s="2"/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</row>
    <row r="5570" spans="1:15" ht="15" customHeight="1" x14ac:dyDescent="0.25">
      <c r="A5570" s="3"/>
      <c r="B5570" s="3"/>
      <c r="C5570" s="3"/>
      <c r="D5570" s="3"/>
      <c r="E5570" s="3"/>
      <c r="F5570" s="3"/>
      <c r="G5570" s="3"/>
      <c r="H5570" s="3"/>
      <c r="I5570" s="3"/>
      <c r="J5570" s="3"/>
      <c r="K5570" s="3"/>
      <c r="L5570" s="3"/>
      <c r="M5570" s="3"/>
      <c r="N5570" s="3"/>
      <c r="O5570" s="3"/>
    </row>
    <row r="5571" spans="1:15" ht="15" customHeight="1" x14ac:dyDescent="0.25">
      <c r="A5571" s="2"/>
      <c r="B5571" s="2"/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</row>
    <row r="5572" spans="1:15" ht="15" customHeight="1" x14ac:dyDescent="0.25">
      <c r="A5572" s="3"/>
      <c r="B5572" s="3"/>
      <c r="C5572" s="3"/>
      <c r="D5572" s="3"/>
      <c r="E5572" s="3"/>
      <c r="F5572" s="3"/>
      <c r="G5572" s="3"/>
      <c r="H5572" s="3"/>
      <c r="I5572" s="3"/>
      <c r="J5572" s="3"/>
      <c r="K5572" s="3"/>
      <c r="L5572" s="3"/>
      <c r="M5572" s="3"/>
      <c r="N5572" s="3"/>
      <c r="O5572" s="3"/>
    </row>
    <row r="5573" spans="1:15" ht="15" customHeight="1" x14ac:dyDescent="0.25">
      <c r="A5573" s="2"/>
      <c r="B5573" s="2"/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</row>
    <row r="5574" spans="1:15" ht="15" customHeight="1" x14ac:dyDescent="0.25">
      <c r="A5574" s="3"/>
      <c r="B5574" s="3"/>
      <c r="C5574" s="3"/>
      <c r="D5574" s="3"/>
      <c r="E5574" s="3"/>
      <c r="F5574" s="3"/>
      <c r="G5574" s="3"/>
      <c r="H5574" s="3"/>
      <c r="I5574" s="3"/>
      <c r="J5574" s="3"/>
      <c r="K5574" s="3"/>
      <c r="L5574" s="3"/>
      <c r="M5574" s="3"/>
      <c r="N5574" s="3"/>
      <c r="O5574" s="3"/>
    </row>
    <row r="5575" spans="1:15" ht="15" customHeight="1" x14ac:dyDescent="0.25">
      <c r="A5575" s="2"/>
      <c r="B5575" s="2"/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</row>
    <row r="5576" spans="1:15" ht="15" customHeight="1" x14ac:dyDescent="0.25">
      <c r="A5576" s="3"/>
      <c r="B5576" s="3"/>
      <c r="C5576" s="3"/>
      <c r="D5576" s="3"/>
      <c r="E5576" s="3"/>
      <c r="F5576" s="3"/>
      <c r="G5576" s="3"/>
      <c r="H5576" s="3"/>
      <c r="I5576" s="3"/>
      <c r="J5576" s="3"/>
      <c r="K5576" s="3"/>
      <c r="L5576" s="3"/>
      <c r="M5576" s="3"/>
      <c r="N5576" s="3"/>
      <c r="O5576" s="3"/>
    </row>
    <row r="5577" spans="1:15" ht="15" customHeight="1" x14ac:dyDescent="0.25">
      <c r="A5577" s="2"/>
      <c r="B5577" s="2"/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</row>
    <row r="5578" spans="1:15" ht="15" customHeight="1" x14ac:dyDescent="0.25">
      <c r="A5578" s="3"/>
      <c r="B5578" s="3"/>
      <c r="C5578" s="3"/>
      <c r="D5578" s="3"/>
      <c r="E5578" s="3"/>
      <c r="F5578" s="3"/>
      <c r="G5578" s="3"/>
      <c r="H5578" s="3"/>
      <c r="I5578" s="3"/>
      <c r="J5578" s="3"/>
      <c r="K5578" s="3"/>
      <c r="L5578" s="3"/>
      <c r="M5578" s="3"/>
      <c r="N5578" s="3"/>
      <c r="O5578" s="3"/>
    </row>
    <row r="5579" spans="1:15" ht="15" customHeight="1" x14ac:dyDescent="0.25">
      <c r="A5579" s="2"/>
      <c r="B5579" s="2"/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</row>
    <row r="5580" spans="1:15" ht="15" customHeight="1" x14ac:dyDescent="0.25">
      <c r="A5580" s="3"/>
      <c r="B5580" s="3"/>
      <c r="C5580" s="3"/>
      <c r="D5580" s="3"/>
      <c r="E5580" s="3"/>
      <c r="F5580" s="3"/>
      <c r="G5580" s="3"/>
      <c r="H5580" s="3"/>
      <c r="I5580" s="3"/>
      <c r="J5580" s="3"/>
      <c r="K5580" s="3"/>
      <c r="L5580" s="3"/>
      <c r="M5580" s="3"/>
      <c r="N5580" s="3"/>
      <c r="O5580" s="3"/>
    </row>
    <row r="5581" spans="1:15" ht="15" customHeight="1" x14ac:dyDescent="0.25">
      <c r="A5581" s="2"/>
      <c r="B5581" s="2"/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</row>
    <row r="5582" spans="1:15" ht="15" customHeight="1" x14ac:dyDescent="0.25">
      <c r="A5582" s="3"/>
      <c r="B5582" s="3"/>
      <c r="C5582" s="3"/>
      <c r="D5582" s="3"/>
      <c r="E5582" s="3"/>
      <c r="F5582" s="3"/>
      <c r="G5582" s="3"/>
      <c r="H5582" s="3"/>
      <c r="I5582" s="3"/>
      <c r="J5582" s="3"/>
      <c r="K5582" s="3"/>
      <c r="L5582" s="3"/>
      <c r="M5582" s="3"/>
      <c r="N5582" s="3"/>
      <c r="O5582" s="3"/>
    </row>
    <row r="5583" spans="1:15" ht="15" customHeight="1" x14ac:dyDescent="0.25">
      <c r="A5583" s="2"/>
      <c r="B5583" s="2"/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</row>
    <row r="5584" spans="1:15" ht="15" customHeight="1" x14ac:dyDescent="0.25">
      <c r="A5584" s="3"/>
      <c r="B5584" s="3"/>
      <c r="C5584" s="3"/>
      <c r="D5584" s="3"/>
      <c r="E5584" s="3"/>
      <c r="F5584" s="3"/>
      <c r="G5584" s="3"/>
      <c r="H5584" s="3"/>
      <c r="I5584" s="3"/>
      <c r="J5584" s="3"/>
      <c r="K5584" s="3"/>
      <c r="L5584" s="3"/>
      <c r="M5584" s="3"/>
      <c r="N5584" s="3"/>
      <c r="O5584" s="3"/>
    </row>
    <row r="5585" spans="1:15" ht="15" customHeight="1" x14ac:dyDescent="0.25">
      <c r="A5585" s="2"/>
      <c r="B5585" s="2"/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</row>
    <row r="5586" spans="1:15" ht="15" customHeight="1" x14ac:dyDescent="0.25">
      <c r="A5586" s="3"/>
      <c r="B5586" s="3"/>
      <c r="C5586" s="3"/>
      <c r="D5586" s="3"/>
      <c r="E5586" s="3"/>
      <c r="F5586" s="3"/>
      <c r="G5586" s="3"/>
      <c r="H5586" s="3"/>
      <c r="I5586" s="3"/>
      <c r="J5586" s="3"/>
      <c r="K5586" s="3"/>
      <c r="L5586" s="3"/>
      <c r="M5586" s="3"/>
      <c r="N5586" s="3"/>
      <c r="O5586" s="3"/>
    </row>
    <row r="5587" spans="1:15" ht="15" customHeight="1" x14ac:dyDescent="0.25">
      <c r="A5587" s="2"/>
      <c r="B5587" s="2"/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</row>
    <row r="5588" spans="1:15" ht="15" customHeight="1" x14ac:dyDescent="0.25">
      <c r="A5588" s="3"/>
      <c r="B5588" s="3"/>
      <c r="C5588" s="3"/>
      <c r="D5588" s="3"/>
      <c r="E5588" s="3"/>
      <c r="F5588" s="3"/>
      <c r="G5588" s="3"/>
      <c r="H5588" s="3"/>
      <c r="I5588" s="3"/>
      <c r="J5588" s="3"/>
      <c r="K5588" s="3"/>
      <c r="L5588" s="3"/>
      <c r="M5588" s="3"/>
      <c r="N5588" s="3"/>
      <c r="O5588" s="3"/>
    </row>
    <row r="5589" spans="1:15" ht="15" customHeight="1" x14ac:dyDescent="0.25">
      <c r="A5589" s="2"/>
      <c r="B5589" s="2"/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</row>
    <row r="5590" spans="1:15" ht="15" customHeight="1" x14ac:dyDescent="0.25">
      <c r="A5590" s="3"/>
      <c r="B5590" s="3"/>
      <c r="C5590" s="3"/>
      <c r="D5590" s="3"/>
      <c r="E5590" s="3"/>
      <c r="F5590" s="3"/>
      <c r="G5590" s="3"/>
      <c r="H5590" s="3"/>
      <c r="I5590" s="3"/>
      <c r="J5590" s="3"/>
      <c r="K5590" s="3"/>
      <c r="L5590" s="3"/>
      <c r="M5590" s="3"/>
      <c r="N5590" s="3"/>
      <c r="O5590" s="3"/>
    </row>
    <row r="5591" spans="1:15" ht="15" customHeight="1" x14ac:dyDescent="0.25">
      <c r="A5591" s="2"/>
      <c r="B5591" s="2"/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</row>
    <row r="5592" spans="1:15" ht="15" customHeight="1" x14ac:dyDescent="0.25">
      <c r="A5592" s="3"/>
      <c r="B5592" s="3"/>
      <c r="C5592" s="3"/>
      <c r="D5592" s="3"/>
      <c r="E5592" s="3"/>
      <c r="F5592" s="3"/>
      <c r="G5592" s="3"/>
      <c r="H5592" s="3"/>
      <c r="I5592" s="3"/>
      <c r="J5592" s="3"/>
      <c r="K5592" s="3"/>
      <c r="L5592" s="3"/>
      <c r="M5592" s="3"/>
      <c r="N5592" s="3"/>
      <c r="O5592" s="3"/>
    </row>
    <row r="5593" spans="1:15" ht="15" customHeight="1" x14ac:dyDescent="0.25">
      <c r="A5593" s="2"/>
      <c r="B5593" s="2"/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</row>
    <row r="5594" spans="1:15" ht="15" customHeight="1" x14ac:dyDescent="0.25">
      <c r="A5594" s="3"/>
      <c r="B5594" s="3"/>
      <c r="C5594" s="3"/>
      <c r="D5594" s="3"/>
      <c r="E5594" s="3"/>
      <c r="F5594" s="3"/>
      <c r="G5594" s="3"/>
      <c r="H5594" s="3"/>
      <c r="I5594" s="3"/>
      <c r="J5594" s="3"/>
      <c r="K5594" s="3"/>
      <c r="L5594" s="3"/>
      <c r="M5594" s="3"/>
      <c r="N5594" s="3"/>
      <c r="O5594" s="3"/>
    </row>
    <row r="5595" spans="1:15" ht="15" customHeight="1" x14ac:dyDescent="0.25">
      <c r="A5595" s="2"/>
      <c r="B5595" s="2"/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</row>
    <row r="5596" spans="1:15" ht="15" customHeight="1" x14ac:dyDescent="0.25">
      <c r="A5596" s="3"/>
      <c r="B5596" s="3"/>
      <c r="C5596" s="3"/>
      <c r="D5596" s="3"/>
      <c r="E5596" s="3"/>
      <c r="F5596" s="3"/>
      <c r="G5596" s="3"/>
      <c r="H5596" s="3"/>
      <c r="I5596" s="3"/>
      <c r="J5596" s="3"/>
      <c r="K5596" s="3"/>
      <c r="L5596" s="3"/>
      <c r="M5596" s="3"/>
      <c r="N5596" s="3"/>
      <c r="O5596" s="3"/>
    </row>
    <row r="5597" spans="1:15" ht="15" customHeight="1" x14ac:dyDescent="0.25">
      <c r="A5597" s="2"/>
      <c r="B5597" s="2"/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</row>
    <row r="5598" spans="1:15" ht="15" customHeight="1" x14ac:dyDescent="0.25">
      <c r="A5598" s="3"/>
      <c r="B5598" s="3"/>
      <c r="C5598" s="3"/>
      <c r="D5598" s="3"/>
      <c r="E5598" s="3"/>
      <c r="F5598" s="3"/>
      <c r="G5598" s="3"/>
      <c r="H5598" s="3"/>
      <c r="I5598" s="3"/>
      <c r="J5598" s="3"/>
      <c r="K5598" s="3"/>
      <c r="L5598" s="3"/>
      <c r="M5598" s="3"/>
      <c r="N5598" s="3"/>
      <c r="O5598" s="3"/>
    </row>
    <row r="5599" spans="1:15" ht="15" customHeight="1" x14ac:dyDescent="0.25">
      <c r="A5599" s="2"/>
      <c r="B5599" s="2"/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</row>
    <row r="5600" spans="1:15" ht="15" customHeight="1" x14ac:dyDescent="0.25">
      <c r="A5600" s="3"/>
      <c r="B5600" s="3"/>
      <c r="C5600" s="3"/>
      <c r="D5600" s="3"/>
      <c r="E5600" s="3"/>
      <c r="F5600" s="3"/>
      <c r="G5600" s="3"/>
      <c r="H5600" s="3"/>
      <c r="I5600" s="3"/>
      <c r="J5600" s="3"/>
      <c r="K5600" s="3"/>
      <c r="L5600" s="3"/>
      <c r="M5600" s="3"/>
      <c r="N5600" s="3"/>
      <c r="O5600" s="3"/>
    </row>
    <row r="5601" spans="1:15" ht="15" customHeight="1" x14ac:dyDescent="0.25">
      <c r="A5601" s="2"/>
      <c r="B5601" s="2"/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</row>
    <row r="5602" spans="1:15" ht="15" customHeight="1" x14ac:dyDescent="0.25">
      <c r="A5602" s="3"/>
      <c r="B5602" s="3"/>
      <c r="C5602" s="3"/>
      <c r="D5602" s="3"/>
      <c r="E5602" s="3"/>
      <c r="F5602" s="3"/>
      <c r="G5602" s="3"/>
      <c r="H5602" s="3"/>
      <c r="I5602" s="3"/>
      <c r="J5602" s="3"/>
      <c r="K5602" s="3"/>
      <c r="L5602" s="3"/>
      <c r="M5602" s="3"/>
      <c r="N5602" s="3"/>
      <c r="O5602" s="3"/>
    </row>
    <row r="5603" spans="1:15" ht="15" customHeight="1" x14ac:dyDescent="0.25">
      <c r="A5603" s="2"/>
      <c r="B5603" s="2"/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</row>
    <row r="5604" spans="1:15" ht="15" customHeight="1" x14ac:dyDescent="0.25">
      <c r="A5604" s="3"/>
      <c r="B5604" s="3"/>
      <c r="C5604" s="3"/>
      <c r="D5604" s="3"/>
      <c r="E5604" s="3"/>
      <c r="F5604" s="3"/>
      <c r="G5604" s="3"/>
      <c r="H5604" s="3"/>
      <c r="I5604" s="3"/>
      <c r="J5604" s="3"/>
      <c r="K5604" s="3"/>
      <c r="L5604" s="3"/>
      <c r="M5604" s="3"/>
      <c r="N5604" s="3"/>
      <c r="O5604" s="3"/>
    </row>
    <row r="5605" spans="1:15" ht="15" customHeight="1" x14ac:dyDescent="0.25">
      <c r="A5605" s="2"/>
      <c r="B5605" s="2"/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</row>
    <row r="5606" spans="1:15" ht="15" customHeight="1" x14ac:dyDescent="0.25">
      <c r="A5606" s="3"/>
      <c r="B5606" s="3"/>
      <c r="C5606" s="3"/>
      <c r="D5606" s="3"/>
      <c r="E5606" s="3"/>
      <c r="F5606" s="3"/>
      <c r="G5606" s="3"/>
      <c r="H5606" s="3"/>
      <c r="I5606" s="3"/>
      <c r="J5606" s="3"/>
      <c r="K5606" s="3"/>
      <c r="L5606" s="3"/>
      <c r="M5606" s="3"/>
      <c r="N5606" s="3"/>
      <c r="O5606" s="3"/>
    </row>
    <row r="5607" spans="1:15" ht="15" customHeight="1" x14ac:dyDescent="0.25">
      <c r="A5607" s="2"/>
      <c r="B5607" s="2"/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</row>
    <row r="5608" spans="1:15" ht="15" customHeight="1" x14ac:dyDescent="0.25">
      <c r="A5608" s="3"/>
      <c r="B5608" s="3"/>
      <c r="C5608" s="3"/>
      <c r="D5608" s="3"/>
      <c r="E5608" s="3"/>
      <c r="F5608" s="3"/>
      <c r="G5608" s="3"/>
      <c r="H5608" s="3"/>
      <c r="I5608" s="3"/>
      <c r="J5608" s="3"/>
      <c r="K5608" s="3"/>
      <c r="L5608" s="3"/>
      <c r="M5608" s="3"/>
      <c r="N5608" s="3"/>
      <c r="O5608" s="3"/>
    </row>
    <row r="5609" spans="1:15" ht="15" customHeight="1" x14ac:dyDescent="0.25">
      <c r="A5609" s="2"/>
      <c r="B5609" s="2"/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</row>
    <row r="5610" spans="1:15" ht="15" customHeight="1" x14ac:dyDescent="0.25">
      <c r="A5610" s="3"/>
      <c r="B5610" s="3"/>
      <c r="C5610" s="3"/>
      <c r="D5610" s="3"/>
      <c r="E5610" s="3"/>
      <c r="F5610" s="3"/>
      <c r="G5610" s="3"/>
      <c r="H5610" s="3"/>
      <c r="I5610" s="3"/>
      <c r="J5610" s="3"/>
      <c r="K5610" s="3"/>
      <c r="L5610" s="3"/>
      <c r="M5610" s="3"/>
      <c r="N5610" s="3"/>
      <c r="O5610" s="3"/>
    </row>
    <row r="5611" spans="1:15" ht="15" customHeight="1" x14ac:dyDescent="0.25">
      <c r="A5611" s="2"/>
      <c r="B5611" s="2"/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</row>
    <row r="5612" spans="1:15" ht="15" customHeight="1" x14ac:dyDescent="0.25">
      <c r="A5612" s="3"/>
      <c r="B5612" s="3"/>
      <c r="C5612" s="3"/>
      <c r="D5612" s="3"/>
      <c r="E5612" s="3"/>
      <c r="F5612" s="3"/>
      <c r="G5612" s="3"/>
      <c r="H5612" s="3"/>
      <c r="I5612" s="3"/>
      <c r="J5612" s="3"/>
      <c r="K5612" s="3"/>
      <c r="L5612" s="3"/>
      <c r="M5612" s="3"/>
      <c r="N5612" s="3"/>
      <c r="O5612" s="3"/>
    </row>
    <row r="5613" spans="1:15" ht="15" customHeight="1" x14ac:dyDescent="0.25">
      <c r="A5613" s="2"/>
      <c r="B5613" s="2"/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</row>
    <row r="5614" spans="1:15" ht="15" customHeight="1" x14ac:dyDescent="0.25">
      <c r="A5614" s="3"/>
      <c r="B5614" s="3"/>
      <c r="C5614" s="3"/>
      <c r="D5614" s="3"/>
      <c r="E5614" s="3"/>
      <c r="F5614" s="3"/>
      <c r="G5614" s="3"/>
      <c r="H5614" s="3"/>
      <c r="I5614" s="3"/>
      <c r="J5614" s="3"/>
      <c r="K5614" s="3"/>
      <c r="L5614" s="3"/>
      <c r="M5614" s="3"/>
      <c r="N5614" s="3"/>
      <c r="O5614" s="3"/>
    </row>
    <row r="5615" spans="1:15" ht="15" customHeight="1" x14ac:dyDescent="0.25">
      <c r="A5615" s="2"/>
      <c r="B5615" s="2"/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</row>
    <row r="5616" spans="1:15" ht="15" customHeight="1" x14ac:dyDescent="0.25">
      <c r="A5616" s="3"/>
      <c r="B5616" s="3"/>
      <c r="C5616" s="3"/>
      <c r="D5616" s="3"/>
      <c r="E5616" s="3"/>
      <c r="F5616" s="3"/>
      <c r="G5616" s="3"/>
      <c r="H5616" s="3"/>
      <c r="I5616" s="3"/>
      <c r="J5616" s="3"/>
      <c r="K5616" s="3"/>
      <c r="L5616" s="3"/>
      <c r="M5616" s="3"/>
      <c r="N5616" s="3"/>
      <c r="O5616" s="3"/>
    </row>
    <row r="5617" spans="1:15" ht="15" customHeight="1" x14ac:dyDescent="0.25">
      <c r="A5617" s="2"/>
      <c r="B5617" s="2"/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</row>
    <row r="5618" spans="1:15" ht="15" customHeight="1" x14ac:dyDescent="0.25">
      <c r="A5618" s="3"/>
      <c r="B5618" s="3"/>
      <c r="C5618" s="3"/>
      <c r="D5618" s="3"/>
      <c r="E5618" s="3"/>
      <c r="F5618" s="3"/>
      <c r="G5618" s="3"/>
      <c r="H5618" s="3"/>
      <c r="I5618" s="3"/>
      <c r="J5618" s="3"/>
      <c r="K5618" s="3"/>
      <c r="L5618" s="3"/>
      <c r="M5618" s="3"/>
      <c r="N5618" s="3"/>
      <c r="O5618" s="3"/>
    </row>
    <row r="5619" spans="1:15" ht="15" customHeight="1" x14ac:dyDescent="0.25">
      <c r="A5619" s="2"/>
      <c r="B5619" s="2"/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</row>
    <row r="5620" spans="1:15" ht="15" customHeight="1" x14ac:dyDescent="0.25">
      <c r="A5620" s="3"/>
      <c r="B5620" s="3"/>
      <c r="C5620" s="3"/>
      <c r="D5620" s="3"/>
      <c r="E5620" s="3"/>
      <c r="F5620" s="3"/>
      <c r="G5620" s="3"/>
      <c r="H5620" s="3"/>
      <c r="I5620" s="3"/>
      <c r="J5620" s="3"/>
      <c r="K5620" s="3"/>
      <c r="L5620" s="3"/>
      <c r="M5620" s="3"/>
      <c r="N5620" s="3"/>
      <c r="O5620" s="3"/>
    </row>
    <row r="5621" spans="1:15" ht="15" customHeight="1" x14ac:dyDescent="0.25">
      <c r="A5621" s="2"/>
      <c r="B5621" s="2"/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</row>
    <row r="5622" spans="1:15" ht="15" customHeight="1" x14ac:dyDescent="0.25">
      <c r="A5622" s="3"/>
      <c r="B5622" s="3"/>
      <c r="C5622" s="3"/>
      <c r="D5622" s="3"/>
      <c r="E5622" s="3"/>
      <c r="F5622" s="3"/>
      <c r="G5622" s="3"/>
      <c r="H5622" s="3"/>
      <c r="I5622" s="3"/>
      <c r="J5622" s="3"/>
      <c r="K5622" s="3"/>
      <c r="L5622" s="3"/>
      <c r="M5622" s="3"/>
      <c r="N5622" s="3"/>
      <c r="O5622" s="3"/>
    </row>
    <row r="5623" spans="1:15" ht="15" customHeight="1" x14ac:dyDescent="0.25">
      <c r="A5623" s="2"/>
      <c r="B5623" s="2"/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</row>
    <row r="5624" spans="1:15" ht="15" customHeight="1" x14ac:dyDescent="0.25">
      <c r="A5624" s="3"/>
      <c r="B5624" s="3"/>
      <c r="C5624" s="3"/>
      <c r="D5624" s="3"/>
      <c r="E5624" s="3"/>
      <c r="F5624" s="3"/>
      <c r="G5624" s="3"/>
      <c r="H5624" s="3"/>
      <c r="I5624" s="3"/>
      <c r="J5624" s="3"/>
      <c r="K5624" s="3"/>
      <c r="L5624" s="3"/>
      <c r="M5624" s="3"/>
      <c r="N5624" s="3"/>
      <c r="O5624" s="3"/>
    </row>
    <row r="5625" spans="1:15" ht="15" customHeight="1" x14ac:dyDescent="0.25">
      <c r="A5625" s="2"/>
      <c r="B5625" s="2"/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</row>
    <row r="5626" spans="1:15" ht="15" customHeight="1" x14ac:dyDescent="0.25">
      <c r="A5626" s="3"/>
      <c r="B5626" s="3"/>
      <c r="C5626" s="3"/>
      <c r="D5626" s="3"/>
      <c r="E5626" s="3"/>
      <c r="F5626" s="3"/>
      <c r="G5626" s="3"/>
      <c r="H5626" s="3"/>
      <c r="I5626" s="3"/>
      <c r="J5626" s="3"/>
      <c r="K5626" s="3"/>
      <c r="L5626" s="3"/>
      <c r="M5626" s="3"/>
      <c r="N5626" s="3"/>
      <c r="O5626" s="3"/>
    </row>
    <row r="5627" spans="1:15" ht="15" customHeight="1" x14ac:dyDescent="0.25">
      <c r="A5627" s="2"/>
      <c r="B5627" s="2"/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</row>
    <row r="5628" spans="1:15" ht="15" customHeight="1" x14ac:dyDescent="0.25">
      <c r="A5628" s="3"/>
      <c r="B5628" s="3"/>
      <c r="C5628" s="3"/>
      <c r="D5628" s="3"/>
      <c r="E5628" s="3"/>
      <c r="F5628" s="3"/>
      <c r="G5628" s="3"/>
      <c r="H5628" s="3"/>
      <c r="I5628" s="3"/>
      <c r="J5628" s="3"/>
      <c r="K5628" s="3"/>
      <c r="L5628" s="3"/>
      <c r="M5628" s="3"/>
      <c r="N5628" s="3"/>
      <c r="O5628" s="3"/>
    </row>
    <row r="5629" spans="1:15" ht="15" customHeight="1" x14ac:dyDescent="0.25">
      <c r="A5629" s="2"/>
      <c r="B5629" s="2"/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</row>
    <row r="5630" spans="1:15" ht="15" customHeight="1" x14ac:dyDescent="0.25">
      <c r="A5630" s="3"/>
      <c r="B5630" s="3"/>
      <c r="C5630" s="3"/>
      <c r="D5630" s="3"/>
      <c r="E5630" s="3"/>
      <c r="F5630" s="3"/>
      <c r="G5630" s="3"/>
      <c r="H5630" s="3"/>
      <c r="I5630" s="3"/>
      <c r="J5630" s="3"/>
      <c r="K5630" s="3"/>
      <c r="L5630" s="3"/>
      <c r="M5630" s="3"/>
      <c r="N5630" s="3"/>
      <c r="O5630" s="3"/>
    </row>
    <row r="5631" spans="1:15" ht="15" customHeight="1" x14ac:dyDescent="0.25">
      <c r="A5631" s="2"/>
      <c r="B5631" s="2"/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</row>
    <row r="5632" spans="1:15" ht="15" customHeight="1" x14ac:dyDescent="0.25">
      <c r="A5632" s="3"/>
      <c r="B5632" s="3"/>
      <c r="C5632" s="3"/>
      <c r="D5632" s="3"/>
      <c r="E5632" s="3"/>
      <c r="F5632" s="3"/>
      <c r="G5632" s="3"/>
      <c r="H5632" s="3"/>
      <c r="I5632" s="3"/>
      <c r="J5632" s="3"/>
      <c r="K5632" s="3"/>
      <c r="L5632" s="3"/>
      <c r="M5632" s="3"/>
      <c r="N5632" s="3"/>
      <c r="O5632" s="3"/>
    </row>
    <row r="5633" spans="1:15" ht="15" customHeight="1" x14ac:dyDescent="0.25">
      <c r="A5633" s="2"/>
      <c r="B5633" s="2"/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</row>
    <row r="5634" spans="1:15" ht="15" customHeight="1" x14ac:dyDescent="0.25">
      <c r="A5634" s="3"/>
      <c r="B5634" s="3"/>
      <c r="C5634" s="3"/>
      <c r="D5634" s="3"/>
      <c r="E5634" s="3"/>
      <c r="F5634" s="3"/>
      <c r="G5634" s="3"/>
      <c r="H5634" s="3"/>
      <c r="I5634" s="3"/>
      <c r="J5634" s="3"/>
      <c r="K5634" s="3"/>
      <c r="L5634" s="3"/>
      <c r="M5634" s="3"/>
      <c r="N5634" s="3"/>
      <c r="O5634" s="3"/>
    </row>
    <row r="5635" spans="1:15" ht="15" customHeight="1" x14ac:dyDescent="0.25">
      <c r="A5635" s="2"/>
      <c r="B5635" s="2"/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</row>
    <row r="5636" spans="1:15" ht="15" customHeight="1" x14ac:dyDescent="0.25">
      <c r="A5636" s="3"/>
      <c r="B5636" s="3"/>
      <c r="C5636" s="3"/>
      <c r="D5636" s="3"/>
      <c r="E5636" s="3"/>
      <c r="F5636" s="3"/>
      <c r="G5636" s="3"/>
      <c r="H5636" s="3"/>
      <c r="I5636" s="3"/>
      <c r="J5636" s="3"/>
      <c r="K5636" s="3"/>
      <c r="L5636" s="3"/>
      <c r="M5636" s="3"/>
      <c r="N5636" s="3"/>
      <c r="O5636" s="3"/>
    </row>
    <row r="5637" spans="1:15" ht="15" customHeight="1" x14ac:dyDescent="0.25">
      <c r="A5637" s="2"/>
      <c r="B5637" s="2"/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</row>
    <row r="5638" spans="1:15" ht="15" customHeight="1" x14ac:dyDescent="0.25">
      <c r="A5638" s="3"/>
      <c r="B5638" s="3"/>
      <c r="C5638" s="3"/>
      <c r="D5638" s="3"/>
      <c r="E5638" s="3"/>
      <c r="F5638" s="3"/>
      <c r="G5638" s="3"/>
      <c r="H5638" s="3"/>
      <c r="I5638" s="3"/>
      <c r="J5638" s="3"/>
      <c r="K5638" s="3"/>
      <c r="L5638" s="3"/>
      <c r="M5638" s="3"/>
      <c r="N5638" s="3"/>
      <c r="O5638" s="3"/>
    </row>
    <row r="5639" spans="1:15" ht="15" customHeight="1" x14ac:dyDescent="0.25">
      <c r="A5639" s="2"/>
      <c r="B5639" s="2"/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</row>
    <row r="5640" spans="1:15" ht="15" customHeight="1" x14ac:dyDescent="0.25">
      <c r="A5640" s="3"/>
      <c r="B5640" s="3"/>
      <c r="C5640" s="3"/>
      <c r="D5640" s="3"/>
      <c r="E5640" s="3"/>
      <c r="F5640" s="3"/>
      <c r="G5640" s="3"/>
      <c r="H5640" s="3"/>
      <c r="I5640" s="3"/>
      <c r="J5640" s="3"/>
      <c r="K5640" s="3"/>
      <c r="L5640" s="3"/>
      <c r="M5640" s="3"/>
      <c r="N5640" s="3"/>
      <c r="O5640" s="3"/>
    </row>
    <row r="5641" spans="1:15" ht="15" customHeight="1" x14ac:dyDescent="0.25">
      <c r="A5641" s="2"/>
      <c r="B5641" s="2"/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</row>
    <row r="5642" spans="1:15" ht="15" customHeight="1" x14ac:dyDescent="0.25">
      <c r="A5642" s="3"/>
      <c r="B5642" s="3"/>
      <c r="C5642" s="3"/>
      <c r="D5642" s="3"/>
      <c r="E5642" s="3"/>
      <c r="F5642" s="3"/>
      <c r="G5642" s="3"/>
      <c r="H5642" s="3"/>
      <c r="I5642" s="3"/>
      <c r="J5642" s="3"/>
      <c r="K5642" s="3"/>
      <c r="L5642" s="3"/>
      <c r="M5642" s="3"/>
      <c r="N5642" s="3"/>
      <c r="O5642" s="3"/>
    </row>
    <row r="5643" spans="1:15" ht="15" customHeight="1" x14ac:dyDescent="0.25">
      <c r="A5643" s="2"/>
      <c r="B5643" s="2"/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</row>
    <row r="5644" spans="1:15" ht="15" customHeight="1" x14ac:dyDescent="0.25">
      <c r="A5644" s="3"/>
      <c r="B5644" s="3"/>
      <c r="C5644" s="3"/>
      <c r="D5644" s="3"/>
      <c r="E5644" s="3"/>
      <c r="F5644" s="3"/>
      <c r="G5644" s="3"/>
      <c r="H5644" s="3"/>
      <c r="I5644" s="3"/>
      <c r="J5644" s="3"/>
      <c r="K5644" s="3"/>
      <c r="L5644" s="3"/>
      <c r="M5644" s="3"/>
      <c r="N5644" s="3"/>
      <c r="O5644" s="3"/>
    </row>
    <row r="5645" spans="1:15" ht="15" customHeight="1" x14ac:dyDescent="0.25">
      <c r="A5645" s="2"/>
      <c r="B5645" s="2"/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</row>
    <row r="5646" spans="1:15" ht="15" customHeight="1" x14ac:dyDescent="0.25">
      <c r="A5646" s="3"/>
      <c r="B5646" s="3"/>
      <c r="C5646" s="3"/>
      <c r="D5646" s="3"/>
      <c r="E5646" s="3"/>
      <c r="F5646" s="3"/>
      <c r="G5646" s="3"/>
      <c r="H5646" s="3"/>
      <c r="I5646" s="3"/>
      <c r="J5646" s="3"/>
      <c r="K5646" s="3"/>
      <c r="L5646" s="3"/>
      <c r="M5646" s="3"/>
      <c r="N5646" s="3"/>
      <c r="O5646" s="3"/>
    </row>
    <row r="5647" spans="1:15" ht="15" customHeight="1" x14ac:dyDescent="0.25">
      <c r="A5647" s="2"/>
      <c r="B5647" s="2"/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</row>
    <row r="5648" spans="1:15" ht="15" customHeight="1" x14ac:dyDescent="0.25">
      <c r="A5648" s="3"/>
      <c r="B5648" s="3"/>
      <c r="C5648" s="3"/>
      <c r="D5648" s="3"/>
      <c r="E5648" s="3"/>
      <c r="F5648" s="3"/>
      <c r="G5648" s="3"/>
      <c r="H5648" s="3"/>
      <c r="I5648" s="3"/>
      <c r="J5648" s="3"/>
      <c r="K5648" s="3"/>
      <c r="L5648" s="3"/>
      <c r="M5648" s="3"/>
      <c r="N5648" s="3"/>
      <c r="O5648" s="3"/>
    </row>
    <row r="5649" spans="1:15" ht="15" customHeight="1" x14ac:dyDescent="0.25">
      <c r="A5649" s="2"/>
      <c r="B5649" s="2"/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</row>
    <row r="5650" spans="1:15" ht="15" customHeight="1" x14ac:dyDescent="0.25">
      <c r="A5650" s="3"/>
      <c r="B5650" s="3"/>
      <c r="C5650" s="3"/>
      <c r="D5650" s="3"/>
      <c r="E5650" s="3"/>
      <c r="F5650" s="3"/>
      <c r="G5650" s="3"/>
      <c r="H5650" s="3"/>
      <c r="I5650" s="3"/>
      <c r="J5650" s="3"/>
      <c r="K5650" s="3"/>
      <c r="L5650" s="3"/>
      <c r="M5650" s="3"/>
      <c r="N5650" s="3"/>
      <c r="O5650" s="3"/>
    </row>
    <row r="5651" spans="1:15" ht="15" customHeight="1" x14ac:dyDescent="0.25">
      <c r="A5651" s="2"/>
      <c r="B5651" s="2"/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</row>
    <row r="5652" spans="1:15" ht="15" customHeight="1" x14ac:dyDescent="0.25">
      <c r="A5652" s="3"/>
      <c r="B5652" s="3"/>
      <c r="C5652" s="3"/>
      <c r="D5652" s="3"/>
      <c r="E5652" s="3"/>
      <c r="F5652" s="3"/>
      <c r="G5652" s="3"/>
      <c r="H5652" s="3"/>
      <c r="I5652" s="3"/>
      <c r="J5652" s="3"/>
      <c r="K5652" s="3"/>
      <c r="L5652" s="3"/>
      <c r="M5652" s="3"/>
      <c r="N5652" s="3"/>
      <c r="O5652" s="3"/>
    </row>
    <row r="5653" spans="1:15" ht="15" customHeight="1" x14ac:dyDescent="0.25">
      <c r="A5653" s="2"/>
      <c r="B5653" s="2"/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</row>
    <row r="5654" spans="1:15" ht="15" customHeight="1" x14ac:dyDescent="0.25">
      <c r="A5654" s="3"/>
      <c r="B5654" s="3"/>
      <c r="C5654" s="3"/>
      <c r="D5654" s="3"/>
      <c r="E5654" s="3"/>
      <c r="F5654" s="3"/>
      <c r="G5654" s="3"/>
      <c r="H5654" s="3"/>
      <c r="I5654" s="3"/>
      <c r="J5654" s="3"/>
      <c r="K5654" s="3"/>
      <c r="L5654" s="3"/>
      <c r="M5654" s="3"/>
      <c r="N5654" s="3"/>
      <c r="O5654" s="3"/>
    </row>
    <row r="5655" spans="1:15" ht="15" customHeight="1" x14ac:dyDescent="0.25">
      <c r="A5655" s="2"/>
      <c r="B5655" s="2"/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</row>
    <row r="5656" spans="1:15" ht="15" customHeight="1" x14ac:dyDescent="0.25">
      <c r="A5656" s="3"/>
      <c r="B5656" s="3"/>
      <c r="C5656" s="3"/>
      <c r="D5656" s="3"/>
      <c r="E5656" s="3"/>
      <c r="F5656" s="3"/>
      <c r="G5656" s="3"/>
      <c r="H5656" s="3"/>
      <c r="I5656" s="3"/>
      <c r="J5656" s="3"/>
      <c r="K5656" s="3"/>
      <c r="L5656" s="3"/>
      <c r="M5656" s="3"/>
      <c r="N5656" s="3"/>
      <c r="O5656" s="3"/>
    </row>
    <row r="5657" spans="1:15" ht="15" customHeight="1" x14ac:dyDescent="0.25">
      <c r="A5657" s="2"/>
      <c r="B5657" s="2"/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</row>
    <row r="5658" spans="1:15" ht="15" customHeight="1" x14ac:dyDescent="0.25">
      <c r="A5658" s="3"/>
      <c r="B5658" s="3"/>
      <c r="C5658" s="3"/>
      <c r="D5658" s="3"/>
      <c r="E5658" s="3"/>
      <c r="F5658" s="3"/>
      <c r="G5658" s="3"/>
      <c r="H5658" s="3"/>
      <c r="I5658" s="3"/>
      <c r="J5658" s="3"/>
      <c r="K5658" s="3"/>
      <c r="L5658" s="3"/>
      <c r="M5658" s="3"/>
      <c r="N5658" s="3"/>
      <c r="O5658" s="3"/>
    </row>
    <row r="5659" spans="1:15" ht="15" customHeight="1" x14ac:dyDescent="0.25">
      <c r="A5659" s="2"/>
      <c r="B5659" s="2"/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</row>
    <row r="5660" spans="1:15" ht="15" customHeight="1" x14ac:dyDescent="0.25">
      <c r="A5660" s="3"/>
      <c r="B5660" s="3"/>
      <c r="C5660" s="3"/>
      <c r="D5660" s="3"/>
      <c r="E5660" s="3"/>
      <c r="F5660" s="3"/>
      <c r="G5660" s="3"/>
      <c r="H5660" s="3"/>
      <c r="I5660" s="3"/>
      <c r="J5660" s="3"/>
      <c r="K5660" s="3"/>
      <c r="L5660" s="3"/>
      <c r="M5660" s="3"/>
      <c r="N5660" s="3"/>
      <c r="O5660" s="3"/>
    </row>
    <row r="5661" spans="1:15" ht="15" customHeight="1" x14ac:dyDescent="0.25">
      <c r="A5661" s="2"/>
      <c r="B5661" s="2"/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</row>
    <row r="5662" spans="1:15" ht="15" customHeight="1" x14ac:dyDescent="0.25">
      <c r="A5662" s="3"/>
      <c r="B5662" s="3"/>
      <c r="C5662" s="3"/>
      <c r="D5662" s="3"/>
      <c r="E5662" s="3"/>
      <c r="F5662" s="3"/>
      <c r="G5662" s="3"/>
      <c r="H5662" s="3"/>
      <c r="I5662" s="3"/>
      <c r="J5662" s="3"/>
      <c r="K5662" s="3"/>
      <c r="L5662" s="3"/>
      <c r="M5662" s="3"/>
      <c r="N5662" s="3"/>
      <c r="O5662" s="3"/>
    </row>
    <row r="5663" spans="1:15" ht="15" customHeight="1" x14ac:dyDescent="0.25">
      <c r="A5663" s="2"/>
      <c r="B5663" s="2"/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</row>
    <row r="5664" spans="1:15" ht="15" customHeight="1" x14ac:dyDescent="0.25">
      <c r="A5664" s="3"/>
      <c r="B5664" s="3"/>
      <c r="C5664" s="3"/>
      <c r="D5664" s="3"/>
      <c r="E5664" s="3"/>
      <c r="F5664" s="3"/>
      <c r="G5664" s="3"/>
      <c r="H5664" s="3"/>
      <c r="I5664" s="3"/>
      <c r="J5664" s="3"/>
      <c r="K5664" s="3"/>
      <c r="L5664" s="3"/>
      <c r="M5664" s="3"/>
      <c r="N5664" s="3"/>
      <c r="O5664" s="3"/>
    </row>
    <row r="5665" spans="1:15" ht="15" customHeight="1" x14ac:dyDescent="0.25">
      <c r="A5665" s="2"/>
      <c r="B5665" s="2"/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</row>
    <row r="5666" spans="1:15" ht="15" customHeight="1" x14ac:dyDescent="0.25">
      <c r="A5666" s="3"/>
      <c r="B5666" s="3"/>
      <c r="C5666" s="3"/>
      <c r="D5666" s="3"/>
      <c r="E5666" s="3"/>
      <c r="F5666" s="3"/>
      <c r="G5666" s="3"/>
      <c r="H5666" s="3"/>
      <c r="I5666" s="3"/>
      <c r="J5666" s="3"/>
      <c r="K5666" s="3"/>
      <c r="L5666" s="3"/>
      <c r="M5666" s="3"/>
      <c r="N5666" s="3"/>
      <c r="O5666" s="3"/>
    </row>
    <row r="5667" spans="1:15" ht="15" customHeight="1" x14ac:dyDescent="0.25">
      <c r="A5667" s="2"/>
      <c r="B5667" s="2"/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</row>
    <row r="5668" spans="1:15" ht="15" customHeight="1" x14ac:dyDescent="0.25">
      <c r="A5668" s="3"/>
      <c r="B5668" s="3"/>
      <c r="C5668" s="3"/>
      <c r="D5668" s="3"/>
      <c r="E5668" s="3"/>
      <c r="F5668" s="3"/>
      <c r="G5668" s="3"/>
      <c r="H5668" s="3"/>
      <c r="I5668" s="3"/>
      <c r="J5668" s="3"/>
      <c r="K5668" s="3"/>
      <c r="L5668" s="3"/>
      <c r="M5668" s="3"/>
      <c r="N5668" s="3"/>
      <c r="O5668" s="3"/>
    </row>
    <row r="5669" spans="1:15" ht="15" customHeight="1" x14ac:dyDescent="0.25">
      <c r="A5669" s="2"/>
      <c r="B5669" s="2"/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</row>
    <row r="5670" spans="1:15" ht="15" customHeight="1" x14ac:dyDescent="0.25">
      <c r="A5670" s="3"/>
      <c r="B5670" s="3"/>
      <c r="C5670" s="3"/>
      <c r="D5670" s="3"/>
      <c r="E5670" s="3"/>
      <c r="F5670" s="3"/>
      <c r="G5670" s="3"/>
      <c r="H5670" s="3"/>
      <c r="I5670" s="3"/>
      <c r="J5670" s="3"/>
      <c r="K5670" s="3"/>
      <c r="L5670" s="3"/>
      <c r="M5670" s="3"/>
      <c r="N5670" s="3"/>
      <c r="O5670" s="3"/>
    </row>
    <row r="5671" spans="1:15" ht="15" customHeight="1" x14ac:dyDescent="0.25">
      <c r="A5671" s="2"/>
      <c r="B5671" s="2"/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</row>
    <row r="5672" spans="1:15" ht="15" customHeight="1" x14ac:dyDescent="0.25">
      <c r="A5672" s="3"/>
      <c r="B5672" s="3"/>
      <c r="C5672" s="3"/>
      <c r="D5672" s="3"/>
      <c r="E5672" s="3"/>
      <c r="F5672" s="3"/>
      <c r="G5672" s="3"/>
      <c r="H5672" s="3"/>
      <c r="I5672" s="3"/>
      <c r="J5672" s="3"/>
      <c r="K5672" s="3"/>
      <c r="L5672" s="3"/>
      <c r="M5672" s="3"/>
      <c r="N5672" s="3"/>
      <c r="O5672" s="3"/>
    </row>
    <row r="5673" spans="1:15" ht="15" customHeight="1" x14ac:dyDescent="0.25">
      <c r="A5673" s="2"/>
      <c r="B5673" s="2"/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</row>
    <row r="5674" spans="1:15" ht="15" customHeight="1" x14ac:dyDescent="0.25">
      <c r="A5674" s="3"/>
      <c r="B5674" s="3"/>
      <c r="C5674" s="3"/>
      <c r="D5674" s="3"/>
      <c r="E5674" s="3"/>
      <c r="F5674" s="3"/>
      <c r="G5674" s="3"/>
      <c r="H5674" s="3"/>
      <c r="I5674" s="3"/>
      <c r="J5674" s="3"/>
      <c r="K5674" s="3"/>
      <c r="L5674" s="3"/>
      <c r="M5674" s="3"/>
      <c r="N5674" s="3"/>
      <c r="O5674" s="3"/>
    </row>
    <row r="5675" spans="1:15" ht="15" customHeight="1" x14ac:dyDescent="0.25">
      <c r="A5675" s="2"/>
      <c r="B5675" s="2"/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</row>
    <row r="5676" spans="1:15" ht="15" customHeight="1" x14ac:dyDescent="0.25">
      <c r="A5676" s="3"/>
      <c r="B5676" s="3"/>
      <c r="C5676" s="3"/>
      <c r="D5676" s="3"/>
      <c r="E5676" s="3"/>
      <c r="F5676" s="3"/>
      <c r="G5676" s="3"/>
      <c r="H5676" s="3"/>
      <c r="I5676" s="3"/>
      <c r="J5676" s="3"/>
      <c r="K5676" s="3"/>
      <c r="L5676" s="3"/>
      <c r="M5676" s="3"/>
      <c r="N5676" s="3"/>
      <c r="O5676" s="3"/>
    </row>
    <row r="5677" spans="1:15" ht="15" customHeight="1" x14ac:dyDescent="0.25">
      <c r="A5677" s="2"/>
      <c r="B5677" s="2"/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</row>
    <row r="5678" spans="1:15" ht="15" customHeight="1" x14ac:dyDescent="0.25">
      <c r="A5678" s="3"/>
      <c r="B5678" s="3"/>
      <c r="C5678" s="3"/>
      <c r="D5678" s="3"/>
      <c r="E5678" s="3"/>
      <c r="F5678" s="3"/>
      <c r="G5678" s="3"/>
      <c r="H5678" s="3"/>
      <c r="I5678" s="3"/>
      <c r="J5678" s="3"/>
      <c r="K5678" s="3"/>
      <c r="L5678" s="3"/>
      <c r="M5678" s="3"/>
      <c r="N5678" s="3"/>
      <c r="O5678" s="3"/>
    </row>
    <row r="5679" spans="1:15" ht="15" customHeight="1" x14ac:dyDescent="0.25">
      <c r="A5679" s="2"/>
      <c r="B5679" s="2"/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</row>
    <row r="5680" spans="1:15" ht="15" customHeight="1" x14ac:dyDescent="0.25">
      <c r="A5680" s="3"/>
      <c r="B5680" s="3"/>
      <c r="C5680" s="3"/>
      <c r="D5680" s="3"/>
      <c r="E5680" s="3"/>
      <c r="F5680" s="3"/>
      <c r="G5680" s="3"/>
      <c r="H5680" s="3"/>
      <c r="I5680" s="3"/>
      <c r="J5680" s="3"/>
      <c r="K5680" s="3"/>
      <c r="L5680" s="3"/>
      <c r="M5680" s="3"/>
      <c r="N5680" s="3"/>
      <c r="O5680" s="3"/>
    </row>
    <row r="5681" spans="1:15" ht="15" customHeight="1" x14ac:dyDescent="0.25">
      <c r="A5681" s="2"/>
      <c r="B5681" s="2"/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</row>
    <row r="5682" spans="1:15" ht="15" customHeight="1" x14ac:dyDescent="0.25">
      <c r="A5682" s="3"/>
      <c r="B5682" s="3"/>
      <c r="C5682" s="3"/>
      <c r="D5682" s="3"/>
      <c r="E5682" s="3"/>
      <c r="F5682" s="3"/>
      <c r="G5682" s="3"/>
      <c r="H5682" s="3"/>
      <c r="I5682" s="3"/>
      <c r="J5682" s="3"/>
      <c r="K5682" s="3"/>
      <c r="L5682" s="3"/>
      <c r="M5682" s="3"/>
      <c r="N5682" s="3"/>
      <c r="O5682" s="3"/>
    </row>
    <row r="5683" spans="1:15" ht="15" customHeight="1" x14ac:dyDescent="0.25">
      <c r="A5683" s="2"/>
      <c r="B5683" s="2"/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</row>
    <row r="5684" spans="1:15" ht="15" customHeight="1" x14ac:dyDescent="0.25">
      <c r="A5684" s="3"/>
      <c r="B5684" s="3"/>
      <c r="C5684" s="3"/>
      <c r="D5684" s="3"/>
      <c r="E5684" s="3"/>
      <c r="F5684" s="3"/>
      <c r="G5684" s="3"/>
      <c r="H5684" s="3"/>
      <c r="I5684" s="3"/>
      <c r="J5684" s="3"/>
      <c r="K5684" s="3"/>
      <c r="L5684" s="3"/>
      <c r="M5684" s="3"/>
      <c r="N5684" s="3"/>
      <c r="O5684" s="3"/>
    </row>
    <row r="5685" spans="1:15" ht="15" customHeight="1" x14ac:dyDescent="0.25">
      <c r="A5685" s="2"/>
      <c r="B5685" s="2"/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</row>
    <row r="5686" spans="1:15" ht="15" customHeight="1" x14ac:dyDescent="0.25">
      <c r="A5686" s="3"/>
      <c r="B5686" s="3"/>
      <c r="C5686" s="3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</row>
    <row r="5687" spans="1:15" ht="15" customHeight="1" x14ac:dyDescent="0.25">
      <c r="A5687" s="2"/>
      <c r="B5687" s="2"/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</row>
    <row r="5688" spans="1:15" ht="15" customHeight="1" x14ac:dyDescent="0.25">
      <c r="A5688" s="3"/>
      <c r="B5688" s="3"/>
      <c r="C5688" s="3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</row>
    <row r="5689" spans="1:15" ht="15" customHeight="1" x14ac:dyDescent="0.25">
      <c r="A5689" s="2"/>
      <c r="B5689" s="2"/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</row>
    <row r="5690" spans="1:15" ht="15" customHeight="1" x14ac:dyDescent="0.25">
      <c r="A5690" s="3"/>
      <c r="B5690" s="3"/>
      <c r="C5690" s="3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</row>
    <row r="5691" spans="1:15" ht="15" customHeight="1" x14ac:dyDescent="0.25">
      <c r="A5691" s="2"/>
      <c r="B5691" s="2"/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</row>
    <row r="5692" spans="1:15" ht="15" customHeight="1" x14ac:dyDescent="0.25">
      <c r="A5692" s="3"/>
      <c r="B5692" s="3"/>
      <c r="C5692" s="3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</row>
    <row r="5693" spans="1:15" ht="15" customHeight="1" x14ac:dyDescent="0.25">
      <c r="A5693" s="2"/>
      <c r="B5693" s="2"/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</row>
    <row r="5694" spans="1:15" ht="15" customHeight="1" x14ac:dyDescent="0.25">
      <c r="A5694" s="3"/>
      <c r="B5694" s="3"/>
      <c r="C5694" s="3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</row>
    <row r="5695" spans="1:15" ht="15" customHeight="1" x14ac:dyDescent="0.25">
      <c r="A5695" s="2"/>
      <c r="B5695" s="2"/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</row>
    <row r="5696" spans="1:15" ht="15" customHeight="1" x14ac:dyDescent="0.25">
      <c r="A5696" s="3"/>
      <c r="B5696" s="3"/>
      <c r="C5696" s="3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</row>
    <row r="5697" spans="1:15" ht="15" customHeight="1" x14ac:dyDescent="0.25">
      <c r="A5697" s="2"/>
      <c r="B5697" s="2"/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</row>
    <row r="5698" spans="1:15" ht="15" customHeight="1" x14ac:dyDescent="0.25">
      <c r="A5698" s="3"/>
      <c r="B5698" s="3"/>
      <c r="C5698" s="3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</row>
    <row r="5699" spans="1:15" ht="15" customHeight="1" x14ac:dyDescent="0.25">
      <c r="A5699" s="2"/>
      <c r="B5699" s="2"/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</row>
    <row r="5700" spans="1:15" ht="15" customHeight="1" x14ac:dyDescent="0.25">
      <c r="A5700" s="3"/>
      <c r="B5700" s="3"/>
      <c r="C5700" s="3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</row>
    <row r="5701" spans="1:15" ht="15" customHeight="1" x14ac:dyDescent="0.25">
      <c r="A5701" s="2"/>
      <c r="B5701" s="2"/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</row>
    <row r="5702" spans="1:15" ht="15" customHeight="1" x14ac:dyDescent="0.25">
      <c r="A5702" s="3"/>
      <c r="B5702" s="3"/>
      <c r="C5702" s="3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</row>
    <row r="5703" spans="1:15" ht="15" customHeight="1" x14ac:dyDescent="0.25">
      <c r="A5703" s="2"/>
      <c r="B5703" s="2"/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</row>
    <row r="5704" spans="1:15" ht="15" customHeight="1" x14ac:dyDescent="0.25">
      <c r="A5704" s="3"/>
      <c r="B5704" s="3"/>
      <c r="C5704" s="3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</row>
    <row r="5705" spans="1:15" ht="15" customHeight="1" x14ac:dyDescent="0.25">
      <c r="A5705" s="2"/>
      <c r="B5705" s="2"/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</row>
    <row r="5706" spans="1:15" ht="15" customHeight="1" x14ac:dyDescent="0.25">
      <c r="A5706" s="3"/>
      <c r="B5706" s="3"/>
      <c r="C5706" s="3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</row>
    <row r="5707" spans="1:15" ht="15" customHeight="1" x14ac:dyDescent="0.25">
      <c r="A5707" s="2"/>
      <c r="B5707" s="2"/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</row>
    <row r="5708" spans="1:15" ht="15" customHeight="1" x14ac:dyDescent="0.25">
      <c r="A5708" s="3"/>
      <c r="B5708" s="3"/>
      <c r="C5708" s="3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</row>
    <row r="5709" spans="1:15" ht="15" customHeight="1" x14ac:dyDescent="0.25">
      <c r="A5709" s="2"/>
      <c r="B5709" s="2"/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</row>
    <row r="5710" spans="1:15" ht="15" customHeight="1" x14ac:dyDescent="0.25">
      <c r="A5710" s="3"/>
      <c r="B5710" s="3"/>
      <c r="C5710" s="3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</row>
    <row r="5711" spans="1:15" ht="15" customHeight="1" x14ac:dyDescent="0.25">
      <c r="A5711" s="2"/>
      <c r="B5711" s="2"/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</row>
    <row r="5712" spans="1:15" ht="15" customHeight="1" x14ac:dyDescent="0.25">
      <c r="A5712" s="3"/>
      <c r="B5712" s="3"/>
      <c r="C5712" s="3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</row>
    <row r="5713" spans="1:15" ht="15" customHeight="1" x14ac:dyDescent="0.25">
      <c r="A5713" s="2"/>
      <c r="B5713" s="2"/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</row>
    <row r="5714" spans="1:15" ht="15" customHeight="1" x14ac:dyDescent="0.25">
      <c r="A5714" s="3"/>
      <c r="B5714" s="3"/>
      <c r="C5714" s="3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</row>
    <row r="5715" spans="1:15" ht="15" customHeight="1" x14ac:dyDescent="0.25">
      <c r="A5715" s="2"/>
      <c r="B5715" s="2"/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</row>
    <row r="5716" spans="1:15" ht="15" customHeight="1" x14ac:dyDescent="0.25">
      <c r="A5716" s="3"/>
      <c r="B5716" s="3"/>
      <c r="C5716" s="3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</row>
    <row r="5717" spans="1:15" ht="15" customHeight="1" x14ac:dyDescent="0.25">
      <c r="A5717" s="2"/>
      <c r="B5717" s="2"/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</row>
    <row r="5718" spans="1:15" ht="15" customHeight="1" x14ac:dyDescent="0.25">
      <c r="A5718" s="3"/>
      <c r="B5718" s="3"/>
      <c r="C5718" s="3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</row>
    <row r="5719" spans="1:15" ht="15" customHeight="1" x14ac:dyDescent="0.25">
      <c r="A5719" s="2"/>
      <c r="B5719" s="2"/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</row>
    <row r="5720" spans="1:15" ht="15" customHeight="1" x14ac:dyDescent="0.25">
      <c r="A5720" s="3"/>
      <c r="B5720" s="3"/>
      <c r="C5720" s="3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</row>
    <row r="5721" spans="1:15" ht="15" customHeight="1" x14ac:dyDescent="0.25">
      <c r="A5721" s="2"/>
      <c r="B5721" s="2"/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</row>
    <row r="5722" spans="1:15" ht="15" customHeight="1" x14ac:dyDescent="0.25">
      <c r="A5722" s="3"/>
      <c r="B5722" s="3"/>
      <c r="C5722" s="3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</row>
    <row r="5723" spans="1:15" ht="15" customHeight="1" x14ac:dyDescent="0.25">
      <c r="A5723" s="2"/>
      <c r="B5723" s="2"/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</row>
    <row r="5724" spans="1:15" ht="15" customHeight="1" x14ac:dyDescent="0.25">
      <c r="A5724" s="3"/>
      <c r="B5724" s="3"/>
      <c r="C5724" s="3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</row>
    <row r="5725" spans="1:15" ht="15" customHeight="1" x14ac:dyDescent="0.25">
      <c r="A5725" s="2"/>
      <c r="B5725" s="2"/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</row>
    <row r="5726" spans="1:15" ht="15" customHeight="1" x14ac:dyDescent="0.25">
      <c r="A5726" s="3"/>
      <c r="B5726" s="3"/>
      <c r="C5726" s="3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</row>
    <row r="5727" spans="1:15" ht="15" customHeight="1" x14ac:dyDescent="0.25">
      <c r="A5727" s="2"/>
      <c r="B5727" s="2"/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</row>
    <row r="5728" spans="1:15" ht="15" customHeight="1" x14ac:dyDescent="0.25">
      <c r="A5728" s="3"/>
      <c r="B5728" s="3"/>
      <c r="C5728" s="3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</row>
    <row r="5729" spans="1:15" ht="15" customHeight="1" x14ac:dyDescent="0.25">
      <c r="A5729" s="2"/>
      <c r="B5729" s="2"/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</row>
    <row r="5730" spans="1:15" ht="15" customHeight="1" x14ac:dyDescent="0.25">
      <c r="A5730" s="3"/>
      <c r="B5730" s="3"/>
      <c r="C5730" s="3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</row>
    <row r="5731" spans="1:15" ht="15" customHeight="1" x14ac:dyDescent="0.25">
      <c r="A5731" s="2"/>
      <c r="B5731" s="2"/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</row>
    <row r="5732" spans="1:15" ht="15" customHeight="1" x14ac:dyDescent="0.25">
      <c r="A5732" s="3"/>
      <c r="B5732" s="3"/>
      <c r="C5732" s="3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</row>
    <row r="5733" spans="1:15" ht="15" customHeight="1" x14ac:dyDescent="0.25">
      <c r="A5733" s="2"/>
      <c r="B5733" s="2"/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</row>
    <row r="5734" spans="1:15" ht="15" customHeight="1" x14ac:dyDescent="0.25">
      <c r="A5734" s="3"/>
      <c r="B5734" s="3"/>
      <c r="C5734" s="3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</row>
    <row r="5735" spans="1:15" ht="15" customHeight="1" x14ac:dyDescent="0.25">
      <c r="A5735" s="2"/>
      <c r="B5735" s="2"/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</row>
    <row r="5736" spans="1:15" ht="15" customHeight="1" x14ac:dyDescent="0.25">
      <c r="A5736" s="3"/>
      <c r="B5736" s="3"/>
      <c r="C5736" s="3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</row>
    <row r="5737" spans="1:15" ht="15" customHeight="1" x14ac:dyDescent="0.25">
      <c r="A5737" s="2"/>
      <c r="B5737" s="2"/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</row>
    <row r="5738" spans="1:15" ht="15" customHeight="1" x14ac:dyDescent="0.25">
      <c r="A5738" s="3"/>
      <c r="B5738" s="3"/>
      <c r="C5738" s="3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</row>
    <row r="5739" spans="1:15" ht="15" customHeight="1" x14ac:dyDescent="0.25">
      <c r="A5739" s="2"/>
      <c r="B5739" s="2"/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</row>
    <row r="5740" spans="1:15" ht="15" customHeight="1" x14ac:dyDescent="0.25">
      <c r="A5740" s="3"/>
      <c r="B5740" s="3"/>
      <c r="C5740" s="3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</row>
    <row r="5741" spans="1:15" ht="15" customHeight="1" x14ac:dyDescent="0.25">
      <c r="A5741" s="2"/>
      <c r="B5741" s="2"/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</row>
    <row r="5742" spans="1:15" ht="15" customHeight="1" x14ac:dyDescent="0.25">
      <c r="A5742" s="3"/>
      <c r="B5742" s="3"/>
      <c r="C5742" s="3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</row>
    <row r="5743" spans="1:15" ht="15" customHeight="1" x14ac:dyDescent="0.25">
      <c r="A5743" s="2"/>
      <c r="B5743" s="2"/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</row>
    <row r="5744" spans="1:15" ht="15" customHeight="1" x14ac:dyDescent="0.25">
      <c r="A5744" s="3"/>
      <c r="B5744" s="3"/>
      <c r="C5744" s="3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</row>
    <row r="5745" spans="1:15" ht="15" customHeight="1" x14ac:dyDescent="0.25">
      <c r="A5745" s="2"/>
      <c r="B5745" s="2"/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</row>
    <row r="5746" spans="1:15" ht="15" customHeight="1" x14ac:dyDescent="0.25">
      <c r="A5746" s="3"/>
      <c r="B5746" s="3"/>
      <c r="C5746" s="3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</row>
    <row r="5747" spans="1:15" ht="15" customHeight="1" x14ac:dyDescent="0.25">
      <c r="A5747" s="2"/>
      <c r="B5747" s="2"/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</row>
    <row r="5748" spans="1:15" ht="15" customHeight="1" x14ac:dyDescent="0.25">
      <c r="A5748" s="3"/>
      <c r="B5748" s="3"/>
      <c r="C5748" s="3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</row>
    <row r="5749" spans="1:15" ht="15" customHeight="1" x14ac:dyDescent="0.25">
      <c r="A5749" s="2"/>
      <c r="B5749" s="2"/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</row>
    <row r="5750" spans="1:15" ht="15" customHeight="1" x14ac:dyDescent="0.25">
      <c r="A5750" s="3"/>
      <c r="B5750" s="3"/>
      <c r="C5750" s="3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</row>
    <row r="5751" spans="1:15" ht="15" customHeight="1" x14ac:dyDescent="0.25">
      <c r="A5751" s="2"/>
      <c r="B5751" s="2"/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</row>
    <row r="5752" spans="1:15" ht="15" customHeight="1" x14ac:dyDescent="0.25">
      <c r="A5752" s="3"/>
      <c r="B5752" s="3"/>
      <c r="C5752" s="3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</row>
    <row r="5753" spans="1:15" ht="15" customHeight="1" x14ac:dyDescent="0.25">
      <c r="A5753" s="2"/>
      <c r="B5753" s="2"/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</row>
    <row r="5754" spans="1:15" ht="15" customHeight="1" x14ac:dyDescent="0.25">
      <c r="A5754" s="3"/>
      <c r="B5754" s="3"/>
      <c r="C5754" s="3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</row>
    <row r="5755" spans="1:15" ht="15" customHeight="1" x14ac:dyDescent="0.25">
      <c r="A5755" s="2"/>
      <c r="B5755" s="2"/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</row>
    <row r="5756" spans="1:15" ht="15" customHeight="1" x14ac:dyDescent="0.25">
      <c r="A5756" s="3"/>
      <c r="B5756" s="3"/>
      <c r="C5756" s="3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</row>
    <row r="5757" spans="1:15" ht="15" customHeight="1" x14ac:dyDescent="0.25">
      <c r="A5757" s="2"/>
      <c r="B5757" s="2"/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</row>
    <row r="5758" spans="1:15" ht="15" customHeight="1" x14ac:dyDescent="0.25">
      <c r="A5758" s="3"/>
      <c r="B5758" s="3"/>
      <c r="C5758" s="3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</row>
    <row r="5759" spans="1:15" ht="15" customHeight="1" x14ac:dyDescent="0.25">
      <c r="A5759" s="2"/>
      <c r="B5759" s="2"/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</row>
    <row r="5760" spans="1:15" ht="15" customHeight="1" x14ac:dyDescent="0.25">
      <c r="A5760" s="3"/>
      <c r="B5760" s="3"/>
      <c r="C5760" s="3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</row>
    <row r="5761" spans="1:15" ht="15" customHeight="1" x14ac:dyDescent="0.25">
      <c r="A5761" s="2"/>
      <c r="B5761" s="2"/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</row>
    <row r="5762" spans="1:15" ht="15" customHeight="1" x14ac:dyDescent="0.25">
      <c r="A5762" s="3"/>
      <c r="B5762" s="3"/>
      <c r="C5762" s="3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</row>
    <row r="5763" spans="1:15" ht="15" customHeight="1" x14ac:dyDescent="0.25">
      <c r="A5763" s="2"/>
      <c r="B5763" s="2"/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</row>
    <row r="5764" spans="1:15" ht="15" customHeight="1" x14ac:dyDescent="0.25">
      <c r="A5764" s="3"/>
      <c r="B5764" s="3"/>
      <c r="C5764" s="3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</row>
    <row r="5765" spans="1:15" ht="15" customHeight="1" x14ac:dyDescent="0.25">
      <c r="A5765" s="2"/>
      <c r="B5765" s="2"/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</row>
    <row r="5766" spans="1:15" ht="15" customHeight="1" x14ac:dyDescent="0.25">
      <c r="A5766" s="3"/>
      <c r="B5766" s="3"/>
      <c r="C5766" s="3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</row>
    <row r="5767" spans="1:15" ht="15" customHeight="1" x14ac:dyDescent="0.25">
      <c r="A5767" s="2"/>
      <c r="B5767" s="2"/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</row>
    <row r="5768" spans="1:15" ht="15" customHeight="1" x14ac:dyDescent="0.25">
      <c r="A5768" s="3"/>
      <c r="B5768" s="3"/>
      <c r="C5768" s="3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</row>
    <row r="5769" spans="1:15" ht="15" customHeight="1" x14ac:dyDescent="0.25">
      <c r="A5769" s="2"/>
      <c r="B5769" s="2"/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</row>
    <row r="5770" spans="1:15" ht="15" customHeight="1" x14ac:dyDescent="0.25">
      <c r="A5770" s="3"/>
      <c r="B5770" s="3"/>
      <c r="C5770" s="3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</row>
    <row r="5771" spans="1:15" ht="15" customHeight="1" x14ac:dyDescent="0.25">
      <c r="A5771" s="2"/>
      <c r="B5771" s="2"/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</row>
    <row r="5772" spans="1:15" ht="15" customHeight="1" x14ac:dyDescent="0.25">
      <c r="A5772" s="3"/>
      <c r="B5772" s="3"/>
      <c r="C5772" s="3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</row>
    <row r="5773" spans="1:15" ht="15" customHeight="1" x14ac:dyDescent="0.25">
      <c r="A5773" s="2"/>
      <c r="B5773" s="2"/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</row>
    <row r="5774" spans="1:15" ht="15" customHeight="1" x14ac:dyDescent="0.25">
      <c r="A5774" s="3"/>
      <c r="B5774" s="3"/>
      <c r="C5774" s="3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</row>
    <row r="5775" spans="1:15" ht="15" customHeight="1" x14ac:dyDescent="0.25">
      <c r="A5775" s="2"/>
      <c r="B5775" s="2"/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</row>
    <row r="5776" spans="1:15" ht="15" customHeight="1" x14ac:dyDescent="0.25">
      <c r="A5776" s="3"/>
      <c r="B5776" s="3"/>
      <c r="C5776" s="3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</row>
    <row r="5777" spans="1:15" ht="15" customHeight="1" x14ac:dyDescent="0.25">
      <c r="A5777" s="2"/>
      <c r="B5777" s="2"/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</row>
    <row r="5778" spans="1:15" ht="15" customHeight="1" x14ac:dyDescent="0.25">
      <c r="A5778" s="3"/>
      <c r="B5778" s="3"/>
      <c r="C5778" s="3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</row>
    <row r="5779" spans="1:15" ht="15" customHeight="1" x14ac:dyDescent="0.25">
      <c r="A5779" s="2"/>
      <c r="B5779" s="2"/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</row>
    <row r="5780" spans="1:15" ht="15" customHeight="1" x14ac:dyDescent="0.25">
      <c r="A5780" s="3"/>
      <c r="B5780" s="3"/>
      <c r="C5780" s="3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</row>
    <row r="5781" spans="1:15" ht="15" customHeight="1" x14ac:dyDescent="0.25">
      <c r="A5781" s="2"/>
      <c r="B5781" s="2"/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</row>
    <row r="5782" spans="1:15" ht="15" customHeight="1" x14ac:dyDescent="0.25">
      <c r="A5782" s="3"/>
      <c r="B5782" s="3"/>
      <c r="C5782" s="3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</row>
    <row r="5783" spans="1:15" ht="15" customHeight="1" x14ac:dyDescent="0.25">
      <c r="A5783" s="2"/>
      <c r="B5783" s="2"/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</row>
    <row r="5784" spans="1:15" ht="15" customHeight="1" x14ac:dyDescent="0.25">
      <c r="A5784" s="3"/>
      <c r="B5784" s="3"/>
      <c r="C5784" s="3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</row>
    <row r="5785" spans="1:15" ht="15" customHeight="1" x14ac:dyDescent="0.25">
      <c r="A5785" s="2"/>
      <c r="B5785" s="2"/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</row>
    <row r="5786" spans="1:15" ht="15" customHeight="1" x14ac:dyDescent="0.25">
      <c r="A5786" s="3"/>
      <c r="B5786" s="3"/>
      <c r="C5786" s="3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</row>
    <row r="5787" spans="1:15" ht="15" customHeight="1" x14ac:dyDescent="0.25">
      <c r="A5787" s="2"/>
      <c r="B5787" s="2"/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</row>
    <row r="5788" spans="1:15" ht="15" customHeight="1" x14ac:dyDescent="0.25">
      <c r="A5788" s="3"/>
      <c r="B5788" s="3"/>
      <c r="C5788" s="3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</row>
    <row r="5789" spans="1:15" ht="15" customHeight="1" x14ac:dyDescent="0.25">
      <c r="A5789" s="2"/>
      <c r="B5789" s="2"/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</row>
    <row r="5790" spans="1:15" ht="15" customHeight="1" x14ac:dyDescent="0.25">
      <c r="A5790" s="3"/>
      <c r="B5790" s="3"/>
      <c r="C5790" s="3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</row>
    <row r="5791" spans="1:15" ht="15" customHeight="1" x14ac:dyDescent="0.25">
      <c r="A5791" s="2"/>
      <c r="B5791" s="2"/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</row>
    <row r="5792" spans="1:15" ht="15" customHeight="1" x14ac:dyDescent="0.25">
      <c r="A5792" s="3"/>
      <c r="B5792" s="3"/>
      <c r="C5792" s="3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</row>
    <row r="5793" spans="1:15" ht="15" customHeight="1" x14ac:dyDescent="0.25">
      <c r="A5793" s="2"/>
      <c r="B5793" s="2"/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</row>
    <row r="5794" spans="1:15" ht="15" customHeight="1" x14ac:dyDescent="0.25">
      <c r="A5794" s="3"/>
      <c r="B5794" s="3"/>
      <c r="C5794" s="3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</row>
    <row r="5795" spans="1:15" ht="15" customHeight="1" x14ac:dyDescent="0.25">
      <c r="A5795" s="2"/>
      <c r="B5795" s="2"/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</row>
    <row r="5796" spans="1:15" ht="15" customHeight="1" x14ac:dyDescent="0.25">
      <c r="A5796" s="3"/>
      <c r="B5796" s="3"/>
      <c r="C5796" s="3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</row>
    <row r="5797" spans="1:15" ht="15" customHeight="1" x14ac:dyDescent="0.25">
      <c r="A5797" s="2"/>
      <c r="B5797" s="2"/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</row>
    <row r="5798" spans="1:15" ht="15" customHeight="1" x14ac:dyDescent="0.25">
      <c r="A5798" s="3"/>
      <c r="B5798" s="3"/>
      <c r="C5798" s="3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</row>
    <row r="5799" spans="1:15" ht="15" customHeight="1" x14ac:dyDescent="0.25">
      <c r="A5799" s="2"/>
      <c r="B5799" s="2"/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</row>
    <row r="5800" spans="1:15" ht="15" customHeight="1" x14ac:dyDescent="0.25">
      <c r="A5800" s="3"/>
      <c r="B5800" s="3"/>
      <c r="C5800" s="3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</row>
    <row r="5801" spans="1:15" ht="15" customHeight="1" x14ac:dyDescent="0.25">
      <c r="A5801" s="2"/>
      <c r="B5801" s="2"/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</row>
    <row r="5802" spans="1:15" ht="15" customHeight="1" x14ac:dyDescent="0.25">
      <c r="A5802" s="3"/>
      <c r="B5802" s="3"/>
      <c r="C5802" s="3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</row>
    <row r="5803" spans="1:15" ht="15" customHeight="1" x14ac:dyDescent="0.25">
      <c r="A5803" s="2"/>
      <c r="B5803" s="2"/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</row>
    <row r="5804" spans="1:15" ht="15" customHeight="1" x14ac:dyDescent="0.25">
      <c r="A5804" s="3"/>
      <c r="B5804" s="3"/>
      <c r="C5804" s="3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</row>
    <row r="5805" spans="1:15" ht="15" customHeight="1" x14ac:dyDescent="0.25">
      <c r="A5805" s="2"/>
      <c r="B5805" s="2"/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</row>
    <row r="5806" spans="1:15" ht="15" customHeight="1" x14ac:dyDescent="0.25">
      <c r="A5806" s="3"/>
      <c r="B5806" s="3"/>
      <c r="C5806" s="3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</row>
    <row r="5807" spans="1:15" ht="15" customHeight="1" x14ac:dyDescent="0.25">
      <c r="A5807" s="2"/>
      <c r="B5807" s="2"/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</row>
    <row r="5808" spans="1:15" ht="15" customHeight="1" x14ac:dyDescent="0.25">
      <c r="A5808" s="3"/>
      <c r="B5808" s="3"/>
      <c r="C5808" s="3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</row>
    <row r="5809" spans="1:15" ht="15" customHeight="1" x14ac:dyDescent="0.25">
      <c r="A5809" s="2"/>
      <c r="B5809" s="2"/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</row>
    <row r="5810" spans="1:15" ht="15" customHeight="1" x14ac:dyDescent="0.25">
      <c r="A5810" s="3"/>
      <c r="B5810" s="3"/>
      <c r="C5810" s="3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</row>
    <row r="5811" spans="1:15" ht="15" customHeight="1" x14ac:dyDescent="0.25">
      <c r="A5811" s="2"/>
      <c r="B5811" s="2"/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</row>
    <row r="5812" spans="1:15" ht="15" customHeight="1" x14ac:dyDescent="0.25">
      <c r="A5812" s="3"/>
      <c r="B5812" s="3"/>
      <c r="C5812" s="3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</row>
    <row r="5813" spans="1:15" ht="15" customHeight="1" x14ac:dyDescent="0.25">
      <c r="A5813" s="2"/>
      <c r="B5813" s="2"/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</row>
    <row r="5814" spans="1:15" ht="15" customHeight="1" x14ac:dyDescent="0.25">
      <c r="A5814" s="3"/>
      <c r="B5814" s="3"/>
      <c r="C5814" s="3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</row>
    <row r="5815" spans="1:15" ht="15" customHeight="1" x14ac:dyDescent="0.25">
      <c r="A5815" s="2"/>
      <c r="B5815" s="2"/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</row>
    <row r="5816" spans="1:15" ht="15" customHeight="1" x14ac:dyDescent="0.25">
      <c r="A5816" s="3"/>
      <c r="B5816" s="3"/>
      <c r="C5816" s="3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</row>
    <row r="5817" spans="1:15" ht="15" customHeight="1" x14ac:dyDescent="0.25">
      <c r="A5817" s="2"/>
      <c r="B5817" s="2"/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</row>
    <row r="5818" spans="1:15" ht="15" customHeight="1" x14ac:dyDescent="0.25">
      <c r="A5818" s="3"/>
      <c r="B5818" s="3"/>
      <c r="C5818" s="3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</row>
    <row r="5819" spans="1:15" ht="15" customHeight="1" x14ac:dyDescent="0.25">
      <c r="A5819" s="2"/>
      <c r="B5819" s="2"/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</row>
    <row r="5820" spans="1:15" ht="15" customHeight="1" x14ac:dyDescent="0.25">
      <c r="A5820" s="3"/>
      <c r="B5820" s="3"/>
      <c r="C5820" s="3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</row>
    <row r="5821" spans="1:15" ht="15" customHeight="1" x14ac:dyDescent="0.25">
      <c r="A5821" s="2"/>
      <c r="B5821" s="2"/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</row>
    <row r="5822" spans="1:15" ht="15" customHeight="1" x14ac:dyDescent="0.25">
      <c r="A5822" s="3"/>
      <c r="B5822" s="3"/>
      <c r="C5822" s="3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</row>
    <row r="5823" spans="1:15" ht="15" customHeight="1" x14ac:dyDescent="0.25">
      <c r="A5823" s="2"/>
      <c r="B5823" s="2"/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</row>
    <row r="5824" spans="1:15" ht="15" customHeight="1" x14ac:dyDescent="0.25">
      <c r="A5824" s="3"/>
      <c r="B5824" s="3"/>
      <c r="C5824" s="3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</row>
    <row r="5825" spans="1:15" ht="15" customHeight="1" x14ac:dyDescent="0.25">
      <c r="A5825" s="2"/>
      <c r="B5825" s="2"/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</row>
    <row r="5826" spans="1:15" ht="15" customHeight="1" x14ac:dyDescent="0.25">
      <c r="A5826" s="3"/>
      <c r="B5826" s="3"/>
      <c r="C5826" s="3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</row>
    <row r="5827" spans="1:15" ht="15" customHeight="1" x14ac:dyDescent="0.25">
      <c r="A5827" s="2"/>
      <c r="B5827" s="2"/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</row>
    <row r="5828" spans="1:15" ht="15" customHeight="1" x14ac:dyDescent="0.25">
      <c r="A5828" s="3"/>
      <c r="B5828" s="3"/>
      <c r="C5828" s="3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</row>
    <row r="5829" spans="1:15" ht="15" customHeight="1" x14ac:dyDescent="0.25">
      <c r="A5829" s="2"/>
      <c r="B5829" s="2"/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</row>
    <row r="5830" spans="1:15" ht="15" customHeight="1" x14ac:dyDescent="0.25">
      <c r="A5830" s="3"/>
      <c r="B5830" s="3"/>
      <c r="C5830" s="3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</row>
    <row r="5831" spans="1:15" ht="15" customHeight="1" x14ac:dyDescent="0.25">
      <c r="A5831" s="2"/>
      <c r="B5831" s="2"/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</row>
    <row r="5832" spans="1:15" ht="15" customHeight="1" x14ac:dyDescent="0.25">
      <c r="A5832" s="3"/>
      <c r="B5832" s="3"/>
      <c r="C5832" s="3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</row>
    <row r="5833" spans="1:15" ht="15" customHeight="1" x14ac:dyDescent="0.25">
      <c r="A5833" s="2"/>
      <c r="B5833" s="2"/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</row>
    <row r="5834" spans="1:15" ht="15" customHeight="1" x14ac:dyDescent="0.25">
      <c r="A5834" s="3"/>
      <c r="B5834" s="3"/>
      <c r="C5834" s="3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</row>
    <row r="5835" spans="1:15" ht="15" customHeight="1" x14ac:dyDescent="0.25">
      <c r="A5835" s="2"/>
      <c r="B5835" s="2"/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</row>
    <row r="5836" spans="1:15" ht="15" customHeight="1" x14ac:dyDescent="0.25">
      <c r="A5836" s="3"/>
      <c r="B5836" s="3"/>
      <c r="C5836" s="3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</row>
    <row r="5837" spans="1:15" ht="15" customHeight="1" x14ac:dyDescent="0.25">
      <c r="A5837" s="2"/>
      <c r="B5837" s="2"/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</row>
    <row r="5838" spans="1:15" ht="15" customHeight="1" x14ac:dyDescent="0.25">
      <c r="A5838" s="3"/>
      <c r="B5838" s="3"/>
      <c r="C5838" s="3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</row>
    <row r="5839" spans="1:15" ht="15" customHeight="1" x14ac:dyDescent="0.25">
      <c r="A5839" s="2"/>
      <c r="B5839" s="2"/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</row>
    <row r="5840" spans="1:15" ht="15" customHeight="1" x14ac:dyDescent="0.25">
      <c r="A5840" s="3"/>
      <c r="B5840" s="3"/>
      <c r="C5840" s="3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</row>
    <row r="5841" spans="1:15" ht="15" customHeight="1" x14ac:dyDescent="0.25">
      <c r="A5841" s="2"/>
      <c r="B5841" s="2"/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</row>
    <row r="5842" spans="1:15" ht="15" customHeight="1" x14ac:dyDescent="0.25">
      <c r="A5842" s="3"/>
      <c r="B5842" s="3"/>
      <c r="C5842" s="3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</row>
    <row r="5843" spans="1:15" ht="15" customHeight="1" x14ac:dyDescent="0.25">
      <c r="A5843" s="2"/>
      <c r="B5843" s="2"/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</row>
    <row r="5844" spans="1:15" ht="15" customHeight="1" x14ac:dyDescent="0.25">
      <c r="A5844" s="3"/>
      <c r="B5844" s="3"/>
      <c r="C5844" s="3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</row>
    <row r="5845" spans="1:15" ht="15" customHeight="1" x14ac:dyDescent="0.25">
      <c r="A5845" s="2"/>
      <c r="B5845" s="2"/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</row>
    <row r="5846" spans="1:15" ht="15" customHeight="1" x14ac:dyDescent="0.25">
      <c r="A5846" s="3"/>
      <c r="B5846" s="3"/>
      <c r="C5846" s="3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</row>
    <row r="5847" spans="1:15" ht="15" customHeight="1" x14ac:dyDescent="0.25">
      <c r="A5847" s="2"/>
      <c r="B5847" s="2"/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</row>
    <row r="5848" spans="1:15" ht="15" customHeight="1" x14ac:dyDescent="0.25">
      <c r="A5848" s="3"/>
      <c r="B5848" s="3"/>
      <c r="C5848" s="3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</row>
    <row r="5849" spans="1:15" ht="15" customHeight="1" x14ac:dyDescent="0.25">
      <c r="A5849" s="2"/>
      <c r="B5849" s="2"/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</row>
    <row r="5850" spans="1:15" ht="15" customHeight="1" x14ac:dyDescent="0.25">
      <c r="A5850" s="3"/>
      <c r="B5850" s="3"/>
      <c r="C5850" s="3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</row>
    <row r="5851" spans="1:15" ht="15" customHeight="1" x14ac:dyDescent="0.25">
      <c r="A5851" s="2"/>
      <c r="B5851" s="2"/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</row>
    <row r="5852" spans="1:15" ht="15" customHeight="1" x14ac:dyDescent="0.25">
      <c r="A5852" s="3"/>
      <c r="B5852" s="3"/>
      <c r="C5852" s="3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</row>
    <row r="5853" spans="1:15" ht="15" customHeight="1" x14ac:dyDescent="0.25">
      <c r="A5853" s="2"/>
      <c r="B5853" s="2"/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</row>
    <row r="5854" spans="1:15" ht="15" customHeight="1" x14ac:dyDescent="0.25">
      <c r="A5854" s="3"/>
      <c r="B5854" s="3"/>
      <c r="C5854" s="3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</row>
    <row r="5855" spans="1:15" ht="15" customHeight="1" x14ac:dyDescent="0.25">
      <c r="A5855" s="2"/>
      <c r="B5855" s="2"/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</row>
    <row r="5856" spans="1:15" ht="15" customHeight="1" x14ac:dyDescent="0.25">
      <c r="A5856" s="3"/>
      <c r="B5856" s="3"/>
      <c r="C5856" s="3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</row>
    <row r="5857" spans="1:15" ht="15" customHeight="1" x14ac:dyDescent="0.25">
      <c r="A5857" s="2"/>
      <c r="B5857" s="2"/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</row>
    <row r="5858" spans="1:15" ht="15" customHeight="1" x14ac:dyDescent="0.25">
      <c r="A5858" s="3"/>
      <c r="B5858" s="3"/>
      <c r="C5858" s="3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</row>
    <row r="5859" spans="1:15" ht="15" customHeight="1" x14ac:dyDescent="0.25">
      <c r="A5859" s="2"/>
      <c r="B5859" s="2"/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</row>
    <row r="5860" spans="1:15" ht="15" customHeight="1" x14ac:dyDescent="0.25">
      <c r="A5860" s="3"/>
      <c r="B5860" s="3"/>
      <c r="C5860" s="3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</row>
    <row r="5861" spans="1:15" ht="15" customHeight="1" x14ac:dyDescent="0.25">
      <c r="A5861" s="2"/>
      <c r="B5861" s="2"/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</row>
    <row r="5862" spans="1:15" ht="15" customHeight="1" x14ac:dyDescent="0.25">
      <c r="A5862" s="3"/>
      <c r="B5862" s="3"/>
      <c r="C5862" s="3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</row>
    <row r="5863" spans="1:15" ht="15" customHeight="1" x14ac:dyDescent="0.25">
      <c r="A5863" s="2"/>
      <c r="B5863" s="2"/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</row>
    <row r="5864" spans="1:15" ht="15" customHeight="1" x14ac:dyDescent="0.25">
      <c r="A5864" s="3"/>
      <c r="B5864" s="3"/>
      <c r="C5864" s="3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</row>
    <row r="5865" spans="1:15" ht="15" customHeight="1" x14ac:dyDescent="0.25">
      <c r="A5865" s="2"/>
      <c r="B5865" s="2"/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</row>
    <row r="5866" spans="1:15" ht="15" customHeight="1" x14ac:dyDescent="0.25">
      <c r="A5866" s="3"/>
      <c r="B5866" s="3"/>
      <c r="C5866" s="3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</row>
    <row r="5867" spans="1:15" ht="15" customHeight="1" x14ac:dyDescent="0.25">
      <c r="A5867" s="2"/>
      <c r="B5867" s="2"/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</row>
    <row r="5868" spans="1:15" ht="15" customHeight="1" x14ac:dyDescent="0.25">
      <c r="A5868" s="3"/>
      <c r="B5868" s="3"/>
      <c r="C5868" s="3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</row>
    <row r="5869" spans="1:15" ht="15" customHeight="1" x14ac:dyDescent="0.25">
      <c r="A5869" s="2"/>
      <c r="B5869" s="2"/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</row>
    <row r="5870" spans="1:15" ht="15" customHeight="1" x14ac:dyDescent="0.25">
      <c r="A5870" s="3"/>
      <c r="B5870" s="3"/>
      <c r="C5870" s="3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</row>
    <row r="5871" spans="1:15" ht="15" customHeight="1" x14ac:dyDescent="0.25">
      <c r="A5871" s="2"/>
      <c r="B5871" s="2"/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</row>
    <row r="5872" spans="1:15" ht="15" customHeight="1" x14ac:dyDescent="0.25">
      <c r="A5872" s="3"/>
      <c r="B5872" s="3"/>
      <c r="C5872" s="3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</row>
    <row r="5873" spans="1:15" ht="15" customHeight="1" x14ac:dyDescent="0.25">
      <c r="A5873" s="2"/>
      <c r="B5873" s="2"/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</row>
    <row r="5874" spans="1:15" ht="15" customHeight="1" x14ac:dyDescent="0.25">
      <c r="A5874" s="3"/>
      <c r="B5874" s="3"/>
      <c r="C5874" s="3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</row>
    <row r="5875" spans="1:15" ht="15" customHeight="1" x14ac:dyDescent="0.25">
      <c r="A5875" s="2"/>
      <c r="B5875" s="2"/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</row>
    <row r="5876" spans="1:15" ht="15" customHeight="1" x14ac:dyDescent="0.25">
      <c r="A5876" s="3"/>
      <c r="B5876" s="3"/>
      <c r="C5876" s="3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</row>
    <row r="5877" spans="1:15" ht="15" customHeight="1" x14ac:dyDescent="0.25">
      <c r="A5877" s="2"/>
      <c r="B5877" s="2"/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</row>
    <row r="5878" spans="1:15" ht="15" customHeight="1" x14ac:dyDescent="0.25">
      <c r="A5878" s="3"/>
      <c r="B5878" s="3"/>
      <c r="C5878" s="3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</row>
    <row r="5879" spans="1:15" ht="15" customHeight="1" x14ac:dyDescent="0.25">
      <c r="A5879" s="2"/>
      <c r="B5879" s="2"/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</row>
    <row r="5880" spans="1:15" ht="15" customHeight="1" x14ac:dyDescent="0.25">
      <c r="A5880" s="3"/>
      <c r="B5880" s="3"/>
      <c r="C5880" s="3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</row>
    <row r="5881" spans="1:15" ht="15" customHeight="1" x14ac:dyDescent="0.25">
      <c r="A5881" s="2"/>
      <c r="B5881" s="2"/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</row>
    <row r="5882" spans="1:15" ht="15" customHeight="1" x14ac:dyDescent="0.25">
      <c r="A5882" s="3"/>
      <c r="B5882" s="3"/>
      <c r="C5882" s="3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</row>
    <row r="5883" spans="1:15" ht="15" customHeight="1" x14ac:dyDescent="0.25">
      <c r="A5883" s="2"/>
      <c r="B5883" s="2"/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</row>
    <row r="5884" spans="1:15" ht="15" customHeight="1" x14ac:dyDescent="0.25">
      <c r="A5884" s="3"/>
      <c r="B5884" s="3"/>
      <c r="C5884" s="3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</row>
    <row r="5885" spans="1:15" ht="15" customHeight="1" x14ac:dyDescent="0.25">
      <c r="A5885" s="2"/>
      <c r="B5885" s="2"/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</row>
    <row r="5886" spans="1:15" ht="15" customHeight="1" x14ac:dyDescent="0.25">
      <c r="A5886" s="3"/>
      <c r="B5886" s="3"/>
      <c r="C5886" s="3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</row>
    <row r="5887" spans="1:15" ht="15" customHeight="1" x14ac:dyDescent="0.25">
      <c r="A5887" s="2"/>
      <c r="B5887" s="2"/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</row>
    <row r="5888" spans="1:15" ht="15" customHeight="1" x14ac:dyDescent="0.25">
      <c r="A5888" s="3"/>
      <c r="B5888" s="3"/>
      <c r="C5888" s="3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</row>
    <row r="5889" spans="1:15" ht="15" customHeight="1" x14ac:dyDescent="0.25">
      <c r="A5889" s="2"/>
      <c r="B5889" s="2"/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</row>
    <row r="5890" spans="1:15" ht="15" customHeight="1" x14ac:dyDescent="0.25">
      <c r="A5890" s="3"/>
      <c r="B5890" s="3"/>
      <c r="C5890" s="3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</row>
    <row r="5891" spans="1:15" ht="15" customHeight="1" x14ac:dyDescent="0.25">
      <c r="A5891" s="2"/>
      <c r="B5891" s="2"/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</row>
    <row r="5892" spans="1:15" ht="15" customHeight="1" x14ac:dyDescent="0.25">
      <c r="A5892" s="3"/>
      <c r="B5892" s="3"/>
      <c r="C5892" s="3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</row>
    <row r="5893" spans="1:15" ht="15" customHeight="1" x14ac:dyDescent="0.25">
      <c r="A5893" s="2"/>
      <c r="B5893" s="2"/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</row>
    <row r="5894" spans="1:15" ht="15" customHeight="1" x14ac:dyDescent="0.25">
      <c r="A5894" s="3"/>
      <c r="B5894" s="3"/>
      <c r="C5894" s="3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</row>
    <row r="5895" spans="1:15" ht="15" customHeight="1" x14ac:dyDescent="0.25">
      <c r="A5895" s="2"/>
      <c r="B5895" s="2"/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</row>
    <row r="5896" spans="1:15" ht="15" customHeight="1" x14ac:dyDescent="0.25">
      <c r="A5896" s="3"/>
      <c r="B5896" s="3"/>
      <c r="C5896" s="3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</row>
    <row r="5897" spans="1:15" ht="15" customHeight="1" x14ac:dyDescent="0.25">
      <c r="A5897" s="2"/>
      <c r="B5897" s="2"/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</row>
    <row r="5898" spans="1:15" ht="15" customHeight="1" x14ac:dyDescent="0.25">
      <c r="A5898" s="3"/>
      <c r="B5898" s="3"/>
      <c r="C5898" s="3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</row>
    <row r="5899" spans="1:15" ht="15" customHeight="1" x14ac:dyDescent="0.25">
      <c r="A5899" s="2"/>
      <c r="B5899" s="2"/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</row>
    <row r="5900" spans="1:15" ht="15" customHeight="1" x14ac:dyDescent="0.25">
      <c r="A5900" s="3"/>
      <c r="B5900" s="3"/>
      <c r="C5900" s="3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</row>
    <row r="5901" spans="1:15" ht="15" customHeight="1" x14ac:dyDescent="0.25">
      <c r="A5901" s="2"/>
      <c r="B5901" s="2"/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</row>
    <row r="5902" spans="1:15" ht="15" customHeight="1" x14ac:dyDescent="0.25">
      <c r="A5902" s="3"/>
      <c r="B5902" s="3"/>
      <c r="C5902" s="3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</row>
    <row r="5903" spans="1:15" ht="15" customHeight="1" x14ac:dyDescent="0.25">
      <c r="A5903" s="2"/>
      <c r="B5903" s="2"/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</row>
    <row r="5904" spans="1:15" ht="15" customHeight="1" x14ac:dyDescent="0.25">
      <c r="A5904" s="3"/>
      <c r="B5904" s="3"/>
      <c r="C5904" s="3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</row>
    <row r="5905" spans="1:15" ht="15" customHeight="1" x14ac:dyDescent="0.25">
      <c r="A5905" s="2"/>
      <c r="B5905" s="2"/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</row>
    <row r="5906" spans="1:15" ht="15" customHeight="1" x14ac:dyDescent="0.25">
      <c r="A5906" s="3"/>
      <c r="B5906" s="3"/>
      <c r="C5906" s="3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</row>
    <row r="5907" spans="1:15" ht="15" customHeight="1" x14ac:dyDescent="0.25">
      <c r="A5907" s="2"/>
      <c r="B5907" s="2"/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</row>
    <row r="5908" spans="1:15" ht="15" customHeight="1" x14ac:dyDescent="0.25">
      <c r="A5908" s="3"/>
      <c r="B5908" s="3"/>
      <c r="C5908" s="3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</row>
    <row r="5909" spans="1:15" ht="15" customHeight="1" x14ac:dyDescent="0.25">
      <c r="A5909" s="2"/>
      <c r="B5909" s="2"/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</row>
    <row r="5910" spans="1:15" ht="15" customHeight="1" x14ac:dyDescent="0.25">
      <c r="A5910" s="3"/>
      <c r="B5910" s="3"/>
      <c r="C5910" s="3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</row>
    <row r="5911" spans="1:15" ht="15" customHeight="1" x14ac:dyDescent="0.25">
      <c r="A5911" s="2"/>
      <c r="B5911" s="2"/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</row>
    <row r="5912" spans="1:15" ht="15" customHeight="1" x14ac:dyDescent="0.25">
      <c r="A5912" s="3"/>
      <c r="B5912" s="3"/>
      <c r="C5912" s="3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</row>
    <row r="5913" spans="1:15" ht="15" customHeight="1" x14ac:dyDescent="0.25">
      <c r="A5913" s="2"/>
      <c r="B5913" s="2"/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</row>
    <row r="5914" spans="1:15" ht="15" customHeight="1" x14ac:dyDescent="0.25">
      <c r="A5914" s="3"/>
      <c r="B5914" s="3"/>
      <c r="C5914" s="3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</row>
    <row r="5915" spans="1:15" ht="15" customHeight="1" x14ac:dyDescent="0.25">
      <c r="A5915" s="2"/>
      <c r="B5915" s="2"/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</row>
    <row r="5916" spans="1:15" ht="15" customHeight="1" x14ac:dyDescent="0.25">
      <c r="A5916" s="3"/>
      <c r="B5916" s="3"/>
      <c r="C5916" s="3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</row>
    <row r="5917" spans="1:15" ht="15" customHeight="1" x14ac:dyDescent="0.25">
      <c r="A5917" s="2"/>
      <c r="B5917" s="2"/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</row>
    <row r="5918" spans="1:15" ht="15" customHeight="1" x14ac:dyDescent="0.25">
      <c r="A5918" s="3"/>
      <c r="B5918" s="3"/>
      <c r="C5918" s="3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</row>
    <row r="5919" spans="1:15" ht="15" customHeight="1" x14ac:dyDescent="0.25">
      <c r="A5919" s="2"/>
      <c r="B5919" s="2"/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</row>
    <row r="5920" spans="1:15" ht="15" customHeight="1" x14ac:dyDescent="0.25">
      <c r="A5920" s="3"/>
      <c r="B5920" s="3"/>
      <c r="C5920" s="3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</row>
    <row r="5921" spans="1:15" ht="15" customHeight="1" x14ac:dyDescent="0.25">
      <c r="A5921" s="2"/>
      <c r="B5921" s="2"/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</row>
    <row r="5922" spans="1:15" ht="15" customHeight="1" x14ac:dyDescent="0.25">
      <c r="A5922" s="3"/>
      <c r="B5922" s="3"/>
      <c r="C5922" s="3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</row>
    <row r="5923" spans="1:15" ht="15" customHeight="1" x14ac:dyDescent="0.25">
      <c r="A5923" s="2"/>
      <c r="B5923" s="2"/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</row>
    <row r="5924" spans="1:15" ht="15" customHeight="1" x14ac:dyDescent="0.25">
      <c r="A5924" s="3"/>
      <c r="B5924" s="3"/>
      <c r="C5924" s="3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</row>
    <row r="5925" spans="1:15" ht="15" customHeight="1" x14ac:dyDescent="0.25">
      <c r="A5925" s="2"/>
      <c r="B5925" s="2"/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</row>
    <row r="5926" spans="1:15" ht="15" customHeight="1" x14ac:dyDescent="0.25">
      <c r="A5926" s="3"/>
      <c r="B5926" s="3"/>
      <c r="C5926" s="3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</row>
    <row r="5927" spans="1:15" ht="15" customHeight="1" x14ac:dyDescent="0.25">
      <c r="A5927" s="2"/>
      <c r="B5927" s="2"/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</row>
    <row r="5928" spans="1:15" ht="15" customHeight="1" x14ac:dyDescent="0.25">
      <c r="A5928" s="3"/>
      <c r="B5928" s="3"/>
      <c r="C5928" s="3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</row>
    <row r="5929" spans="1:15" ht="15" customHeight="1" x14ac:dyDescent="0.25">
      <c r="A5929" s="2"/>
      <c r="B5929" s="2"/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</row>
    <row r="5930" spans="1:15" ht="15" customHeight="1" x14ac:dyDescent="0.25">
      <c r="A5930" s="3"/>
      <c r="B5930" s="3"/>
      <c r="C5930" s="3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</row>
    <row r="5931" spans="1:15" ht="15" customHeight="1" x14ac:dyDescent="0.25">
      <c r="A5931" s="2"/>
      <c r="B5931" s="2"/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</row>
    <row r="5932" spans="1:15" ht="15" customHeight="1" x14ac:dyDescent="0.25">
      <c r="A5932" s="3"/>
      <c r="B5932" s="3"/>
      <c r="C5932" s="3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</row>
    <row r="5933" spans="1:15" ht="15" customHeight="1" x14ac:dyDescent="0.25">
      <c r="A5933" s="2"/>
      <c r="B5933" s="2"/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</row>
    <row r="5934" spans="1:15" ht="15" customHeight="1" x14ac:dyDescent="0.25">
      <c r="A5934" s="3"/>
      <c r="B5934" s="3"/>
      <c r="C5934" s="3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</row>
    <row r="5935" spans="1:15" ht="15" customHeight="1" x14ac:dyDescent="0.25">
      <c r="A5935" s="2"/>
      <c r="B5935" s="2"/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</row>
    <row r="5936" spans="1:15" ht="15" customHeight="1" x14ac:dyDescent="0.25">
      <c r="A5936" s="3"/>
      <c r="B5936" s="3"/>
      <c r="C5936" s="3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</row>
    <row r="5937" spans="1:15" ht="15" customHeight="1" x14ac:dyDescent="0.25">
      <c r="A5937" s="2"/>
      <c r="B5937" s="2"/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</row>
    <row r="5938" spans="1:15" ht="15" customHeight="1" x14ac:dyDescent="0.25">
      <c r="A5938" s="3"/>
      <c r="B5938" s="3"/>
      <c r="C5938" s="3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</row>
    <row r="5939" spans="1:15" ht="15" customHeight="1" x14ac:dyDescent="0.25">
      <c r="A5939" s="2"/>
      <c r="B5939" s="2"/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</row>
    <row r="5940" spans="1:15" ht="15" customHeight="1" x14ac:dyDescent="0.25">
      <c r="A5940" s="3"/>
      <c r="B5940" s="3"/>
      <c r="C5940" s="3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</row>
    <row r="5941" spans="1:15" ht="15" customHeight="1" x14ac:dyDescent="0.25">
      <c r="A5941" s="2"/>
      <c r="B5941" s="2"/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</row>
    <row r="5942" spans="1:15" ht="15" customHeight="1" x14ac:dyDescent="0.25">
      <c r="A5942" s="3"/>
      <c r="B5942" s="3"/>
      <c r="C5942" s="3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</row>
    <row r="5943" spans="1:15" ht="15" customHeight="1" x14ac:dyDescent="0.25">
      <c r="A5943" s="2"/>
      <c r="B5943" s="2"/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</row>
    <row r="5944" spans="1:15" ht="15" customHeight="1" x14ac:dyDescent="0.25">
      <c r="A5944" s="3"/>
      <c r="B5944" s="3"/>
      <c r="C5944" s="3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</row>
    <row r="5945" spans="1:15" ht="15" customHeight="1" x14ac:dyDescent="0.25">
      <c r="A5945" s="2"/>
      <c r="B5945" s="2"/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</row>
    <row r="5946" spans="1:15" ht="15" customHeight="1" x14ac:dyDescent="0.25">
      <c r="A5946" s="3"/>
      <c r="B5946" s="3"/>
      <c r="C5946" s="3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</row>
    <row r="5947" spans="1:15" ht="15" customHeight="1" x14ac:dyDescent="0.25">
      <c r="A5947" s="2"/>
      <c r="B5947" s="2"/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</row>
    <row r="5948" spans="1:15" ht="15" customHeight="1" x14ac:dyDescent="0.25">
      <c r="A5948" s="3"/>
      <c r="B5948" s="3"/>
      <c r="C5948" s="3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</row>
    <row r="5949" spans="1:15" ht="15" customHeight="1" x14ac:dyDescent="0.25">
      <c r="A5949" s="2"/>
      <c r="B5949" s="2"/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</row>
    <row r="5950" spans="1:15" ht="15" customHeight="1" x14ac:dyDescent="0.25">
      <c r="A5950" s="3"/>
      <c r="B5950" s="3"/>
      <c r="C5950" s="3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</row>
    <row r="5951" spans="1:15" ht="15" customHeight="1" x14ac:dyDescent="0.25">
      <c r="A5951" s="2"/>
      <c r="B5951" s="2"/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</row>
    <row r="5952" spans="1:15" ht="15" customHeight="1" x14ac:dyDescent="0.25">
      <c r="A5952" s="3"/>
      <c r="B5952" s="3"/>
      <c r="C5952" s="3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</row>
    <row r="5953" spans="1:15" ht="15" customHeight="1" x14ac:dyDescent="0.25">
      <c r="A5953" s="2"/>
      <c r="B5953" s="2"/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</row>
    <row r="5954" spans="1:15" ht="15" customHeight="1" x14ac:dyDescent="0.25">
      <c r="A5954" s="3"/>
      <c r="B5954" s="3"/>
      <c r="C5954" s="3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</row>
    <row r="5955" spans="1:15" ht="15" customHeight="1" x14ac:dyDescent="0.25">
      <c r="A5955" s="2"/>
      <c r="B5955" s="2"/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</row>
    <row r="5956" spans="1:15" ht="15" customHeight="1" x14ac:dyDescent="0.25">
      <c r="A5956" s="3"/>
      <c r="B5956" s="3"/>
      <c r="C5956" s="3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</row>
    <row r="5957" spans="1:15" ht="15" customHeight="1" x14ac:dyDescent="0.25">
      <c r="A5957" s="2"/>
      <c r="B5957" s="2"/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</row>
    <row r="5958" spans="1:15" ht="15" customHeight="1" x14ac:dyDescent="0.25">
      <c r="A5958" s="3"/>
      <c r="B5958" s="3"/>
      <c r="C5958" s="3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</row>
    <row r="5959" spans="1:15" ht="15" customHeight="1" x14ac:dyDescent="0.25">
      <c r="A5959" s="2"/>
      <c r="B5959" s="2"/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</row>
    <row r="5960" spans="1:15" ht="15" customHeight="1" x14ac:dyDescent="0.25">
      <c r="A5960" s="3"/>
      <c r="B5960" s="3"/>
      <c r="C5960" s="3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</row>
    <row r="5961" spans="1:15" ht="15" customHeight="1" x14ac:dyDescent="0.25">
      <c r="A5961" s="2"/>
      <c r="B5961" s="2"/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</row>
    <row r="5962" spans="1:15" ht="15" customHeight="1" x14ac:dyDescent="0.25">
      <c r="A5962" s="3"/>
      <c r="B5962" s="3"/>
      <c r="C5962" s="3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</row>
    <row r="5963" spans="1:15" ht="15" customHeight="1" x14ac:dyDescent="0.25">
      <c r="A5963" s="2"/>
      <c r="B5963" s="2"/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</row>
    <row r="5964" spans="1:15" ht="15" customHeight="1" x14ac:dyDescent="0.25">
      <c r="A5964" s="3"/>
      <c r="B5964" s="3"/>
      <c r="C5964" s="3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</row>
    <row r="5965" spans="1:15" ht="15" customHeight="1" x14ac:dyDescent="0.25">
      <c r="A5965" s="2"/>
      <c r="B5965" s="2"/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</row>
    <row r="5966" spans="1:15" ht="15" customHeight="1" x14ac:dyDescent="0.25">
      <c r="A5966" s="3"/>
      <c r="B5966" s="3"/>
      <c r="C5966" s="3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</row>
    <row r="5967" spans="1:15" ht="15" customHeight="1" x14ac:dyDescent="0.25">
      <c r="A5967" s="2"/>
      <c r="B5967" s="2"/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</row>
    <row r="5968" spans="1:15" ht="15" customHeight="1" x14ac:dyDescent="0.25">
      <c r="A5968" s="3"/>
      <c r="B5968" s="3"/>
      <c r="C5968" s="3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</row>
    <row r="5969" spans="1:15" ht="15" customHeight="1" x14ac:dyDescent="0.25">
      <c r="A5969" s="2"/>
      <c r="B5969" s="2"/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</row>
    <row r="5970" spans="1:15" ht="15" customHeight="1" x14ac:dyDescent="0.25">
      <c r="A5970" s="3"/>
      <c r="B5970" s="3"/>
      <c r="C5970" s="3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</row>
    <row r="5971" spans="1:15" ht="15" customHeight="1" x14ac:dyDescent="0.25">
      <c r="A5971" s="2"/>
      <c r="B5971" s="2"/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</row>
    <row r="5972" spans="1:15" ht="15" customHeight="1" x14ac:dyDescent="0.25">
      <c r="A5972" s="3"/>
      <c r="B5972" s="3"/>
      <c r="C5972" s="3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</row>
    <row r="5973" spans="1:15" ht="15" customHeight="1" x14ac:dyDescent="0.25">
      <c r="A5973" s="2"/>
      <c r="B5973" s="2"/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</row>
    <row r="5974" spans="1:15" ht="15" customHeight="1" x14ac:dyDescent="0.25">
      <c r="A5974" s="3"/>
      <c r="B5974" s="3"/>
      <c r="C5974" s="3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</row>
    <row r="5975" spans="1:15" ht="15" customHeight="1" x14ac:dyDescent="0.25">
      <c r="A5975" s="2"/>
      <c r="B5975" s="2"/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</row>
    <row r="5976" spans="1:15" ht="15" customHeight="1" x14ac:dyDescent="0.25">
      <c r="A5976" s="3"/>
      <c r="B5976" s="3"/>
      <c r="C5976" s="3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</row>
    <row r="5977" spans="1:15" ht="15" customHeight="1" x14ac:dyDescent="0.25">
      <c r="A5977" s="2"/>
      <c r="B5977" s="2"/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</row>
    <row r="5978" spans="1:15" ht="15" customHeight="1" x14ac:dyDescent="0.25">
      <c r="A5978" s="3"/>
      <c r="B5978" s="3"/>
      <c r="C5978" s="3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</row>
    <row r="5979" spans="1:15" ht="15" customHeight="1" x14ac:dyDescent="0.25">
      <c r="A5979" s="2"/>
      <c r="B5979" s="2"/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</row>
    <row r="5980" spans="1:15" ht="15" customHeight="1" x14ac:dyDescent="0.25">
      <c r="A5980" s="3"/>
      <c r="B5980" s="3"/>
      <c r="C5980" s="3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</row>
    <row r="5981" spans="1:15" ht="15" customHeight="1" x14ac:dyDescent="0.25">
      <c r="A5981" s="2"/>
      <c r="B5981" s="2"/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</row>
    <row r="5982" spans="1:15" ht="15" customHeight="1" x14ac:dyDescent="0.25">
      <c r="A5982" s="3"/>
      <c r="B5982" s="3"/>
      <c r="C5982" s="3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</row>
    <row r="5983" spans="1:15" ht="15" customHeight="1" x14ac:dyDescent="0.25">
      <c r="A5983" s="2"/>
      <c r="B5983" s="2"/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</row>
    <row r="5984" spans="1:15" ht="15" customHeight="1" x14ac:dyDescent="0.25">
      <c r="A5984" s="3"/>
      <c r="B5984" s="3"/>
      <c r="C5984" s="3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</row>
    <row r="5985" spans="1:15" ht="15" customHeight="1" x14ac:dyDescent="0.25">
      <c r="A5985" s="2"/>
      <c r="B5985" s="2"/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</row>
    <row r="5986" spans="1:15" ht="15" customHeight="1" x14ac:dyDescent="0.25">
      <c r="A5986" s="3"/>
      <c r="B5986" s="3"/>
      <c r="C5986" s="3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</row>
    <row r="5987" spans="1:15" ht="15" customHeight="1" x14ac:dyDescent="0.25">
      <c r="A5987" s="2"/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</row>
    <row r="5988" spans="1:15" ht="15" customHeight="1" x14ac:dyDescent="0.25">
      <c r="A5988" s="3"/>
      <c r="B5988" s="3"/>
      <c r="C5988" s="3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</row>
    <row r="5989" spans="1:15" ht="15" customHeight="1" x14ac:dyDescent="0.25">
      <c r="A5989" s="2"/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</row>
    <row r="5990" spans="1:15" ht="15" customHeight="1" x14ac:dyDescent="0.25">
      <c r="A5990" s="3"/>
      <c r="B5990" s="3"/>
      <c r="C5990" s="3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</row>
    <row r="5991" spans="1:15" ht="15" customHeight="1" x14ac:dyDescent="0.25">
      <c r="A5991" s="2"/>
      <c r="B5991" s="2"/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</row>
    <row r="5992" spans="1:15" ht="15" customHeight="1" x14ac:dyDescent="0.25">
      <c r="A5992" s="3"/>
      <c r="B5992" s="3"/>
      <c r="C5992" s="3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</row>
    <row r="5993" spans="1:15" ht="15" customHeight="1" x14ac:dyDescent="0.25">
      <c r="A5993" s="2"/>
      <c r="B5993" s="2"/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</row>
    <row r="5994" spans="1:15" ht="15" customHeight="1" x14ac:dyDescent="0.25">
      <c r="A5994" s="3"/>
      <c r="B5994" s="3"/>
      <c r="C5994" s="3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</row>
    <row r="5995" spans="1:15" ht="15" customHeight="1" x14ac:dyDescent="0.25">
      <c r="A5995" s="2"/>
      <c r="B5995" s="2"/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</row>
    <row r="5996" spans="1:15" ht="15" customHeight="1" x14ac:dyDescent="0.25">
      <c r="A5996" s="3"/>
      <c r="B5996" s="3"/>
      <c r="C5996" s="3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</row>
    <row r="5997" spans="1:15" ht="15" customHeight="1" x14ac:dyDescent="0.25">
      <c r="A5997" s="2"/>
      <c r="B5997" s="2"/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</row>
    <row r="5998" spans="1:15" ht="15" customHeight="1" x14ac:dyDescent="0.25">
      <c r="A5998" s="3"/>
      <c r="B5998" s="3"/>
      <c r="C5998" s="3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</row>
    <row r="5999" spans="1:15" ht="15" customHeight="1" x14ac:dyDescent="0.25">
      <c r="A5999" s="2"/>
      <c r="B5999" s="2"/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</row>
    <row r="6000" spans="1:15" ht="15" customHeight="1" x14ac:dyDescent="0.25">
      <c r="A6000" s="3"/>
      <c r="B6000" s="3"/>
      <c r="C6000" s="3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</row>
    <row r="6001" spans="1:15" ht="15" customHeight="1" x14ac:dyDescent="0.25">
      <c r="A6001" s="2"/>
      <c r="B6001" s="2"/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</row>
    <row r="6002" spans="1:15" ht="15" customHeight="1" x14ac:dyDescent="0.25">
      <c r="A6002" s="3"/>
      <c r="B6002" s="3"/>
      <c r="C6002" s="3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</row>
    <row r="6003" spans="1:15" ht="15" customHeight="1" x14ac:dyDescent="0.25">
      <c r="A6003" s="2"/>
      <c r="B6003" s="2"/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</row>
    <row r="6004" spans="1:15" ht="15" customHeight="1" x14ac:dyDescent="0.25">
      <c r="A6004" s="3"/>
      <c r="B6004" s="3"/>
      <c r="C6004" s="3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</row>
    <row r="6005" spans="1:15" ht="15" customHeight="1" x14ac:dyDescent="0.25">
      <c r="A6005" s="2"/>
      <c r="B6005" s="2"/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</row>
    <row r="6006" spans="1:15" ht="15" customHeight="1" x14ac:dyDescent="0.25">
      <c r="A6006" s="3"/>
      <c r="B6006" s="3"/>
      <c r="C6006" s="3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</row>
    <row r="6007" spans="1:15" ht="15" customHeight="1" x14ac:dyDescent="0.25">
      <c r="A6007" s="2"/>
      <c r="B6007" s="2"/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</row>
    <row r="6008" spans="1:15" ht="15" customHeight="1" x14ac:dyDescent="0.25">
      <c r="A6008" s="3"/>
      <c r="B6008" s="3"/>
      <c r="C6008" s="3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</row>
    <row r="6009" spans="1:15" ht="15" customHeight="1" x14ac:dyDescent="0.25">
      <c r="A6009" s="2"/>
      <c r="B6009" s="2"/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</row>
    <row r="6010" spans="1:15" ht="15" customHeight="1" x14ac:dyDescent="0.25">
      <c r="A6010" s="3"/>
      <c r="B6010" s="3"/>
      <c r="C6010" s="3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</row>
    <row r="6011" spans="1:15" ht="15" customHeight="1" x14ac:dyDescent="0.25">
      <c r="A6011" s="2"/>
      <c r="B6011" s="2"/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</row>
    <row r="6012" spans="1:15" ht="15" customHeight="1" x14ac:dyDescent="0.25">
      <c r="A6012" s="3"/>
      <c r="B6012" s="3"/>
      <c r="C6012" s="3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</row>
    <row r="6013" spans="1:15" ht="15" customHeight="1" x14ac:dyDescent="0.25">
      <c r="A6013" s="2"/>
      <c r="B6013" s="2"/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</row>
    <row r="6014" spans="1:15" ht="15" customHeight="1" x14ac:dyDescent="0.25">
      <c r="A6014" s="3"/>
      <c r="B6014" s="3"/>
      <c r="C6014" s="3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</row>
    <row r="6015" spans="1:15" ht="15" customHeight="1" x14ac:dyDescent="0.25">
      <c r="A6015" s="2"/>
      <c r="B6015" s="2"/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</row>
    <row r="6016" spans="1:15" ht="15" customHeight="1" x14ac:dyDescent="0.25">
      <c r="A6016" s="3"/>
      <c r="B6016" s="3"/>
      <c r="C6016" s="3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</row>
    <row r="6017" spans="1:15" ht="15" customHeight="1" x14ac:dyDescent="0.25">
      <c r="A6017" s="2"/>
      <c r="B6017" s="2"/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</row>
    <row r="6018" spans="1:15" ht="15" customHeight="1" x14ac:dyDescent="0.25">
      <c r="A6018" s="3"/>
      <c r="B6018" s="3"/>
      <c r="C6018" s="3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</row>
    <row r="6019" spans="1:15" ht="15" customHeight="1" x14ac:dyDescent="0.25">
      <c r="A6019" s="2"/>
      <c r="B6019" s="2"/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</row>
    <row r="6020" spans="1:15" ht="15" customHeight="1" x14ac:dyDescent="0.25">
      <c r="A6020" s="3"/>
      <c r="B6020" s="3"/>
      <c r="C6020" s="3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</row>
    <row r="6021" spans="1:15" ht="15" customHeight="1" x14ac:dyDescent="0.25">
      <c r="A6021" s="2"/>
      <c r="B6021" s="2"/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</row>
    <row r="6022" spans="1:15" ht="15" customHeight="1" x14ac:dyDescent="0.25">
      <c r="A6022" s="3"/>
      <c r="B6022" s="3"/>
      <c r="C6022" s="3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</row>
    <row r="6023" spans="1:15" ht="15" customHeight="1" x14ac:dyDescent="0.25">
      <c r="A6023" s="2"/>
      <c r="B6023" s="2"/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</row>
    <row r="6024" spans="1:15" ht="15" customHeight="1" x14ac:dyDescent="0.25">
      <c r="A6024" s="3"/>
      <c r="B6024" s="3"/>
      <c r="C6024" s="3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</row>
    <row r="6025" spans="1:15" ht="15" customHeight="1" x14ac:dyDescent="0.25">
      <c r="A6025" s="2"/>
      <c r="B6025" s="2"/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</row>
    <row r="6026" spans="1:15" ht="15" customHeight="1" x14ac:dyDescent="0.25">
      <c r="A6026" s="3"/>
      <c r="B6026" s="3"/>
      <c r="C6026" s="3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</row>
    <row r="6027" spans="1:15" ht="15" customHeight="1" x14ac:dyDescent="0.25">
      <c r="A6027" s="2"/>
      <c r="B6027" s="2"/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</row>
    <row r="6028" spans="1:15" ht="15" customHeight="1" x14ac:dyDescent="0.25">
      <c r="A6028" s="3"/>
      <c r="B6028" s="3"/>
      <c r="C6028" s="3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</row>
    <row r="6029" spans="1:15" ht="15" customHeight="1" x14ac:dyDescent="0.25">
      <c r="A6029" s="2"/>
      <c r="B6029" s="2"/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</row>
    <row r="6030" spans="1:15" ht="15" customHeight="1" x14ac:dyDescent="0.25">
      <c r="A6030" s="3"/>
      <c r="B6030" s="3"/>
      <c r="C6030" s="3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</row>
    <row r="6031" spans="1:15" ht="15" customHeight="1" x14ac:dyDescent="0.25">
      <c r="A6031" s="2"/>
      <c r="B6031" s="2"/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</row>
    <row r="6032" spans="1:15" ht="15" customHeight="1" x14ac:dyDescent="0.25">
      <c r="A6032" s="3"/>
      <c r="B6032" s="3"/>
      <c r="C6032" s="3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</row>
    <row r="6033" spans="1:15" ht="15" customHeight="1" x14ac:dyDescent="0.25">
      <c r="A6033" s="2"/>
      <c r="B6033" s="2"/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</row>
    <row r="6034" spans="1:15" ht="15" customHeight="1" x14ac:dyDescent="0.25">
      <c r="A6034" s="3"/>
      <c r="B6034" s="3"/>
      <c r="C6034" s="3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</row>
    <row r="6035" spans="1:15" ht="15" customHeight="1" x14ac:dyDescent="0.25">
      <c r="A6035" s="2"/>
      <c r="B6035" s="2"/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</row>
    <row r="6036" spans="1:15" ht="15" customHeight="1" x14ac:dyDescent="0.25">
      <c r="A6036" s="3"/>
      <c r="B6036" s="3"/>
      <c r="C6036" s="3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</row>
    <row r="6037" spans="1:15" ht="15" customHeight="1" x14ac:dyDescent="0.25">
      <c r="A6037" s="2"/>
      <c r="B6037" s="2"/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</row>
    <row r="6038" spans="1:15" ht="15" customHeight="1" x14ac:dyDescent="0.25">
      <c r="A6038" s="3"/>
      <c r="B6038" s="3"/>
      <c r="C6038" s="3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</row>
    <row r="6039" spans="1:15" ht="15" customHeight="1" x14ac:dyDescent="0.25">
      <c r="A6039" s="2"/>
      <c r="B6039" s="2"/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</row>
    <row r="6040" spans="1:15" ht="15" customHeight="1" x14ac:dyDescent="0.25">
      <c r="A6040" s="3"/>
      <c r="B6040" s="3"/>
      <c r="C6040" s="3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</row>
    <row r="6041" spans="1:15" ht="15" customHeight="1" x14ac:dyDescent="0.25">
      <c r="A6041" s="2"/>
      <c r="B6041" s="2"/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</row>
    <row r="6042" spans="1:15" ht="15" customHeight="1" x14ac:dyDescent="0.25">
      <c r="A6042" s="3"/>
      <c r="B6042" s="3"/>
      <c r="C6042" s="3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</row>
    <row r="6043" spans="1:15" ht="15" customHeight="1" x14ac:dyDescent="0.25">
      <c r="A6043" s="2"/>
      <c r="B6043" s="2"/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</row>
    <row r="6044" spans="1:15" ht="15" customHeight="1" x14ac:dyDescent="0.25">
      <c r="A6044" s="3"/>
      <c r="B6044" s="3"/>
      <c r="C6044" s="3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</row>
    <row r="6045" spans="1:15" ht="15" customHeight="1" x14ac:dyDescent="0.25">
      <c r="A6045" s="2"/>
      <c r="B6045" s="2"/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</row>
    <row r="6046" spans="1:15" ht="15" customHeight="1" x14ac:dyDescent="0.25">
      <c r="A6046" s="3"/>
      <c r="B6046" s="3"/>
      <c r="C6046" s="3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</row>
    <row r="6047" spans="1:15" ht="15" customHeight="1" x14ac:dyDescent="0.25">
      <c r="A6047" s="2"/>
      <c r="B6047" s="2"/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</row>
    <row r="6048" spans="1:15" ht="15" customHeight="1" x14ac:dyDescent="0.25">
      <c r="A6048" s="3"/>
      <c r="B6048" s="3"/>
      <c r="C6048" s="3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</row>
    <row r="6049" spans="1:15" ht="15" customHeight="1" x14ac:dyDescent="0.25">
      <c r="A6049" s="2"/>
      <c r="B6049" s="2"/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</row>
    <row r="6050" spans="1:15" ht="15" customHeight="1" x14ac:dyDescent="0.25">
      <c r="A6050" s="3"/>
      <c r="B6050" s="3"/>
      <c r="C6050" s="3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</row>
    <row r="6051" spans="1:15" ht="15" customHeight="1" x14ac:dyDescent="0.25">
      <c r="A6051" s="2"/>
      <c r="B6051" s="2"/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</row>
    <row r="6052" spans="1:15" ht="15" customHeight="1" x14ac:dyDescent="0.25">
      <c r="A6052" s="3"/>
      <c r="B6052" s="3"/>
      <c r="C6052" s="3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</row>
    <row r="6053" spans="1:15" ht="15" customHeight="1" x14ac:dyDescent="0.25">
      <c r="A6053" s="2"/>
      <c r="B6053" s="2"/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</row>
    <row r="6054" spans="1:15" ht="15" customHeight="1" x14ac:dyDescent="0.25">
      <c r="A6054" s="3"/>
      <c r="B6054" s="3"/>
      <c r="C6054" s="3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</row>
    <row r="6055" spans="1:15" ht="15" customHeight="1" x14ac:dyDescent="0.25">
      <c r="A6055" s="2"/>
      <c r="B6055" s="2"/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</row>
    <row r="6056" spans="1:15" ht="15" customHeight="1" x14ac:dyDescent="0.25">
      <c r="A6056" s="3"/>
      <c r="B6056" s="3"/>
      <c r="C6056" s="3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</row>
    <row r="6057" spans="1:15" ht="15" customHeight="1" x14ac:dyDescent="0.25">
      <c r="A6057" s="2"/>
      <c r="B6057" s="2"/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</row>
    <row r="6058" spans="1:15" ht="15" customHeight="1" x14ac:dyDescent="0.25">
      <c r="A6058" s="3"/>
      <c r="B6058" s="3"/>
      <c r="C6058" s="3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</row>
    <row r="6059" spans="1:15" ht="15" customHeight="1" x14ac:dyDescent="0.25">
      <c r="A6059" s="2"/>
      <c r="B6059" s="2"/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</row>
    <row r="6060" spans="1:15" ht="15" customHeight="1" x14ac:dyDescent="0.25">
      <c r="A6060" s="3"/>
      <c r="B6060" s="3"/>
      <c r="C6060" s="3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</row>
    <row r="6061" spans="1:15" ht="15" customHeight="1" x14ac:dyDescent="0.25">
      <c r="A6061" s="2"/>
      <c r="B6061" s="2"/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</row>
    <row r="6062" spans="1:15" ht="15" customHeight="1" x14ac:dyDescent="0.25">
      <c r="A6062" s="3"/>
      <c r="B6062" s="3"/>
      <c r="C6062" s="3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</row>
    <row r="6063" spans="1:15" ht="15" customHeight="1" x14ac:dyDescent="0.25">
      <c r="A6063" s="2"/>
      <c r="B6063" s="2"/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</row>
    <row r="6064" spans="1:15" ht="15" customHeight="1" x14ac:dyDescent="0.25">
      <c r="A6064" s="3"/>
      <c r="B6064" s="3"/>
      <c r="C6064" s="3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</row>
    <row r="6065" spans="1:15" ht="15" customHeight="1" x14ac:dyDescent="0.25">
      <c r="A6065" s="2"/>
      <c r="B6065" s="2"/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</row>
    <row r="6066" spans="1:15" ht="15" customHeight="1" x14ac:dyDescent="0.25">
      <c r="A6066" s="3"/>
      <c r="B6066" s="3"/>
      <c r="C6066" s="3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</row>
    <row r="6067" spans="1:15" ht="15" customHeight="1" x14ac:dyDescent="0.25">
      <c r="A6067" s="2"/>
      <c r="B6067" s="2"/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</row>
    <row r="6068" spans="1:15" ht="15" customHeight="1" x14ac:dyDescent="0.25">
      <c r="A6068" s="3"/>
      <c r="B6068" s="3"/>
      <c r="C6068" s="3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</row>
    <row r="6069" spans="1:15" ht="15" customHeight="1" x14ac:dyDescent="0.25">
      <c r="A6069" s="2"/>
      <c r="B6069" s="2"/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</row>
    <row r="6070" spans="1:15" ht="15" customHeight="1" x14ac:dyDescent="0.25">
      <c r="A6070" s="3"/>
      <c r="B6070" s="3"/>
      <c r="C6070" s="3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</row>
    <row r="6071" spans="1:15" ht="15" customHeight="1" x14ac:dyDescent="0.25">
      <c r="A6071" s="2"/>
      <c r="B6071" s="2"/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</row>
    <row r="6072" spans="1:15" ht="15" customHeight="1" x14ac:dyDescent="0.25">
      <c r="A6072" s="3"/>
      <c r="B6072" s="3"/>
      <c r="C6072" s="3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</row>
    <row r="6073" spans="1:15" ht="15" customHeight="1" x14ac:dyDescent="0.25">
      <c r="A6073" s="2"/>
      <c r="B6073" s="2"/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</row>
    <row r="6074" spans="1:15" ht="15" customHeight="1" x14ac:dyDescent="0.25">
      <c r="A6074" s="3"/>
      <c r="B6074" s="3"/>
      <c r="C6074" s="3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</row>
    <row r="6075" spans="1:15" ht="15" customHeight="1" x14ac:dyDescent="0.25">
      <c r="A6075" s="2"/>
      <c r="B6075" s="2"/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</row>
    <row r="6076" spans="1:15" ht="15" customHeight="1" x14ac:dyDescent="0.25">
      <c r="A6076" s="3"/>
      <c r="B6076" s="3"/>
      <c r="C6076" s="3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</row>
    <row r="6077" spans="1:15" ht="15" customHeight="1" x14ac:dyDescent="0.25">
      <c r="A6077" s="2"/>
      <c r="B6077" s="2"/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</row>
    <row r="6078" spans="1:15" ht="15" customHeight="1" x14ac:dyDescent="0.25">
      <c r="A6078" s="3"/>
      <c r="B6078" s="3"/>
      <c r="C6078" s="3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</row>
    <row r="6079" spans="1:15" ht="15" customHeight="1" x14ac:dyDescent="0.25">
      <c r="A6079" s="2"/>
      <c r="B6079" s="2"/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</row>
    <row r="6080" spans="1:15" ht="15" customHeight="1" x14ac:dyDescent="0.25">
      <c r="A6080" s="3"/>
      <c r="B6080" s="3"/>
      <c r="C6080" s="3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</row>
    <row r="6081" spans="1:15" ht="15" customHeight="1" x14ac:dyDescent="0.25">
      <c r="A6081" s="2"/>
      <c r="B6081" s="2"/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</row>
    <row r="6082" spans="1:15" ht="15" customHeight="1" x14ac:dyDescent="0.25">
      <c r="A6082" s="3"/>
      <c r="B6082" s="3"/>
      <c r="C6082" s="3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</row>
    <row r="6083" spans="1:15" ht="15" customHeight="1" x14ac:dyDescent="0.25">
      <c r="A6083" s="2"/>
      <c r="B6083" s="2"/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</row>
    <row r="6084" spans="1:15" ht="15" customHeight="1" x14ac:dyDescent="0.25">
      <c r="A6084" s="3"/>
      <c r="B6084" s="3"/>
      <c r="C6084" s="3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</row>
    <row r="6085" spans="1:15" ht="15" customHeight="1" x14ac:dyDescent="0.25">
      <c r="A6085" s="2"/>
      <c r="B6085" s="2"/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</row>
    <row r="6086" spans="1:15" ht="15" customHeight="1" x14ac:dyDescent="0.25">
      <c r="A6086" s="3"/>
      <c r="B6086" s="3"/>
      <c r="C6086" s="3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</row>
    <row r="6087" spans="1:15" ht="15" customHeight="1" x14ac:dyDescent="0.25">
      <c r="A6087" s="2"/>
      <c r="B6087" s="2"/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</row>
    <row r="6088" spans="1:15" ht="15" customHeight="1" x14ac:dyDescent="0.25">
      <c r="A6088" s="3"/>
      <c r="B6088" s="3"/>
      <c r="C6088" s="3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</row>
    <row r="6089" spans="1:15" ht="15" customHeight="1" x14ac:dyDescent="0.25">
      <c r="A6089" s="2"/>
      <c r="B6089" s="2"/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</row>
    <row r="6090" spans="1:15" ht="15" customHeight="1" x14ac:dyDescent="0.25">
      <c r="A6090" s="3"/>
      <c r="B6090" s="3"/>
      <c r="C6090" s="3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</row>
    <row r="6091" spans="1:15" ht="15" customHeight="1" x14ac:dyDescent="0.25">
      <c r="A6091" s="2"/>
      <c r="B6091" s="2"/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</row>
    <row r="6092" spans="1:15" ht="15" customHeight="1" x14ac:dyDescent="0.25">
      <c r="A6092" s="3"/>
      <c r="B6092" s="3"/>
      <c r="C6092" s="3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</row>
    <row r="6093" spans="1:15" ht="15" customHeight="1" x14ac:dyDescent="0.25">
      <c r="A6093" s="2"/>
      <c r="B6093" s="2"/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</row>
    <row r="6094" spans="1:15" ht="15" customHeight="1" x14ac:dyDescent="0.25">
      <c r="A6094" s="3"/>
      <c r="B6094" s="3"/>
      <c r="C6094" s="3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</row>
    <row r="6095" spans="1:15" ht="15" customHeight="1" x14ac:dyDescent="0.25">
      <c r="A6095" s="2"/>
      <c r="B6095" s="2"/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</row>
    <row r="6096" spans="1:15" ht="15" customHeight="1" x14ac:dyDescent="0.25">
      <c r="A6096" s="3"/>
      <c r="B6096" s="3"/>
      <c r="C6096" s="3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</row>
    <row r="6097" spans="1:15" ht="15" customHeight="1" x14ac:dyDescent="0.25">
      <c r="A6097" s="2"/>
      <c r="B6097" s="2"/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</row>
    <row r="6098" spans="1:15" ht="15" customHeight="1" x14ac:dyDescent="0.25">
      <c r="A6098" s="3"/>
      <c r="B6098" s="3"/>
      <c r="C6098" s="3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</row>
    <row r="6099" spans="1:15" ht="15" customHeight="1" x14ac:dyDescent="0.25">
      <c r="A6099" s="2"/>
      <c r="B6099" s="2"/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</row>
    <row r="6100" spans="1:15" ht="15" customHeight="1" x14ac:dyDescent="0.25">
      <c r="A6100" s="3"/>
      <c r="B6100" s="3"/>
      <c r="C6100" s="3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</row>
    <row r="6101" spans="1:15" ht="15" customHeight="1" x14ac:dyDescent="0.25">
      <c r="A6101" s="2"/>
      <c r="B6101" s="2"/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</row>
    <row r="6102" spans="1:15" ht="15" customHeight="1" x14ac:dyDescent="0.25">
      <c r="A6102" s="3"/>
      <c r="B6102" s="3"/>
      <c r="C6102" s="3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</row>
    <row r="6103" spans="1:15" ht="15" customHeight="1" x14ac:dyDescent="0.25">
      <c r="A6103" s="2"/>
      <c r="B6103" s="2"/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</row>
    <row r="6104" spans="1:15" ht="15" customHeight="1" x14ac:dyDescent="0.25">
      <c r="A6104" s="3"/>
      <c r="B6104" s="3"/>
      <c r="C6104" s="3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</row>
    <row r="6105" spans="1:15" ht="15" customHeight="1" x14ac:dyDescent="0.25">
      <c r="A6105" s="2"/>
      <c r="B6105" s="2"/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</row>
    <row r="6106" spans="1:15" ht="15" customHeight="1" x14ac:dyDescent="0.25">
      <c r="A6106" s="3"/>
      <c r="B6106" s="3"/>
      <c r="C6106" s="3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</row>
    <row r="6107" spans="1:15" ht="15" customHeight="1" x14ac:dyDescent="0.25">
      <c r="A6107" s="2"/>
      <c r="B6107" s="2"/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</row>
    <row r="6108" spans="1:15" ht="15" customHeight="1" x14ac:dyDescent="0.25">
      <c r="A6108" s="3"/>
      <c r="B6108" s="3"/>
      <c r="C6108" s="3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</row>
    <row r="6109" spans="1:15" ht="15" customHeight="1" x14ac:dyDescent="0.25">
      <c r="A6109" s="2"/>
      <c r="B6109" s="2"/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</row>
    <row r="6110" spans="1:15" ht="15" customHeight="1" x14ac:dyDescent="0.25">
      <c r="A6110" s="3"/>
      <c r="B6110" s="3"/>
      <c r="C6110" s="3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</row>
    <row r="6111" spans="1:15" ht="15" customHeight="1" x14ac:dyDescent="0.25">
      <c r="A6111" s="2"/>
      <c r="B6111" s="2"/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</row>
    <row r="6112" spans="1:15" ht="15" customHeight="1" x14ac:dyDescent="0.25">
      <c r="A6112" s="3"/>
      <c r="B6112" s="3"/>
      <c r="C6112" s="3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</row>
    <row r="6113" spans="1:15" ht="15" customHeight="1" x14ac:dyDescent="0.25">
      <c r="A6113" s="2"/>
      <c r="B6113" s="2"/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</row>
    <row r="6114" spans="1:15" ht="15" customHeight="1" x14ac:dyDescent="0.25">
      <c r="A6114" s="3"/>
      <c r="B6114" s="3"/>
      <c r="C6114" s="3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</row>
    <row r="6115" spans="1:15" ht="15" customHeight="1" x14ac:dyDescent="0.25">
      <c r="A6115" s="2"/>
      <c r="B6115" s="2"/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</row>
    <row r="6116" spans="1:15" ht="15" customHeight="1" x14ac:dyDescent="0.25">
      <c r="A6116" s="3"/>
      <c r="B6116" s="3"/>
      <c r="C6116" s="3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</row>
    <row r="6117" spans="1:15" ht="15" customHeight="1" x14ac:dyDescent="0.25">
      <c r="A6117" s="2"/>
      <c r="B6117" s="2"/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</row>
    <row r="6118" spans="1:15" ht="15" customHeight="1" x14ac:dyDescent="0.25">
      <c r="A6118" s="3"/>
      <c r="B6118" s="3"/>
      <c r="C6118" s="3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</row>
    <row r="6119" spans="1:15" ht="15" customHeight="1" x14ac:dyDescent="0.25">
      <c r="A6119" s="2"/>
      <c r="B6119" s="2"/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</row>
    <row r="6120" spans="1:15" ht="15" customHeight="1" x14ac:dyDescent="0.25">
      <c r="A6120" s="3"/>
      <c r="B6120" s="3"/>
      <c r="C6120" s="3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</row>
    <row r="6121" spans="1:15" ht="15" customHeight="1" x14ac:dyDescent="0.25">
      <c r="A6121" s="2"/>
      <c r="B6121" s="2"/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</row>
    <row r="6122" spans="1:15" ht="15" customHeight="1" x14ac:dyDescent="0.25">
      <c r="A6122" s="3"/>
      <c r="B6122" s="3"/>
      <c r="C6122" s="3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</row>
    <row r="6123" spans="1:15" ht="15" customHeight="1" x14ac:dyDescent="0.25">
      <c r="A6123" s="2"/>
      <c r="B6123" s="2"/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</row>
    <row r="6124" spans="1:15" ht="15" customHeight="1" x14ac:dyDescent="0.25">
      <c r="A6124" s="3"/>
      <c r="B6124" s="3"/>
      <c r="C6124" s="3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</row>
    <row r="6125" spans="1:15" ht="15" customHeight="1" x14ac:dyDescent="0.25">
      <c r="A6125" s="2"/>
      <c r="B6125" s="2"/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</row>
    <row r="6126" spans="1:15" ht="15" customHeight="1" x14ac:dyDescent="0.25">
      <c r="A6126" s="3"/>
      <c r="B6126" s="3"/>
      <c r="C6126" s="3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</row>
    <row r="6127" spans="1:15" ht="15" customHeight="1" x14ac:dyDescent="0.25">
      <c r="A6127" s="2"/>
      <c r="B6127" s="2"/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</row>
    <row r="6128" spans="1:15" ht="15" customHeight="1" x14ac:dyDescent="0.25">
      <c r="A6128" s="3"/>
      <c r="B6128" s="3"/>
      <c r="C6128" s="3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</row>
    <row r="6129" spans="1:15" ht="15" customHeight="1" x14ac:dyDescent="0.25">
      <c r="A6129" s="2"/>
      <c r="B6129" s="2"/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</row>
    <row r="6130" spans="1:15" ht="15" customHeight="1" x14ac:dyDescent="0.25">
      <c r="A6130" s="3"/>
      <c r="B6130" s="3"/>
      <c r="C6130" s="3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</row>
    <row r="6131" spans="1:15" ht="15" customHeight="1" x14ac:dyDescent="0.25">
      <c r="A6131" s="2"/>
      <c r="B6131" s="2"/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</row>
    <row r="6132" spans="1:15" ht="15" customHeight="1" x14ac:dyDescent="0.25">
      <c r="A6132" s="3"/>
      <c r="B6132" s="3"/>
      <c r="C6132" s="3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</row>
    <row r="6133" spans="1:15" ht="15" customHeight="1" x14ac:dyDescent="0.25">
      <c r="A6133" s="2"/>
      <c r="B6133" s="2"/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</row>
    <row r="6134" spans="1:15" ht="15" customHeight="1" x14ac:dyDescent="0.25">
      <c r="A6134" s="3"/>
      <c r="B6134" s="3"/>
      <c r="C6134" s="3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</row>
    <row r="6135" spans="1:15" ht="15" customHeight="1" x14ac:dyDescent="0.25">
      <c r="A6135" s="2"/>
      <c r="B6135" s="2"/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</row>
    <row r="6136" spans="1:15" ht="15" customHeight="1" x14ac:dyDescent="0.25">
      <c r="A6136" s="3"/>
      <c r="B6136" s="3"/>
      <c r="C6136" s="3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</row>
    <row r="6137" spans="1:15" ht="15" customHeight="1" x14ac:dyDescent="0.25">
      <c r="A6137" s="2"/>
      <c r="B6137" s="2"/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</row>
    <row r="6138" spans="1:15" ht="15" customHeight="1" x14ac:dyDescent="0.25">
      <c r="A6138" s="3"/>
      <c r="B6138" s="3"/>
      <c r="C6138" s="3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</row>
    <row r="6139" spans="1:15" ht="15" customHeight="1" x14ac:dyDescent="0.25">
      <c r="A6139" s="2"/>
      <c r="B6139" s="2"/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</row>
    <row r="6140" spans="1:15" ht="15" customHeight="1" x14ac:dyDescent="0.25">
      <c r="A6140" s="3"/>
      <c r="B6140" s="3"/>
      <c r="C6140" s="3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</row>
    <row r="6141" spans="1:15" ht="15" customHeight="1" x14ac:dyDescent="0.25">
      <c r="A6141" s="2"/>
      <c r="B6141" s="2"/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</row>
    <row r="6142" spans="1:15" ht="15" customHeight="1" x14ac:dyDescent="0.25">
      <c r="A6142" s="3"/>
      <c r="B6142" s="3"/>
      <c r="C6142" s="3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</row>
    <row r="6143" spans="1:15" ht="15" customHeight="1" x14ac:dyDescent="0.25">
      <c r="A6143" s="2"/>
      <c r="B6143" s="2"/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</row>
    <row r="6144" spans="1:15" ht="15" customHeight="1" x14ac:dyDescent="0.25">
      <c r="A6144" s="3"/>
      <c r="B6144" s="3"/>
      <c r="C6144" s="3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</row>
    <row r="6145" spans="1:15" ht="15" customHeight="1" x14ac:dyDescent="0.25">
      <c r="A6145" s="2"/>
      <c r="B6145" s="2"/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</row>
    <row r="6146" spans="1:15" ht="15" customHeight="1" x14ac:dyDescent="0.25">
      <c r="A6146" s="3"/>
      <c r="B6146" s="3"/>
      <c r="C6146" s="3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</row>
    <row r="6147" spans="1:15" ht="15" customHeight="1" x14ac:dyDescent="0.25">
      <c r="A6147" s="2"/>
      <c r="B6147" s="2"/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</row>
    <row r="6148" spans="1:15" ht="15" customHeight="1" x14ac:dyDescent="0.25">
      <c r="A6148" s="3"/>
      <c r="B6148" s="3"/>
      <c r="C6148" s="3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</row>
    <row r="6149" spans="1:15" ht="15" customHeight="1" x14ac:dyDescent="0.25">
      <c r="A6149" s="2"/>
      <c r="B6149" s="2"/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</row>
    <row r="6150" spans="1:15" ht="15" customHeight="1" x14ac:dyDescent="0.25">
      <c r="A6150" s="3"/>
      <c r="B6150" s="3"/>
      <c r="C6150" s="3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</row>
    <row r="6151" spans="1:15" ht="15" customHeight="1" x14ac:dyDescent="0.25">
      <c r="A6151" s="2"/>
      <c r="B6151" s="2"/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</row>
    <row r="6152" spans="1:15" ht="15" customHeight="1" x14ac:dyDescent="0.25">
      <c r="A6152" s="3"/>
      <c r="B6152" s="3"/>
      <c r="C6152" s="3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</row>
    <row r="6153" spans="1:15" ht="15" customHeight="1" x14ac:dyDescent="0.25">
      <c r="A6153" s="2"/>
      <c r="B6153" s="2"/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</row>
    <row r="6154" spans="1:15" ht="15" customHeight="1" x14ac:dyDescent="0.25">
      <c r="A6154" s="3"/>
      <c r="B6154" s="3"/>
      <c r="C6154" s="3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</row>
    <row r="6155" spans="1:15" ht="15" customHeight="1" x14ac:dyDescent="0.25">
      <c r="A6155" s="2"/>
      <c r="B6155" s="2"/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</row>
    <row r="6156" spans="1:15" ht="15" customHeight="1" x14ac:dyDescent="0.25">
      <c r="A6156" s="3"/>
      <c r="B6156" s="3"/>
      <c r="C6156" s="3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</row>
    <row r="6157" spans="1:15" ht="15" customHeight="1" x14ac:dyDescent="0.25">
      <c r="A6157" s="2"/>
      <c r="B6157" s="2"/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</row>
    <row r="6158" spans="1:15" ht="15" customHeight="1" x14ac:dyDescent="0.25">
      <c r="A6158" s="3"/>
      <c r="B6158" s="3"/>
      <c r="C6158" s="3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</row>
    <row r="6159" spans="1:15" ht="15" customHeight="1" x14ac:dyDescent="0.25">
      <c r="A6159" s="2"/>
      <c r="B6159" s="2"/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</row>
    <row r="6160" spans="1:15" ht="15" customHeight="1" x14ac:dyDescent="0.25">
      <c r="A6160" s="3"/>
      <c r="B6160" s="3"/>
      <c r="C6160" s="3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</row>
    <row r="6161" spans="1:15" ht="15" customHeight="1" x14ac:dyDescent="0.25">
      <c r="A6161" s="2"/>
      <c r="B6161" s="2"/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</row>
    <row r="6162" spans="1:15" ht="15" customHeight="1" x14ac:dyDescent="0.25">
      <c r="A6162" s="3"/>
      <c r="B6162" s="3"/>
      <c r="C6162" s="3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</row>
    <row r="6163" spans="1:15" ht="15" customHeight="1" x14ac:dyDescent="0.25">
      <c r="A6163" s="2"/>
      <c r="B6163" s="2"/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</row>
    <row r="6164" spans="1:15" ht="15" customHeight="1" x14ac:dyDescent="0.25">
      <c r="A6164" s="3"/>
      <c r="B6164" s="3"/>
      <c r="C6164" s="3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</row>
    <row r="6165" spans="1:15" ht="15" customHeight="1" x14ac:dyDescent="0.25">
      <c r="A6165" s="2"/>
      <c r="B6165" s="2"/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</row>
    <row r="6166" spans="1:15" ht="15" customHeight="1" x14ac:dyDescent="0.25">
      <c r="A6166" s="3"/>
      <c r="B6166" s="3"/>
      <c r="C6166" s="3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</row>
    <row r="6167" spans="1:15" ht="15" customHeight="1" x14ac:dyDescent="0.25">
      <c r="A6167" s="2"/>
      <c r="B6167" s="2"/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</row>
    <row r="6168" spans="1:15" ht="15" customHeight="1" x14ac:dyDescent="0.25">
      <c r="A6168" s="3"/>
      <c r="B6168" s="3"/>
      <c r="C6168" s="3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</row>
    <row r="6169" spans="1:15" ht="15" customHeight="1" x14ac:dyDescent="0.25">
      <c r="A6169" s="2"/>
      <c r="B6169" s="2"/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</row>
    <row r="6170" spans="1:15" ht="15" customHeight="1" x14ac:dyDescent="0.25">
      <c r="A6170" s="3"/>
      <c r="B6170" s="3"/>
      <c r="C6170" s="3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</row>
    <row r="6171" spans="1:15" ht="15" customHeight="1" x14ac:dyDescent="0.25">
      <c r="A6171" s="2"/>
      <c r="B6171" s="2"/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</row>
    <row r="6172" spans="1:15" ht="15" customHeight="1" x14ac:dyDescent="0.25">
      <c r="A6172" s="3"/>
      <c r="B6172" s="3"/>
      <c r="C6172" s="3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</row>
    <row r="6173" spans="1:15" ht="15" customHeight="1" x14ac:dyDescent="0.25">
      <c r="A6173" s="2"/>
      <c r="B6173" s="2"/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</row>
    <row r="6174" spans="1:15" ht="15" customHeight="1" x14ac:dyDescent="0.25">
      <c r="A6174" s="3"/>
      <c r="B6174" s="3"/>
      <c r="C6174" s="3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</row>
    <row r="6175" spans="1:15" ht="15" customHeight="1" x14ac:dyDescent="0.25">
      <c r="A6175" s="2"/>
      <c r="B6175" s="2"/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</row>
    <row r="6176" spans="1:15" ht="15" customHeight="1" x14ac:dyDescent="0.25">
      <c r="A6176" s="3"/>
      <c r="B6176" s="3"/>
      <c r="C6176" s="3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</row>
    <row r="6177" spans="1:15" ht="15" customHeight="1" x14ac:dyDescent="0.25">
      <c r="A6177" s="2"/>
      <c r="B6177" s="2"/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</row>
    <row r="6178" spans="1:15" ht="15" customHeight="1" x14ac:dyDescent="0.25">
      <c r="A6178" s="3"/>
      <c r="B6178" s="3"/>
      <c r="C6178" s="3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</row>
    <row r="6179" spans="1:15" ht="15" customHeight="1" x14ac:dyDescent="0.25">
      <c r="A6179" s="2"/>
      <c r="B6179" s="2"/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</row>
    <row r="6180" spans="1:15" ht="15" customHeight="1" x14ac:dyDescent="0.25">
      <c r="A6180" s="3"/>
      <c r="B6180" s="3"/>
      <c r="C6180" s="3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</row>
    <row r="6181" spans="1:15" ht="15" customHeight="1" x14ac:dyDescent="0.25">
      <c r="A6181" s="2"/>
      <c r="B6181" s="2"/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</row>
    <row r="6182" spans="1:15" ht="15" customHeight="1" x14ac:dyDescent="0.25">
      <c r="A6182" s="3"/>
      <c r="B6182" s="3"/>
      <c r="C6182" s="3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</row>
    <row r="6183" spans="1:15" ht="15" customHeight="1" x14ac:dyDescent="0.25">
      <c r="A6183" s="2"/>
      <c r="B6183" s="2"/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</row>
    <row r="6184" spans="1:15" ht="15" customHeight="1" x14ac:dyDescent="0.25">
      <c r="A6184" s="3"/>
      <c r="B6184" s="3"/>
      <c r="C6184" s="3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</row>
    <row r="6185" spans="1:15" ht="15" customHeight="1" x14ac:dyDescent="0.25">
      <c r="A6185" s="2"/>
      <c r="B6185" s="2"/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</row>
    <row r="6186" spans="1:15" ht="15" customHeight="1" x14ac:dyDescent="0.25">
      <c r="A6186" s="3"/>
      <c r="B6186" s="3"/>
      <c r="C6186" s="3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</row>
    <row r="6187" spans="1:15" ht="15" customHeight="1" x14ac:dyDescent="0.25">
      <c r="A6187" s="2"/>
      <c r="B6187" s="2"/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</row>
    <row r="6188" spans="1:15" ht="15" customHeight="1" x14ac:dyDescent="0.25">
      <c r="A6188" s="3"/>
      <c r="B6188" s="3"/>
      <c r="C6188" s="3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</row>
    <row r="6189" spans="1:15" ht="15" customHeight="1" x14ac:dyDescent="0.25">
      <c r="A6189" s="2"/>
      <c r="B6189" s="2"/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</row>
    <row r="6190" spans="1:15" ht="15" customHeight="1" x14ac:dyDescent="0.25">
      <c r="A6190" s="3"/>
      <c r="B6190" s="3"/>
      <c r="C6190" s="3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</row>
    <row r="6191" spans="1:15" ht="15" customHeight="1" x14ac:dyDescent="0.25">
      <c r="A6191" s="2"/>
      <c r="B6191" s="2"/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</row>
    <row r="6192" spans="1:15" ht="15" customHeight="1" x14ac:dyDescent="0.25">
      <c r="A6192" s="3"/>
      <c r="B6192" s="3"/>
      <c r="C6192" s="3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</row>
    <row r="6193" spans="1:15" ht="15" customHeight="1" x14ac:dyDescent="0.25">
      <c r="A6193" s="2"/>
      <c r="B6193" s="2"/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</row>
    <row r="6194" spans="1:15" ht="15" customHeight="1" x14ac:dyDescent="0.25">
      <c r="A6194" s="3"/>
      <c r="B6194" s="3"/>
      <c r="C6194" s="3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</row>
    <row r="6195" spans="1:15" ht="15" customHeight="1" x14ac:dyDescent="0.25">
      <c r="A6195" s="2"/>
      <c r="B6195" s="2"/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</row>
    <row r="6196" spans="1:15" ht="15" customHeight="1" x14ac:dyDescent="0.25">
      <c r="A6196" s="3"/>
      <c r="B6196" s="3"/>
      <c r="C6196" s="3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</row>
    <row r="6197" spans="1:15" ht="15" customHeight="1" x14ac:dyDescent="0.25">
      <c r="A6197" s="2"/>
      <c r="B6197" s="2"/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</row>
    <row r="6198" spans="1:15" ht="15" customHeight="1" x14ac:dyDescent="0.25">
      <c r="A6198" s="3"/>
      <c r="B6198" s="3"/>
      <c r="C6198" s="3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</row>
    <row r="6199" spans="1:15" ht="15" customHeight="1" x14ac:dyDescent="0.25">
      <c r="A6199" s="2"/>
      <c r="B6199" s="2"/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</row>
    <row r="6200" spans="1:15" ht="15" customHeight="1" x14ac:dyDescent="0.25">
      <c r="A6200" s="3"/>
      <c r="B6200" s="3"/>
      <c r="C6200" s="3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</row>
    <row r="6201" spans="1:15" ht="15" customHeight="1" x14ac:dyDescent="0.25">
      <c r="A6201" s="2"/>
      <c r="B6201" s="2"/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</row>
    <row r="6202" spans="1:15" ht="15" customHeight="1" x14ac:dyDescent="0.25">
      <c r="A6202" s="3"/>
      <c r="B6202" s="3"/>
      <c r="C6202" s="3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</row>
    <row r="6203" spans="1:15" ht="15" customHeight="1" x14ac:dyDescent="0.25">
      <c r="A6203" s="2"/>
      <c r="B6203" s="2"/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</row>
    <row r="6204" spans="1:15" ht="15" customHeight="1" x14ac:dyDescent="0.25">
      <c r="A6204" s="3"/>
      <c r="B6204" s="3"/>
      <c r="C6204" s="3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</row>
    <row r="6205" spans="1:15" ht="15" customHeight="1" x14ac:dyDescent="0.25">
      <c r="A6205" s="2"/>
      <c r="B6205" s="2"/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</row>
    <row r="6206" spans="1:15" ht="15" customHeight="1" x14ac:dyDescent="0.25">
      <c r="A6206" s="3"/>
      <c r="B6206" s="3"/>
      <c r="C6206" s="3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</row>
    <row r="6207" spans="1:15" ht="15" customHeight="1" x14ac:dyDescent="0.25">
      <c r="A6207" s="2"/>
      <c r="B6207" s="2"/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</row>
    <row r="6208" spans="1:15" ht="15" customHeight="1" x14ac:dyDescent="0.25">
      <c r="A6208" s="3"/>
      <c r="B6208" s="3"/>
      <c r="C6208" s="3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</row>
    <row r="6209" spans="1:15" ht="15" customHeight="1" x14ac:dyDescent="0.25">
      <c r="A6209" s="2"/>
      <c r="B6209" s="2"/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</row>
    <row r="6210" spans="1:15" ht="15" customHeight="1" x14ac:dyDescent="0.25">
      <c r="A6210" s="3"/>
      <c r="B6210" s="3"/>
      <c r="C6210" s="3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</row>
    <row r="6211" spans="1:15" ht="15" customHeight="1" x14ac:dyDescent="0.25">
      <c r="A6211" s="2"/>
      <c r="B6211" s="2"/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</row>
    <row r="6212" spans="1:15" ht="15" customHeight="1" x14ac:dyDescent="0.25">
      <c r="A6212" s="3"/>
      <c r="B6212" s="3"/>
      <c r="C6212" s="3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</row>
    <row r="6213" spans="1:15" ht="15" customHeight="1" x14ac:dyDescent="0.25">
      <c r="A6213" s="2"/>
      <c r="B6213" s="2"/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</row>
    <row r="6214" spans="1:15" ht="15" customHeight="1" x14ac:dyDescent="0.25">
      <c r="A6214" s="3"/>
      <c r="B6214" s="3"/>
      <c r="C6214" s="3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</row>
    <row r="6215" spans="1:15" ht="15" customHeight="1" x14ac:dyDescent="0.25">
      <c r="A6215" s="2"/>
      <c r="B6215" s="2"/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</row>
    <row r="6216" spans="1:15" ht="15" customHeight="1" x14ac:dyDescent="0.25">
      <c r="A6216" s="3"/>
      <c r="B6216" s="3"/>
      <c r="C6216" s="3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</row>
    <row r="6217" spans="1:15" ht="15" customHeight="1" x14ac:dyDescent="0.25">
      <c r="A6217" s="2"/>
      <c r="B6217" s="2"/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</row>
    <row r="6218" spans="1:15" ht="15" customHeight="1" x14ac:dyDescent="0.25">
      <c r="A6218" s="3"/>
      <c r="B6218" s="3"/>
      <c r="C6218" s="3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</row>
    <row r="6219" spans="1:15" ht="15" customHeight="1" x14ac:dyDescent="0.25">
      <c r="A6219" s="2"/>
      <c r="B6219" s="2"/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</row>
    <row r="6220" spans="1:15" ht="15" customHeight="1" x14ac:dyDescent="0.25">
      <c r="A6220" s="3"/>
      <c r="B6220" s="3"/>
      <c r="C6220" s="3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</row>
    <row r="6221" spans="1:15" ht="15" customHeight="1" x14ac:dyDescent="0.25">
      <c r="A6221" s="2"/>
      <c r="B6221" s="2"/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</row>
    <row r="6222" spans="1:15" ht="15" customHeight="1" x14ac:dyDescent="0.25">
      <c r="A6222" s="3"/>
      <c r="B6222" s="3"/>
      <c r="C6222" s="3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</row>
    <row r="6223" spans="1:15" ht="15" customHeight="1" x14ac:dyDescent="0.25">
      <c r="A6223" s="2"/>
      <c r="B6223" s="2"/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</row>
    <row r="6224" spans="1:15" ht="15" customHeight="1" x14ac:dyDescent="0.25">
      <c r="A6224" s="3"/>
      <c r="B6224" s="3"/>
      <c r="C6224" s="3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</row>
    <row r="6225" spans="1:15" ht="15" customHeight="1" x14ac:dyDescent="0.25">
      <c r="A6225" s="2"/>
      <c r="B6225" s="2"/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</row>
    <row r="6226" spans="1:15" ht="15" customHeight="1" x14ac:dyDescent="0.25">
      <c r="A6226" s="3"/>
      <c r="B6226" s="3"/>
      <c r="C6226" s="3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</row>
    <row r="6227" spans="1:15" ht="15" customHeight="1" x14ac:dyDescent="0.25">
      <c r="A6227" s="2"/>
      <c r="B6227" s="2"/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</row>
    <row r="6228" spans="1:15" ht="15" customHeight="1" x14ac:dyDescent="0.25">
      <c r="A6228" s="3"/>
      <c r="B6228" s="3"/>
      <c r="C6228" s="3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</row>
    <row r="6229" spans="1:15" ht="15" customHeight="1" x14ac:dyDescent="0.25">
      <c r="A6229" s="2"/>
      <c r="B6229" s="2"/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</row>
    <row r="6230" spans="1:15" ht="15" customHeight="1" x14ac:dyDescent="0.25">
      <c r="A6230" s="3"/>
      <c r="B6230" s="3"/>
      <c r="C6230" s="3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</row>
    <row r="6231" spans="1:15" ht="15" customHeight="1" x14ac:dyDescent="0.25">
      <c r="A6231" s="2"/>
      <c r="B6231" s="2"/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</row>
    <row r="6232" spans="1:15" ht="15" customHeight="1" x14ac:dyDescent="0.25">
      <c r="A6232" s="3"/>
      <c r="B6232" s="3"/>
      <c r="C6232" s="3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</row>
    <row r="6233" spans="1:15" ht="15" customHeight="1" x14ac:dyDescent="0.25">
      <c r="A6233" s="2"/>
      <c r="B6233" s="2"/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</row>
    <row r="6234" spans="1:15" ht="15" customHeight="1" x14ac:dyDescent="0.25">
      <c r="A6234" s="3"/>
      <c r="B6234" s="3"/>
      <c r="C6234" s="3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</row>
    <row r="6235" spans="1:15" ht="15" customHeight="1" x14ac:dyDescent="0.25">
      <c r="A6235" s="2"/>
      <c r="B6235" s="2"/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</row>
    <row r="6236" spans="1:15" ht="15" customHeight="1" x14ac:dyDescent="0.25">
      <c r="A6236" s="3"/>
      <c r="B6236" s="3"/>
      <c r="C6236" s="3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</row>
    <row r="6237" spans="1:15" ht="15" customHeight="1" x14ac:dyDescent="0.25">
      <c r="A6237" s="2"/>
      <c r="B6237" s="2"/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</row>
    <row r="6238" spans="1:15" ht="15" customHeight="1" x14ac:dyDescent="0.25">
      <c r="A6238" s="3"/>
      <c r="B6238" s="3"/>
      <c r="C6238" s="3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</row>
    <row r="6239" spans="1:15" ht="15" customHeight="1" x14ac:dyDescent="0.25">
      <c r="A6239" s="2"/>
      <c r="B6239" s="2"/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</row>
    <row r="6240" spans="1:15" ht="15" customHeight="1" x14ac:dyDescent="0.25">
      <c r="A6240" s="3"/>
      <c r="B6240" s="3"/>
      <c r="C6240" s="3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</row>
    <row r="6241" spans="1:15" ht="15" customHeight="1" x14ac:dyDescent="0.25">
      <c r="A6241" s="2"/>
      <c r="B6241" s="2"/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</row>
    <row r="6242" spans="1:15" ht="15" customHeight="1" x14ac:dyDescent="0.25">
      <c r="A6242" s="3"/>
      <c r="B6242" s="3"/>
      <c r="C6242" s="3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</row>
    <row r="6243" spans="1:15" ht="15" customHeight="1" x14ac:dyDescent="0.25">
      <c r="A6243" s="2"/>
      <c r="B6243" s="2"/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</row>
    <row r="6244" spans="1:15" ht="15" customHeight="1" x14ac:dyDescent="0.25">
      <c r="A6244" s="3"/>
      <c r="B6244" s="3"/>
      <c r="C6244" s="3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</row>
    <row r="6245" spans="1:15" ht="15" customHeight="1" x14ac:dyDescent="0.25">
      <c r="A6245" s="2"/>
      <c r="B6245" s="2"/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</row>
    <row r="6246" spans="1:15" ht="15" customHeight="1" x14ac:dyDescent="0.25">
      <c r="A6246" s="3"/>
      <c r="B6246" s="3"/>
      <c r="C6246" s="3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</row>
    <row r="6247" spans="1:15" ht="15" customHeight="1" x14ac:dyDescent="0.25">
      <c r="A6247" s="2"/>
      <c r="B6247" s="2"/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</row>
    <row r="6248" spans="1:15" ht="15" customHeight="1" x14ac:dyDescent="0.25">
      <c r="A6248" s="3"/>
      <c r="B6248" s="3"/>
      <c r="C6248" s="3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</row>
    <row r="6249" spans="1:15" ht="15" customHeight="1" x14ac:dyDescent="0.25">
      <c r="A6249" s="2"/>
      <c r="B6249" s="2"/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</row>
    <row r="6250" spans="1:15" ht="15" customHeight="1" x14ac:dyDescent="0.25">
      <c r="A6250" s="3"/>
      <c r="B6250" s="3"/>
      <c r="C6250" s="3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</row>
    <row r="6251" spans="1:15" ht="15" customHeight="1" x14ac:dyDescent="0.25">
      <c r="A6251" s="2"/>
      <c r="B6251" s="2"/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</row>
    <row r="6252" spans="1:15" ht="15" customHeight="1" x14ac:dyDescent="0.25">
      <c r="A6252" s="3"/>
      <c r="B6252" s="3"/>
      <c r="C6252" s="3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</row>
    <row r="6253" spans="1:15" ht="15" customHeight="1" x14ac:dyDescent="0.25">
      <c r="A6253" s="2"/>
      <c r="B6253" s="2"/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</row>
    <row r="6254" spans="1:15" ht="15" customHeight="1" x14ac:dyDescent="0.25">
      <c r="A6254" s="3"/>
      <c r="B6254" s="3"/>
      <c r="C6254" s="3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</row>
    <row r="6255" spans="1:15" ht="15" customHeight="1" x14ac:dyDescent="0.25">
      <c r="A6255" s="2"/>
      <c r="B6255" s="2"/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</row>
    <row r="6256" spans="1:15" ht="15" customHeight="1" x14ac:dyDescent="0.25">
      <c r="A6256" s="3"/>
      <c r="B6256" s="3"/>
      <c r="C6256" s="3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</row>
    <row r="6257" spans="1:15" ht="15" customHeight="1" x14ac:dyDescent="0.25">
      <c r="A6257" s="2"/>
      <c r="B6257" s="2"/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</row>
    <row r="6258" spans="1:15" ht="15" customHeight="1" x14ac:dyDescent="0.25">
      <c r="A6258" s="3"/>
      <c r="B6258" s="3"/>
      <c r="C6258" s="3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</row>
    <row r="6259" spans="1:15" ht="15" customHeight="1" x14ac:dyDescent="0.25">
      <c r="A6259" s="2"/>
      <c r="B6259" s="2"/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</row>
    <row r="6260" spans="1:15" ht="15" customHeight="1" x14ac:dyDescent="0.25">
      <c r="A6260" s="3"/>
      <c r="B6260" s="3"/>
      <c r="C6260" s="3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</row>
    <row r="6261" spans="1:15" ht="15" customHeight="1" x14ac:dyDescent="0.25">
      <c r="A6261" s="2"/>
      <c r="B6261" s="2"/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</row>
    <row r="6262" spans="1:15" ht="15" customHeight="1" x14ac:dyDescent="0.25">
      <c r="A6262" s="3"/>
      <c r="B6262" s="3"/>
      <c r="C6262" s="3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</row>
    <row r="6263" spans="1:15" ht="15" customHeight="1" x14ac:dyDescent="0.25">
      <c r="A6263" s="2"/>
      <c r="B6263" s="2"/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</row>
    <row r="6264" spans="1:15" ht="15" customHeight="1" x14ac:dyDescent="0.25">
      <c r="A6264" s="3"/>
      <c r="B6264" s="3"/>
      <c r="C6264" s="3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</row>
    <row r="6265" spans="1:15" ht="15" customHeight="1" x14ac:dyDescent="0.25">
      <c r="A6265" s="2"/>
      <c r="B6265" s="2"/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</row>
    <row r="6266" spans="1:15" ht="15" customHeight="1" x14ac:dyDescent="0.25">
      <c r="A6266" s="3"/>
      <c r="B6266" s="3"/>
      <c r="C6266" s="3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</row>
    <row r="6267" spans="1:15" ht="15" customHeight="1" x14ac:dyDescent="0.25">
      <c r="A6267" s="2"/>
      <c r="B6267" s="2"/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</row>
    <row r="6268" spans="1:15" ht="15" customHeight="1" x14ac:dyDescent="0.25">
      <c r="A6268" s="3"/>
      <c r="B6268" s="3"/>
      <c r="C6268" s="3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</row>
    <row r="6269" spans="1:15" ht="15" customHeight="1" x14ac:dyDescent="0.25">
      <c r="A6269" s="2"/>
      <c r="B6269" s="2"/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</row>
    <row r="6270" spans="1:15" ht="15" customHeight="1" x14ac:dyDescent="0.25">
      <c r="A6270" s="3"/>
      <c r="B6270" s="3"/>
      <c r="C6270" s="3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</row>
    <row r="6271" spans="1:15" ht="15" customHeight="1" x14ac:dyDescent="0.25">
      <c r="A6271" s="2"/>
      <c r="B6271" s="2"/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</row>
    <row r="6272" spans="1:15" ht="15" customHeight="1" x14ac:dyDescent="0.25">
      <c r="A6272" s="3"/>
      <c r="B6272" s="3"/>
      <c r="C6272" s="3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</row>
    <row r="6273" spans="1:15" ht="15" customHeight="1" x14ac:dyDescent="0.25">
      <c r="A6273" s="2"/>
      <c r="B6273" s="2"/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</row>
    <row r="6274" spans="1:15" ht="15" customHeight="1" x14ac:dyDescent="0.25">
      <c r="A6274" s="3"/>
      <c r="B6274" s="3"/>
      <c r="C6274" s="3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</row>
    <row r="6275" spans="1:15" ht="15" customHeight="1" x14ac:dyDescent="0.25">
      <c r="A6275" s="2"/>
      <c r="B6275" s="2"/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</row>
    <row r="6276" spans="1:15" ht="15" customHeight="1" x14ac:dyDescent="0.25">
      <c r="A6276" s="3"/>
      <c r="B6276" s="3"/>
      <c r="C6276" s="3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</row>
    <row r="6277" spans="1:15" ht="15" customHeight="1" x14ac:dyDescent="0.25">
      <c r="A6277" s="2"/>
      <c r="B6277" s="2"/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</row>
    <row r="6278" spans="1:15" ht="15" customHeight="1" x14ac:dyDescent="0.25">
      <c r="A6278" s="3"/>
      <c r="B6278" s="3"/>
      <c r="C6278" s="3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</row>
    <row r="6279" spans="1:15" ht="15" customHeight="1" x14ac:dyDescent="0.25">
      <c r="A6279" s="2"/>
      <c r="B6279" s="2"/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</row>
    <row r="6280" spans="1:15" ht="15" customHeight="1" x14ac:dyDescent="0.25">
      <c r="A6280" s="3"/>
      <c r="B6280" s="3"/>
      <c r="C6280" s="3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</row>
    <row r="6281" spans="1:15" ht="15" customHeight="1" x14ac:dyDescent="0.25">
      <c r="A6281" s="2"/>
      <c r="B6281" s="2"/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</row>
    <row r="6282" spans="1:15" ht="15" customHeight="1" x14ac:dyDescent="0.25">
      <c r="A6282" s="3"/>
      <c r="B6282" s="3"/>
      <c r="C6282" s="3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</row>
    <row r="6283" spans="1:15" ht="15" customHeight="1" x14ac:dyDescent="0.25">
      <c r="A6283" s="2"/>
      <c r="B6283" s="2"/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</row>
    <row r="6284" spans="1:15" ht="15" customHeight="1" x14ac:dyDescent="0.25">
      <c r="A6284" s="3"/>
      <c r="B6284" s="3"/>
      <c r="C6284" s="3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</row>
    <row r="6285" spans="1:15" ht="15" customHeight="1" x14ac:dyDescent="0.25">
      <c r="A6285" s="2"/>
      <c r="B6285" s="2"/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</row>
    <row r="6286" spans="1:15" ht="15" customHeight="1" x14ac:dyDescent="0.25">
      <c r="A6286" s="3"/>
      <c r="B6286" s="3"/>
      <c r="C6286" s="3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</row>
    <row r="6287" spans="1:15" ht="15" customHeight="1" x14ac:dyDescent="0.25">
      <c r="A6287" s="2"/>
      <c r="B6287" s="2"/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</row>
    <row r="6288" spans="1:15" ht="15" customHeight="1" x14ac:dyDescent="0.25">
      <c r="A6288" s="3"/>
      <c r="B6288" s="3"/>
      <c r="C6288" s="3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</row>
    <row r="6289" spans="1:15" ht="15" customHeight="1" x14ac:dyDescent="0.25">
      <c r="A6289" s="2"/>
      <c r="B6289" s="2"/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</row>
    <row r="6290" spans="1:15" ht="15" customHeight="1" x14ac:dyDescent="0.25">
      <c r="A6290" s="3"/>
      <c r="B6290" s="3"/>
      <c r="C6290" s="3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</row>
    <row r="6291" spans="1:15" ht="15" customHeight="1" x14ac:dyDescent="0.25">
      <c r="A6291" s="2"/>
      <c r="B6291" s="2"/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</row>
    <row r="6292" spans="1:15" ht="15" customHeight="1" x14ac:dyDescent="0.25">
      <c r="A6292" s="3"/>
      <c r="B6292" s="3"/>
      <c r="C6292" s="3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</row>
    <row r="6293" spans="1:15" ht="15" customHeight="1" x14ac:dyDescent="0.25">
      <c r="A6293" s="2"/>
      <c r="B6293" s="2"/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</row>
    <row r="6294" spans="1:15" ht="15" customHeight="1" x14ac:dyDescent="0.25">
      <c r="A6294" s="3"/>
      <c r="B6294" s="3"/>
      <c r="C6294" s="3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</row>
    <row r="6295" spans="1:15" ht="15" customHeight="1" x14ac:dyDescent="0.25">
      <c r="A6295" s="2"/>
      <c r="B6295" s="2"/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</row>
    <row r="6296" spans="1:15" ht="15" customHeight="1" x14ac:dyDescent="0.25">
      <c r="A6296" s="3"/>
      <c r="B6296" s="3"/>
      <c r="C6296" s="3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</row>
    <row r="6297" spans="1:15" ht="15" customHeight="1" x14ac:dyDescent="0.25">
      <c r="A6297" s="2"/>
      <c r="B6297" s="2"/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</row>
    <row r="6298" spans="1:15" ht="15" customHeight="1" x14ac:dyDescent="0.25">
      <c r="A6298" s="3"/>
      <c r="B6298" s="3"/>
      <c r="C6298" s="3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</row>
    <row r="6299" spans="1:15" ht="15" customHeight="1" x14ac:dyDescent="0.25">
      <c r="A6299" s="2"/>
      <c r="B6299" s="2"/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</row>
    <row r="6300" spans="1:15" ht="15" customHeight="1" x14ac:dyDescent="0.25">
      <c r="A6300" s="3"/>
      <c r="B6300" s="3"/>
      <c r="C6300" s="3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</row>
    <row r="6301" spans="1:15" ht="15" customHeight="1" x14ac:dyDescent="0.25">
      <c r="A6301" s="2"/>
      <c r="B6301" s="2"/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</row>
    <row r="6302" spans="1:15" ht="15" customHeight="1" x14ac:dyDescent="0.25">
      <c r="A6302" s="3"/>
      <c r="B6302" s="3"/>
      <c r="C6302" s="3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</row>
    <row r="6303" spans="1:15" ht="15" customHeight="1" x14ac:dyDescent="0.25">
      <c r="A6303" s="2"/>
      <c r="B6303" s="2"/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</row>
    <row r="6304" spans="1:15" ht="15" customHeight="1" x14ac:dyDescent="0.25">
      <c r="A6304" s="3"/>
      <c r="B6304" s="3"/>
      <c r="C6304" s="3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</row>
    <row r="6305" spans="1:15" ht="15" customHeight="1" x14ac:dyDescent="0.25">
      <c r="A6305" s="2"/>
      <c r="B6305" s="2"/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</row>
    <row r="6306" spans="1:15" ht="15" customHeight="1" x14ac:dyDescent="0.25">
      <c r="A6306" s="3"/>
      <c r="B6306" s="3"/>
      <c r="C6306" s="3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</row>
    <row r="6307" spans="1:15" ht="15" customHeight="1" x14ac:dyDescent="0.25">
      <c r="A6307" s="2"/>
      <c r="B6307" s="2"/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</row>
    <row r="6308" spans="1:15" ht="15" customHeight="1" x14ac:dyDescent="0.25">
      <c r="A6308" s="3"/>
      <c r="B6308" s="3"/>
      <c r="C6308" s="3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</row>
    <row r="6309" spans="1:15" ht="15" customHeight="1" x14ac:dyDescent="0.25">
      <c r="A6309" s="2"/>
      <c r="B6309" s="2"/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</row>
    <row r="6310" spans="1:15" ht="15" customHeight="1" x14ac:dyDescent="0.25">
      <c r="A6310" s="3"/>
      <c r="B6310" s="3"/>
      <c r="C6310" s="3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</row>
    <row r="6311" spans="1:15" ht="15" customHeight="1" x14ac:dyDescent="0.25">
      <c r="A6311" s="2"/>
      <c r="B6311" s="2"/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</row>
    <row r="6312" spans="1:15" ht="15" customHeight="1" x14ac:dyDescent="0.25">
      <c r="A6312" s="3"/>
      <c r="B6312" s="3"/>
      <c r="C6312" s="3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</row>
    <row r="6313" spans="1:15" ht="15" customHeight="1" x14ac:dyDescent="0.25">
      <c r="A6313" s="2"/>
      <c r="B6313" s="2"/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</row>
    <row r="6314" spans="1:15" ht="15" customHeight="1" x14ac:dyDescent="0.25">
      <c r="A6314" s="3"/>
      <c r="B6314" s="3"/>
      <c r="C6314" s="3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</row>
    <row r="6315" spans="1:15" ht="15" customHeight="1" x14ac:dyDescent="0.25">
      <c r="A6315" s="2"/>
      <c r="B6315" s="2"/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</row>
    <row r="6316" spans="1:15" ht="15" customHeight="1" x14ac:dyDescent="0.25">
      <c r="A6316" s="3"/>
      <c r="B6316" s="3"/>
      <c r="C6316" s="3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</row>
    <row r="6317" spans="1:15" ht="15" customHeight="1" x14ac:dyDescent="0.25">
      <c r="A6317" s="2"/>
      <c r="B6317" s="2"/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</row>
    <row r="6318" spans="1:15" ht="15" customHeight="1" x14ac:dyDescent="0.25">
      <c r="A6318" s="3"/>
      <c r="B6318" s="3"/>
      <c r="C6318" s="3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</row>
    <row r="6319" spans="1:15" ht="15" customHeight="1" x14ac:dyDescent="0.25">
      <c r="A6319" s="2"/>
      <c r="B6319" s="2"/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</row>
    <row r="6320" spans="1:15" ht="15" customHeight="1" x14ac:dyDescent="0.25">
      <c r="A6320" s="3"/>
      <c r="B6320" s="3"/>
      <c r="C6320" s="3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</row>
    <row r="6321" spans="1:15" ht="15" customHeight="1" x14ac:dyDescent="0.25">
      <c r="A6321" s="2"/>
      <c r="B6321" s="2"/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</row>
    <row r="6322" spans="1:15" ht="15" customHeight="1" x14ac:dyDescent="0.25">
      <c r="A6322" s="3"/>
      <c r="B6322" s="3"/>
      <c r="C6322" s="3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</row>
    <row r="6323" spans="1:15" ht="15" customHeight="1" x14ac:dyDescent="0.25">
      <c r="A6323" s="2"/>
      <c r="B6323" s="2"/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</row>
    <row r="6324" spans="1:15" ht="15" customHeight="1" x14ac:dyDescent="0.25">
      <c r="A6324" s="3"/>
      <c r="B6324" s="3"/>
      <c r="C6324" s="3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</row>
    <row r="6325" spans="1:15" ht="15" customHeight="1" x14ac:dyDescent="0.25">
      <c r="A6325" s="2"/>
      <c r="B6325" s="2"/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</row>
    <row r="6326" spans="1:15" ht="15" customHeight="1" x14ac:dyDescent="0.25">
      <c r="A6326" s="3"/>
      <c r="B6326" s="3"/>
      <c r="C6326" s="3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</row>
    <row r="6327" spans="1:15" ht="15" customHeight="1" x14ac:dyDescent="0.25">
      <c r="A6327" s="2"/>
      <c r="B6327" s="2"/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</row>
    <row r="6328" spans="1:15" ht="15" customHeight="1" x14ac:dyDescent="0.25">
      <c r="A6328" s="3"/>
      <c r="B6328" s="3"/>
      <c r="C6328" s="3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</row>
    <row r="6329" spans="1:15" ht="15" customHeight="1" x14ac:dyDescent="0.25">
      <c r="A6329" s="2"/>
      <c r="B6329" s="2"/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</row>
    <row r="6330" spans="1:15" ht="15" customHeight="1" x14ac:dyDescent="0.25">
      <c r="A6330" s="3"/>
      <c r="B6330" s="3"/>
      <c r="C6330" s="3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</row>
    <row r="6331" spans="1:15" ht="15" customHeight="1" x14ac:dyDescent="0.25">
      <c r="A6331" s="2"/>
      <c r="B6331" s="2"/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</row>
    <row r="6332" spans="1:15" ht="15" customHeight="1" x14ac:dyDescent="0.25">
      <c r="A6332" s="3"/>
      <c r="B6332" s="3"/>
      <c r="C6332" s="3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</row>
    <row r="6333" spans="1:15" ht="15" customHeight="1" x14ac:dyDescent="0.25">
      <c r="A6333" s="2"/>
      <c r="B6333" s="2"/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</row>
    <row r="6334" spans="1:15" ht="15" customHeight="1" x14ac:dyDescent="0.25">
      <c r="A6334" s="3"/>
      <c r="B6334" s="3"/>
      <c r="C6334" s="3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</row>
    <row r="6335" spans="1:15" ht="15" customHeight="1" x14ac:dyDescent="0.25">
      <c r="A6335" s="2"/>
      <c r="B6335" s="2"/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</row>
    <row r="6336" spans="1:15" ht="15" customHeight="1" x14ac:dyDescent="0.25">
      <c r="A6336" s="3"/>
      <c r="B6336" s="3"/>
      <c r="C6336" s="3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</row>
    <row r="6337" spans="1:15" ht="15" customHeight="1" x14ac:dyDescent="0.25">
      <c r="A6337" s="2"/>
      <c r="B6337" s="2"/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</row>
    <row r="6338" spans="1:15" ht="15" customHeight="1" x14ac:dyDescent="0.25">
      <c r="A6338" s="3"/>
      <c r="B6338" s="3"/>
      <c r="C6338" s="3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</row>
    <row r="6339" spans="1:15" ht="15" customHeight="1" x14ac:dyDescent="0.25">
      <c r="A6339" s="2"/>
      <c r="B6339" s="2"/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</row>
    <row r="6340" spans="1:15" ht="15" customHeight="1" x14ac:dyDescent="0.25">
      <c r="A6340" s="3"/>
      <c r="B6340" s="3"/>
      <c r="C6340" s="3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</row>
    <row r="6341" spans="1:15" ht="15" customHeight="1" x14ac:dyDescent="0.25">
      <c r="A6341" s="2"/>
      <c r="B6341" s="2"/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</row>
    <row r="6342" spans="1:15" ht="15" customHeight="1" x14ac:dyDescent="0.25">
      <c r="A6342" s="3"/>
      <c r="B6342" s="3"/>
      <c r="C6342" s="3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</row>
    <row r="6343" spans="1:15" ht="15" customHeight="1" x14ac:dyDescent="0.25">
      <c r="A6343" s="2"/>
      <c r="B6343" s="2"/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</row>
    <row r="6344" spans="1:15" ht="15" customHeight="1" x14ac:dyDescent="0.25">
      <c r="A6344" s="3"/>
      <c r="B6344" s="3"/>
      <c r="C6344" s="3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</row>
    <row r="6345" spans="1:15" ht="15" customHeight="1" x14ac:dyDescent="0.25">
      <c r="A6345" s="2"/>
      <c r="B6345" s="2"/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</row>
    <row r="6346" spans="1:15" ht="15" customHeight="1" x14ac:dyDescent="0.25">
      <c r="A6346" s="3"/>
      <c r="B6346" s="3"/>
      <c r="C6346" s="3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</row>
    <row r="6347" spans="1:15" ht="15" customHeight="1" x14ac:dyDescent="0.25">
      <c r="A6347" s="2"/>
      <c r="B6347" s="2"/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</row>
    <row r="6348" spans="1:15" ht="15" customHeight="1" x14ac:dyDescent="0.25">
      <c r="A6348" s="3"/>
      <c r="B6348" s="3"/>
      <c r="C6348" s="3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</row>
    <row r="6349" spans="1:15" ht="15" customHeight="1" x14ac:dyDescent="0.25">
      <c r="A6349" s="2"/>
      <c r="B6349" s="2"/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</row>
    <row r="6350" spans="1:15" ht="15" customHeight="1" x14ac:dyDescent="0.25">
      <c r="A6350" s="3"/>
      <c r="B6350" s="3"/>
      <c r="C6350" s="3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</row>
    <row r="6351" spans="1:15" ht="15" customHeight="1" x14ac:dyDescent="0.25">
      <c r="A6351" s="2"/>
      <c r="B6351" s="2"/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</row>
    <row r="6352" spans="1:15" ht="15" customHeight="1" x14ac:dyDescent="0.25">
      <c r="A6352" s="3"/>
      <c r="B6352" s="3"/>
      <c r="C6352" s="3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</row>
    <row r="6353" spans="1:15" ht="15" customHeight="1" x14ac:dyDescent="0.25">
      <c r="A6353" s="2"/>
      <c r="B6353" s="2"/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</row>
    <row r="6354" spans="1:15" ht="15" customHeight="1" x14ac:dyDescent="0.25">
      <c r="A6354" s="3"/>
      <c r="B6354" s="3"/>
      <c r="C6354" s="3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</row>
    <row r="6355" spans="1:15" ht="15" customHeight="1" x14ac:dyDescent="0.25">
      <c r="A6355" s="2"/>
      <c r="B6355" s="2"/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</row>
    <row r="6356" spans="1:15" ht="15" customHeight="1" x14ac:dyDescent="0.25">
      <c r="A6356" s="3"/>
      <c r="B6356" s="3"/>
      <c r="C6356" s="3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</row>
    <row r="6357" spans="1:15" ht="15" customHeight="1" x14ac:dyDescent="0.25">
      <c r="A6357" s="2"/>
      <c r="B6357" s="2"/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</row>
    <row r="6358" spans="1:15" ht="15" customHeight="1" x14ac:dyDescent="0.25">
      <c r="A6358" s="3"/>
      <c r="B6358" s="3"/>
      <c r="C6358" s="3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</row>
    <row r="6359" spans="1:15" ht="15" customHeight="1" x14ac:dyDescent="0.25">
      <c r="A6359" s="2"/>
      <c r="B6359" s="2"/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</row>
    <row r="6360" spans="1:15" ht="15" customHeight="1" x14ac:dyDescent="0.25">
      <c r="A6360" s="3"/>
      <c r="B6360" s="3"/>
      <c r="C6360" s="3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</row>
    <row r="6361" spans="1:15" ht="15" customHeight="1" x14ac:dyDescent="0.25">
      <c r="A6361" s="2"/>
      <c r="B6361" s="2"/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</row>
    <row r="6362" spans="1:15" ht="15" customHeight="1" x14ac:dyDescent="0.25">
      <c r="A6362" s="3"/>
      <c r="B6362" s="3"/>
      <c r="C6362" s="3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</row>
    <row r="6363" spans="1:15" ht="15" customHeight="1" x14ac:dyDescent="0.25">
      <c r="A6363" s="2"/>
      <c r="B6363" s="2"/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</row>
    <row r="6364" spans="1:15" ht="15" customHeight="1" x14ac:dyDescent="0.25">
      <c r="A6364" s="3"/>
      <c r="B6364" s="3"/>
      <c r="C6364" s="3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</row>
    <row r="6365" spans="1:15" ht="15" customHeight="1" x14ac:dyDescent="0.25">
      <c r="A6365" s="2"/>
      <c r="B6365" s="2"/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</row>
    <row r="6366" spans="1:15" ht="15" customHeight="1" x14ac:dyDescent="0.25">
      <c r="A6366" s="3"/>
      <c r="B6366" s="3"/>
      <c r="C6366" s="3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</row>
    <row r="6367" spans="1:15" ht="15" customHeight="1" x14ac:dyDescent="0.25">
      <c r="A6367" s="2"/>
      <c r="B6367" s="2"/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</row>
    <row r="6368" spans="1:15" ht="15" customHeight="1" x14ac:dyDescent="0.25">
      <c r="A6368" s="3"/>
      <c r="B6368" s="3"/>
      <c r="C6368" s="3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</row>
    <row r="6369" spans="1:15" ht="15" customHeight="1" x14ac:dyDescent="0.25">
      <c r="A6369" s="2"/>
      <c r="B6369" s="2"/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</row>
    <row r="6370" spans="1:15" ht="15" customHeight="1" x14ac:dyDescent="0.25">
      <c r="A6370" s="3"/>
      <c r="B6370" s="3"/>
      <c r="C6370" s="3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</row>
    <row r="6371" spans="1:15" ht="15" customHeight="1" x14ac:dyDescent="0.25">
      <c r="A6371" s="2"/>
      <c r="B6371" s="2"/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</row>
    <row r="6372" spans="1:15" ht="15" customHeight="1" x14ac:dyDescent="0.25">
      <c r="A6372" s="3"/>
      <c r="B6372" s="3"/>
      <c r="C6372" s="3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</row>
    <row r="6373" spans="1:15" ht="15" customHeight="1" x14ac:dyDescent="0.25">
      <c r="A6373" s="2"/>
      <c r="B6373" s="2"/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</row>
    <row r="6374" spans="1:15" ht="15" customHeight="1" x14ac:dyDescent="0.25">
      <c r="A6374" s="3"/>
      <c r="B6374" s="3"/>
      <c r="C6374" s="3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</row>
    <row r="6375" spans="1:15" ht="15" customHeight="1" x14ac:dyDescent="0.25">
      <c r="A6375" s="2"/>
      <c r="B6375" s="2"/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</row>
    <row r="6376" spans="1:15" ht="15" customHeight="1" x14ac:dyDescent="0.25">
      <c r="A6376" s="3"/>
      <c r="B6376" s="3"/>
      <c r="C6376" s="3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</row>
    <row r="6377" spans="1:15" ht="15" customHeight="1" x14ac:dyDescent="0.25">
      <c r="A6377" s="2"/>
      <c r="B6377" s="2"/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</row>
    <row r="6378" spans="1:15" ht="15" customHeight="1" x14ac:dyDescent="0.25">
      <c r="A6378" s="3"/>
      <c r="B6378" s="3"/>
      <c r="C6378" s="3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</row>
    <row r="6379" spans="1:15" ht="15" customHeight="1" x14ac:dyDescent="0.25">
      <c r="A6379" s="2"/>
      <c r="B6379" s="2"/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</row>
    <row r="6380" spans="1:15" ht="15" customHeight="1" x14ac:dyDescent="0.25">
      <c r="A6380" s="3"/>
      <c r="B6380" s="3"/>
      <c r="C6380" s="3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</row>
    <row r="6381" spans="1:15" ht="15" customHeight="1" x14ac:dyDescent="0.25">
      <c r="A6381" s="2"/>
      <c r="B6381" s="2"/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</row>
    <row r="6382" spans="1:15" ht="15" customHeight="1" x14ac:dyDescent="0.25">
      <c r="A6382" s="3"/>
      <c r="B6382" s="3"/>
      <c r="C6382" s="3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</row>
    <row r="6383" spans="1:15" ht="15" customHeight="1" x14ac:dyDescent="0.25">
      <c r="A6383" s="2"/>
      <c r="B6383" s="2"/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</row>
    <row r="6384" spans="1:15" ht="15" customHeight="1" x14ac:dyDescent="0.25">
      <c r="A6384" s="3"/>
      <c r="B6384" s="3"/>
      <c r="C6384" s="3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</row>
    <row r="6385" spans="1:15" ht="15" customHeight="1" x14ac:dyDescent="0.25">
      <c r="A6385" s="2"/>
      <c r="B6385" s="2"/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</row>
    <row r="6386" spans="1:15" ht="15" customHeight="1" x14ac:dyDescent="0.25">
      <c r="A6386" s="3"/>
      <c r="B6386" s="3"/>
      <c r="C6386" s="3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</row>
    <row r="6387" spans="1:15" ht="15" customHeight="1" x14ac:dyDescent="0.25">
      <c r="A6387" s="2"/>
      <c r="B6387" s="2"/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</row>
    <row r="6388" spans="1:15" ht="15" customHeight="1" x14ac:dyDescent="0.25">
      <c r="A6388" s="3"/>
      <c r="B6388" s="3"/>
      <c r="C6388" s="3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</row>
    <row r="6389" spans="1:15" ht="15" customHeight="1" x14ac:dyDescent="0.25">
      <c r="A6389" s="2"/>
      <c r="B6389" s="2"/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</row>
    <row r="6390" spans="1:15" ht="15" customHeight="1" x14ac:dyDescent="0.25">
      <c r="A6390" s="3"/>
      <c r="B6390" s="3"/>
      <c r="C6390" s="3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</row>
    <row r="6391" spans="1:15" ht="15" customHeight="1" x14ac:dyDescent="0.25">
      <c r="A6391" s="2"/>
      <c r="B6391" s="2"/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</row>
    <row r="6392" spans="1:15" ht="15" customHeight="1" x14ac:dyDescent="0.25">
      <c r="A6392" s="3"/>
      <c r="B6392" s="3"/>
      <c r="C6392" s="3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</row>
    <row r="6393" spans="1:15" ht="15" customHeight="1" x14ac:dyDescent="0.25">
      <c r="A6393" s="2"/>
      <c r="B6393" s="2"/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</row>
    <row r="6394" spans="1:15" ht="15" customHeight="1" x14ac:dyDescent="0.25">
      <c r="A6394" s="3"/>
      <c r="B6394" s="3"/>
      <c r="C6394" s="3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</row>
    <row r="6395" spans="1:15" ht="15" customHeight="1" x14ac:dyDescent="0.25">
      <c r="A6395" s="2"/>
      <c r="B6395" s="2"/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</row>
    <row r="6396" spans="1:15" ht="15" customHeight="1" x14ac:dyDescent="0.25">
      <c r="A6396" s="3"/>
      <c r="B6396" s="3"/>
      <c r="C6396" s="3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</row>
    <row r="6397" spans="1:15" ht="15" customHeight="1" x14ac:dyDescent="0.25">
      <c r="A6397" s="2"/>
      <c r="B6397" s="2"/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</row>
    <row r="6398" spans="1:15" ht="15" customHeight="1" x14ac:dyDescent="0.25">
      <c r="A6398" s="3"/>
      <c r="B6398" s="3"/>
      <c r="C6398" s="3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</row>
    <row r="6399" spans="1:15" ht="15" customHeight="1" x14ac:dyDescent="0.25">
      <c r="A6399" s="2"/>
      <c r="B6399" s="2"/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</row>
    <row r="6400" spans="1:15" ht="15" customHeight="1" x14ac:dyDescent="0.25">
      <c r="A6400" s="3"/>
      <c r="B6400" s="3"/>
      <c r="C6400" s="3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</row>
    <row r="6401" spans="1:15" ht="15" customHeight="1" x14ac:dyDescent="0.25">
      <c r="A6401" s="2"/>
      <c r="B6401" s="2"/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</row>
    <row r="6402" spans="1:15" ht="15" customHeight="1" x14ac:dyDescent="0.25">
      <c r="A6402" s="3"/>
      <c r="B6402" s="3"/>
      <c r="C6402" s="3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</row>
    <row r="6403" spans="1:15" ht="15" customHeight="1" x14ac:dyDescent="0.25">
      <c r="A6403" s="2"/>
      <c r="B6403" s="2"/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</row>
    <row r="6404" spans="1:15" ht="15" customHeight="1" x14ac:dyDescent="0.25">
      <c r="A6404" s="3"/>
      <c r="B6404" s="3"/>
      <c r="C6404" s="3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</row>
    <row r="6405" spans="1:15" ht="15" customHeight="1" x14ac:dyDescent="0.25">
      <c r="A6405" s="2"/>
      <c r="B6405" s="2"/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</row>
    <row r="6406" spans="1:15" ht="15" customHeight="1" x14ac:dyDescent="0.25">
      <c r="A6406" s="3"/>
      <c r="B6406" s="3"/>
      <c r="C6406" s="3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</row>
    <row r="6407" spans="1:15" ht="15" customHeight="1" x14ac:dyDescent="0.25">
      <c r="A6407" s="2"/>
      <c r="B6407" s="2"/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</row>
    <row r="6408" spans="1:15" ht="15" customHeight="1" x14ac:dyDescent="0.25">
      <c r="A6408" s="3"/>
      <c r="B6408" s="3"/>
      <c r="C6408" s="3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</row>
    <row r="6409" spans="1:15" ht="15" customHeight="1" x14ac:dyDescent="0.25">
      <c r="A6409" s="2"/>
      <c r="B6409" s="2"/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</row>
    <row r="6410" spans="1:15" ht="15" customHeight="1" x14ac:dyDescent="0.25">
      <c r="A6410" s="3"/>
      <c r="B6410" s="3"/>
      <c r="C6410" s="3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</row>
    <row r="6411" spans="1:15" ht="15" customHeight="1" x14ac:dyDescent="0.25">
      <c r="A6411" s="2"/>
      <c r="B6411" s="2"/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</row>
    <row r="6412" spans="1:15" ht="15" customHeight="1" x14ac:dyDescent="0.25">
      <c r="A6412" s="3"/>
      <c r="B6412" s="3"/>
      <c r="C6412" s="3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</row>
    <row r="6413" spans="1:15" ht="15" customHeight="1" x14ac:dyDescent="0.25">
      <c r="A6413" s="2"/>
      <c r="B6413" s="2"/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</row>
    <row r="6414" spans="1:15" ht="15" customHeight="1" x14ac:dyDescent="0.25">
      <c r="A6414" s="3"/>
      <c r="B6414" s="3"/>
      <c r="C6414" s="3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</row>
    <row r="6415" spans="1:15" ht="15" customHeight="1" x14ac:dyDescent="0.25">
      <c r="A6415" s="2"/>
      <c r="B6415" s="2"/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</row>
    <row r="6416" spans="1:15" ht="15" customHeight="1" x14ac:dyDescent="0.25">
      <c r="A6416" s="3"/>
      <c r="B6416" s="3"/>
      <c r="C6416" s="3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</row>
    <row r="6417" spans="1:15" ht="15" customHeight="1" x14ac:dyDescent="0.25">
      <c r="A6417" s="2"/>
      <c r="B6417" s="2"/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</row>
    <row r="6418" spans="1:15" ht="15" customHeight="1" x14ac:dyDescent="0.25">
      <c r="A6418" s="3"/>
      <c r="B6418" s="3"/>
      <c r="C6418" s="3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</row>
    <row r="6419" spans="1:15" ht="15" customHeight="1" x14ac:dyDescent="0.25">
      <c r="A6419" s="2"/>
      <c r="B6419" s="2"/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</row>
    <row r="6420" spans="1:15" ht="15" customHeight="1" x14ac:dyDescent="0.25">
      <c r="A6420" s="3"/>
      <c r="B6420" s="3"/>
      <c r="C6420" s="3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</row>
    <row r="6421" spans="1:15" ht="15" customHeight="1" x14ac:dyDescent="0.25">
      <c r="A6421" s="2"/>
      <c r="B6421" s="2"/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</row>
    <row r="6422" spans="1:15" ht="15" customHeight="1" x14ac:dyDescent="0.25">
      <c r="A6422" s="3"/>
      <c r="B6422" s="3"/>
      <c r="C6422" s="3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</row>
    <row r="6423" spans="1:15" ht="15" customHeight="1" x14ac:dyDescent="0.25">
      <c r="A6423" s="2"/>
      <c r="B6423" s="2"/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</row>
    <row r="6424" spans="1:15" ht="15" customHeight="1" x14ac:dyDescent="0.25">
      <c r="A6424" s="3"/>
      <c r="B6424" s="3"/>
      <c r="C6424" s="3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</row>
    <row r="6425" spans="1:15" ht="15" customHeight="1" x14ac:dyDescent="0.25">
      <c r="A6425" s="2"/>
      <c r="B6425" s="2"/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</row>
    <row r="6426" spans="1:15" ht="15" customHeight="1" x14ac:dyDescent="0.25">
      <c r="A6426" s="3"/>
      <c r="B6426" s="3"/>
      <c r="C6426" s="3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</row>
    <row r="6427" spans="1:15" ht="15" customHeight="1" x14ac:dyDescent="0.25">
      <c r="A6427" s="2"/>
      <c r="B6427" s="2"/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</row>
    <row r="6428" spans="1:15" ht="15" customHeight="1" x14ac:dyDescent="0.25">
      <c r="A6428" s="3"/>
      <c r="B6428" s="3"/>
      <c r="C6428" s="3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</row>
    <row r="6429" spans="1:15" ht="15" customHeight="1" x14ac:dyDescent="0.25">
      <c r="A6429" s="2"/>
      <c r="B6429" s="2"/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</row>
    <row r="6430" spans="1:15" ht="15" customHeight="1" x14ac:dyDescent="0.25">
      <c r="A6430" s="3"/>
      <c r="B6430" s="3"/>
      <c r="C6430" s="3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</row>
    <row r="6431" spans="1:15" ht="15" customHeight="1" x14ac:dyDescent="0.25">
      <c r="A6431" s="2"/>
      <c r="B6431" s="2"/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</row>
    <row r="6432" spans="1:15" ht="15" customHeight="1" x14ac:dyDescent="0.25">
      <c r="A6432" s="3"/>
      <c r="B6432" s="3"/>
      <c r="C6432" s="3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</row>
    <row r="6433" spans="1:15" ht="15" customHeight="1" x14ac:dyDescent="0.25">
      <c r="A6433" s="2"/>
      <c r="B6433" s="2"/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</row>
    <row r="6434" spans="1:15" ht="15" customHeight="1" x14ac:dyDescent="0.25">
      <c r="A6434" s="3"/>
      <c r="B6434" s="3"/>
      <c r="C6434" s="3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</row>
    <row r="6435" spans="1:15" ht="15" customHeight="1" x14ac:dyDescent="0.25">
      <c r="A6435" s="2"/>
      <c r="B6435" s="2"/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</row>
    <row r="6436" spans="1:15" ht="15" customHeight="1" x14ac:dyDescent="0.25">
      <c r="A6436" s="3"/>
      <c r="B6436" s="3"/>
      <c r="C6436" s="3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</row>
    <row r="6437" spans="1:15" ht="15" customHeight="1" x14ac:dyDescent="0.25">
      <c r="A6437" s="2"/>
      <c r="B6437" s="2"/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</row>
    <row r="6438" spans="1:15" ht="15" customHeight="1" x14ac:dyDescent="0.25">
      <c r="A6438" s="3"/>
      <c r="B6438" s="3"/>
      <c r="C6438" s="3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</row>
    <row r="6439" spans="1:15" ht="15" customHeight="1" x14ac:dyDescent="0.25">
      <c r="A6439" s="2"/>
      <c r="B6439" s="2"/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</row>
    <row r="6440" spans="1:15" ht="15" customHeight="1" x14ac:dyDescent="0.25">
      <c r="A6440" s="3"/>
      <c r="B6440" s="3"/>
      <c r="C6440" s="3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</row>
    <row r="6441" spans="1:15" ht="15" customHeight="1" x14ac:dyDescent="0.25">
      <c r="A6441" s="2"/>
      <c r="B6441" s="2"/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</row>
    <row r="6442" spans="1:15" ht="15" customHeight="1" x14ac:dyDescent="0.25">
      <c r="A6442" s="3"/>
      <c r="B6442" s="3"/>
      <c r="C6442" s="3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</row>
    <row r="6443" spans="1:15" ht="15" customHeight="1" x14ac:dyDescent="0.25">
      <c r="A6443" s="2"/>
      <c r="B6443" s="2"/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</row>
    <row r="6444" spans="1:15" ht="15" customHeight="1" x14ac:dyDescent="0.25">
      <c r="A6444" s="3"/>
      <c r="B6444" s="3"/>
      <c r="C6444" s="3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</row>
    <row r="6445" spans="1:15" ht="15" customHeight="1" x14ac:dyDescent="0.25">
      <c r="A6445" s="2"/>
      <c r="B6445" s="2"/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</row>
    <row r="6446" spans="1:15" ht="15" customHeight="1" x14ac:dyDescent="0.25">
      <c r="A6446" s="3"/>
      <c r="B6446" s="3"/>
      <c r="C6446" s="3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</row>
    <row r="6447" spans="1:15" ht="15" customHeight="1" x14ac:dyDescent="0.25">
      <c r="A6447" s="2"/>
      <c r="B6447" s="2"/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</row>
    <row r="6448" spans="1:15" ht="15" customHeight="1" x14ac:dyDescent="0.25">
      <c r="A6448" s="3"/>
      <c r="B6448" s="3"/>
      <c r="C6448" s="3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</row>
    <row r="6449" spans="1:15" ht="15" customHeight="1" x14ac:dyDescent="0.25">
      <c r="A6449" s="2"/>
      <c r="B6449" s="2"/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</row>
    <row r="6450" spans="1:15" ht="15" customHeight="1" x14ac:dyDescent="0.25">
      <c r="A6450" s="3"/>
      <c r="B6450" s="3"/>
      <c r="C6450" s="3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</row>
    <row r="6451" spans="1:15" ht="15" customHeight="1" x14ac:dyDescent="0.25">
      <c r="A6451" s="2"/>
      <c r="B6451" s="2"/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</row>
    <row r="6452" spans="1:15" ht="15" customHeight="1" x14ac:dyDescent="0.25">
      <c r="A6452" s="3"/>
      <c r="B6452" s="3"/>
      <c r="C6452" s="3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</row>
    <row r="6453" spans="1:15" ht="15" customHeight="1" x14ac:dyDescent="0.25">
      <c r="A6453" s="2"/>
      <c r="B6453" s="2"/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</row>
    <row r="6454" spans="1:15" ht="15" customHeight="1" x14ac:dyDescent="0.25">
      <c r="A6454" s="3"/>
      <c r="B6454" s="3"/>
      <c r="C6454" s="3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</row>
    <row r="6455" spans="1:15" ht="15" customHeight="1" x14ac:dyDescent="0.25">
      <c r="A6455" s="2"/>
      <c r="B6455" s="2"/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</row>
    <row r="6456" spans="1:15" ht="15" customHeight="1" x14ac:dyDescent="0.25">
      <c r="A6456" s="3"/>
      <c r="B6456" s="3"/>
      <c r="C6456" s="3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</row>
    <row r="6457" spans="1:15" ht="15" customHeight="1" x14ac:dyDescent="0.25">
      <c r="A6457" s="2"/>
      <c r="B6457" s="2"/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</row>
    <row r="6458" spans="1:15" ht="15" customHeight="1" x14ac:dyDescent="0.25">
      <c r="A6458" s="3"/>
      <c r="B6458" s="3"/>
      <c r="C6458" s="3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</row>
    <row r="6459" spans="1:15" ht="15" customHeight="1" x14ac:dyDescent="0.25">
      <c r="A6459" s="2"/>
      <c r="B6459" s="2"/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</row>
    <row r="6460" spans="1:15" ht="15" customHeight="1" x14ac:dyDescent="0.25">
      <c r="A6460" s="3"/>
      <c r="B6460" s="3"/>
      <c r="C6460" s="3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</row>
    <row r="6461" spans="1:15" ht="15" customHeight="1" x14ac:dyDescent="0.25">
      <c r="A6461" s="2"/>
      <c r="B6461" s="2"/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</row>
    <row r="6462" spans="1:15" ht="15" customHeight="1" x14ac:dyDescent="0.25">
      <c r="A6462" s="3"/>
      <c r="B6462" s="3"/>
      <c r="C6462" s="3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</row>
    <row r="6463" spans="1:15" ht="15" customHeight="1" x14ac:dyDescent="0.25">
      <c r="A6463" s="2"/>
      <c r="B6463" s="2"/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</row>
    <row r="6464" spans="1:15" ht="15" customHeight="1" x14ac:dyDescent="0.25">
      <c r="A6464" s="3"/>
      <c r="B6464" s="3"/>
      <c r="C6464" s="3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</row>
    <row r="6465" spans="1:15" ht="15" customHeight="1" x14ac:dyDescent="0.25">
      <c r="A6465" s="2"/>
      <c r="B6465" s="2"/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</row>
    <row r="6466" spans="1:15" ht="15" customHeight="1" x14ac:dyDescent="0.25">
      <c r="A6466" s="3"/>
      <c r="B6466" s="3"/>
      <c r="C6466" s="3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</row>
    <row r="6467" spans="1:15" ht="15" customHeight="1" x14ac:dyDescent="0.25">
      <c r="A6467" s="2"/>
      <c r="B6467" s="2"/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</row>
    <row r="6468" spans="1:15" ht="15" customHeight="1" x14ac:dyDescent="0.25">
      <c r="A6468" s="3"/>
      <c r="B6468" s="3"/>
      <c r="C6468" s="3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</row>
    <row r="6469" spans="1:15" ht="15" customHeight="1" x14ac:dyDescent="0.25">
      <c r="A6469" s="2"/>
      <c r="B6469" s="2"/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</row>
    <row r="6470" spans="1:15" ht="15" customHeight="1" x14ac:dyDescent="0.25">
      <c r="A6470" s="3"/>
      <c r="B6470" s="3"/>
      <c r="C6470" s="3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</row>
    <row r="6471" spans="1:15" ht="15" customHeight="1" x14ac:dyDescent="0.25">
      <c r="A6471" s="2"/>
      <c r="B6471" s="2"/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</row>
    <row r="6472" spans="1:15" ht="15" customHeight="1" x14ac:dyDescent="0.25">
      <c r="A6472" s="3"/>
      <c r="B6472" s="3"/>
      <c r="C6472" s="3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</row>
    <row r="6473" spans="1:15" ht="15" customHeight="1" x14ac:dyDescent="0.25">
      <c r="A6473" s="2"/>
      <c r="B6473" s="2"/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</row>
    <row r="6474" spans="1:15" ht="15" customHeight="1" x14ac:dyDescent="0.25">
      <c r="A6474" s="3"/>
      <c r="B6474" s="3"/>
      <c r="C6474" s="3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</row>
    <row r="6475" spans="1:15" ht="15" customHeight="1" x14ac:dyDescent="0.25">
      <c r="A6475" s="2"/>
      <c r="B6475" s="2"/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</row>
    <row r="6476" spans="1:15" ht="15" customHeight="1" x14ac:dyDescent="0.25">
      <c r="A6476" s="3"/>
      <c r="B6476" s="3"/>
      <c r="C6476" s="3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</row>
    <row r="6477" spans="1:15" ht="15" customHeight="1" x14ac:dyDescent="0.25">
      <c r="A6477" s="2"/>
      <c r="B6477" s="2"/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</row>
    <row r="6478" spans="1:15" ht="15" customHeight="1" x14ac:dyDescent="0.25">
      <c r="A6478" s="3"/>
      <c r="B6478" s="3"/>
      <c r="C6478" s="3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</row>
    <row r="6479" spans="1:15" ht="15" customHeight="1" x14ac:dyDescent="0.25">
      <c r="A6479" s="2"/>
      <c r="B6479" s="2"/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</row>
    <row r="6480" spans="1:15" ht="15" customHeight="1" x14ac:dyDescent="0.25">
      <c r="A6480" s="3"/>
      <c r="B6480" s="3"/>
      <c r="C6480" s="3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</row>
    <row r="6481" spans="1:15" ht="15" customHeight="1" x14ac:dyDescent="0.25">
      <c r="A6481" s="2"/>
      <c r="B6481" s="2"/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</row>
    <row r="6482" spans="1:15" ht="15" customHeight="1" x14ac:dyDescent="0.25">
      <c r="A6482" s="3"/>
      <c r="B6482" s="3"/>
      <c r="C6482" s="3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</row>
    <row r="6483" spans="1:15" ht="15" customHeight="1" x14ac:dyDescent="0.25">
      <c r="A6483" s="2"/>
      <c r="B6483" s="2"/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</row>
    <row r="6484" spans="1:15" ht="15" customHeight="1" x14ac:dyDescent="0.25">
      <c r="A6484" s="3"/>
      <c r="B6484" s="3"/>
      <c r="C6484" s="3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</row>
    <row r="6485" spans="1:15" ht="15" customHeight="1" x14ac:dyDescent="0.25">
      <c r="A6485" s="2"/>
      <c r="B6485" s="2"/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</row>
    <row r="6486" spans="1:15" ht="15" customHeight="1" x14ac:dyDescent="0.25">
      <c r="A6486" s="3"/>
      <c r="B6486" s="3"/>
      <c r="C6486" s="3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</row>
    <row r="6487" spans="1:15" ht="15" customHeight="1" x14ac:dyDescent="0.25">
      <c r="A6487" s="2"/>
      <c r="B6487" s="2"/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</row>
    <row r="6488" spans="1:15" ht="15" customHeight="1" x14ac:dyDescent="0.25">
      <c r="A6488" s="3"/>
      <c r="B6488" s="3"/>
      <c r="C6488" s="3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</row>
    <row r="6489" spans="1:15" ht="15" customHeight="1" x14ac:dyDescent="0.25">
      <c r="A6489" s="2"/>
      <c r="B6489" s="2"/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</row>
    <row r="6490" spans="1:15" ht="15" customHeight="1" x14ac:dyDescent="0.25">
      <c r="A6490" s="3"/>
      <c r="B6490" s="3"/>
      <c r="C6490" s="3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</row>
    <row r="6491" spans="1:15" ht="15" customHeight="1" x14ac:dyDescent="0.25">
      <c r="A6491" s="2"/>
      <c r="B6491" s="2"/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</row>
    <row r="6492" spans="1:15" ht="15" customHeight="1" x14ac:dyDescent="0.25">
      <c r="A6492" s="3"/>
      <c r="B6492" s="3"/>
      <c r="C6492" s="3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</row>
    <row r="6493" spans="1:15" ht="15" customHeight="1" x14ac:dyDescent="0.25">
      <c r="A6493" s="2"/>
      <c r="B6493" s="2"/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</row>
    <row r="6494" spans="1:15" ht="15" customHeight="1" x14ac:dyDescent="0.25">
      <c r="A6494" s="3"/>
      <c r="B6494" s="3"/>
      <c r="C6494" s="3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</row>
    <row r="6495" spans="1:15" ht="15" customHeight="1" x14ac:dyDescent="0.25">
      <c r="A6495" s="2"/>
      <c r="B6495" s="2"/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</row>
    <row r="6496" spans="1:15" ht="15" customHeight="1" x14ac:dyDescent="0.25">
      <c r="A6496" s="3"/>
      <c r="B6496" s="3"/>
      <c r="C6496" s="3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</row>
    <row r="6497" spans="1:15" ht="15" customHeight="1" x14ac:dyDescent="0.25">
      <c r="A6497" s="2"/>
      <c r="B6497" s="2"/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</row>
    <row r="6498" spans="1:15" ht="15" customHeight="1" x14ac:dyDescent="0.25">
      <c r="A6498" s="3"/>
      <c r="B6498" s="3"/>
      <c r="C6498" s="3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</row>
    <row r="6499" spans="1:15" ht="15" customHeight="1" x14ac:dyDescent="0.25">
      <c r="A6499" s="2"/>
      <c r="B6499" s="2"/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</row>
    <row r="6500" spans="1:15" ht="15" customHeight="1" x14ac:dyDescent="0.25">
      <c r="A6500" s="3"/>
      <c r="B6500" s="3"/>
      <c r="C6500" s="3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</row>
    <row r="6501" spans="1:15" ht="15" customHeight="1" x14ac:dyDescent="0.25">
      <c r="A6501" s="2"/>
      <c r="B6501" s="2"/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</row>
    <row r="6502" spans="1:15" ht="15" customHeight="1" x14ac:dyDescent="0.25">
      <c r="A6502" s="3"/>
      <c r="B6502" s="3"/>
      <c r="C6502" s="3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</row>
    <row r="6503" spans="1:15" ht="15" customHeight="1" x14ac:dyDescent="0.25">
      <c r="A6503" s="2"/>
      <c r="B6503" s="2"/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</row>
    <row r="6504" spans="1:15" ht="15" customHeight="1" x14ac:dyDescent="0.25">
      <c r="A6504" s="3"/>
      <c r="B6504" s="3"/>
      <c r="C6504" s="3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</row>
    <row r="6505" spans="1:15" ht="15" customHeight="1" x14ac:dyDescent="0.25">
      <c r="A6505" s="2"/>
      <c r="B6505" s="2"/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</row>
    <row r="6506" spans="1:15" ht="15" customHeight="1" x14ac:dyDescent="0.25">
      <c r="A6506" s="3"/>
      <c r="B6506" s="3"/>
      <c r="C6506" s="3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</row>
    <row r="6507" spans="1:15" ht="15" customHeight="1" x14ac:dyDescent="0.25">
      <c r="A6507" s="2"/>
      <c r="B6507" s="2"/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</row>
    <row r="6508" spans="1:15" ht="15" customHeight="1" x14ac:dyDescent="0.25">
      <c r="A6508" s="3"/>
      <c r="B6508" s="3"/>
      <c r="C6508" s="3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</row>
    <row r="6509" spans="1:15" ht="15" customHeight="1" x14ac:dyDescent="0.25">
      <c r="A6509" s="2"/>
      <c r="B6509" s="2"/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</row>
    <row r="6510" spans="1:15" ht="15" customHeight="1" x14ac:dyDescent="0.25">
      <c r="A6510" s="3"/>
      <c r="B6510" s="3"/>
      <c r="C6510" s="3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</row>
    <row r="6511" spans="1:15" ht="15" customHeight="1" x14ac:dyDescent="0.25">
      <c r="A6511" s="2"/>
      <c r="B6511" s="2"/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</row>
    <row r="6512" spans="1:15" ht="15" customHeight="1" x14ac:dyDescent="0.25">
      <c r="A6512" s="3"/>
      <c r="B6512" s="3"/>
      <c r="C6512" s="3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</row>
    <row r="6513" spans="1:15" ht="15" customHeight="1" x14ac:dyDescent="0.25">
      <c r="A6513" s="2"/>
      <c r="B6513" s="2"/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</row>
    <row r="6514" spans="1:15" ht="15" customHeight="1" x14ac:dyDescent="0.25">
      <c r="A6514" s="3"/>
      <c r="B6514" s="3"/>
      <c r="C6514" s="3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</row>
    <row r="6515" spans="1:15" ht="15" customHeight="1" x14ac:dyDescent="0.25">
      <c r="A6515" s="2"/>
      <c r="B6515" s="2"/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</row>
    <row r="6516" spans="1:15" ht="15" customHeight="1" x14ac:dyDescent="0.25">
      <c r="A6516" s="3"/>
      <c r="B6516" s="3"/>
      <c r="C6516" s="3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</row>
    <row r="6517" spans="1:15" ht="15" customHeight="1" x14ac:dyDescent="0.25">
      <c r="A6517" s="2"/>
      <c r="B6517" s="2"/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</row>
    <row r="6518" spans="1:15" ht="15" customHeight="1" x14ac:dyDescent="0.25">
      <c r="A6518" s="3"/>
      <c r="B6518" s="3"/>
      <c r="C6518" s="3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</row>
    <row r="6519" spans="1:15" ht="15" customHeight="1" x14ac:dyDescent="0.25">
      <c r="A6519" s="2"/>
      <c r="B6519" s="2"/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</row>
    <row r="6520" spans="1:15" ht="15" customHeight="1" x14ac:dyDescent="0.25">
      <c r="A6520" s="3"/>
      <c r="B6520" s="3"/>
      <c r="C6520" s="3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</row>
    <row r="6521" spans="1:15" ht="15" customHeight="1" x14ac:dyDescent="0.25">
      <c r="A6521" s="2"/>
      <c r="B6521" s="2"/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</row>
    <row r="6522" spans="1:15" ht="15" customHeight="1" x14ac:dyDescent="0.25">
      <c r="A6522" s="3"/>
      <c r="B6522" s="3"/>
      <c r="C6522" s="3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</row>
    <row r="6523" spans="1:15" ht="15" customHeight="1" x14ac:dyDescent="0.25">
      <c r="A6523" s="2"/>
      <c r="B6523" s="2"/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</row>
    <row r="6524" spans="1:15" ht="15" customHeight="1" x14ac:dyDescent="0.25">
      <c r="A6524" s="3"/>
      <c r="B6524" s="3"/>
      <c r="C6524" s="3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</row>
    <row r="6525" spans="1:15" ht="15" customHeight="1" x14ac:dyDescent="0.25">
      <c r="A6525" s="2"/>
      <c r="B6525" s="2"/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</row>
    <row r="6526" spans="1:15" ht="15" customHeight="1" x14ac:dyDescent="0.25">
      <c r="A6526" s="3"/>
      <c r="B6526" s="3"/>
      <c r="C6526" s="3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</row>
    <row r="6527" spans="1:15" ht="15" customHeight="1" x14ac:dyDescent="0.25">
      <c r="A6527" s="2"/>
      <c r="B6527" s="2"/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</row>
    <row r="6528" spans="1:15" ht="15" customHeight="1" x14ac:dyDescent="0.25">
      <c r="A6528" s="3"/>
      <c r="B6528" s="3"/>
      <c r="C6528" s="3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</row>
    <row r="6529" spans="1:15" ht="15" customHeight="1" x14ac:dyDescent="0.25">
      <c r="A6529" s="2"/>
      <c r="B6529" s="2"/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</row>
    <row r="6530" spans="1:15" ht="15" customHeight="1" x14ac:dyDescent="0.25">
      <c r="A6530" s="3"/>
      <c r="B6530" s="3"/>
      <c r="C6530" s="3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</row>
    <row r="6531" spans="1:15" ht="15" customHeight="1" x14ac:dyDescent="0.25">
      <c r="A6531" s="2"/>
      <c r="B6531" s="2"/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</row>
    <row r="6532" spans="1:15" ht="15" customHeight="1" x14ac:dyDescent="0.25">
      <c r="A6532" s="3"/>
      <c r="B6532" s="3"/>
      <c r="C6532" s="3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</row>
    <row r="6533" spans="1:15" ht="15" customHeight="1" x14ac:dyDescent="0.25">
      <c r="A6533" s="2"/>
      <c r="B6533" s="2"/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</row>
    <row r="6534" spans="1:15" ht="15" customHeight="1" x14ac:dyDescent="0.25">
      <c r="A6534" s="3"/>
      <c r="B6534" s="3"/>
      <c r="C6534" s="3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</row>
    <row r="6535" spans="1:15" ht="15" customHeight="1" x14ac:dyDescent="0.25">
      <c r="A6535" s="2"/>
      <c r="B6535" s="2"/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</row>
    <row r="6536" spans="1:15" ht="15" customHeight="1" x14ac:dyDescent="0.25">
      <c r="A6536" s="3"/>
      <c r="B6536" s="3"/>
      <c r="C6536" s="3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</row>
    <row r="6537" spans="1:15" ht="15" customHeight="1" x14ac:dyDescent="0.25">
      <c r="A6537" s="2"/>
      <c r="B6537" s="2"/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</row>
    <row r="6538" spans="1:15" ht="15" customHeight="1" x14ac:dyDescent="0.25">
      <c r="A6538" s="3"/>
      <c r="B6538" s="3"/>
      <c r="C6538" s="3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</row>
    <row r="6539" spans="1:15" ht="15" customHeight="1" x14ac:dyDescent="0.25">
      <c r="A6539" s="2"/>
      <c r="B6539" s="2"/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</row>
    <row r="6540" spans="1:15" ht="15" customHeight="1" x14ac:dyDescent="0.25">
      <c r="A6540" s="3"/>
      <c r="B6540" s="3"/>
      <c r="C6540" s="3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</row>
    <row r="6541" spans="1:15" ht="15" customHeight="1" x14ac:dyDescent="0.25">
      <c r="A6541" s="2"/>
      <c r="B6541" s="2"/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</row>
    <row r="6542" spans="1:15" ht="15" customHeight="1" x14ac:dyDescent="0.25">
      <c r="A6542" s="3"/>
      <c r="B6542" s="3"/>
      <c r="C6542" s="3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</row>
    <row r="6543" spans="1:15" ht="15" customHeight="1" x14ac:dyDescent="0.25">
      <c r="A6543" s="2"/>
      <c r="B6543" s="2"/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</row>
    <row r="6544" spans="1:15" ht="15" customHeight="1" x14ac:dyDescent="0.25">
      <c r="A6544" s="3"/>
      <c r="B6544" s="3"/>
      <c r="C6544" s="3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</row>
    <row r="6545" spans="1:15" ht="15" customHeight="1" x14ac:dyDescent="0.25">
      <c r="A6545" s="2"/>
      <c r="B6545" s="2"/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</row>
    <row r="6546" spans="1:15" ht="15" customHeight="1" x14ac:dyDescent="0.25">
      <c r="A6546" s="3"/>
      <c r="B6546" s="3"/>
      <c r="C6546" s="3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</row>
    <row r="6547" spans="1:15" ht="15" customHeight="1" x14ac:dyDescent="0.25">
      <c r="A6547" s="2"/>
      <c r="B6547" s="2"/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</row>
    <row r="6548" spans="1:15" ht="15" customHeight="1" x14ac:dyDescent="0.25">
      <c r="A6548" s="3"/>
      <c r="B6548" s="3"/>
      <c r="C6548" s="3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</row>
    <row r="6549" spans="1:15" ht="15" customHeight="1" x14ac:dyDescent="0.25">
      <c r="A6549" s="2"/>
      <c r="B6549" s="2"/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</row>
    <row r="6550" spans="1:15" ht="15" customHeight="1" x14ac:dyDescent="0.25">
      <c r="A6550" s="3"/>
      <c r="B6550" s="3"/>
      <c r="C6550" s="3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</row>
    <row r="6551" spans="1:15" ht="15" customHeight="1" x14ac:dyDescent="0.25">
      <c r="A6551" s="2"/>
      <c r="B6551" s="2"/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</row>
    <row r="6552" spans="1:15" ht="15" customHeight="1" x14ac:dyDescent="0.25">
      <c r="A6552" s="3"/>
      <c r="B6552" s="3"/>
      <c r="C6552" s="3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</row>
    <row r="6553" spans="1:15" ht="15" customHeight="1" x14ac:dyDescent="0.25">
      <c r="A6553" s="2"/>
      <c r="B6553" s="2"/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</row>
    <row r="6554" spans="1:15" ht="15" customHeight="1" x14ac:dyDescent="0.25">
      <c r="A6554" s="3"/>
      <c r="B6554" s="3"/>
      <c r="C6554" s="3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</row>
    <row r="6555" spans="1:15" ht="15" customHeight="1" x14ac:dyDescent="0.25">
      <c r="A6555" s="2"/>
      <c r="B6555" s="2"/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</row>
    <row r="6556" spans="1:15" ht="15" customHeight="1" x14ac:dyDescent="0.25">
      <c r="A6556" s="3"/>
      <c r="B6556" s="3"/>
      <c r="C6556" s="3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</row>
    <row r="6557" spans="1:15" ht="15" customHeight="1" x14ac:dyDescent="0.25">
      <c r="A6557" s="2"/>
      <c r="B6557" s="2"/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</row>
    <row r="6558" spans="1:15" ht="15" customHeight="1" x14ac:dyDescent="0.25">
      <c r="A6558" s="3"/>
      <c r="B6558" s="3"/>
      <c r="C6558" s="3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</row>
    <row r="6559" spans="1:15" ht="15" customHeight="1" x14ac:dyDescent="0.25">
      <c r="A6559" s="2"/>
      <c r="B6559" s="2"/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</row>
    <row r="6560" spans="1:15" ht="15" customHeight="1" x14ac:dyDescent="0.25">
      <c r="A6560" s="3"/>
      <c r="B6560" s="3"/>
      <c r="C6560" s="3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</row>
    <row r="6561" spans="1:15" ht="15" customHeight="1" x14ac:dyDescent="0.25">
      <c r="A6561" s="2"/>
      <c r="B6561" s="2"/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</row>
    <row r="6562" spans="1:15" ht="15" customHeight="1" x14ac:dyDescent="0.25">
      <c r="A6562" s="3"/>
      <c r="B6562" s="3"/>
      <c r="C6562" s="3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</row>
    <row r="6563" spans="1:15" ht="15" customHeight="1" x14ac:dyDescent="0.25">
      <c r="A6563" s="2"/>
      <c r="B6563" s="2"/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</row>
    <row r="6564" spans="1:15" ht="15" customHeight="1" x14ac:dyDescent="0.25">
      <c r="A6564" s="3"/>
      <c r="B6564" s="3"/>
      <c r="C6564" s="3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</row>
    <row r="6565" spans="1:15" ht="15" customHeight="1" x14ac:dyDescent="0.25">
      <c r="A6565" s="2"/>
      <c r="B6565" s="2"/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</row>
    <row r="6566" spans="1:15" ht="15" customHeight="1" x14ac:dyDescent="0.25">
      <c r="A6566" s="3"/>
      <c r="B6566" s="3"/>
      <c r="C6566" s="3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</row>
    <row r="6567" spans="1:15" ht="15" customHeight="1" x14ac:dyDescent="0.25">
      <c r="A6567" s="2"/>
      <c r="B6567" s="2"/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</row>
    <row r="6568" spans="1:15" ht="15" customHeight="1" x14ac:dyDescent="0.25">
      <c r="A6568" s="3"/>
      <c r="B6568" s="3"/>
      <c r="C6568" s="3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</row>
    <row r="6569" spans="1:15" ht="15" customHeight="1" x14ac:dyDescent="0.25">
      <c r="A6569" s="2"/>
      <c r="B6569" s="2"/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</row>
    <row r="6570" spans="1:15" ht="15" customHeight="1" x14ac:dyDescent="0.25">
      <c r="A6570" s="3"/>
      <c r="B6570" s="3"/>
      <c r="C6570" s="3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</row>
    <row r="6571" spans="1:15" ht="15" customHeight="1" x14ac:dyDescent="0.25">
      <c r="A6571" s="2"/>
      <c r="B6571" s="2"/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</row>
    <row r="6572" spans="1:15" ht="15" customHeight="1" x14ac:dyDescent="0.25">
      <c r="A6572" s="3"/>
      <c r="B6572" s="3"/>
      <c r="C6572" s="3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</row>
    <row r="6573" spans="1:15" ht="15" customHeight="1" x14ac:dyDescent="0.25">
      <c r="A6573" s="2"/>
      <c r="B6573" s="2"/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</row>
    <row r="6574" spans="1:15" ht="15" customHeight="1" x14ac:dyDescent="0.25">
      <c r="A6574" s="3"/>
      <c r="B6574" s="3"/>
      <c r="C6574" s="3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</row>
    <row r="6575" spans="1:15" ht="15" customHeight="1" x14ac:dyDescent="0.25">
      <c r="A6575" s="2"/>
      <c r="B6575" s="2"/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</row>
    <row r="6576" spans="1:15" ht="15" customHeight="1" x14ac:dyDescent="0.25">
      <c r="A6576" s="3"/>
      <c r="B6576" s="3"/>
      <c r="C6576" s="3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</row>
    <row r="6577" spans="1:15" ht="15" customHeight="1" x14ac:dyDescent="0.25">
      <c r="A6577" s="2"/>
      <c r="B6577" s="2"/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</row>
    <row r="6578" spans="1:15" ht="15" customHeight="1" x14ac:dyDescent="0.25">
      <c r="A6578" s="3"/>
      <c r="B6578" s="3"/>
      <c r="C6578" s="3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</row>
    <row r="6579" spans="1:15" ht="15" customHeight="1" x14ac:dyDescent="0.25">
      <c r="A6579" s="2"/>
      <c r="B6579" s="2"/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</row>
    <row r="6580" spans="1:15" ht="15" customHeight="1" x14ac:dyDescent="0.25">
      <c r="A6580" s="3"/>
      <c r="B6580" s="3"/>
      <c r="C6580" s="3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</row>
    <row r="6581" spans="1:15" ht="15" customHeight="1" x14ac:dyDescent="0.25">
      <c r="A6581" s="2"/>
      <c r="B6581" s="2"/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</row>
    <row r="6582" spans="1:15" ht="15" customHeight="1" x14ac:dyDescent="0.25">
      <c r="A6582" s="3"/>
      <c r="B6582" s="3"/>
      <c r="C6582" s="3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</row>
    <row r="6583" spans="1:15" ht="15" customHeight="1" x14ac:dyDescent="0.25">
      <c r="A6583" s="2"/>
      <c r="B6583" s="2"/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</row>
    <row r="6584" spans="1:15" ht="15" customHeight="1" x14ac:dyDescent="0.25">
      <c r="A6584" s="3"/>
      <c r="B6584" s="3"/>
      <c r="C6584" s="3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</row>
    <row r="6585" spans="1:15" ht="15" customHeight="1" x14ac:dyDescent="0.25">
      <c r="A6585" s="2"/>
      <c r="B6585" s="2"/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</row>
    <row r="6586" spans="1:15" ht="15" customHeight="1" x14ac:dyDescent="0.25">
      <c r="A6586" s="3"/>
      <c r="B6586" s="3"/>
      <c r="C6586" s="3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</row>
    <row r="6587" spans="1:15" ht="15" customHeight="1" x14ac:dyDescent="0.25">
      <c r="A6587" s="2"/>
      <c r="B6587" s="2"/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</row>
    <row r="6588" spans="1:15" ht="15" customHeight="1" x14ac:dyDescent="0.25">
      <c r="A6588" s="3"/>
      <c r="B6588" s="3"/>
      <c r="C6588" s="3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</row>
    <row r="6589" spans="1:15" ht="15" customHeight="1" x14ac:dyDescent="0.25">
      <c r="A6589" s="2"/>
      <c r="B6589" s="2"/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</row>
    <row r="6590" spans="1:15" ht="15" customHeight="1" x14ac:dyDescent="0.25">
      <c r="A6590" s="3"/>
      <c r="B6590" s="3"/>
      <c r="C6590" s="3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</row>
    <row r="6591" spans="1:15" ht="15" customHeight="1" x14ac:dyDescent="0.25">
      <c r="A6591" s="2"/>
      <c r="B6591" s="2"/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</row>
    <row r="6592" spans="1:15" ht="15" customHeight="1" x14ac:dyDescent="0.25">
      <c r="A6592" s="3"/>
      <c r="B6592" s="3"/>
      <c r="C6592" s="3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</row>
    <row r="6593" spans="1:15" ht="15" customHeight="1" x14ac:dyDescent="0.25">
      <c r="A6593" s="2"/>
      <c r="B6593" s="2"/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</row>
    <row r="6594" spans="1:15" ht="15" customHeight="1" x14ac:dyDescent="0.25">
      <c r="A6594" s="3"/>
      <c r="B6594" s="3"/>
      <c r="C6594" s="3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</row>
    <row r="6595" spans="1:15" ht="15" customHeight="1" x14ac:dyDescent="0.25">
      <c r="A6595" s="2"/>
      <c r="B6595" s="2"/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</row>
    <row r="6596" spans="1:15" ht="15" customHeight="1" x14ac:dyDescent="0.25">
      <c r="A6596" s="3"/>
      <c r="B6596" s="3"/>
      <c r="C6596" s="3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</row>
    <row r="6597" spans="1:15" ht="15" customHeight="1" x14ac:dyDescent="0.25">
      <c r="A6597" s="2"/>
      <c r="B6597" s="2"/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</row>
    <row r="6598" spans="1:15" ht="15" customHeight="1" x14ac:dyDescent="0.25">
      <c r="A6598" s="3"/>
      <c r="B6598" s="3"/>
      <c r="C6598" s="3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</row>
    <row r="6599" spans="1:15" ht="15" customHeight="1" x14ac:dyDescent="0.25">
      <c r="A6599" s="2"/>
      <c r="B6599" s="2"/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</row>
    <row r="6600" spans="1:15" ht="15" customHeight="1" x14ac:dyDescent="0.25">
      <c r="A6600" s="3"/>
      <c r="B6600" s="3"/>
      <c r="C6600" s="3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</row>
    <row r="6601" spans="1:15" ht="15" customHeight="1" x14ac:dyDescent="0.25">
      <c r="A6601" s="2"/>
      <c r="B6601" s="2"/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</row>
    <row r="6602" spans="1:15" ht="15" customHeight="1" x14ac:dyDescent="0.25">
      <c r="A6602" s="3"/>
      <c r="B6602" s="3"/>
      <c r="C6602" s="3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</row>
    <row r="6603" spans="1:15" ht="15" customHeight="1" x14ac:dyDescent="0.25">
      <c r="A6603" s="2"/>
      <c r="B6603" s="2"/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</row>
    <row r="6604" spans="1:15" ht="15" customHeight="1" x14ac:dyDescent="0.25">
      <c r="A6604" s="3"/>
      <c r="B6604" s="3"/>
      <c r="C6604" s="3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</row>
    <row r="6605" spans="1:15" ht="15" customHeight="1" x14ac:dyDescent="0.25">
      <c r="A6605" s="2"/>
      <c r="B6605" s="2"/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</row>
    <row r="6606" spans="1:15" ht="15" customHeight="1" x14ac:dyDescent="0.25">
      <c r="A6606" s="3"/>
      <c r="B6606" s="3"/>
      <c r="C6606" s="3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</row>
    <row r="6607" spans="1:15" ht="15" customHeight="1" x14ac:dyDescent="0.25">
      <c r="A6607" s="2"/>
      <c r="B6607" s="2"/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</row>
    <row r="6608" spans="1:15" ht="15" customHeight="1" x14ac:dyDescent="0.25">
      <c r="A6608" s="3"/>
      <c r="B6608" s="3"/>
      <c r="C6608" s="3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</row>
    <row r="6609" spans="1:15" ht="15" customHeight="1" x14ac:dyDescent="0.25">
      <c r="A6609" s="2"/>
      <c r="B6609" s="2"/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</row>
    <row r="6610" spans="1:15" ht="15" customHeight="1" x14ac:dyDescent="0.25">
      <c r="A6610" s="3"/>
      <c r="B6610" s="3"/>
      <c r="C6610" s="3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</row>
    <row r="6611" spans="1:15" ht="15" customHeight="1" x14ac:dyDescent="0.25">
      <c r="A6611" s="2"/>
      <c r="B6611" s="2"/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</row>
    <row r="6612" spans="1:15" ht="15" customHeight="1" x14ac:dyDescent="0.25">
      <c r="A6612" s="3"/>
      <c r="B6612" s="3"/>
      <c r="C6612" s="3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</row>
    <row r="6613" spans="1:15" ht="15" customHeight="1" x14ac:dyDescent="0.25">
      <c r="A6613" s="2"/>
      <c r="B6613" s="2"/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</row>
    <row r="6614" spans="1:15" ht="15" customHeight="1" x14ac:dyDescent="0.25">
      <c r="A6614" s="3"/>
      <c r="B6614" s="3"/>
      <c r="C6614" s="3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</row>
    <row r="6615" spans="1:15" ht="15" customHeight="1" x14ac:dyDescent="0.25">
      <c r="A6615" s="2"/>
      <c r="B6615" s="2"/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</row>
    <row r="6616" spans="1:15" ht="15" customHeight="1" x14ac:dyDescent="0.25">
      <c r="A6616" s="3"/>
      <c r="B6616" s="3"/>
      <c r="C6616" s="3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</row>
    <row r="6617" spans="1:15" ht="15" customHeight="1" x14ac:dyDescent="0.25">
      <c r="A6617" s="2"/>
      <c r="B6617" s="2"/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</row>
    <row r="6618" spans="1:15" ht="15" customHeight="1" x14ac:dyDescent="0.25">
      <c r="A6618" s="3"/>
      <c r="B6618" s="3"/>
      <c r="C6618" s="3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</row>
    <row r="6619" spans="1:15" ht="15" customHeight="1" x14ac:dyDescent="0.25">
      <c r="A6619" s="2"/>
      <c r="B6619" s="2"/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</row>
    <row r="6620" spans="1:15" ht="15" customHeight="1" x14ac:dyDescent="0.25">
      <c r="A6620" s="3"/>
      <c r="B6620" s="3"/>
      <c r="C6620" s="3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</row>
    <row r="6621" spans="1:15" ht="15" customHeight="1" x14ac:dyDescent="0.25">
      <c r="A6621" s="2"/>
      <c r="B6621" s="2"/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</row>
    <row r="6622" spans="1:15" ht="15" customHeight="1" x14ac:dyDescent="0.25">
      <c r="A6622" s="3"/>
      <c r="B6622" s="3"/>
      <c r="C6622" s="3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</row>
    <row r="6623" spans="1:15" ht="15" customHeight="1" x14ac:dyDescent="0.25">
      <c r="A6623" s="2"/>
      <c r="B6623" s="2"/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</row>
    <row r="6624" spans="1:15" ht="15" customHeight="1" x14ac:dyDescent="0.25">
      <c r="A6624" s="3"/>
      <c r="B6624" s="3"/>
      <c r="C6624" s="3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</row>
    <row r="6625" spans="1:15" ht="15" customHeight="1" x14ac:dyDescent="0.25">
      <c r="A6625" s="2"/>
      <c r="B6625" s="2"/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</row>
    <row r="6626" spans="1:15" ht="15" customHeight="1" x14ac:dyDescent="0.25">
      <c r="A6626" s="3"/>
      <c r="B6626" s="3"/>
      <c r="C6626" s="3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</row>
    <row r="6627" spans="1:15" ht="15" customHeight="1" x14ac:dyDescent="0.25">
      <c r="A6627" s="2"/>
      <c r="B6627" s="2"/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</row>
    <row r="6628" spans="1:15" ht="15" customHeight="1" x14ac:dyDescent="0.25">
      <c r="A6628" s="3"/>
      <c r="B6628" s="3"/>
      <c r="C6628" s="3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</row>
    <row r="6629" spans="1:15" ht="15" customHeight="1" x14ac:dyDescent="0.25">
      <c r="A6629" s="2"/>
      <c r="B6629" s="2"/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</row>
    <row r="6630" spans="1:15" ht="15" customHeight="1" x14ac:dyDescent="0.25">
      <c r="A6630" s="3"/>
      <c r="B6630" s="3"/>
      <c r="C6630" s="3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</row>
    <row r="6631" spans="1:15" ht="15" customHeight="1" x14ac:dyDescent="0.25">
      <c r="A6631" s="2"/>
      <c r="B6631" s="2"/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</row>
    <row r="6632" spans="1:15" ht="15" customHeight="1" x14ac:dyDescent="0.25">
      <c r="A6632" s="3"/>
      <c r="B6632" s="3"/>
      <c r="C6632" s="3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</row>
    <row r="6633" spans="1:15" ht="15" customHeight="1" x14ac:dyDescent="0.25">
      <c r="A6633" s="2"/>
      <c r="B6633" s="2"/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</row>
    <row r="6634" spans="1:15" ht="15" customHeight="1" x14ac:dyDescent="0.25">
      <c r="A6634" s="3"/>
      <c r="B6634" s="3"/>
      <c r="C6634" s="3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</row>
    <row r="6635" spans="1:15" ht="15" customHeight="1" x14ac:dyDescent="0.25">
      <c r="A6635" s="2"/>
      <c r="B6635" s="2"/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</row>
    <row r="6636" spans="1:15" ht="15" customHeight="1" x14ac:dyDescent="0.25">
      <c r="A6636" s="3"/>
      <c r="B6636" s="3"/>
      <c r="C6636" s="3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</row>
    <row r="6637" spans="1:15" ht="15" customHeight="1" x14ac:dyDescent="0.25">
      <c r="A6637" s="2"/>
      <c r="B6637" s="2"/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</row>
    <row r="6638" spans="1:15" ht="15" customHeight="1" x14ac:dyDescent="0.25">
      <c r="A6638" s="3"/>
      <c r="B6638" s="3"/>
      <c r="C6638" s="3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</row>
    <row r="6639" spans="1:15" ht="15" customHeight="1" x14ac:dyDescent="0.25">
      <c r="A6639" s="2"/>
      <c r="B6639" s="2"/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</row>
    <row r="6640" spans="1:15" ht="15" customHeight="1" x14ac:dyDescent="0.25">
      <c r="A6640" s="3"/>
      <c r="B6640" s="3"/>
      <c r="C6640" s="3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</row>
    <row r="6641" spans="1:15" ht="15" customHeight="1" x14ac:dyDescent="0.25">
      <c r="A6641" s="2"/>
      <c r="B6641" s="2"/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</row>
    <row r="6642" spans="1:15" ht="15" customHeight="1" x14ac:dyDescent="0.25">
      <c r="A6642" s="3"/>
      <c r="B6642" s="3"/>
      <c r="C6642" s="3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</row>
    <row r="6643" spans="1:15" ht="15" customHeight="1" x14ac:dyDescent="0.25">
      <c r="A6643" s="2"/>
      <c r="B6643" s="2"/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</row>
    <row r="6644" spans="1:15" ht="15" customHeight="1" x14ac:dyDescent="0.25">
      <c r="A6644" s="3"/>
      <c r="B6644" s="3"/>
      <c r="C6644" s="3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</row>
    <row r="6645" spans="1:15" ht="15" customHeight="1" x14ac:dyDescent="0.25">
      <c r="A6645" s="2"/>
      <c r="B6645" s="2"/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</row>
    <row r="6646" spans="1:15" ht="15" customHeight="1" x14ac:dyDescent="0.25">
      <c r="A6646" s="3"/>
      <c r="B6646" s="3"/>
      <c r="C6646" s="3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</row>
    <row r="6647" spans="1:15" ht="15" customHeight="1" x14ac:dyDescent="0.25">
      <c r="A6647" s="2"/>
      <c r="B6647" s="2"/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</row>
    <row r="6648" spans="1:15" ht="15" customHeight="1" x14ac:dyDescent="0.25">
      <c r="A6648" s="3"/>
      <c r="B6648" s="3"/>
      <c r="C6648" s="3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</row>
    <row r="6649" spans="1:15" ht="15" customHeight="1" x14ac:dyDescent="0.25">
      <c r="A6649" s="2"/>
      <c r="B6649" s="2"/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</row>
    <row r="6650" spans="1:15" ht="15" customHeight="1" x14ac:dyDescent="0.25">
      <c r="A6650" s="3"/>
      <c r="B6650" s="3"/>
      <c r="C6650" s="3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</row>
    <row r="6651" spans="1:15" ht="15" customHeight="1" x14ac:dyDescent="0.25">
      <c r="A6651" s="2"/>
      <c r="B6651" s="2"/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</row>
    <row r="6652" spans="1:15" ht="15" customHeight="1" x14ac:dyDescent="0.25">
      <c r="A6652" s="3"/>
      <c r="B6652" s="3"/>
      <c r="C6652" s="3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</row>
    <row r="6653" spans="1:15" ht="15" customHeight="1" x14ac:dyDescent="0.25">
      <c r="A6653" s="2"/>
      <c r="B6653" s="2"/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</row>
    <row r="6654" spans="1:15" ht="15" customHeight="1" x14ac:dyDescent="0.25">
      <c r="A6654" s="3"/>
      <c r="B6654" s="3"/>
      <c r="C6654" s="3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</row>
    <row r="6655" spans="1:15" ht="15" customHeight="1" x14ac:dyDescent="0.25">
      <c r="A6655" s="2"/>
      <c r="B6655" s="2"/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</row>
    <row r="6656" spans="1:15" ht="15" customHeight="1" x14ac:dyDescent="0.25">
      <c r="A6656" s="3"/>
      <c r="B6656" s="3"/>
      <c r="C6656" s="3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</row>
    <row r="6657" spans="1:15" ht="15" customHeight="1" x14ac:dyDescent="0.25">
      <c r="A6657" s="2"/>
      <c r="B6657" s="2"/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</row>
    <row r="6658" spans="1:15" ht="15" customHeight="1" x14ac:dyDescent="0.25">
      <c r="A6658" s="3"/>
      <c r="B6658" s="3"/>
      <c r="C6658" s="3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</row>
    <row r="6659" spans="1:15" ht="15" customHeight="1" x14ac:dyDescent="0.25">
      <c r="A6659" s="2"/>
      <c r="B6659" s="2"/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</row>
    <row r="6660" spans="1:15" ht="15" customHeight="1" x14ac:dyDescent="0.25">
      <c r="A6660" s="3"/>
      <c r="B6660" s="3"/>
      <c r="C6660" s="3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</row>
    <row r="6661" spans="1:15" ht="15" customHeight="1" x14ac:dyDescent="0.25">
      <c r="A6661" s="2"/>
      <c r="B6661" s="2"/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</row>
    <row r="6662" spans="1:15" ht="15" customHeight="1" x14ac:dyDescent="0.25">
      <c r="A6662" s="3"/>
      <c r="B6662" s="3"/>
      <c r="C6662" s="3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</row>
    <row r="6663" spans="1:15" ht="15" customHeight="1" x14ac:dyDescent="0.25">
      <c r="A6663" s="2"/>
      <c r="B6663" s="2"/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</row>
    <row r="6664" spans="1:15" ht="15" customHeight="1" x14ac:dyDescent="0.25">
      <c r="A6664" s="3"/>
      <c r="B6664" s="3"/>
      <c r="C6664" s="3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</row>
    <row r="6665" spans="1:15" ht="15" customHeight="1" x14ac:dyDescent="0.25">
      <c r="A6665" s="2"/>
      <c r="B6665" s="2"/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</row>
    <row r="6666" spans="1:15" ht="15" customHeight="1" x14ac:dyDescent="0.25">
      <c r="A6666" s="3"/>
      <c r="B6666" s="3"/>
      <c r="C6666" s="3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</row>
    <row r="6667" spans="1:15" ht="15" customHeight="1" x14ac:dyDescent="0.25">
      <c r="A6667" s="2"/>
      <c r="B6667" s="2"/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</row>
    <row r="6668" spans="1:15" ht="15" customHeight="1" x14ac:dyDescent="0.25">
      <c r="A6668" s="3"/>
      <c r="B6668" s="3"/>
      <c r="C6668" s="3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</row>
    <row r="6669" spans="1:15" ht="15" customHeight="1" x14ac:dyDescent="0.25">
      <c r="A6669" s="2"/>
      <c r="B6669" s="2"/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</row>
    <row r="6670" spans="1:15" ht="15" customHeight="1" x14ac:dyDescent="0.25">
      <c r="A6670" s="3"/>
      <c r="B6670" s="3"/>
      <c r="C6670" s="3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</row>
    <row r="6671" spans="1:15" ht="15" customHeight="1" x14ac:dyDescent="0.25">
      <c r="A6671" s="2"/>
      <c r="B6671" s="2"/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</row>
    <row r="6672" spans="1:15" ht="15" customHeight="1" x14ac:dyDescent="0.25">
      <c r="A6672" s="3"/>
      <c r="B6672" s="3"/>
      <c r="C6672" s="3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</row>
    <row r="6673" spans="1:15" ht="15" customHeight="1" x14ac:dyDescent="0.25">
      <c r="A6673" s="2"/>
      <c r="B6673" s="2"/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</row>
    <row r="6674" spans="1:15" ht="15" customHeight="1" x14ac:dyDescent="0.25">
      <c r="A6674" s="3"/>
      <c r="B6674" s="3"/>
      <c r="C6674" s="3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</row>
    <row r="6675" spans="1:15" ht="15" customHeight="1" x14ac:dyDescent="0.25">
      <c r="A6675" s="2"/>
      <c r="B6675" s="2"/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</row>
    <row r="6676" spans="1:15" ht="15" customHeight="1" x14ac:dyDescent="0.25">
      <c r="A6676" s="3"/>
      <c r="B6676" s="3"/>
      <c r="C6676" s="3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</row>
    <row r="6677" spans="1:15" ht="15" customHeight="1" x14ac:dyDescent="0.25">
      <c r="A6677" s="2"/>
      <c r="B6677" s="2"/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</row>
    <row r="6678" spans="1:15" ht="15" customHeight="1" x14ac:dyDescent="0.25">
      <c r="A6678" s="3"/>
      <c r="B6678" s="3"/>
      <c r="C6678" s="3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</row>
    <row r="6679" spans="1:15" ht="15" customHeight="1" x14ac:dyDescent="0.25">
      <c r="A6679" s="2"/>
      <c r="B6679" s="2"/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</row>
    <row r="6680" spans="1:15" ht="15" customHeight="1" x14ac:dyDescent="0.25">
      <c r="A6680" s="3"/>
      <c r="B6680" s="3"/>
      <c r="C6680" s="3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</row>
    <row r="6681" spans="1:15" ht="15" customHeight="1" x14ac:dyDescent="0.25">
      <c r="A6681" s="2"/>
      <c r="B6681" s="2"/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</row>
    <row r="6682" spans="1:15" ht="15" customHeight="1" x14ac:dyDescent="0.25">
      <c r="A6682" s="3"/>
      <c r="B6682" s="3"/>
      <c r="C6682" s="3"/>
      <c r="D6682" s="3"/>
      <c r="E6682" s="3"/>
      <c r="F6682" s="3"/>
      <c r="G6682" s="3"/>
      <c r="H6682" s="3"/>
      <c r="I6682" s="3"/>
      <c r="J6682" s="3"/>
      <c r="K6682" s="3"/>
      <c r="L6682" s="3"/>
      <c r="M6682" s="3"/>
      <c r="N6682" s="3"/>
      <c r="O6682" s="3"/>
    </row>
    <row r="6683" spans="1:15" ht="15" customHeight="1" x14ac:dyDescent="0.25">
      <c r="A6683" s="2"/>
      <c r="B6683" s="2"/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</row>
    <row r="6684" spans="1:15" ht="15" customHeight="1" x14ac:dyDescent="0.25">
      <c r="A6684" s="3"/>
      <c r="B6684" s="3"/>
      <c r="C6684" s="3"/>
      <c r="D6684" s="3"/>
      <c r="E6684" s="3"/>
      <c r="F6684" s="3"/>
      <c r="G6684" s="3"/>
      <c r="H6684" s="3"/>
      <c r="I6684" s="3"/>
      <c r="J6684" s="3"/>
      <c r="K6684" s="3"/>
      <c r="L6684" s="3"/>
      <c r="M6684" s="3"/>
      <c r="N6684" s="3"/>
      <c r="O6684" s="3"/>
    </row>
    <row r="6685" spans="1:15" ht="15" customHeight="1" x14ac:dyDescent="0.25">
      <c r="A6685" s="2"/>
      <c r="B6685" s="2"/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</row>
    <row r="6686" spans="1:15" ht="15" customHeight="1" x14ac:dyDescent="0.25">
      <c r="A6686" s="3"/>
      <c r="B6686" s="3"/>
      <c r="C6686" s="3"/>
      <c r="D6686" s="3"/>
      <c r="E6686" s="3"/>
      <c r="F6686" s="3"/>
      <c r="G6686" s="3"/>
      <c r="H6686" s="3"/>
      <c r="I6686" s="3"/>
      <c r="J6686" s="3"/>
      <c r="K6686" s="3"/>
      <c r="L6686" s="3"/>
      <c r="M6686" s="3"/>
      <c r="N6686" s="3"/>
      <c r="O6686" s="3"/>
    </row>
    <row r="6687" spans="1:15" ht="15" customHeight="1" x14ac:dyDescent="0.25">
      <c r="A6687" s="2"/>
      <c r="B6687" s="2"/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</row>
    <row r="6688" spans="1:15" ht="15" customHeight="1" x14ac:dyDescent="0.25">
      <c r="A6688" s="3"/>
      <c r="B6688" s="3"/>
      <c r="C6688" s="3"/>
      <c r="D6688" s="3"/>
      <c r="E6688" s="3"/>
      <c r="F6688" s="3"/>
      <c r="G6688" s="3"/>
      <c r="H6688" s="3"/>
      <c r="I6688" s="3"/>
      <c r="J6688" s="3"/>
      <c r="K6688" s="3"/>
      <c r="L6688" s="3"/>
      <c r="M6688" s="3"/>
      <c r="N6688" s="3"/>
      <c r="O6688" s="3"/>
    </row>
    <row r="6689" spans="1:15" ht="15" customHeight="1" x14ac:dyDescent="0.25">
      <c r="A6689" s="2"/>
      <c r="B6689" s="2"/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</row>
    <row r="6690" spans="1:15" ht="15" customHeight="1" x14ac:dyDescent="0.25">
      <c r="A6690" s="3"/>
      <c r="B6690" s="3"/>
      <c r="C6690" s="3"/>
      <c r="D6690" s="3"/>
      <c r="E6690" s="3"/>
      <c r="F6690" s="3"/>
      <c r="G6690" s="3"/>
      <c r="H6690" s="3"/>
      <c r="I6690" s="3"/>
      <c r="J6690" s="3"/>
      <c r="K6690" s="3"/>
      <c r="L6690" s="3"/>
      <c r="M6690" s="3"/>
      <c r="N6690" s="3"/>
      <c r="O6690" s="3"/>
    </row>
    <row r="6691" spans="1:15" ht="15" customHeight="1" x14ac:dyDescent="0.25">
      <c r="A6691" s="2"/>
      <c r="B6691" s="2"/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</row>
    <row r="6692" spans="1:15" ht="15" customHeight="1" x14ac:dyDescent="0.25">
      <c r="A6692" s="3"/>
      <c r="B6692" s="3"/>
      <c r="C6692" s="3"/>
      <c r="D6692" s="3"/>
      <c r="E6692" s="3"/>
      <c r="F6692" s="3"/>
      <c r="G6692" s="3"/>
      <c r="H6692" s="3"/>
      <c r="I6692" s="3"/>
      <c r="J6692" s="3"/>
      <c r="K6692" s="3"/>
      <c r="L6692" s="3"/>
      <c r="M6692" s="3"/>
      <c r="N6692" s="3"/>
      <c r="O6692" s="3"/>
    </row>
    <row r="6693" spans="1:15" ht="15" customHeight="1" x14ac:dyDescent="0.25">
      <c r="A6693" s="2"/>
      <c r="B6693" s="2"/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</row>
    <row r="6694" spans="1:15" ht="15" customHeight="1" x14ac:dyDescent="0.25">
      <c r="A6694" s="3"/>
      <c r="B6694" s="3"/>
      <c r="C6694" s="3"/>
      <c r="D6694" s="3"/>
      <c r="E6694" s="3"/>
      <c r="F6694" s="3"/>
      <c r="G6694" s="3"/>
      <c r="H6694" s="3"/>
      <c r="I6694" s="3"/>
      <c r="J6694" s="3"/>
      <c r="K6694" s="3"/>
      <c r="L6694" s="3"/>
      <c r="M6694" s="3"/>
      <c r="N6694" s="3"/>
      <c r="O6694" s="3"/>
    </row>
    <row r="6695" spans="1:15" ht="15" customHeight="1" x14ac:dyDescent="0.25">
      <c r="A6695" s="2"/>
      <c r="B6695" s="2"/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</row>
    <row r="6696" spans="1:15" ht="15" customHeight="1" x14ac:dyDescent="0.25">
      <c r="A6696" s="3"/>
      <c r="B6696" s="3"/>
      <c r="C6696" s="3"/>
      <c r="D6696" s="3"/>
      <c r="E6696" s="3"/>
      <c r="F6696" s="3"/>
      <c r="G6696" s="3"/>
      <c r="H6696" s="3"/>
      <c r="I6696" s="3"/>
      <c r="J6696" s="3"/>
      <c r="K6696" s="3"/>
      <c r="L6696" s="3"/>
      <c r="M6696" s="3"/>
      <c r="N6696" s="3"/>
      <c r="O6696" s="3"/>
    </row>
    <row r="6697" spans="1:15" ht="15" customHeight="1" x14ac:dyDescent="0.25">
      <c r="A6697" s="2"/>
      <c r="B6697" s="2"/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</row>
    <row r="6698" spans="1:15" ht="15" customHeight="1" x14ac:dyDescent="0.25">
      <c r="A6698" s="3"/>
      <c r="B6698" s="3"/>
      <c r="C6698" s="3"/>
      <c r="D6698" s="3"/>
      <c r="E6698" s="3"/>
      <c r="F6698" s="3"/>
      <c r="G6698" s="3"/>
      <c r="H6698" s="3"/>
      <c r="I6698" s="3"/>
      <c r="J6698" s="3"/>
      <c r="K6698" s="3"/>
      <c r="L6698" s="3"/>
      <c r="M6698" s="3"/>
      <c r="N6698" s="3"/>
      <c r="O6698" s="3"/>
    </row>
    <row r="6699" spans="1:15" ht="15" customHeight="1" x14ac:dyDescent="0.25">
      <c r="A6699" s="2"/>
      <c r="B6699" s="2"/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</row>
    <row r="6700" spans="1:15" ht="15" customHeight="1" x14ac:dyDescent="0.25">
      <c r="A6700" s="3"/>
      <c r="B6700" s="3"/>
      <c r="C6700" s="3"/>
      <c r="D6700" s="3"/>
      <c r="E6700" s="3"/>
      <c r="F6700" s="3"/>
      <c r="G6700" s="3"/>
      <c r="H6700" s="3"/>
      <c r="I6700" s="3"/>
      <c r="J6700" s="3"/>
      <c r="K6700" s="3"/>
      <c r="L6700" s="3"/>
      <c r="M6700" s="3"/>
      <c r="N6700" s="3"/>
      <c r="O6700" s="3"/>
    </row>
    <row r="6701" spans="1:15" ht="15" customHeight="1" x14ac:dyDescent="0.25">
      <c r="A6701" s="2"/>
      <c r="B6701" s="2"/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</row>
    <row r="6702" spans="1:15" ht="15" customHeight="1" x14ac:dyDescent="0.25">
      <c r="A6702" s="3"/>
      <c r="B6702" s="3"/>
      <c r="C6702" s="3"/>
      <c r="D6702" s="3"/>
      <c r="E6702" s="3"/>
      <c r="F6702" s="3"/>
      <c r="G6702" s="3"/>
      <c r="H6702" s="3"/>
      <c r="I6702" s="3"/>
      <c r="J6702" s="3"/>
      <c r="K6702" s="3"/>
      <c r="L6702" s="3"/>
      <c r="M6702" s="3"/>
      <c r="N6702" s="3"/>
      <c r="O6702" s="3"/>
    </row>
    <row r="6703" spans="1:15" ht="15" customHeight="1" x14ac:dyDescent="0.25">
      <c r="A6703" s="2"/>
      <c r="B6703" s="2"/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</row>
    <row r="6704" spans="1:15" ht="15" customHeight="1" x14ac:dyDescent="0.25">
      <c r="A6704" s="3"/>
      <c r="B6704" s="3"/>
      <c r="C6704" s="3"/>
      <c r="D6704" s="3"/>
      <c r="E6704" s="3"/>
      <c r="F6704" s="3"/>
      <c r="G6704" s="3"/>
      <c r="H6704" s="3"/>
      <c r="I6704" s="3"/>
      <c r="J6704" s="3"/>
      <c r="K6704" s="3"/>
      <c r="L6704" s="3"/>
      <c r="M6704" s="3"/>
      <c r="N6704" s="3"/>
      <c r="O6704" s="3"/>
    </row>
    <row r="6705" spans="1:15" ht="15" customHeight="1" x14ac:dyDescent="0.25">
      <c r="A6705" s="2"/>
      <c r="B6705" s="2"/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</row>
    <row r="6706" spans="1:15" ht="15" customHeight="1" x14ac:dyDescent="0.25">
      <c r="A6706" s="3"/>
      <c r="B6706" s="3"/>
      <c r="C6706" s="3"/>
      <c r="D6706" s="3"/>
      <c r="E6706" s="3"/>
      <c r="F6706" s="3"/>
      <c r="G6706" s="3"/>
      <c r="H6706" s="3"/>
      <c r="I6706" s="3"/>
      <c r="J6706" s="3"/>
      <c r="K6706" s="3"/>
      <c r="L6706" s="3"/>
      <c r="M6706" s="3"/>
      <c r="N6706" s="3"/>
      <c r="O6706" s="3"/>
    </row>
    <row r="6707" spans="1:15" ht="15" customHeight="1" x14ac:dyDescent="0.25">
      <c r="A6707" s="2"/>
      <c r="B6707" s="2"/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</row>
    <row r="6708" spans="1:15" ht="15" customHeight="1" x14ac:dyDescent="0.25">
      <c r="A6708" s="3"/>
      <c r="B6708" s="3"/>
      <c r="C6708" s="3"/>
      <c r="D6708" s="3"/>
      <c r="E6708" s="3"/>
      <c r="F6708" s="3"/>
      <c r="G6708" s="3"/>
      <c r="H6708" s="3"/>
      <c r="I6708" s="3"/>
      <c r="J6708" s="3"/>
      <c r="K6708" s="3"/>
      <c r="L6708" s="3"/>
      <c r="M6708" s="3"/>
      <c r="N6708" s="3"/>
      <c r="O6708" s="3"/>
    </row>
    <row r="6709" spans="1:15" ht="15" customHeight="1" x14ac:dyDescent="0.25">
      <c r="A6709" s="2"/>
      <c r="B6709" s="2"/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</row>
    <row r="6710" spans="1:15" ht="15" customHeight="1" x14ac:dyDescent="0.25">
      <c r="A6710" s="3"/>
      <c r="B6710" s="3"/>
      <c r="C6710" s="3"/>
      <c r="D6710" s="3"/>
      <c r="E6710" s="3"/>
      <c r="F6710" s="3"/>
      <c r="G6710" s="3"/>
      <c r="H6710" s="3"/>
      <c r="I6710" s="3"/>
      <c r="J6710" s="3"/>
      <c r="K6710" s="3"/>
      <c r="L6710" s="3"/>
      <c r="M6710" s="3"/>
      <c r="N6710" s="3"/>
      <c r="O6710" s="3"/>
    </row>
    <row r="6711" spans="1:15" ht="15" customHeight="1" x14ac:dyDescent="0.25">
      <c r="A6711" s="2"/>
      <c r="B6711" s="2"/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</row>
    <row r="6712" spans="1:15" ht="15" customHeight="1" x14ac:dyDescent="0.25">
      <c r="A6712" s="3"/>
      <c r="B6712" s="3"/>
      <c r="C6712" s="3"/>
      <c r="D6712" s="3"/>
      <c r="E6712" s="3"/>
      <c r="F6712" s="3"/>
      <c r="G6712" s="3"/>
      <c r="H6712" s="3"/>
      <c r="I6712" s="3"/>
      <c r="J6712" s="3"/>
      <c r="K6712" s="3"/>
      <c r="L6712" s="3"/>
      <c r="M6712" s="3"/>
      <c r="N6712" s="3"/>
      <c r="O6712" s="3"/>
    </row>
    <row r="6713" spans="1:15" ht="15" customHeight="1" x14ac:dyDescent="0.25">
      <c r="A6713" s="2"/>
      <c r="B6713" s="2"/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</row>
    <row r="6714" spans="1:15" ht="15" customHeight="1" x14ac:dyDescent="0.25">
      <c r="A6714" s="3"/>
      <c r="B6714" s="3"/>
      <c r="C6714" s="3"/>
      <c r="D6714" s="3"/>
      <c r="E6714" s="3"/>
      <c r="F6714" s="3"/>
      <c r="G6714" s="3"/>
      <c r="H6714" s="3"/>
      <c r="I6714" s="3"/>
      <c r="J6714" s="3"/>
      <c r="K6714" s="3"/>
      <c r="L6714" s="3"/>
      <c r="M6714" s="3"/>
      <c r="N6714" s="3"/>
      <c r="O6714" s="3"/>
    </row>
    <row r="6715" spans="1:15" ht="15" customHeight="1" x14ac:dyDescent="0.25">
      <c r="A6715" s="2"/>
      <c r="B6715" s="2"/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</row>
    <row r="6716" spans="1:15" ht="15" customHeight="1" x14ac:dyDescent="0.25">
      <c r="A6716" s="3"/>
      <c r="B6716" s="3"/>
      <c r="C6716" s="3"/>
      <c r="D6716" s="3"/>
      <c r="E6716" s="3"/>
      <c r="F6716" s="3"/>
      <c r="G6716" s="3"/>
      <c r="H6716" s="3"/>
      <c r="I6716" s="3"/>
      <c r="J6716" s="3"/>
      <c r="K6716" s="3"/>
      <c r="L6716" s="3"/>
      <c r="M6716" s="3"/>
      <c r="N6716" s="3"/>
      <c r="O6716" s="3"/>
    </row>
    <row r="6717" spans="1:15" ht="15" customHeight="1" x14ac:dyDescent="0.25">
      <c r="A6717" s="2"/>
      <c r="B6717" s="2"/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</row>
    <row r="6718" spans="1:15" ht="15" customHeight="1" x14ac:dyDescent="0.25">
      <c r="A6718" s="3"/>
      <c r="B6718" s="3"/>
      <c r="C6718" s="3"/>
      <c r="D6718" s="3"/>
      <c r="E6718" s="3"/>
      <c r="F6718" s="3"/>
      <c r="G6718" s="3"/>
      <c r="H6718" s="3"/>
      <c r="I6718" s="3"/>
      <c r="J6718" s="3"/>
      <c r="K6718" s="3"/>
      <c r="L6718" s="3"/>
      <c r="M6718" s="3"/>
      <c r="N6718" s="3"/>
      <c r="O6718" s="3"/>
    </row>
    <row r="6719" spans="1:15" ht="15" customHeight="1" x14ac:dyDescent="0.25">
      <c r="A6719" s="2"/>
      <c r="B6719" s="2"/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</row>
    <row r="6720" spans="1:15" ht="15" customHeight="1" x14ac:dyDescent="0.25">
      <c r="A6720" s="3"/>
      <c r="B6720" s="3"/>
      <c r="C6720" s="3"/>
      <c r="D6720" s="3"/>
      <c r="E6720" s="3"/>
      <c r="F6720" s="3"/>
      <c r="G6720" s="3"/>
      <c r="H6720" s="3"/>
      <c r="I6720" s="3"/>
      <c r="J6720" s="3"/>
      <c r="K6720" s="3"/>
      <c r="L6720" s="3"/>
      <c r="M6720" s="3"/>
      <c r="N6720" s="3"/>
      <c r="O6720" s="3"/>
    </row>
    <row r="6721" spans="1:15" ht="15" customHeight="1" x14ac:dyDescent="0.25">
      <c r="A6721" s="2"/>
      <c r="B6721" s="2"/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</row>
    <row r="6722" spans="1:15" ht="15" customHeight="1" x14ac:dyDescent="0.25">
      <c r="A6722" s="3"/>
      <c r="B6722" s="3"/>
      <c r="C6722" s="3"/>
      <c r="D6722" s="3"/>
      <c r="E6722" s="3"/>
      <c r="F6722" s="3"/>
      <c r="G6722" s="3"/>
      <c r="H6722" s="3"/>
      <c r="I6722" s="3"/>
      <c r="J6722" s="3"/>
      <c r="K6722" s="3"/>
      <c r="L6722" s="3"/>
      <c r="M6722" s="3"/>
      <c r="N6722" s="3"/>
      <c r="O6722" s="3"/>
    </row>
    <row r="6723" spans="1:15" ht="15" customHeight="1" x14ac:dyDescent="0.25">
      <c r="A6723" s="2"/>
      <c r="B6723" s="2"/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</row>
    <row r="6724" spans="1:15" ht="15" customHeight="1" x14ac:dyDescent="0.25">
      <c r="A6724" s="3"/>
      <c r="B6724" s="3"/>
      <c r="C6724" s="3"/>
      <c r="D6724" s="3"/>
      <c r="E6724" s="3"/>
      <c r="F6724" s="3"/>
      <c r="G6724" s="3"/>
      <c r="H6724" s="3"/>
      <c r="I6724" s="3"/>
      <c r="J6724" s="3"/>
      <c r="K6724" s="3"/>
      <c r="L6724" s="3"/>
      <c r="M6724" s="3"/>
      <c r="N6724" s="3"/>
      <c r="O6724" s="3"/>
    </row>
    <row r="6725" spans="1:15" ht="15" customHeight="1" x14ac:dyDescent="0.25">
      <c r="A6725" s="2"/>
      <c r="B6725" s="2"/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</row>
    <row r="6726" spans="1:15" ht="15" customHeight="1" x14ac:dyDescent="0.25">
      <c r="A6726" s="3"/>
      <c r="B6726" s="3"/>
      <c r="C6726" s="3"/>
      <c r="D6726" s="3"/>
      <c r="E6726" s="3"/>
      <c r="F6726" s="3"/>
      <c r="G6726" s="3"/>
      <c r="H6726" s="3"/>
      <c r="I6726" s="3"/>
      <c r="J6726" s="3"/>
      <c r="K6726" s="3"/>
      <c r="L6726" s="3"/>
      <c r="M6726" s="3"/>
      <c r="N6726" s="3"/>
      <c r="O6726" s="3"/>
    </row>
    <row r="6727" spans="1:15" ht="15" customHeight="1" x14ac:dyDescent="0.25">
      <c r="A6727" s="2"/>
      <c r="B6727" s="2"/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</row>
    <row r="6728" spans="1:15" ht="15" customHeight="1" x14ac:dyDescent="0.25">
      <c r="A6728" s="3"/>
      <c r="B6728" s="3"/>
      <c r="C6728" s="3"/>
      <c r="D6728" s="3"/>
      <c r="E6728" s="3"/>
      <c r="F6728" s="3"/>
      <c r="G6728" s="3"/>
      <c r="H6728" s="3"/>
      <c r="I6728" s="3"/>
      <c r="J6728" s="3"/>
      <c r="K6728" s="3"/>
      <c r="L6728" s="3"/>
      <c r="M6728" s="3"/>
      <c r="N6728" s="3"/>
      <c r="O6728" s="3"/>
    </row>
    <row r="6729" spans="1:15" ht="15" customHeight="1" x14ac:dyDescent="0.25">
      <c r="A6729" s="2"/>
      <c r="B6729" s="2"/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</row>
    <row r="6730" spans="1:15" ht="15" customHeight="1" x14ac:dyDescent="0.25">
      <c r="A6730" s="3"/>
      <c r="B6730" s="3"/>
      <c r="C6730" s="3"/>
      <c r="D6730" s="3"/>
      <c r="E6730" s="3"/>
      <c r="F6730" s="3"/>
      <c r="G6730" s="3"/>
      <c r="H6730" s="3"/>
      <c r="I6730" s="3"/>
      <c r="J6730" s="3"/>
      <c r="K6730" s="3"/>
      <c r="L6730" s="3"/>
      <c r="M6730" s="3"/>
      <c r="N6730" s="3"/>
      <c r="O6730" s="3"/>
    </row>
    <row r="6731" spans="1:15" ht="15" customHeight="1" x14ac:dyDescent="0.25">
      <c r="A6731" s="2"/>
      <c r="B6731" s="2"/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</row>
    <row r="6732" spans="1:15" ht="15" customHeight="1" x14ac:dyDescent="0.25">
      <c r="A6732" s="3"/>
      <c r="B6732" s="3"/>
      <c r="C6732" s="3"/>
      <c r="D6732" s="3"/>
      <c r="E6732" s="3"/>
      <c r="F6732" s="3"/>
      <c r="G6732" s="3"/>
      <c r="H6732" s="3"/>
      <c r="I6732" s="3"/>
      <c r="J6732" s="3"/>
      <c r="K6732" s="3"/>
      <c r="L6732" s="3"/>
      <c r="M6732" s="3"/>
      <c r="N6732" s="3"/>
      <c r="O6732" s="3"/>
    </row>
    <row r="6733" spans="1:15" ht="15" customHeight="1" x14ac:dyDescent="0.25">
      <c r="A6733" s="2"/>
      <c r="B6733" s="2"/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</row>
    <row r="6734" spans="1:15" ht="15" customHeight="1" x14ac:dyDescent="0.25">
      <c r="A6734" s="3"/>
      <c r="B6734" s="3"/>
      <c r="C6734" s="3"/>
      <c r="D6734" s="3"/>
      <c r="E6734" s="3"/>
      <c r="F6734" s="3"/>
      <c r="G6734" s="3"/>
      <c r="H6734" s="3"/>
      <c r="I6734" s="3"/>
      <c r="J6734" s="3"/>
      <c r="K6734" s="3"/>
      <c r="L6734" s="3"/>
      <c r="M6734" s="3"/>
      <c r="N6734" s="3"/>
      <c r="O6734" s="3"/>
    </row>
    <row r="6735" spans="1:15" ht="15" customHeight="1" x14ac:dyDescent="0.25">
      <c r="A6735" s="2"/>
      <c r="B6735" s="2"/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</row>
    <row r="6736" spans="1:15" ht="15" customHeight="1" x14ac:dyDescent="0.25">
      <c r="A6736" s="3"/>
      <c r="B6736" s="3"/>
      <c r="C6736" s="3"/>
      <c r="D6736" s="3"/>
      <c r="E6736" s="3"/>
      <c r="F6736" s="3"/>
      <c r="G6736" s="3"/>
      <c r="H6736" s="3"/>
      <c r="I6736" s="3"/>
      <c r="J6736" s="3"/>
      <c r="K6736" s="3"/>
      <c r="L6736" s="3"/>
      <c r="M6736" s="3"/>
      <c r="N6736" s="3"/>
      <c r="O6736" s="3"/>
    </row>
    <row r="6737" spans="1:15" ht="15" customHeight="1" x14ac:dyDescent="0.25">
      <c r="A6737" s="2"/>
      <c r="B6737" s="2"/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</row>
    <row r="6738" spans="1:15" ht="15" customHeight="1" x14ac:dyDescent="0.25">
      <c r="A6738" s="3"/>
      <c r="B6738" s="3"/>
      <c r="C6738" s="3"/>
      <c r="D6738" s="3"/>
      <c r="E6738" s="3"/>
      <c r="F6738" s="3"/>
      <c r="G6738" s="3"/>
      <c r="H6738" s="3"/>
      <c r="I6738" s="3"/>
      <c r="J6738" s="3"/>
      <c r="K6738" s="3"/>
      <c r="L6738" s="3"/>
      <c r="M6738" s="3"/>
      <c r="N6738" s="3"/>
      <c r="O6738" s="3"/>
    </row>
    <row r="6739" spans="1:15" ht="15" customHeight="1" x14ac:dyDescent="0.25">
      <c r="A6739" s="2"/>
      <c r="B6739" s="2"/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</row>
    <row r="6740" spans="1:15" ht="15" customHeight="1" x14ac:dyDescent="0.25">
      <c r="A6740" s="3"/>
      <c r="B6740" s="3"/>
      <c r="C6740" s="3"/>
      <c r="D6740" s="3"/>
      <c r="E6740" s="3"/>
      <c r="F6740" s="3"/>
      <c r="G6740" s="3"/>
      <c r="H6740" s="3"/>
      <c r="I6740" s="3"/>
      <c r="J6740" s="3"/>
      <c r="K6740" s="3"/>
      <c r="L6740" s="3"/>
      <c r="M6740" s="3"/>
      <c r="N6740" s="3"/>
      <c r="O6740" s="3"/>
    </row>
    <row r="6741" spans="1:15" ht="15" customHeight="1" x14ac:dyDescent="0.25">
      <c r="A6741" s="2"/>
      <c r="B6741" s="2"/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</row>
    <row r="6742" spans="1:15" ht="15" customHeight="1" x14ac:dyDescent="0.25">
      <c r="A6742" s="3"/>
      <c r="B6742" s="3"/>
      <c r="C6742" s="3"/>
      <c r="D6742" s="3"/>
      <c r="E6742" s="3"/>
      <c r="F6742" s="3"/>
      <c r="G6742" s="3"/>
      <c r="H6742" s="3"/>
      <c r="I6742" s="3"/>
      <c r="J6742" s="3"/>
      <c r="K6742" s="3"/>
      <c r="L6742" s="3"/>
      <c r="M6742" s="3"/>
      <c r="N6742" s="3"/>
      <c r="O6742" s="3"/>
    </row>
    <row r="6743" spans="1:15" ht="15" customHeight="1" x14ac:dyDescent="0.25">
      <c r="A6743" s="2"/>
      <c r="B6743" s="2"/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</row>
    <row r="6744" spans="1:15" ht="15" customHeight="1" x14ac:dyDescent="0.25">
      <c r="A6744" s="3"/>
      <c r="B6744" s="3"/>
      <c r="C6744" s="3"/>
      <c r="D6744" s="3"/>
      <c r="E6744" s="3"/>
      <c r="F6744" s="3"/>
      <c r="G6744" s="3"/>
      <c r="H6744" s="3"/>
      <c r="I6744" s="3"/>
      <c r="J6744" s="3"/>
      <c r="K6744" s="3"/>
      <c r="L6744" s="3"/>
      <c r="M6744" s="3"/>
      <c r="N6744" s="3"/>
      <c r="O6744" s="3"/>
    </row>
    <row r="6745" spans="1:15" ht="15" customHeight="1" x14ac:dyDescent="0.25">
      <c r="A6745" s="2"/>
      <c r="B6745" s="2"/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</row>
    <row r="6746" spans="1:15" ht="15" customHeight="1" x14ac:dyDescent="0.25">
      <c r="A6746" s="3"/>
      <c r="B6746" s="3"/>
      <c r="C6746" s="3"/>
      <c r="D6746" s="3"/>
      <c r="E6746" s="3"/>
      <c r="F6746" s="3"/>
      <c r="G6746" s="3"/>
      <c r="H6746" s="3"/>
      <c r="I6746" s="3"/>
      <c r="J6746" s="3"/>
      <c r="K6746" s="3"/>
      <c r="L6746" s="3"/>
      <c r="M6746" s="3"/>
      <c r="N6746" s="3"/>
      <c r="O6746" s="3"/>
    </row>
    <row r="6747" spans="1:15" ht="15" customHeight="1" x14ac:dyDescent="0.25">
      <c r="A6747" s="2"/>
      <c r="B6747" s="2"/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</row>
    <row r="6748" spans="1:15" ht="15" customHeight="1" x14ac:dyDescent="0.25">
      <c r="A6748" s="3"/>
      <c r="B6748" s="3"/>
      <c r="C6748" s="3"/>
      <c r="D6748" s="3"/>
      <c r="E6748" s="3"/>
      <c r="F6748" s="3"/>
      <c r="G6748" s="3"/>
      <c r="H6748" s="3"/>
      <c r="I6748" s="3"/>
      <c r="J6748" s="3"/>
      <c r="K6748" s="3"/>
      <c r="L6748" s="3"/>
      <c r="M6748" s="3"/>
      <c r="N6748" s="3"/>
      <c r="O6748" s="3"/>
    </row>
    <row r="6749" spans="1:15" ht="15" customHeight="1" x14ac:dyDescent="0.25">
      <c r="A6749" s="2"/>
      <c r="B6749" s="2"/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</row>
    <row r="6750" spans="1:15" ht="15" customHeight="1" x14ac:dyDescent="0.25">
      <c r="A6750" s="3"/>
      <c r="B6750" s="3"/>
      <c r="C6750" s="3"/>
      <c r="D6750" s="3"/>
      <c r="E6750" s="3"/>
      <c r="F6750" s="3"/>
      <c r="G6750" s="3"/>
      <c r="H6750" s="3"/>
      <c r="I6750" s="3"/>
      <c r="J6750" s="3"/>
      <c r="K6750" s="3"/>
      <c r="L6750" s="3"/>
      <c r="M6750" s="3"/>
      <c r="N6750" s="3"/>
      <c r="O6750" s="3"/>
    </row>
    <row r="6751" spans="1:15" ht="15" customHeight="1" x14ac:dyDescent="0.25">
      <c r="A6751" s="2"/>
      <c r="B6751" s="2"/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</row>
    <row r="6752" spans="1:15" ht="15" customHeight="1" x14ac:dyDescent="0.25">
      <c r="A6752" s="3"/>
      <c r="B6752" s="3"/>
      <c r="C6752" s="3"/>
      <c r="D6752" s="3"/>
      <c r="E6752" s="3"/>
      <c r="F6752" s="3"/>
      <c r="G6752" s="3"/>
      <c r="H6752" s="3"/>
      <c r="I6752" s="3"/>
      <c r="J6752" s="3"/>
      <c r="K6752" s="3"/>
      <c r="L6752" s="3"/>
      <c r="M6752" s="3"/>
      <c r="N6752" s="3"/>
      <c r="O6752" s="3"/>
    </row>
    <row r="6753" spans="1:15" ht="15" customHeight="1" x14ac:dyDescent="0.25">
      <c r="A6753" s="2"/>
      <c r="B6753" s="2"/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</row>
    <row r="6754" spans="1:15" ht="15" customHeight="1" x14ac:dyDescent="0.25">
      <c r="A6754" s="3"/>
      <c r="B6754" s="3"/>
      <c r="C6754" s="3"/>
      <c r="D6754" s="3"/>
      <c r="E6754" s="3"/>
      <c r="F6754" s="3"/>
      <c r="G6754" s="3"/>
      <c r="H6754" s="3"/>
      <c r="I6754" s="3"/>
      <c r="J6754" s="3"/>
      <c r="K6754" s="3"/>
      <c r="L6754" s="3"/>
      <c r="M6754" s="3"/>
      <c r="N6754" s="3"/>
      <c r="O6754" s="3"/>
    </row>
    <row r="6755" spans="1:15" ht="15" customHeight="1" x14ac:dyDescent="0.25">
      <c r="A6755" s="2"/>
      <c r="B6755" s="2"/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</row>
    <row r="6756" spans="1:15" ht="15" customHeight="1" x14ac:dyDescent="0.25">
      <c r="A6756" s="3"/>
      <c r="B6756" s="3"/>
      <c r="C6756" s="3"/>
      <c r="D6756" s="3"/>
      <c r="E6756" s="3"/>
      <c r="F6756" s="3"/>
      <c r="G6756" s="3"/>
      <c r="H6756" s="3"/>
      <c r="I6756" s="3"/>
      <c r="J6756" s="3"/>
      <c r="K6756" s="3"/>
      <c r="L6756" s="3"/>
      <c r="M6756" s="3"/>
      <c r="N6756" s="3"/>
      <c r="O6756" s="3"/>
    </row>
    <row r="6757" spans="1:15" ht="15" customHeight="1" x14ac:dyDescent="0.25">
      <c r="A6757" s="2"/>
      <c r="B6757" s="2"/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</row>
    <row r="6758" spans="1:15" ht="15" customHeight="1" x14ac:dyDescent="0.25">
      <c r="A6758" s="3"/>
      <c r="B6758" s="3"/>
      <c r="C6758" s="3"/>
      <c r="D6758" s="3"/>
      <c r="E6758" s="3"/>
      <c r="F6758" s="3"/>
      <c r="G6758" s="3"/>
      <c r="H6758" s="3"/>
      <c r="I6758" s="3"/>
      <c r="J6758" s="3"/>
      <c r="K6758" s="3"/>
      <c r="L6758" s="3"/>
      <c r="M6758" s="3"/>
      <c r="N6758" s="3"/>
      <c r="O6758" s="3"/>
    </row>
    <row r="6759" spans="1:15" ht="15" customHeight="1" x14ac:dyDescent="0.25">
      <c r="A6759" s="2"/>
      <c r="B6759" s="2"/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</row>
    <row r="6760" spans="1:15" ht="15" customHeight="1" x14ac:dyDescent="0.25">
      <c r="A6760" s="3"/>
      <c r="B6760" s="3"/>
      <c r="C6760" s="3"/>
      <c r="D6760" s="3"/>
      <c r="E6760" s="3"/>
      <c r="F6760" s="3"/>
      <c r="G6760" s="3"/>
      <c r="H6760" s="3"/>
      <c r="I6760" s="3"/>
      <c r="J6760" s="3"/>
      <c r="K6760" s="3"/>
      <c r="L6760" s="3"/>
      <c r="M6760" s="3"/>
      <c r="N6760" s="3"/>
      <c r="O6760" s="3"/>
    </row>
    <row r="6761" spans="1:15" ht="15" customHeight="1" x14ac:dyDescent="0.25">
      <c r="A6761" s="2"/>
      <c r="B6761" s="2"/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</row>
    <row r="6762" spans="1:15" ht="15" customHeight="1" x14ac:dyDescent="0.25">
      <c r="A6762" s="3"/>
      <c r="B6762" s="3"/>
      <c r="C6762" s="3"/>
      <c r="D6762" s="3"/>
      <c r="E6762" s="3"/>
      <c r="F6762" s="3"/>
      <c r="G6762" s="3"/>
      <c r="H6762" s="3"/>
      <c r="I6762" s="3"/>
      <c r="J6762" s="3"/>
      <c r="K6762" s="3"/>
      <c r="L6762" s="3"/>
      <c r="M6762" s="3"/>
      <c r="N6762" s="3"/>
      <c r="O6762" s="3"/>
    </row>
    <row r="6763" spans="1:15" ht="15" customHeight="1" x14ac:dyDescent="0.25">
      <c r="A6763" s="2"/>
      <c r="B6763" s="2"/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</row>
    <row r="6764" spans="1:15" ht="15" customHeight="1" x14ac:dyDescent="0.25">
      <c r="A6764" s="3"/>
      <c r="B6764" s="3"/>
      <c r="C6764" s="3"/>
      <c r="D6764" s="3"/>
      <c r="E6764" s="3"/>
      <c r="F6764" s="3"/>
      <c r="G6764" s="3"/>
      <c r="H6764" s="3"/>
      <c r="I6764" s="3"/>
      <c r="J6764" s="3"/>
      <c r="K6764" s="3"/>
      <c r="L6764" s="3"/>
      <c r="M6764" s="3"/>
      <c r="N6764" s="3"/>
      <c r="O6764" s="3"/>
    </row>
    <row r="6765" spans="1:15" ht="15" customHeight="1" x14ac:dyDescent="0.25">
      <c r="A6765" s="2"/>
      <c r="B6765" s="2"/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</row>
    <row r="6766" spans="1:15" ht="15" customHeight="1" x14ac:dyDescent="0.25">
      <c r="A6766" s="3"/>
      <c r="B6766" s="3"/>
      <c r="C6766" s="3"/>
      <c r="D6766" s="3"/>
      <c r="E6766" s="3"/>
      <c r="F6766" s="3"/>
      <c r="G6766" s="3"/>
      <c r="H6766" s="3"/>
      <c r="I6766" s="3"/>
      <c r="J6766" s="3"/>
      <c r="K6766" s="3"/>
      <c r="L6766" s="3"/>
      <c r="M6766" s="3"/>
      <c r="N6766" s="3"/>
      <c r="O6766" s="3"/>
    </row>
    <row r="6767" spans="1:15" ht="15" customHeight="1" x14ac:dyDescent="0.25">
      <c r="A6767" s="2"/>
      <c r="B6767" s="2"/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</row>
    <row r="6768" spans="1:15" ht="15" customHeight="1" x14ac:dyDescent="0.25">
      <c r="A6768" s="3"/>
      <c r="B6768" s="3"/>
      <c r="C6768" s="3"/>
      <c r="D6768" s="3"/>
      <c r="E6768" s="3"/>
      <c r="F6768" s="3"/>
      <c r="G6768" s="3"/>
      <c r="H6768" s="3"/>
      <c r="I6768" s="3"/>
      <c r="J6768" s="3"/>
      <c r="K6768" s="3"/>
      <c r="L6768" s="3"/>
      <c r="M6768" s="3"/>
      <c r="N6768" s="3"/>
      <c r="O6768" s="3"/>
    </row>
    <row r="6769" spans="1:15" ht="15" customHeight="1" x14ac:dyDescent="0.25">
      <c r="A6769" s="2"/>
      <c r="B6769" s="2"/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</row>
    <row r="6770" spans="1:15" ht="15" customHeight="1" x14ac:dyDescent="0.25">
      <c r="A6770" s="3"/>
      <c r="B6770" s="3"/>
      <c r="C6770" s="3"/>
      <c r="D6770" s="3"/>
      <c r="E6770" s="3"/>
      <c r="F6770" s="3"/>
      <c r="G6770" s="3"/>
      <c r="H6770" s="3"/>
      <c r="I6770" s="3"/>
      <c r="J6770" s="3"/>
      <c r="K6770" s="3"/>
      <c r="L6770" s="3"/>
      <c r="M6770" s="3"/>
      <c r="N6770" s="3"/>
      <c r="O6770" s="3"/>
    </row>
    <row r="6771" spans="1:15" ht="15" customHeight="1" x14ac:dyDescent="0.25">
      <c r="A6771" s="2"/>
      <c r="B6771" s="2"/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</row>
    <row r="6772" spans="1:15" ht="15" customHeight="1" x14ac:dyDescent="0.25">
      <c r="A6772" s="3"/>
      <c r="B6772" s="3"/>
      <c r="C6772" s="3"/>
      <c r="D6772" s="3"/>
      <c r="E6772" s="3"/>
      <c r="F6772" s="3"/>
      <c r="G6772" s="3"/>
      <c r="H6772" s="3"/>
      <c r="I6772" s="3"/>
      <c r="J6772" s="3"/>
      <c r="K6772" s="3"/>
      <c r="L6772" s="3"/>
      <c r="M6772" s="3"/>
      <c r="N6772" s="3"/>
      <c r="O6772" s="3"/>
    </row>
    <row r="6773" spans="1:15" ht="15" customHeight="1" x14ac:dyDescent="0.25">
      <c r="A6773" s="2"/>
      <c r="B6773" s="2"/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</row>
    <row r="6774" spans="1:15" ht="15" customHeight="1" x14ac:dyDescent="0.25">
      <c r="A6774" s="3"/>
      <c r="B6774" s="3"/>
      <c r="C6774" s="3"/>
      <c r="D6774" s="3"/>
      <c r="E6774" s="3"/>
      <c r="F6774" s="3"/>
      <c r="G6774" s="3"/>
      <c r="H6774" s="3"/>
      <c r="I6774" s="3"/>
      <c r="J6774" s="3"/>
      <c r="K6774" s="3"/>
      <c r="L6774" s="3"/>
      <c r="M6774" s="3"/>
      <c r="N6774" s="3"/>
      <c r="O6774" s="3"/>
    </row>
    <row r="6775" spans="1:15" ht="15" customHeight="1" x14ac:dyDescent="0.25">
      <c r="A6775" s="2"/>
      <c r="B6775" s="2"/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</row>
    <row r="6776" spans="1:15" ht="15" customHeight="1" x14ac:dyDescent="0.25">
      <c r="A6776" s="3"/>
      <c r="B6776" s="3"/>
      <c r="C6776" s="3"/>
      <c r="D6776" s="3"/>
      <c r="E6776" s="3"/>
      <c r="F6776" s="3"/>
      <c r="G6776" s="3"/>
      <c r="H6776" s="3"/>
      <c r="I6776" s="3"/>
      <c r="J6776" s="3"/>
      <c r="K6776" s="3"/>
      <c r="L6776" s="3"/>
      <c r="M6776" s="3"/>
      <c r="N6776" s="3"/>
      <c r="O6776" s="3"/>
    </row>
    <row r="6777" spans="1:15" ht="15" customHeight="1" x14ac:dyDescent="0.25">
      <c r="A6777" s="2"/>
      <c r="B6777" s="2"/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</row>
    <row r="6778" spans="1:15" ht="15" customHeight="1" x14ac:dyDescent="0.25">
      <c r="A6778" s="3"/>
      <c r="B6778" s="3"/>
      <c r="C6778" s="3"/>
      <c r="D6778" s="3"/>
      <c r="E6778" s="3"/>
      <c r="F6778" s="3"/>
      <c r="G6778" s="3"/>
      <c r="H6778" s="3"/>
      <c r="I6778" s="3"/>
      <c r="J6778" s="3"/>
      <c r="K6778" s="3"/>
      <c r="L6778" s="3"/>
      <c r="M6778" s="3"/>
      <c r="N6778" s="3"/>
      <c r="O6778" s="3"/>
    </row>
    <row r="6779" spans="1:15" ht="15" customHeight="1" x14ac:dyDescent="0.25">
      <c r="A6779" s="2"/>
      <c r="B6779" s="2"/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</row>
    <row r="6780" spans="1:15" ht="15" customHeight="1" x14ac:dyDescent="0.25">
      <c r="A6780" s="3"/>
      <c r="B6780" s="3"/>
      <c r="C6780" s="3"/>
      <c r="D6780" s="3"/>
      <c r="E6780" s="3"/>
      <c r="F6780" s="3"/>
      <c r="G6780" s="3"/>
      <c r="H6780" s="3"/>
      <c r="I6780" s="3"/>
      <c r="J6780" s="3"/>
      <c r="K6780" s="3"/>
      <c r="L6780" s="3"/>
      <c r="M6780" s="3"/>
      <c r="N6780" s="3"/>
      <c r="O6780" s="3"/>
    </row>
    <row r="6781" spans="1:15" ht="15" customHeight="1" x14ac:dyDescent="0.25">
      <c r="A6781" s="2"/>
      <c r="B6781" s="2"/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</row>
    <row r="6782" spans="1:15" ht="15" customHeight="1" x14ac:dyDescent="0.25">
      <c r="A6782" s="3"/>
      <c r="B6782" s="3"/>
      <c r="C6782" s="3"/>
      <c r="D6782" s="3"/>
      <c r="E6782" s="3"/>
      <c r="F6782" s="3"/>
      <c r="G6782" s="3"/>
      <c r="H6782" s="3"/>
      <c r="I6782" s="3"/>
      <c r="J6782" s="3"/>
      <c r="K6782" s="3"/>
      <c r="L6782" s="3"/>
      <c r="M6782" s="3"/>
      <c r="N6782" s="3"/>
      <c r="O6782" s="3"/>
    </row>
    <row r="6783" spans="1:15" ht="15" customHeight="1" x14ac:dyDescent="0.25">
      <c r="A6783" s="2"/>
      <c r="B6783" s="2"/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</row>
    <row r="6784" spans="1:15" ht="15" customHeight="1" x14ac:dyDescent="0.25">
      <c r="A6784" s="3"/>
      <c r="B6784" s="3"/>
      <c r="C6784" s="3"/>
      <c r="D6784" s="3"/>
      <c r="E6784" s="3"/>
      <c r="F6784" s="3"/>
      <c r="G6784" s="3"/>
      <c r="H6784" s="3"/>
      <c r="I6784" s="3"/>
      <c r="J6784" s="3"/>
      <c r="K6784" s="3"/>
      <c r="L6784" s="3"/>
      <c r="M6784" s="3"/>
      <c r="N6784" s="3"/>
      <c r="O6784" s="3"/>
    </row>
    <row r="6785" spans="1:15" ht="15" customHeight="1" x14ac:dyDescent="0.25">
      <c r="A6785" s="2"/>
      <c r="B6785" s="2"/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</row>
    <row r="6786" spans="1:15" ht="15" customHeight="1" x14ac:dyDescent="0.25">
      <c r="A6786" s="3"/>
      <c r="B6786" s="3"/>
      <c r="C6786" s="3"/>
      <c r="D6786" s="3"/>
      <c r="E6786" s="3"/>
      <c r="F6786" s="3"/>
      <c r="G6786" s="3"/>
      <c r="H6786" s="3"/>
      <c r="I6786" s="3"/>
      <c r="J6786" s="3"/>
      <c r="K6786" s="3"/>
      <c r="L6786" s="3"/>
      <c r="M6786" s="3"/>
      <c r="N6786" s="3"/>
      <c r="O6786" s="3"/>
    </row>
    <row r="6787" spans="1:15" ht="15" customHeight="1" x14ac:dyDescent="0.25">
      <c r="A6787" s="2"/>
      <c r="B6787" s="2"/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</row>
    <row r="6788" spans="1:15" ht="15" customHeight="1" x14ac:dyDescent="0.25">
      <c r="A6788" s="3"/>
      <c r="B6788" s="3"/>
      <c r="C6788" s="3"/>
      <c r="D6788" s="3"/>
      <c r="E6788" s="3"/>
      <c r="F6788" s="3"/>
      <c r="G6788" s="3"/>
      <c r="H6788" s="3"/>
      <c r="I6788" s="3"/>
      <c r="J6788" s="3"/>
      <c r="K6788" s="3"/>
      <c r="L6788" s="3"/>
      <c r="M6788" s="3"/>
      <c r="N6788" s="3"/>
      <c r="O6788" s="3"/>
    </row>
    <row r="6789" spans="1:15" ht="15" customHeight="1" x14ac:dyDescent="0.25">
      <c r="A6789" s="2"/>
      <c r="B6789" s="2"/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</row>
    <row r="6790" spans="1:15" ht="15" customHeight="1" x14ac:dyDescent="0.25">
      <c r="A6790" s="3"/>
      <c r="B6790" s="3"/>
      <c r="C6790" s="3"/>
      <c r="D6790" s="3"/>
      <c r="E6790" s="3"/>
      <c r="F6790" s="3"/>
      <c r="G6790" s="3"/>
      <c r="H6790" s="3"/>
      <c r="I6790" s="3"/>
      <c r="J6790" s="3"/>
      <c r="K6790" s="3"/>
      <c r="L6790" s="3"/>
      <c r="M6790" s="3"/>
      <c r="N6790" s="3"/>
      <c r="O6790" s="3"/>
    </row>
    <row r="6791" spans="1:15" ht="15" customHeight="1" x14ac:dyDescent="0.25">
      <c r="A6791" s="2"/>
      <c r="B6791" s="2"/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</row>
    <row r="6792" spans="1:15" ht="15" customHeight="1" x14ac:dyDescent="0.25">
      <c r="A6792" s="3"/>
      <c r="B6792" s="3"/>
      <c r="C6792" s="3"/>
      <c r="D6792" s="3"/>
      <c r="E6792" s="3"/>
      <c r="F6792" s="3"/>
      <c r="G6792" s="3"/>
      <c r="H6792" s="3"/>
      <c r="I6792" s="3"/>
      <c r="J6792" s="3"/>
      <c r="K6792" s="3"/>
      <c r="L6792" s="3"/>
      <c r="M6792" s="3"/>
      <c r="N6792" s="3"/>
      <c r="O6792" s="3"/>
    </row>
    <row r="6793" spans="1:15" ht="15" customHeight="1" x14ac:dyDescent="0.25">
      <c r="A6793" s="2"/>
      <c r="B6793" s="2"/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</row>
    <row r="6794" spans="1:15" ht="15" customHeight="1" x14ac:dyDescent="0.25">
      <c r="A6794" s="3"/>
      <c r="B6794" s="3"/>
      <c r="C6794" s="3"/>
      <c r="D6794" s="3"/>
      <c r="E6794" s="3"/>
      <c r="F6794" s="3"/>
      <c r="G6794" s="3"/>
      <c r="H6794" s="3"/>
      <c r="I6794" s="3"/>
      <c r="J6794" s="3"/>
      <c r="K6794" s="3"/>
      <c r="L6794" s="3"/>
      <c r="M6794" s="3"/>
      <c r="N6794" s="3"/>
      <c r="O6794" s="3"/>
    </row>
    <row r="6795" spans="1:15" ht="15" customHeight="1" x14ac:dyDescent="0.25">
      <c r="A6795" s="2"/>
      <c r="B6795" s="2"/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</row>
    <row r="6796" spans="1:15" ht="15" customHeight="1" x14ac:dyDescent="0.25">
      <c r="A6796" s="3"/>
      <c r="B6796" s="3"/>
      <c r="C6796" s="3"/>
      <c r="D6796" s="3"/>
      <c r="E6796" s="3"/>
      <c r="F6796" s="3"/>
      <c r="G6796" s="3"/>
      <c r="H6796" s="3"/>
      <c r="I6796" s="3"/>
      <c r="J6796" s="3"/>
      <c r="K6796" s="3"/>
      <c r="L6796" s="3"/>
      <c r="M6796" s="3"/>
      <c r="N6796" s="3"/>
      <c r="O6796" s="3"/>
    </row>
    <row r="6797" spans="1:15" ht="15" customHeight="1" x14ac:dyDescent="0.25">
      <c r="A6797" s="2"/>
      <c r="B6797" s="2"/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</row>
    <row r="6798" spans="1:15" ht="15" customHeight="1" x14ac:dyDescent="0.25">
      <c r="A6798" s="3"/>
      <c r="B6798" s="3"/>
      <c r="C6798" s="3"/>
      <c r="D6798" s="3"/>
      <c r="E6798" s="3"/>
      <c r="F6798" s="3"/>
      <c r="G6798" s="3"/>
      <c r="H6798" s="3"/>
      <c r="I6798" s="3"/>
      <c r="J6798" s="3"/>
      <c r="K6798" s="3"/>
      <c r="L6798" s="3"/>
      <c r="M6798" s="3"/>
      <c r="N6798" s="3"/>
      <c r="O6798" s="3"/>
    </row>
    <row r="6799" spans="1:15" ht="15" customHeight="1" x14ac:dyDescent="0.25">
      <c r="A6799" s="2"/>
      <c r="B6799" s="2"/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</row>
    <row r="6800" spans="1:15" ht="15" customHeight="1" x14ac:dyDescent="0.25">
      <c r="A6800" s="3"/>
      <c r="B6800" s="3"/>
      <c r="C6800" s="3"/>
      <c r="D6800" s="3"/>
      <c r="E6800" s="3"/>
      <c r="F6800" s="3"/>
      <c r="G6800" s="3"/>
      <c r="H6800" s="3"/>
      <c r="I6800" s="3"/>
      <c r="J6800" s="3"/>
      <c r="K6800" s="3"/>
      <c r="L6800" s="3"/>
      <c r="M6800" s="3"/>
      <c r="N6800" s="3"/>
      <c r="O6800" s="3"/>
    </row>
    <row r="6801" spans="1:15" ht="15" customHeight="1" x14ac:dyDescent="0.25">
      <c r="A6801" s="2"/>
      <c r="B6801" s="2"/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</row>
    <row r="6802" spans="1:15" ht="15" customHeight="1" x14ac:dyDescent="0.25">
      <c r="A6802" s="3"/>
      <c r="B6802" s="3"/>
      <c r="C6802" s="3"/>
      <c r="D6802" s="3"/>
      <c r="E6802" s="3"/>
      <c r="F6802" s="3"/>
      <c r="G6802" s="3"/>
      <c r="H6802" s="3"/>
      <c r="I6802" s="3"/>
      <c r="J6802" s="3"/>
      <c r="K6802" s="3"/>
      <c r="L6802" s="3"/>
      <c r="M6802" s="3"/>
      <c r="N6802" s="3"/>
      <c r="O6802" s="3"/>
    </row>
    <row r="6803" spans="1:15" ht="15" customHeight="1" x14ac:dyDescent="0.25">
      <c r="A6803" s="2"/>
      <c r="B6803" s="2"/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</row>
    <row r="6804" spans="1:15" ht="15" customHeight="1" x14ac:dyDescent="0.25">
      <c r="A6804" s="3"/>
      <c r="B6804" s="3"/>
      <c r="C6804" s="3"/>
      <c r="D6804" s="3"/>
      <c r="E6804" s="3"/>
      <c r="F6804" s="3"/>
      <c r="G6804" s="3"/>
      <c r="H6804" s="3"/>
      <c r="I6804" s="3"/>
      <c r="J6804" s="3"/>
      <c r="K6804" s="3"/>
      <c r="L6804" s="3"/>
      <c r="M6804" s="3"/>
      <c r="N6804" s="3"/>
      <c r="O6804" s="3"/>
    </row>
    <row r="6805" spans="1:15" ht="15" customHeight="1" x14ac:dyDescent="0.25">
      <c r="A6805" s="2"/>
      <c r="B6805" s="2"/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</row>
    <row r="6806" spans="1:15" ht="15" customHeight="1" x14ac:dyDescent="0.25">
      <c r="A6806" s="3"/>
      <c r="B6806" s="3"/>
      <c r="C6806" s="3"/>
      <c r="D6806" s="3"/>
      <c r="E6806" s="3"/>
      <c r="F6806" s="3"/>
      <c r="G6806" s="3"/>
      <c r="H6806" s="3"/>
      <c r="I6806" s="3"/>
      <c r="J6806" s="3"/>
      <c r="K6806" s="3"/>
      <c r="L6806" s="3"/>
      <c r="M6806" s="3"/>
      <c r="N6806" s="3"/>
      <c r="O6806" s="3"/>
    </row>
    <row r="6807" spans="1:15" ht="15" customHeight="1" x14ac:dyDescent="0.25">
      <c r="A6807" s="2"/>
      <c r="B6807" s="2"/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</row>
    <row r="6808" spans="1:15" ht="15" customHeight="1" x14ac:dyDescent="0.25">
      <c r="A6808" s="3"/>
      <c r="B6808" s="3"/>
      <c r="C6808" s="3"/>
      <c r="D6808" s="3"/>
      <c r="E6808" s="3"/>
      <c r="F6808" s="3"/>
      <c r="G6808" s="3"/>
      <c r="H6808" s="3"/>
      <c r="I6808" s="3"/>
      <c r="J6808" s="3"/>
      <c r="K6808" s="3"/>
      <c r="L6808" s="3"/>
      <c r="M6808" s="3"/>
      <c r="N6808" s="3"/>
      <c r="O6808" s="3"/>
    </row>
    <row r="6809" spans="1:15" ht="15" customHeight="1" x14ac:dyDescent="0.25">
      <c r="A6809" s="2"/>
      <c r="B6809" s="2"/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</row>
    <row r="6810" spans="1:15" ht="15" customHeight="1" x14ac:dyDescent="0.25">
      <c r="A6810" s="3"/>
      <c r="B6810" s="3"/>
      <c r="C6810" s="3"/>
      <c r="D6810" s="3"/>
      <c r="E6810" s="3"/>
      <c r="F6810" s="3"/>
      <c r="G6810" s="3"/>
      <c r="H6810" s="3"/>
      <c r="I6810" s="3"/>
      <c r="J6810" s="3"/>
      <c r="K6810" s="3"/>
      <c r="L6810" s="3"/>
      <c r="M6810" s="3"/>
      <c r="N6810" s="3"/>
      <c r="O6810" s="3"/>
    </row>
    <row r="6811" spans="1:15" ht="15" customHeight="1" x14ac:dyDescent="0.25">
      <c r="A6811" s="2"/>
      <c r="B6811" s="2"/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</row>
    <row r="6812" spans="1:15" ht="15" customHeight="1" x14ac:dyDescent="0.25">
      <c r="A6812" s="3"/>
      <c r="B6812" s="3"/>
      <c r="C6812" s="3"/>
      <c r="D6812" s="3"/>
      <c r="E6812" s="3"/>
      <c r="F6812" s="3"/>
      <c r="G6812" s="3"/>
      <c r="H6812" s="3"/>
      <c r="I6812" s="3"/>
      <c r="J6812" s="3"/>
      <c r="K6812" s="3"/>
      <c r="L6812" s="3"/>
      <c r="M6812" s="3"/>
      <c r="N6812" s="3"/>
      <c r="O6812" s="3"/>
    </row>
    <row r="6813" spans="1:15" ht="15" customHeight="1" x14ac:dyDescent="0.25">
      <c r="A6813" s="2"/>
      <c r="B6813" s="2"/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</row>
    <row r="6814" spans="1:15" ht="15" customHeight="1" x14ac:dyDescent="0.25">
      <c r="A6814" s="3"/>
      <c r="B6814" s="3"/>
      <c r="C6814" s="3"/>
      <c r="D6814" s="3"/>
      <c r="E6814" s="3"/>
      <c r="F6814" s="3"/>
      <c r="G6814" s="3"/>
      <c r="H6814" s="3"/>
      <c r="I6814" s="3"/>
      <c r="J6814" s="3"/>
      <c r="K6814" s="3"/>
      <c r="L6814" s="3"/>
      <c r="M6814" s="3"/>
      <c r="N6814" s="3"/>
      <c r="O6814" s="3"/>
    </row>
    <row r="6815" spans="1:15" ht="15" customHeight="1" x14ac:dyDescent="0.25">
      <c r="A6815" s="2"/>
      <c r="B6815" s="2"/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</row>
    <row r="6816" spans="1:15" ht="15" customHeight="1" x14ac:dyDescent="0.25">
      <c r="A6816" s="3"/>
      <c r="B6816" s="3"/>
      <c r="C6816" s="3"/>
      <c r="D6816" s="3"/>
      <c r="E6816" s="3"/>
      <c r="F6816" s="3"/>
      <c r="G6816" s="3"/>
      <c r="H6816" s="3"/>
      <c r="I6816" s="3"/>
      <c r="J6816" s="3"/>
      <c r="K6816" s="3"/>
      <c r="L6816" s="3"/>
      <c r="M6816" s="3"/>
      <c r="N6816" s="3"/>
      <c r="O6816" s="3"/>
    </row>
    <row r="6817" spans="1:15" ht="15" customHeight="1" x14ac:dyDescent="0.25">
      <c r="A6817" s="2"/>
      <c r="B6817" s="2"/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</row>
    <row r="6818" spans="1:15" ht="15" customHeight="1" x14ac:dyDescent="0.25">
      <c r="A6818" s="3"/>
      <c r="B6818" s="3"/>
      <c r="C6818" s="3"/>
      <c r="D6818" s="3"/>
      <c r="E6818" s="3"/>
      <c r="F6818" s="3"/>
      <c r="G6818" s="3"/>
      <c r="H6818" s="3"/>
      <c r="I6818" s="3"/>
      <c r="J6818" s="3"/>
      <c r="K6818" s="3"/>
      <c r="L6818" s="3"/>
      <c r="M6818" s="3"/>
      <c r="N6818" s="3"/>
      <c r="O6818" s="3"/>
    </row>
    <row r="6819" spans="1:15" ht="15" customHeight="1" x14ac:dyDescent="0.25">
      <c r="A6819" s="2"/>
      <c r="B6819" s="2"/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</row>
    <row r="6820" spans="1:15" ht="15" customHeight="1" x14ac:dyDescent="0.25">
      <c r="A6820" s="3"/>
      <c r="B6820" s="3"/>
      <c r="C6820" s="3"/>
      <c r="D6820" s="3"/>
      <c r="E6820" s="3"/>
      <c r="F6820" s="3"/>
      <c r="G6820" s="3"/>
      <c r="H6820" s="3"/>
      <c r="I6820" s="3"/>
      <c r="J6820" s="3"/>
      <c r="K6820" s="3"/>
      <c r="L6820" s="3"/>
      <c r="M6820" s="3"/>
      <c r="N6820" s="3"/>
      <c r="O6820" s="3"/>
    </row>
    <row r="6821" spans="1:15" ht="15" customHeight="1" x14ac:dyDescent="0.25">
      <c r="A6821" s="2"/>
      <c r="B6821" s="2"/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</row>
    <row r="6822" spans="1:15" ht="15" customHeight="1" x14ac:dyDescent="0.25">
      <c r="A6822" s="3"/>
      <c r="B6822" s="3"/>
      <c r="C6822" s="3"/>
      <c r="D6822" s="3"/>
      <c r="E6822" s="3"/>
      <c r="F6822" s="3"/>
      <c r="G6822" s="3"/>
      <c r="H6822" s="3"/>
      <c r="I6822" s="3"/>
      <c r="J6822" s="3"/>
      <c r="K6822" s="3"/>
      <c r="L6822" s="3"/>
      <c r="M6822" s="3"/>
      <c r="N6822" s="3"/>
      <c r="O6822" s="3"/>
    </row>
    <row r="6823" spans="1:15" ht="15" customHeight="1" x14ac:dyDescent="0.25">
      <c r="A6823" s="2"/>
      <c r="B6823" s="2"/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</row>
    <row r="6824" spans="1:15" ht="15" customHeight="1" x14ac:dyDescent="0.25">
      <c r="A6824" s="3"/>
      <c r="B6824" s="3"/>
      <c r="C6824" s="3"/>
      <c r="D6824" s="3"/>
      <c r="E6824" s="3"/>
      <c r="F6824" s="3"/>
      <c r="G6824" s="3"/>
      <c r="H6824" s="3"/>
      <c r="I6824" s="3"/>
      <c r="J6824" s="3"/>
      <c r="K6824" s="3"/>
      <c r="L6824" s="3"/>
      <c r="M6824" s="3"/>
      <c r="N6824" s="3"/>
      <c r="O6824" s="3"/>
    </row>
    <row r="6825" spans="1:15" ht="15" customHeight="1" x14ac:dyDescent="0.25">
      <c r="A6825" s="2"/>
      <c r="B6825" s="2"/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</row>
    <row r="6826" spans="1:15" ht="15" customHeight="1" x14ac:dyDescent="0.25">
      <c r="A6826" s="3"/>
      <c r="B6826" s="3"/>
      <c r="C6826" s="3"/>
      <c r="D6826" s="3"/>
      <c r="E6826" s="3"/>
      <c r="F6826" s="3"/>
      <c r="G6826" s="3"/>
      <c r="H6826" s="3"/>
      <c r="I6826" s="3"/>
      <c r="J6826" s="3"/>
      <c r="K6826" s="3"/>
      <c r="L6826" s="3"/>
      <c r="M6826" s="3"/>
      <c r="N6826" s="3"/>
      <c r="O6826" s="3"/>
    </row>
    <row r="6827" spans="1:15" ht="15" customHeight="1" x14ac:dyDescent="0.25">
      <c r="A6827" s="2"/>
      <c r="B6827" s="2"/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</row>
    <row r="6828" spans="1:15" ht="15" customHeight="1" x14ac:dyDescent="0.25">
      <c r="A6828" s="3"/>
      <c r="B6828" s="3"/>
      <c r="C6828" s="3"/>
      <c r="D6828" s="3"/>
      <c r="E6828" s="3"/>
      <c r="F6828" s="3"/>
      <c r="G6828" s="3"/>
      <c r="H6828" s="3"/>
      <c r="I6828" s="3"/>
      <c r="J6828" s="3"/>
      <c r="K6828" s="3"/>
      <c r="L6828" s="3"/>
      <c r="M6828" s="3"/>
      <c r="N6828" s="3"/>
      <c r="O6828" s="3"/>
    </row>
    <row r="6829" spans="1:15" ht="15" customHeight="1" x14ac:dyDescent="0.25">
      <c r="A6829" s="2"/>
      <c r="B6829" s="2"/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</row>
    <row r="6830" spans="1:15" ht="15" customHeight="1" x14ac:dyDescent="0.25">
      <c r="A6830" s="3"/>
      <c r="B6830" s="3"/>
      <c r="C6830" s="3"/>
      <c r="D6830" s="3"/>
      <c r="E6830" s="3"/>
      <c r="F6830" s="3"/>
      <c r="G6830" s="3"/>
      <c r="H6830" s="3"/>
      <c r="I6830" s="3"/>
      <c r="J6830" s="3"/>
      <c r="K6830" s="3"/>
      <c r="L6830" s="3"/>
      <c r="M6830" s="3"/>
      <c r="N6830" s="3"/>
      <c r="O6830" s="3"/>
    </row>
    <row r="6831" spans="1:15" ht="15" customHeight="1" x14ac:dyDescent="0.25">
      <c r="A6831" s="2"/>
      <c r="B6831" s="2"/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</row>
    <row r="6832" spans="1:15" ht="15" customHeight="1" x14ac:dyDescent="0.25">
      <c r="A6832" s="3"/>
      <c r="B6832" s="3"/>
      <c r="C6832" s="3"/>
      <c r="D6832" s="3"/>
      <c r="E6832" s="3"/>
      <c r="F6832" s="3"/>
      <c r="G6832" s="3"/>
      <c r="H6832" s="3"/>
      <c r="I6832" s="3"/>
      <c r="J6832" s="3"/>
      <c r="K6832" s="3"/>
      <c r="L6832" s="3"/>
      <c r="M6832" s="3"/>
      <c r="N6832" s="3"/>
      <c r="O6832" s="3"/>
    </row>
    <row r="6833" spans="1:15" ht="15" customHeight="1" x14ac:dyDescent="0.25">
      <c r="A6833" s="2"/>
      <c r="B6833" s="2"/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</row>
    <row r="6834" spans="1:15" ht="15" customHeight="1" x14ac:dyDescent="0.25">
      <c r="A6834" s="3"/>
      <c r="B6834" s="3"/>
      <c r="C6834" s="3"/>
      <c r="D6834" s="3"/>
      <c r="E6834" s="3"/>
      <c r="F6834" s="3"/>
      <c r="G6834" s="3"/>
      <c r="H6834" s="3"/>
      <c r="I6834" s="3"/>
      <c r="J6834" s="3"/>
      <c r="K6834" s="3"/>
      <c r="L6834" s="3"/>
      <c r="M6834" s="3"/>
      <c r="N6834" s="3"/>
      <c r="O6834" s="3"/>
    </row>
    <row r="6835" spans="1:15" ht="15" customHeight="1" x14ac:dyDescent="0.25">
      <c r="A6835" s="2"/>
      <c r="B6835" s="2"/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</row>
    <row r="6836" spans="1:15" ht="15" customHeight="1" x14ac:dyDescent="0.25">
      <c r="A6836" s="3"/>
      <c r="B6836" s="3"/>
      <c r="C6836" s="3"/>
      <c r="D6836" s="3"/>
      <c r="E6836" s="3"/>
      <c r="F6836" s="3"/>
      <c r="G6836" s="3"/>
      <c r="H6836" s="3"/>
      <c r="I6836" s="3"/>
      <c r="J6836" s="3"/>
      <c r="K6836" s="3"/>
      <c r="L6836" s="3"/>
      <c r="M6836" s="3"/>
      <c r="N6836" s="3"/>
      <c r="O6836" s="3"/>
    </row>
    <row r="6837" spans="1:15" ht="15" customHeight="1" x14ac:dyDescent="0.25">
      <c r="A6837" s="2"/>
      <c r="B6837" s="2"/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</row>
    <row r="6838" spans="1:15" ht="15" customHeight="1" x14ac:dyDescent="0.25">
      <c r="A6838" s="3"/>
      <c r="B6838" s="3"/>
      <c r="C6838" s="3"/>
      <c r="D6838" s="3"/>
      <c r="E6838" s="3"/>
      <c r="F6838" s="3"/>
      <c r="G6838" s="3"/>
      <c r="H6838" s="3"/>
      <c r="I6838" s="3"/>
      <c r="J6838" s="3"/>
      <c r="K6838" s="3"/>
      <c r="L6838" s="3"/>
      <c r="M6838" s="3"/>
      <c r="N6838" s="3"/>
      <c r="O6838" s="3"/>
    </row>
    <row r="6839" spans="1:15" ht="15" customHeight="1" x14ac:dyDescent="0.25">
      <c r="A6839" s="2"/>
      <c r="B6839" s="2"/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</row>
    <row r="6840" spans="1:15" ht="15" customHeight="1" x14ac:dyDescent="0.25">
      <c r="A6840" s="3"/>
      <c r="B6840" s="3"/>
      <c r="C6840" s="3"/>
      <c r="D6840" s="3"/>
      <c r="E6840" s="3"/>
      <c r="F6840" s="3"/>
      <c r="G6840" s="3"/>
      <c r="H6840" s="3"/>
      <c r="I6840" s="3"/>
      <c r="J6840" s="3"/>
      <c r="K6840" s="3"/>
      <c r="L6840" s="3"/>
      <c r="M6840" s="3"/>
      <c r="N6840" s="3"/>
      <c r="O6840" s="3"/>
    </row>
    <row r="6841" spans="1:15" ht="15" customHeight="1" x14ac:dyDescent="0.25">
      <c r="A6841" s="2"/>
      <c r="B6841" s="2"/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</row>
    <row r="6842" spans="1:15" ht="15" customHeight="1" x14ac:dyDescent="0.25">
      <c r="A6842" s="3"/>
      <c r="B6842" s="3"/>
      <c r="C6842" s="3"/>
      <c r="D6842" s="3"/>
      <c r="E6842" s="3"/>
      <c r="F6842" s="3"/>
      <c r="G6842" s="3"/>
      <c r="H6842" s="3"/>
      <c r="I6842" s="3"/>
      <c r="J6842" s="3"/>
      <c r="K6842" s="3"/>
      <c r="L6842" s="3"/>
      <c r="M6842" s="3"/>
      <c r="N6842" s="3"/>
      <c r="O6842" s="3"/>
    </row>
    <row r="6843" spans="1:15" ht="15" customHeight="1" x14ac:dyDescent="0.25">
      <c r="A6843" s="2"/>
      <c r="B6843" s="2"/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</row>
    <row r="6844" spans="1:15" ht="15" customHeight="1" x14ac:dyDescent="0.25">
      <c r="A6844" s="3"/>
      <c r="B6844" s="3"/>
      <c r="C6844" s="3"/>
      <c r="D6844" s="3"/>
      <c r="E6844" s="3"/>
      <c r="F6844" s="3"/>
      <c r="G6844" s="3"/>
      <c r="H6844" s="3"/>
      <c r="I6844" s="3"/>
      <c r="J6844" s="3"/>
      <c r="K6844" s="3"/>
      <c r="L6844" s="3"/>
      <c r="M6844" s="3"/>
      <c r="N6844" s="3"/>
      <c r="O6844" s="3"/>
    </row>
    <row r="6845" spans="1:15" ht="15" customHeight="1" x14ac:dyDescent="0.25">
      <c r="A6845" s="2"/>
      <c r="B6845" s="2"/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</row>
    <row r="6846" spans="1:15" ht="15" customHeight="1" x14ac:dyDescent="0.25">
      <c r="A6846" s="3"/>
      <c r="B6846" s="3"/>
      <c r="C6846" s="3"/>
      <c r="D6846" s="3"/>
      <c r="E6846" s="3"/>
      <c r="F6846" s="3"/>
      <c r="G6846" s="3"/>
      <c r="H6846" s="3"/>
      <c r="I6846" s="3"/>
      <c r="J6846" s="3"/>
      <c r="K6846" s="3"/>
      <c r="L6846" s="3"/>
      <c r="M6846" s="3"/>
      <c r="N6846" s="3"/>
      <c r="O6846" s="3"/>
    </row>
    <row r="6847" spans="1:15" ht="15" customHeight="1" x14ac:dyDescent="0.25">
      <c r="A6847" s="2"/>
      <c r="B6847" s="2"/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</row>
    <row r="6848" spans="1:15" ht="15" customHeight="1" x14ac:dyDescent="0.25">
      <c r="A6848" s="3"/>
      <c r="B6848" s="3"/>
      <c r="C6848" s="3"/>
      <c r="D6848" s="3"/>
      <c r="E6848" s="3"/>
      <c r="F6848" s="3"/>
      <c r="G6848" s="3"/>
      <c r="H6848" s="3"/>
      <c r="I6848" s="3"/>
      <c r="J6848" s="3"/>
      <c r="K6848" s="3"/>
      <c r="L6848" s="3"/>
      <c r="M6848" s="3"/>
      <c r="N6848" s="3"/>
      <c r="O6848" s="3"/>
    </row>
    <row r="6849" spans="1:15" ht="15" customHeight="1" x14ac:dyDescent="0.25">
      <c r="A6849" s="2"/>
      <c r="B6849" s="2"/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</row>
    <row r="6850" spans="1:15" ht="15" customHeight="1" x14ac:dyDescent="0.25">
      <c r="A6850" s="3"/>
      <c r="B6850" s="3"/>
      <c r="C6850" s="3"/>
      <c r="D6850" s="3"/>
      <c r="E6850" s="3"/>
      <c r="F6850" s="3"/>
      <c r="G6850" s="3"/>
      <c r="H6850" s="3"/>
      <c r="I6850" s="3"/>
      <c r="J6850" s="3"/>
      <c r="K6850" s="3"/>
      <c r="L6850" s="3"/>
      <c r="M6850" s="3"/>
      <c r="N6850" s="3"/>
      <c r="O6850" s="3"/>
    </row>
    <row r="6851" spans="1:15" ht="15" customHeight="1" x14ac:dyDescent="0.25">
      <c r="A6851" s="2"/>
      <c r="B6851" s="2"/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</row>
    <row r="6852" spans="1:15" ht="15" customHeight="1" x14ac:dyDescent="0.25">
      <c r="A6852" s="3"/>
      <c r="B6852" s="3"/>
      <c r="C6852" s="3"/>
      <c r="D6852" s="3"/>
      <c r="E6852" s="3"/>
      <c r="F6852" s="3"/>
      <c r="G6852" s="3"/>
      <c r="H6852" s="3"/>
      <c r="I6852" s="3"/>
      <c r="J6852" s="3"/>
      <c r="K6852" s="3"/>
      <c r="L6852" s="3"/>
      <c r="M6852" s="3"/>
      <c r="N6852" s="3"/>
      <c r="O6852" s="3"/>
    </row>
    <row r="6853" spans="1:15" ht="15" customHeight="1" x14ac:dyDescent="0.25">
      <c r="A6853" s="2"/>
      <c r="B6853" s="2"/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</row>
    <row r="6854" spans="1:15" ht="15" customHeight="1" x14ac:dyDescent="0.25">
      <c r="A6854" s="3"/>
      <c r="B6854" s="3"/>
      <c r="C6854" s="3"/>
      <c r="D6854" s="3"/>
      <c r="E6854" s="3"/>
      <c r="F6854" s="3"/>
      <c r="G6854" s="3"/>
      <c r="H6854" s="3"/>
      <c r="I6854" s="3"/>
      <c r="J6854" s="3"/>
      <c r="K6854" s="3"/>
      <c r="L6854" s="3"/>
      <c r="M6854" s="3"/>
      <c r="N6854" s="3"/>
      <c r="O6854" s="3"/>
    </row>
    <row r="6855" spans="1:15" ht="15" customHeight="1" x14ac:dyDescent="0.25">
      <c r="A6855" s="2"/>
      <c r="B6855" s="2"/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</row>
    <row r="6856" spans="1:15" ht="15" customHeight="1" x14ac:dyDescent="0.25">
      <c r="A6856" s="3"/>
      <c r="B6856" s="3"/>
      <c r="C6856" s="3"/>
      <c r="D6856" s="3"/>
      <c r="E6856" s="3"/>
      <c r="F6856" s="3"/>
      <c r="G6856" s="3"/>
      <c r="H6856" s="3"/>
      <c r="I6856" s="3"/>
      <c r="J6856" s="3"/>
      <c r="K6856" s="3"/>
      <c r="L6856" s="3"/>
      <c r="M6856" s="3"/>
      <c r="N6856" s="3"/>
      <c r="O6856" s="3"/>
    </row>
    <row r="6857" spans="1:15" ht="15" customHeight="1" x14ac:dyDescent="0.25">
      <c r="A6857" s="2"/>
      <c r="B6857" s="2"/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</row>
    <row r="6858" spans="1:15" ht="15" customHeight="1" x14ac:dyDescent="0.25">
      <c r="A6858" s="3"/>
      <c r="B6858" s="3"/>
      <c r="C6858" s="3"/>
      <c r="D6858" s="3"/>
      <c r="E6858" s="3"/>
      <c r="F6858" s="3"/>
      <c r="G6858" s="3"/>
      <c r="H6858" s="3"/>
      <c r="I6858" s="3"/>
      <c r="J6858" s="3"/>
      <c r="K6858" s="3"/>
      <c r="L6858" s="3"/>
      <c r="M6858" s="3"/>
      <c r="N6858" s="3"/>
      <c r="O6858" s="3"/>
    </row>
    <row r="6859" spans="1:15" ht="15" customHeight="1" x14ac:dyDescent="0.25">
      <c r="A6859" s="2"/>
      <c r="B6859" s="2"/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</row>
    <row r="6860" spans="1:15" ht="15" customHeight="1" x14ac:dyDescent="0.25">
      <c r="A6860" s="3"/>
      <c r="B6860" s="3"/>
      <c r="C6860" s="3"/>
      <c r="D6860" s="3"/>
      <c r="E6860" s="3"/>
      <c r="F6860" s="3"/>
      <c r="G6860" s="3"/>
      <c r="H6860" s="3"/>
      <c r="I6860" s="3"/>
      <c r="J6860" s="3"/>
      <c r="K6860" s="3"/>
      <c r="L6860" s="3"/>
      <c r="M6860" s="3"/>
      <c r="N6860" s="3"/>
      <c r="O6860" s="3"/>
    </row>
    <row r="6861" spans="1:15" ht="15" customHeight="1" x14ac:dyDescent="0.25">
      <c r="A6861" s="2"/>
      <c r="B6861" s="2"/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</row>
    <row r="6862" spans="1:15" ht="15" customHeight="1" x14ac:dyDescent="0.25">
      <c r="A6862" s="3"/>
      <c r="B6862" s="3"/>
      <c r="C6862" s="3"/>
      <c r="D6862" s="3"/>
      <c r="E6862" s="3"/>
      <c r="F6862" s="3"/>
      <c r="G6862" s="3"/>
      <c r="H6862" s="3"/>
      <c r="I6862" s="3"/>
      <c r="J6862" s="3"/>
      <c r="K6862" s="3"/>
      <c r="L6862" s="3"/>
      <c r="M6862" s="3"/>
      <c r="N6862" s="3"/>
      <c r="O6862" s="3"/>
    </row>
    <row r="6863" spans="1:15" ht="15" customHeight="1" x14ac:dyDescent="0.25">
      <c r="A6863" s="2"/>
      <c r="B6863" s="2"/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</row>
    <row r="6864" spans="1:15" ht="15" customHeight="1" x14ac:dyDescent="0.25">
      <c r="A6864" s="3"/>
      <c r="B6864" s="3"/>
      <c r="C6864" s="3"/>
      <c r="D6864" s="3"/>
      <c r="E6864" s="3"/>
      <c r="F6864" s="3"/>
      <c r="G6864" s="3"/>
      <c r="H6864" s="3"/>
      <c r="I6864" s="3"/>
      <c r="J6864" s="3"/>
      <c r="K6864" s="3"/>
      <c r="L6864" s="3"/>
      <c r="M6864" s="3"/>
      <c r="N6864" s="3"/>
      <c r="O6864" s="3"/>
    </row>
    <row r="6865" spans="1:15" ht="15" customHeight="1" x14ac:dyDescent="0.25">
      <c r="A6865" s="2"/>
      <c r="B6865" s="2"/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</row>
    <row r="6866" spans="1:15" ht="15" customHeight="1" x14ac:dyDescent="0.25">
      <c r="A6866" s="3"/>
      <c r="B6866" s="3"/>
      <c r="C6866" s="3"/>
      <c r="D6866" s="3"/>
      <c r="E6866" s="3"/>
      <c r="F6866" s="3"/>
      <c r="G6866" s="3"/>
      <c r="H6866" s="3"/>
      <c r="I6866" s="3"/>
      <c r="J6866" s="3"/>
      <c r="K6866" s="3"/>
      <c r="L6866" s="3"/>
      <c r="M6866" s="3"/>
      <c r="N6866" s="3"/>
      <c r="O6866" s="3"/>
    </row>
    <row r="6867" spans="1:15" ht="15" customHeight="1" x14ac:dyDescent="0.25">
      <c r="A6867" s="2"/>
      <c r="B6867" s="2"/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</row>
    <row r="6868" spans="1:15" ht="15" customHeight="1" x14ac:dyDescent="0.25">
      <c r="A6868" s="3"/>
      <c r="B6868" s="3"/>
      <c r="C6868" s="3"/>
      <c r="D6868" s="3"/>
      <c r="E6868" s="3"/>
      <c r="F6868" s="3"/>
      <c r="G6868" s="3"/>
      <c r="H6868" s="3"/>
      <c r="I6868" s="3"/>
      <c r="J6868" s="3"/>
      <c r="K6868" s="3"/>
      <c r="L6868" s="3"/>
      <c r="M6868" s="3"/>
      <c r="N6868" s="3"/>
      <c r="O6868" s="3"/>
    </row>
    <row r="6869" spans="1:15" ht="15" customHeight="1" x14ac:dyDescent="0.25">
      <c r="A6869" s="2"/>
      <c r="B6869" s="2"/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</row>
    <row r="6870" spans="1:15" ht="15" customHeight="1" x14ac:dyDescent="0.25">
      <c r="A6870" s="3"/>
      <c r="B6870" s="3"/>
      <c r="C6870" s="3"/>
      <c r="D6870" s="3"/>
      <c r="E6870" s="3"/>
      <c r="F6870" s="3"/>
      <c r="G6870" s="3"/>
      <c r="H6870" s="3"/>
      <c r="I6870" s="3"/>
      <c r="J6870" s="3"/>
      <c r="K6870" s="3"/>
      <c r="L6870" s="3"/>
      <c r="M6870" s="3"/>
      <c r="N6870" s="3"/>
      <c r="O6870" s="3"/>
    </row>
    <row r="6871" spans="1:15" ht="15" customHeight="1" x14ac:dyDescent="0.25">
      <c r="A6871" s="2"/>
      <c r="B6871" s="2"/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</row>
    <row r="6872" spans="1:15" ht="15" customHeight="1" x14ac:dyDescent="0.25">
      <c r="A6872" s="3"/>
      <c r="B6872" s="3"/>
      <c r="C6872" s="3"/>
      <c r="D6872" s="3"/>
      <c r="E6872" s="3"/>
      <c r="F6872" s="3"/>
      <c r="G6872" s="3"/>
      <c r="H6872" s="3"/>
      <c r="I6872" s="3"/>
      <c r="J6872" s="3"/>
      <c r="K6872" s="3"/>
      <c r="L6872" s="3"/>
      <c r="M6872" s="3"/>
      <c r="N6872" s="3"/>
      <c r="O6872" s="3"/>
    </row>
    <row r="6873" spans="1:15" ht="15" customHeight="1" x14ac:dyDescent="0.25">
      <c r="A6873" s="2"/>
      <c r="B6873" s="2"/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</row>
    <row r="6874" spans="1:15" ht="15" customHeight="1" x14ac:dyDescent="0.25">
      <c r="A6874" s="3"/>
      <c r="B6874" s="3"/>
      <c r="C6874" s="3"/>
      <c r="D6874" s="3"/>
      <c r="E6874" s="3"/>
      <c r="F6874" s="3"/>
      <c r="G6874" s="3"/>
      <c r="H6874" s="3"/>
      <c r="I6874" s="3"/>
      <c r="J6874" s="3"/>
      <c r="K6874" s="3"/>
      <c r="L6874" s="3"/>
      <c r="M6874" s="3"/>
      <c r="N6874" s="3"/>
      <c r="O6874" s="3"/>
    </row>
    <row r="6875" spans="1:15" ht="15" customHeight="1" x14ac:dyDescent="0.25">
      <c r="A6875" s="2"/>
      <c r="B6875" s="2"/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</row>
    <row r="6876" spans="1:15" ht="15" customHeight="1" x14ac:dyDescent="0.25">
      <c r="A6876" s="3"/>
      <c r="B6876" s="3"/>
      <c r="C6876" s="3"/>
      <c r="D6876" s="3"/>
      <c r="E6876" s="3"/>
      <c r="F6876" s="3"/>
      <c r="G6876" s="3"/>
      <c r="H6876" s="3"/>
      <c r="I6876" s="3"/>
      <c r="J6876" s="3"/>
      <c r="K6876" s="3"/>
      <c r="L6876" s="3"/>
      <c r="M6876" s="3"/>
      <c r="N6876" s="3"/>
      <c r="O6876" s="3"/>
    </row>
    <row r="6877" spans="1:15" ht="15" customHeight="1" x14ac:dyDescent="0.25">
      <c r="A6877" s="2"/>
      <c r="B6877" s="2"/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</row>
    <row r="6878" spans="1:15" ht="15" customHeight="1" x14ac:dyDescent="0.25">
      <c r="A6878" s="3"/>
      <c r="B6878" s="3"/>
      <c r="C6878" s="3"/>
      <c r="D6878" s="3"/>
      <c r="E6878" s="3"/>
      <c r="F6878" s="3"/>
      <c r="G6878" s="3"/>
      <c r="H6878" s="3"/>
      <c r="I6878" s="3"/>
      <c r="J6878" s="3"/>
      <c r="K6878" s="3"/>
      <c r="L6878" s="3"/>
      <c r="M6878" s="3"/>
      <c r="N6878" s="3"/>
      <c r="O6878" s="3"/>
    </row>
    <row r="6879" spans="1:15" ht="15" customHeight="1" x14ac:dyDescent="0.25">
      <c r="A6879" s="2"/>
      <c r="B6879" s="2"/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</row>
    <row r="6880" spans="1:15" ht="15" customHeight="1" x14ac:dyDescent="0.25">
      <c r="A6880" s="3"/>
      <c r="B6880" s="3"/>
      <c r="C6880" s="3"/>
      <c r="D6880" s="3"/>
      <c r="E6880" s="3"/>
      <c r="F6880" s="3"/>
      <c r="G6880" s="3"/>
      <c r="H6880" s="3"/>
      <c r="I6880" s="3"/>
      <c r="J6880" s="3"/>
      <c r="K6880" s="3"/>
      <c r="L6880" s="3"/>
      <c r="M6880" s="3"/>
      <c r="N6880" s="3"/>
      <c r="O6880" s="3"/>
    </row>
    <row r="6881" spans="1:15" ht="15" customHeight="1" x14ac:dyDescent="0.25">
      <c r="A6881" s="2"/>
      <c r="B6881" s="2"/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</row>
    <row r="6882" spans="1:15" ht="15" customHeight="1" x14ac:dyDescent="0.25">
      <c r="A6882" s="3"/>
      <c r="B6882" s="3"/>
      <c r="C6882" s="3"/>
      <c r="D6882" s="3"/>
      <c r="E6882" s="3"/>
      <c r="F6882" s="3"/>
      <c r="G6882" s="3"/>
      <c r="H6882" s="3"/>
      <c r="I6882" s="3"/>
      <c r="J6882" s="3"/>
      <c r="K6882" s="3"/>
      <c r="L6882" s="3"/>
      <c r="M6882" s="3"/>
      <c r="N6882" s="3"/>
      <c r="O6882" s="3"/>
    </row>
    <row r="6883" spans="1:15" ht="15" customHeight="1" x14ac:dyDescent="0.25">
      <c r="A6883" s="2"/>
      <c r="B6883" s="2"/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</row>
    <row r="6884" spans="1:15" ht="15" customHeight="1" x14ac:dyDescent="0.25">
      <c r="A6884" s="3"/>
      <c r="B6884" s="3"/>
      <c r="C6884" s="3"/>
      <c r="D6884" s="3"/>
      <c r="E6884" s="3"/>
      <c r="F6884" s="3"/>
      <c r="G6884" s="3"/>
      <c r="H6884" s="3"/>
      <c r="I6884" s="3"/>
      <c r="J6884" s="3"/>
      <c r="K6884" s="3"/>
      <c r="L6884" s="3"/>
      <c r="M6884" s="3"/>
      <c r="N6884" s="3"/>
      <c r="O6884" s="3"/>
    </row>
    <row r="6885" spans="1:15" ht="15" customHeight="1" x14ac:dyDescent="0.25">
      <c r="A6885" s="2"/>
      <c r="B6885" s="2"/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</row>
    <row r="6886" spans="1:15" ht="15" customHeight="1" x14ac:dyDescent="0.25">
      <c r="A6886" s="3"/>
      <c r="B6886" s="3"/>
      <c r="C6886" s="3"/>
      <c r="D6886" s="3"/>
      <c r="E6886" s="3"/>
      <c r="F6886" s="3"/>
      <c r="G6886" s="3"/>
      <c r="H6886" s="3"/>
      <c r="I6886" s="3"/>
      <c r="J6886" s="3"/>
      <c r="K6886" s="3"/>
      <c r="L6886" s="3"/>
      <c r="M6886" s="3"/>
      <c r="N6886" s="3"/>
      <c r="O6886" s="3"/>
    </row>
    <row r="6887" spans="1:15" ht="15" customHeight="1" x14ac:dyDescent="0.25">
      <c r="A6887" s="2"/>
      <c r="B6887" s="2"/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</row>
    <row r="6888" spans="1:15" ht="15" customHeight="1" x14ac:dyDescent="0.25">
      <c r="A6888" s="3"/>
      <c r="B6888" s="3"/>
      <c r="C6888" s="3"/>
      <c r="D6888" s="3"/>
      <c r="E6888" s="3"/>
      <c r="F6888" s="3"/>
      <c r="G6888" s="3"/>
      <c r="H6888" s="3"/>
      <c r="I6888" s="3"/>
      <c r="J6888" s="3"/>
      <c r="K6888" s="3"/>
      <c r="L6888" s="3"/>
      <c r="M6888" s="3"/>
      <c r="N6888" s="3"/>
      <c r="O6888" s="3"/>
    </row>
    <row r="6889" spans="1:15" ht="15" customHeight="1" x14ac:dyDescent="0.25">
      <c r="A6889" s="2"/>
      <c r="B6889" s="2"/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</row>
    <row r="6890" spans="1:15" ht="15" customHeight="1" x14ac:dyDescent="0.25">
      <c r="A6890" s="3"/>
      <c r="B6890" s="3"/>
      <c r="C6890" s="3"/>
      <c r="D6890" s="3"/>
      <c r="E6890" s="3"/>
      <c r="F6890" s="3"/>
      <c r="G6890" s="3"/>
      <c r="H6890" s="3"/>
      <c r="I6890" s="3"/>
      <c r="J6890" s="3"/>
      <c r="K6890" s="3"/>
      <c r="L6890" s="3"/>
      <c r="M6890" s="3"/>
      <c r="N6890" s="3"/>
      <c r="O6890" s="3"/>
    </row>
    <row r="6891" spans="1:15" ht="15" customHeight="1" x14ac:dyDescent="0.25">
      <c r="A6891" s="2"/>
      <c r="B6891" s="2"/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</row>
    <row r="6892" spans="1:15" ht="15" customHeight="1" x14ac:dyDescent="0.25">
      <c r="A6892" s="3"/>
      <c r="B6892" s="3"/>
      <c r="C6892" s="3"/>
      <c r="D6892" s="3"/>
      <c r="E6892" s="3"/>
      <c r="F6892" s="3"/>
      <c r="G6892" s="3"/>
      <c r="H6892" s="3"/>
      <c r="I6892" s="3"/>
      <c r="J6892" s="3"/>
      <c r="K6892" s="3"/>
      <c r="L6892" s="3"/>
      <c r="M6892" s="3"/>
      <c r="N6892" s="3"/>
      <c r="O6892" s="3"/>
    </row>
    <row r="6893" spans="1:15" ht="15" customHeight="1" x14ac:dyDescent="0.25">
      <c r="A6893" s="2"/>
      <c r="B6893" s="2"/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</row>
    <row r="6894" spans="1:15" ht="15" customHeight="1" x14ac:dyDescent="0.25">
      <c r="A6894" s="3"/>
      <c r="B6894" s="3"/>
      <c r="C6894" s="3"/>
      <c r="D6894" s="3"/>
      <c r="E6894" s="3"/>
      <c r="F6894" s="3"/>
      <c r="G6894" s="3"/>
      <c r="H6894" s="3"/>
      <c r="I6894" s="3"/>
      <c r="J6894" s="3"/>
      <c r="K6894" s="3"/>
      <c r="L6894" s="3"/>
      <c r="M6894" s="3"/>
      <c r="N6894" s="3"/>
      <c r="O6894" s="3"/>
    </row>
    <row r="6895" spans="1:15" ht="15" customHeight="1" x14ac:dyDescent="0.25">
      <c r="A6895" s="2"/>
      <c r="B6895" s="2"/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</row>
    <row r="6896" spans="1:15" ht="15" customHeight="1" x14ac:dyDescent="0.25">
      <c r="A6896" s="3"/>
      <c r="B6896" s="3"/>
      <c r="C6896" s="3"/>
      <c r="D6896" s="3"/>
      <c r="E6896" s="3"/>
      <c r="F6896" s="3"/>
      <c r="G6896" s="3"/>
      <c r="H6896" s="3"/>
      <c r="I6896" s="3"/>
      <c r="J6896" s="3"/>
      <c r="K6896" s="3"/>
      <c r="L6896" s="3"/>
      <c r="M6896" s="3"/>
      <c r="N6896" s="3"/>
      <c r="O6896" s="3"/>
    </row>
    <row r="6897" spans="1:15" ht="15" customHeight="1" x14ac:dyDescent="0.25">
      <c r="A6897" s="2"/>
      <c r="B6897" s="2"/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</row>
    <row r="6898" spans="1:15" ht="15" customHeight="1" x14ac:dyDescent="0.25">
      <c r="A6898" s="3"/>
      <c r="B6898" s="3"/>
      <c r="C6898" s="3"/>
      <c r="D6898" s="3"/>
      <c r="E6898" s="3"/>
      <c r="F6898" s="3"/>
      <c r="G6898" s="3"/>
      <c r="H6898" s="3"/>
      <c r="I6898" s="3"/>
      <c r="J6898" s="3"/>
      <c r="K6898" s="3"/>
      <c r="L6898" s="3"/>
      <c r="M6898" s="3"/>
      <c r="N6898" s="3"/>
      <c r="O6898" s="3"/>
    </row>
    <row r="6899" spans="1:15" ht="15" customHeight="1" x14ac:dyDescent="0.25">
      <c r="A6899" s="2"/>
      <c r="B6899" s="2"/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</row>
    <row r="6900" spans="1:15" ht="15" customHeight="1" x14ac:dyDescent="0.25">
      <c r="A6900" s="3"/>
      <c r="B6900" s="3"/>
      <c r="C6900" s="3"/>
      <c r="D6900" s="3"/>
      <c r="E6900" s="3"/>
      <c r="F6900" s="3"/>
      <c r="G6900" s="3"/>
      <c r="H6900" s="3"/>
      <c r="I6900" s="3"/>
      <c r="J6900" s="3"/>
      <c r="K6900" s="3"/>
      <c r="L6900" s="3"/>
      <c r="M6900" s="3"/>
      <c r="N6900" s="3"/>
      <c r="O6900" s="3"/>
    </row>
    <row r="6901" spans="1:15" ht="15" customHeight="1" x14ac:dyDescent="0.25">
      <c r="A6901" s="2"/>
      <c r="B6901" s="2"/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</row>
    <row r="6902" spans="1:15" ht="15" customHeight="1" x14ac:dyDescent="0.25">
      <c r="A6902" s="3"/>
      <c r="B6902" s="3"/>
      <c r="C6902" s="3"/>
      <c r="D6902" s="3"/>
      <c r="E6902" s="3"/>
      <c r="F6902" s="3"/>
      <c r="G6902" s="3"/>
      <c r="H6902" s="3"/>
      <c r="I6902" s="3"/>
      <c r="J6902" s="3"/>
      <c r="K6902" s="3"/>
      <c r="L6902" s="3"/>
      <c r="M6902" s="3"/>
      <c r="N6902" s="3"/>
      <c r="O6902" s="3"/>
    </row>
    <row r="6903" spans="1:15" ht="15" customHeight="1" x14ac:dyDescent="0.25">
      <c r="A6903" s="2"/>
      <c r="B6903" s="2"/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</row>
    <row r="6904" spans="1:15" ht="15" customHeight="1" x14ac:dyDescent="0.25">
      <c r="A6904" s="3"/>
      <c r="B6904" s="3"/>
      <c r="C6904" s="3"/>
      <c r="D6904" s="3"/>
      <c r="E6904" s="3"/>
      <c r="F6904" s="3"/>
      <c r="G6904" s="3"/>
      <c r="H6904" s="3"/>
      <c r="I6904" s="3"/>
      <c r="J6904" s="3"/>
      <c r="K6904" s="3"/>
      <c r="L6904" s="3"/>
      <c r="M6904" s="3"/>
      <c r="N6904" s="3"/>
      <c r="O6904" s="3"/>
    </row>
    <row r="6905" spans="1:15" ht="15" customHeight="1" x14ac:dyDescent="0.25">
      <c r="A6905" s="2"/>
      <c r="B6905" s="2"/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</row>
    <row r="6906" spans="1:15" ht="15" customHeight="1" x14ac:dyDescent="0.25">
      <c r="A6906" s="3"/>
      <c r="B6906" s="3"/>
      <c r="C6906" s="3"/>
      <c r="D6906" s="3"/>
      <c r="E6906" s="3"/>
      <c r="F6906" s="3"/>
      <c r="G6906" s="3"/>
      <c r="H6906" s="3"/>
      <c r="I6906" s="3"/>
      <c r="J6906" s="3"/>
      <c r="K6906" s="3"/>
      <c r="L6906" s="3"/>
      <c r="M6906" s="3"/>
      <c r="N6906" s="3"/>
      <c r="O6906" s="3"/>
    </row>
    <row r="6907" spans="1:15" ht="15" customHeight="1" x14ac:dyDescent="0.25">
      <c r="A6907" s="2"/>
      <c r="B6907" s="2"/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</row>
    <row r="6908" spans="1:15" ht="15" customHeight="1" x14ac:dyDescent="0.25">
      <c r="A6908" s="3"/>
      <c r="B6908" s="3"/>
      <c r="C6908" s="3"/>
      <c r="D6908" s="3"/>
      <c r="E6908" s="3"/>
      <c r="F6908" s="3"/>
      <c r="G6908" s="3"/>
      <c r="H6908" s="3"/>
      <c r="I6908" s="3"/>
      <c r="J6908" s="3"/>
      <c r="K6908" s="3"/>
      <c r="L6908" s="3"/>
      <c r="M6908" s="3"/>
      <c r="N6908" s="3"/>
      <c r="O6908" s="3"/>
    </row>
    <row r="6909" spans="1:15" ht="15" customHeight="1" x14ac:dyDescent="0.25">
      <c r="A6909" s="2"/>
      <c r="B6909" s="2"/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</row>
    <row r="6910" spans="1:15" ht="15" customHeight="1" x14ac:dyDescent="0.25">
      <c r="A6910" s="3"/>
      <c r="B6910" s="3"/>
      <c r="C6910" s="3"/>
      <c r="D6910" s="3"/>
      <c r="E6910" s="3"/>
      <c r="F6910" s="3"/>
      <c r="G6910" s="3"/>
      <c r="H6910" s="3"/>
      <c r="I6910" s="3"/>
      <c r="J6910" s="3"/>
      <c r="K6910" s="3"/>
      <c r="L6910" s="3"/>
      <c r="M6910" s="3"/>
      <c r="N6910" s="3"/>
      <c r="O6910" s="3"/>
    </row>
    <row r="6911" spans="1:15" ht="15" customHeight="1" x14ac:dyDescent="0.25">
      <c r="A6911" s="2"/>
      <c r="B6911" s="2"/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</row>
    <row r="6912" spans="1:15" ht="15" customHeight="1" x14ac:dyDescent="0.25">
      <c r="A6912" s="3"/>
      <c r="B6912" s="3"/>
      <c r="C6912" s="3"/>
      <c r="D6912" s="3"/>
      <c r="E6912" s="3"/>
      <c r="F6912" s="3"/>
      <c r="G6912" s="3"/>
      <c r="H6912" s="3"/>
      <c r="I6912" s="3"/>
      <c r="J6912" s="3"/>
      <c r="K6912" s="3"/>
      <c r="L6912" s="3"/>
      <c r="M6912" s="3"/>
      <c r="N6912" s="3"/>
      <c r="O6912" s="3"/>
    </row>
    <row r="6913" spans="1:15" ht="15" customHeight="1" x14ac:dyDescent="0.25">
      <c r="A6913" s="2"/>
      <c r="B6913" s="2"/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</row>
    <row r="6914" spans="1:15" ht="15" customHeight="1" x14ac:dyDescent="0.25">
      <c r="A6914" s="3"/>
      <c r="B6914" s="3"/>
      <c r="C6914" s="3"/>
      <c r="D6914" s="3"/>
      <c r="E6914" s="3"/>
      <c r="F6914" s="3"/>
      <c r="G6914" s="3"/>
      <c r="H6914" s="3"/>
      <c r="I6914" s="3"/>
      <c r="J6914" s="3"/>
      <c r="K6914" s="3"/>
      <c r="L6914" s="3"/>
      <c r="M6914" s="3"/>
      <c r="N6914" s="3"/>
      <c r="O6914" s="3"/>
    </row>
    <row r="6915" spans="1:15" ht="15" customHeight="1" x14ac:dyDescent="0.25">
      <c r="A6915" s="2"/>
      <c r="B6915" s="2"/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</row>
    <row r="6916" spans="1:15" ht="15" customHeight="1" x14ac:dyDescent="0.25">
      <c r="A6916" s="3"/>
      <c r="B6916" s="3"/>
      <c r="C6916" s="3"/>
      <c r="D6916" s="3"/>
      <c r="E6916" s="3"/>
      <c r="F6916" s="3"/>
      <c r="G6916" s="3"/>
      <c r="H6916" s="3"/>
      <c r="I6916" s="3"/>
      <c r="J6916" s="3"/>
      <c r="K6916" s="3"/>
      <c r="L6916" s="3"/>
      <c r="M6916" s="3"/>
      <c r="N6916" s="3"/>
      <c r="O6916" s="3"/>
    </row>
    <row r="6917" spans="1:15" ht="15" customHeight="1" x14ac:dyDescent="0.25">
      <c r="A6917" s="2"/>
      <c r="B6917" s="2"/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</row>
    <row r="6918" spans="1:15" ht="15" customHeight="1" x14ac:dyDescent="0.25">
      <c r="A6918" s="3"/>
      <c r="B6918" s="3"/>
      <c r="C6918" s="3"/>
      <c r="D6918" s="3"/>
      <c r="E6918" s="3"/>
      <c r="F6918" s="3"/>
      <c r="G6918" s="3"/>
      <c r="H6918" s="3"/>
      <c r="I6918" s="3"/>
      <c r="J6918" s="3"/>
      <c r="K6918" s="3"/>
      <c r="L6918" s="3"/>
      <c r="M6918" s="3"/>
      <c r="N6918" s="3"/>
      <c r="O6918" s="3"/>
    </row>
    <row r="6919" spans="1:15" ht="15" customHeight="1" x14ac:dyDescent="0.25">
      <c r="A6919" s="2"/>
      <c r="B6919" s="2"/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</row>
    <row r="6920" spans="1:15" ht="15" customHeight="1" x14ac:dyDescent="0.25">
      <c r="A6920" s="3"/>
      <c r="B6920" s="3"/>
      <c r="C6920" s="3"/>
      <c r="D6920" s="3"/>
      <c r="E6920" s="3"/>
      <c r="F6920" s="3"/>
      <c r="G6920" s="3"/>
      <c r="H6920" s="3"/>
      <c r="I6920" s="3"/>
      <c r="J6920" s="3"/>
      <c r="K6920" s="3"/>
      <c r="L6920" s="3"/>
      <c r="M6920" s="3"/>
      <c r="N6920" s="3"/>
      <c r="O6920" s="3"/>
    </row>
    <row r="6921" spans="1:15" ht="15" customHeight="1" x14ac:dyDescent="0.25">
      <c r="A6921" s="2"/>
      <c r="B6921" s="2"/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</row>
    <row r="6922" spans="1:15" ht="15" customHeight="1" x14ac:dyDescent="0.25">
      <c r="A6922" s="3"/>
      <c r="B6922" s="3"/>
      <c r="C6922" s="3"/>
      <c r="D6922" s="3"/>
      <c r="E6922" s="3"/>
      <c r="F6922" s="3"/>
      <c r="G6922" s="3"/>
      <c r="H6922" s="3"/>
      <c r="I6922" s="3"/>
      <c r="J6922" s="3"/>
      <c r="K6922" s="3"/>
      <c r="L6922" s="3"/>
      <c r="M6922" s="3"/>
      <c r="N6922" s="3"/>
      <c r="O6922" s="3"/>
    </row>
    <row r="6923" spans="1:15" ht="15" customHeight="1" x14ac:dyDescent="0.25">
      <c r="A6923" s="2"/>
      <c r="B6923" s="2"/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</row>
    <row r="6924" spans="1:15" ht="15" customHeight="1" x14ac:dyDescent="0.25">
      <c r="A6924" s="3"/>
      <c r="B6924" s="3"/>
      <c r="C6924" s="3"/>
      <c r="D6924" s="3"/>
      <c r="E6924" s="3"/>
      <c r="F6924" s="3"/>
      <c r="G6924" s="3"/>
      <c r="H6924" s="3"/>
      <c r="I6924" s="3"/>
      <c r="J6924" s="3"/>
      <c r="K6924" s="3"/>
      <c r="L6924" s="3"/>
      <c r="M6924" s="3"/>
      <c r="N6924" s="3"/>
      <c r="O6924" s="3"/>
    </row>
    <row r="6925" spans="1:15" ht="15" customHeight="1" x14ac:dyDescent="0.25">
      <c r="A6925" s="2"/>
      <c r="B6925" s="2"/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</row>
    <row r="6926" spans="1:15" ht="15" customHeight="1" x14ac:dyDescent="0.25">
      <c r="A6926" s="3"/>
      <c r="B6926" s="3"/>
      <c r="C6926" s="3"/>
      <c r="D6926" s="3"/>
      <c r="E6926" s="3"/>
      <c r="F6926" s="3"/>
      <c r="G6926" s="3"/>
      <c r="H6926" s="3"/>
      <c r="I6926" s="3"/>
      <c r="J6926" s="3"/>
      <c r="K6926" s="3"/>
      <c r="L6926" s="3"/>
      <c r="M6926" s="3"/>
      <c r="N6926" s="3"/>
      <c r="O6926" s="3"/>
    </row>
    <row r="6927" spans="1:15" ht="15" customHeight="1" x14ac:dyDescent="0.25">
      <c r="A6927" s="2"/>
      <c r="B6927" s="2"/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</row>
    <row r="6928" spans="1:15" ht="15" customHeight="1" x14ac:dyDescent="0.25">
      <c r="A6928" s="3"/>
      <c r="B6928" s="3"/>
      <c r="C6928" s="3"/>
      <c r="D6928" s="3"/>
      <c r="E6928" s="3"/>
      <c r="F6928" s="3"/>
      <c r="G6928" s="3"/>
      <c r="H6928" s="3"/>
      <c r="I6928" s="3"/>
      <c r="J6928" s="3"/>
      <c r="K6928" s="3"/>
      <c r="L6928" s="3"/>
      <c r="M6928" s="3"/>
      <c r="N6928" s="3"/>
      <c r="O6928" s="3"/>
    </row>
    <row r="6929" spans="1:15" ht="15" customHeight="1" x14ac:dyDescent="0.25">
      <c r="A6929" s="2"/>
      <c r="B6929" s="2"/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</row>
    <row r="6930" spans="1:15" ht="15" customHeight="1" x14ac:dyDescent="0.25">
      <c r="A6930" s="3"/>
      <c r="B6930" s="3"/>
      <c r="C6930" s="3"/>
      <c r="D6930" s="3"/>
      <c r="E6930" s="3"/>
      <c r="F6930" s="3"/>
      <c r="G6930" s="3"/>
      <c r="H6930" s="3"/>
      <c r="I6930" s="3"/>
      <c r="J6930" s="3"/>
      <c r="K6930" s="3"/>
      <c r="L6930" s="3"/>
      <c r="M6930" s="3"/>
      <c r="N6930" s="3"/>
      <c r="O6930" s="3"/>
    </row>
    <row r="6931" spans="1:15" ht="15" customHeight="1" x14ac:dyDescent="0.25">
      <c r="A6931" s="2"/>
      <c r="B6931" s="2"/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</row>
    <row r="6932" spans="1:15" ht="15" customHeight="1" x14ac:dyDescent="0.25">
      <c r="A6932" s="3"/>
      <c r="B6932" s="3"/>
      <c r="C6932" s="3"/>
      <c r="D6932" s="3"/>
      <c r="E6932" s="3"/>
      <c r="F6932" s="3"/>
      <c r="G6932" s="3"/>
      <c r="H6932" s="3"/>
      <c r="I6932" s="3"/>
      <c r="J6932" s="3"/>
      <c r="K6932" s="3"/>
      <c r="L6932" s="3"/>
      <c r="M6932" s="3"/>
      <c r="N6932" s="3"/>
      <c r="O6932" s="3"/>
    </row>
    <row r="6933" spans="1:15" ht="15" customHeight="1" x14ac:dyDescent="0.25">
      <c r="A6933" s="2"/>
      <c r="B6933" s="2"/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</row>
    <row r="6934" spans="1:15" ht="15" customHeight="1" x14ac:dyDescent="0.25">
      <c r="A6934" s="3"/>
      <c r="B6934" s="3"/>
      <c r="C6934" s="3"/>
      <c r="D6934" s="3"/>
      <c r="E6934" s="3"/>
      <c r="F6934" s="3"/>
      <c r="G6934" s="3"/>
      <c r="H6934" s="3"/>
      <c r="I6934" s="3"/>
      <c r="J6934" s="3"/>
      <c r="K6934" s="3"/>
      <c r="L6934" s="3"/>
      <c r="M6934" s="3"/>
      <c r="N6934" s="3"/>
      <c r="O6934" s="3"/>
    </row>
    <row r="6935" spans="1:15" ht="15" customHeight="1" x14ac:dyDescent="0.25">
      <c r="A6935" s="2"/>
      <c r="B6935" s="2"/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</row>
    <row r="6936" spans="1:15" ht="15" customHeight="1" x14ac:dyDescent="0.25">
      <c r="A6936" s="3"/>
      <c r="B6936" s="3"/>
      <c r="C6936" s="3"/>
      <c r="D6936" s="3"/>
      <c r="E6936" s="3"/>
      <c r="F6936" s="3"/>
      <c r="G6936" s="3"/>
      <c r="H6936" s="3"/>
      <c r="I6936" s="3"/>
      <c r="J6936" s="3"/>
      <c r="K6936" s="3"/>
      <c r="L6936" s="3"/>
      <c r="M6936" s="3"/>
      <c r="N6936" s="3"/>
      <c r="O6936" s="3"/>
    </row>
    <row r="6937" spans="1:15" ht="15" customHeight="1" x14ac:dyDescent="0.25">
      <c r="A6937" s="2"/>
      <c r="B6937" s="2"/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</row>
    <row r="6938" spans="1:15" ht="15" customHeight="1" x14ac:dyDescent="0.25">
      <c r="A6938" s="3"/>
      <c r="B6938" s="3"/>
      <c r="C6938" s="3"/>
      <c r="D6938" s="3"/>
      <c r="E6938" s="3"/>
      <c r="F6938" s="3"/>
      <c r="G6938" s="3"/>
      <c r="H6938" s="3"/>
      <c r="I6938" s="3"/>
      <c r="J6938" s="3"/>
      <c r="K6938" s="3"/>
      <c r="L6938" s="3"/>
      <c r="M6938" s="3"/>
      <c r="N6938" s="3"/>
      <c r="O6938" s="3"/>
    </row>
    <row r="6939" spans="1:15" ht="15" customHeight="1" x14ac:dyDescent="0.25">
      <c r="A6939" s="2"/>
      <c r="B6939" s="2"/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</row>
    <row r="6940" spans="1:15" ht="15" customHeight="1" x14ac:dyDescent="0.25">
      <c r="A6940" s="3"/>
      <c r="B6940" s="3"/>
      <c r="C6940" s="3"/>
      <c r="D6940" s="3"/>
      <c r="E6940" s="3"/>
      <c r="F6940" s="3"/>
      <c r="G6940" s="3"/>
      <c r="H6940" s="3"/>
      <c r="I6940" s="3"/>
      <c r="J6940" s="3"/>
      <c r="K6940" s="3"/>
      <c r="L6940" s="3"/>
      <c r="M6940" s="3"/>
      <c r="N6940" s="3"/>
      <c r="O6940" s="3"/>
    </row>
    <row r="6941" spans="1:15" ht="15" customHeight="1" x14ac:dyDescent="0.25">
      <c r="A6941" s="2"/>
      <c r="B6941" s="2"/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</row>
    <row r="6942" spans="1:15" ht="15" customHeight="1" x14ac:dyDescent="0.25">
      <c r="A6942" s="3"/>
      <c r="B6942" s="3"/>
      <c r="C6942" s="3"/>
      <c r="D6942" s="3"/>
      <c r="E6942" s="3"/>
      <c r="F6942" s="3"/>
      <c r="G6942" s="3"/>
      <c r="H6942" s="3"/>
      <c r="I6942" s="3"/>
      <c r="J6942" s="3"/>
      <c r="K6942" s="3"/>
      <c r="L6942" s="3"/>
      <c r="M6942" s="3"/>
      <c r="N6942" s="3"/>
      <c r="O6942" s="3"/>
    </row>
    <row r="6943" spans="1:15" ht="15" customHeight="1" x14ac:dyDescent="0.25">
      <c r="A6943" s="2"/>
      <c r="B6943" s="2"/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</row>
    <row r="6944" spans="1:15" ht="15" customHeight="1" x14ac:dyDescent="0.25">
      <c r="A6944" s="3"/>
      <c r="B6944" s="3"/>
      <c r="C6944" s="3"/>
      <c r="D6944" s="3"/>
      <c r="E6944" s="3"/>
      <c r="F6944" s="3"/>
      <c r="G6944" s="3"/>
      <c r="H6944" s="3"/>
      <c r="I6944" s="3"/>
      <c r="J6944" s="3"/>
      <c r="K6944" s="3"/>
      <c r="L6944" s="3"/>
      <c r="M6944" s="3"/>
      <c r="N6944" s="3"/>
      <c r="O6944" s="3"/>
    </row>
    <row r="6945" spans="1:15" ht="15" customHeight="1" x14ac:dyDescent="0.25">
      <c r="A6945" s="2"/>
      <c r="B6945" s="2"/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</row>
    <row r="6946" spans="1:15" ht="15" customHeight="1" x14ac:dyDescent="0.25">
      <c r="A6946" s="3"/>
      <c r="B6946" s="3"/>
      <c r="C6946" s="3"/>
      <c r="D6946" s="3"/>
      <c r="E6946" s="3"/>
      <c r="F6946" s="3"/>
      <c r="G6946" s="3"/>
      <c r="H6946" s="3"/>
      <c r="I6946" s="3"/>
      <c r="J6946" s="3"/>
      <c r="K6946" s="3"/>
      <c r="L6946" s="3"/>
      <c r="M6946" s="3"/>
      <c r="N6946" s="3"/>
      <c r="O6946" s="3"/>
    </row>
    <row r="6947" spans="1:15" ht="15" customHeight="1" x14ac:dyDescent="0.25">
      <c r="A6947" s="2"/>
      <c r="B6947" s="2"/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</row>
    <row r="6948" spans="1:15" ht="15" customHeight="1" x14ac:dyDescent="0.25">
      <c r="A6948" s="3"/>
      <c r="B6948" s="3"/>
      <c r="C6948" s="3"/>
      <c r="D6948" s="3"/>
      <c r="E6948" s="3"/>
      <c r="F6948" s="3"/>
      <c r="G6948" s="3"/>
      <c r="H6948" s="3"/>
      <c r="I6948" s="3"/>
      <c r="J6948" s="3"/>
      <c r="K6948" s="3"/>
      <c r="L6948" s="3"/>
      <c r="M6948" s="3"/>
      <c r="N6948" s="3"/>
      <c r="O6948" s="3"/>
    </row>
    <row r="6949" spans="1:15" ht="15" customHeight="1" x14ac:dyDescent="0.25">
      <c r="A6949" s="2"/>
      <c r="B6949" s="2"/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</row>
    <row r="6950" spans="1:15" ht="15" customHeight="1" x14ac:dyDescent="0.25">
      <c r="A6950" s="3"/>
      <c r="B6950" s="3"/>
      <c r="C6950" s="3"/>
      <c r="D6950" s="3"/>
      <c r="E6950" s="3"/>
      <c r="F6950" s="3"/>
      <c r="G6950" s="3"/>
      <c r="H6950" s="3"/>
      <c r="I6950" s="3"/>
      <c r="J6950" s="3"/>
      <c r="K6950" s="3"/>
      <c r="L6950" s="3"/>
      <c r="M6950" s="3"/>
      <c r="N6950" s="3"/>
      <c r="O6950" s="3"/>
    </row>
    <row r="6951" spans="1:15" ht="15" customHeight="1" x14ac:dyDescent="0.25">
      <c r="A6951" s="2"/>
      <c r="B6951" s="2"/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</row>
    <row r="6952" spans="1:15" ht="15" customHeight="1" x14ac:dyDescent="0.25">
      <c r="A6952" s="3"/>
      <c r="B6952" s="3"/>
      <c r="C6952" s="3"/>
      <c r="D6952" s="3"/>
      <c r="E6952" s="3"/>
      <c r="F6952" s="3"/>
      <c r="G6952" s="3"/>
      <c r="H6952" s="3"/>
      <c r="I6952" s="3"/>
      <c r="J6952" s="3"/>
      <c r="K6952" s="3"/>
      <c r="L6952" s="3"/>
      <c r="M6952" s="3"/>
      <c r="N6952" s="3"/>
      <c r="O6952" s="3"/>
    </row>
    <row r="6953" spans="1:15" ht="15" customHeight="1" x14ac:dyDescent="0.25">
      <c r="A6953" s="2"/>
      <c r="B6953" s="2"/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</row>
    <row r="6954" spans="1:15" ht="15" customHeight="1" x14ac:dyDescent="0.25">
      <c r="A6954" s="3"/>
      <c r="B6954" s="3"/>
      <c r="C6954" s="3"/>
      <c r="D6954" s="3"/>
      <c r="E6954" s="3"/>
      <c r="F6954" s="3"/>
      <c r="G6954" s="3"/>
      <c r="H6954" s="3"/>
      <c r="I6954" s="3"/>
      <c r="J6954" s="3"/>
      <c r="K6954" s="3"/>
      <c r="L6954" s="3"/>
      <c r="M6954" s="3"/>
      <c r="N6954" s="3"/>
      <c r="O6954" s="3"/>
    </row>
    <row r="6955" spans="1:15" ht="15" customHeight="1" x14ac:dyDescent="0.25">
      <c r="A6955" s="2"/>
      <c r="B6955" s="2"/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</row>
    <row r="6956" spans="1:15" ht="15" customHeight="1" x14ac:dyDescent="0.25">
      <c r="A6956" s="3"/>
      <c r="B6956" s="3"/>
      <c r="C6956" s="3"/>
      <c r="D6956" s="3"/>
      <c r="E6956" s="3"/>
      <c r="F6956" s="3"/>
      <c r="G6956" s="3"/>
      <c r="H6956" s="3"/>
      <c r="I6956" s="3"/>
      <c r="J6956" s="3"/>
      <c r="K6956" s="3"/>
      <c r="L6956" s="3"/>
      <c r="M6956" s="3"/>
      <c r="N6956" s="3"/>
      <c r="O6956" s="3"/>
    </row>
    <row r="6957" spans="1:15" ht="15" customHeight="1" x14ac:dyDescent="0.25">
      <c r="A6957" s="2"/>
      <c r="B6957" s="2"/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</row>
    <row r="6958" spans="1:15" ht="15" customHeight="1" x14ac:dyDescent="0.25">
      <c r="A6958" s="3"/>
      <c r="B6958" s="3"/>
      <c r="C6958" s="3"/>
      <c r="D6958" s="3"/>
      <c r="E6958" s="3"/>
      <c r="F6958" s="3"/>
      <c r="G6958" s="3"/>
      <c r="H6958" s="3"/>
      <c r="I6958" s="3"/>
      <c r="J6958" s="3"/>
      <c r="K6958" s="3"/>
      <c r="L6958" s="3"/>
      <c r="M6958" s="3"/>
      <c r="N6958" s="3"/>
      <c r="O6958" s="3"/>
    </row>
    <row r="6959" spans="1:15" ht="15" customHeight="1" x14ac:dyDescent="0.25">
      <c r="A6959" s="2"/>
      <c r="B6959" s="2"/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</row>
    <row r="6960" spans="1:15" ht="15" customHeight="1" x14ac:dyDescent="0.25">
      <c r="A6960" s="3"/>
      <c r="B6960" s="3"/>
      <c r="C6960" s="3"/>
      <c r="D6960" s="3"/>
      <c r="E6960" s="3"/>
      <c r="F6960" s="3"/>
      <c r="G6960" s="3"/>
      <c r="H6960" s="3"/>
      <c r="I6960" s="3"/>
      <c r="J6960" s="3"/>
      <c r="K6960" s="3"/>
      <c r="L6960" s="3"/>
      <c r="M6960" s="3"/>
      <c r="N6960" s="3"/>
      <c r="O6960" s="3"/>
    </row>
    <row r="6961" spans="1:15" ht="15" customHeight="1" x14ac:dyDescent="0.25">
      <c r="A6961" s="2"/>
      <c r="B6961" s="2"/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</row>
    <row r="6962" spans="1:15" ht="15" customHeight="1" x14ac:dyDescent="0.25">
      <c r="A6962" s="3"/>
      <c r="B6962" s="3"/>
      <c r="C6962" s="3"/>
      <c r="D6962" s="3"/>
      <c r="E6962" s="3"/>
      <c r="F6962" s="3"/>
      <c r="G6962" s="3"/>
      <c r="H6962" s="3"/>
      <c r="I6962" s="3"/>
      <c r="J6962" s="3"/>
      <c r="K6962" s="3"/>
      <c r="L6962" s="3"/>
      <c r="M6962" s="3"/>
      <c r="N6962" s="3"/>
      <c r="O6962" s="3"/>
    </row>
    <row r="6963" spans="1:15" ht="15" customHeight="1" x14ac:dyDescent="0.25">
      <c r="A6963" s="2"/>
      <c r="B6963" s="2"/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</row>
    <row r="6964" spans="1:15" ht="15" customHeight="1" x14ac:dyDescent="0.25">
      <c r="A6964" s="3"/>
      <c r="B6964" s="3"/>
      <c r="C6964" s="3"/>
      <c r="D6964" s="3"/>
      <c r="E6964" s="3"/>
      <c r="F6964" s="3"/>
      <c r="G6964" s="3"/>
      <c r="H6964" s="3"/>
      <c r="I6964" s="3"/>
      <c r="J6964" s="3"/>
      <c r="K6964" s="3"/>
      <c r="L6964" s="3"/>
      <c r="M6964" s="3"/>
      <c r="N6964" s="3"/>
      <c r="O6964" s="3"/>
    </row>
    <row r="6965" spans="1:15" ht="15" customHeight="1" x14ac:dyDescent="0.25">
      <c r="A6965" s="2"/>
      <c r="B6965" s="2"/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</row>
    <row r="6966" spans="1:15" ht="15" customHeight="1" x14ac:dyDescent="0.25">
      <c r="A6966" s="3"/>
      <c r="B6966" s="3"/>
      <c r="C6966" s="3"/>
      <c r="D6966" s="3"/>
      <c r="E6966" s="3"/>
      <c r="F6966" s="3"/>
      <c r="G6966" s="3"/>
      <c r="H6966" s="3"/>
      <c r="I6966" s="3"/>
      <c r="J6966" s="3"/>
      <c r="K6966" s="3"/>
      <c r="L6966" s="3"/>
      <c r="M6966" s="3"/>
      <c r="N6966" s="3"/>
      <c r="O6966" s="3"/>
    </row>
    <row r="6967" spans="1:15" ht="15" customHeight="1" x14ac:dyDescent="0.25">
      <c r="A6967" s="2"/>
      <c r="B6967" s="2"/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</row>
    <row r="6968" spans="1:15" ht="15" customHeight="1" x14ac:dyDescent="0.25">
      <c r="A6968" s="3"/>
      <c r="B6968" s="3"/>
      <c r="C6968" s="3"/>
      <c r="D6968" s="3"/>
      <c r="E6968" s="3"/>
      <c r="F6968" s="3"/>
      <c r="G6968" s="3"/>
      <c r="H6968" s="3"/>
      <c r="I6968" s="3"/>
      <c r="J6968" s="3"/>
      <c r="K6968" s="3"/>
      <c r="L6968" s="3"/>
      <c r="M6968" s="3"/>
      <c r="N6968" s="3"/>
      <c r="O6968" s="3"/>
    </row>
    <row r="6969" spans="1:15" ht="15" customHeight="1" x14ac:dyDescent="0.25">
      <c r="A6969" s="2"/>
      <c r="B6969" s="2"/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</row>
    <row r="6970" spans="1:15" ht="15" customHeight="1" x14ac:dyDescent="0.25">
      <c r="A6970" s="3"/>
      <c r="B6970" s="3"/>
      <c r="C6970" s="3"/>
      <c r="D6970" s="3"/>
      <c r="E6970" s="3"/>
      <c r="F6970" s="3"/>
      <c r="G6970" s="3"/>
      <c r="H6970" s="3"/>
      <c r="I6970" s="3"/>
      <c r="J6970" s="3"/>
      <c r="K6970" s="3"/>
      <c r="L6970" s="3"/>
      <c r="M6970" s="3"/>
      <c r="N6970" s="3"/>
      <c r="O6970" s="3"/>
    </row>
    <row r="6971" spans="1:15" ht="15" customHeight="1" x14ac:dyDescent="0.25">
      <c r="A6971" s="2"/>
      <c r="B6971" s="2"/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</row>
    <row r="6972" spans="1:15" ht="15" customHeight="1" x14ac:dyDescent="0.25">
      <c r="A6972" s="3"/>
      <c r="B6972" s="3"/>
      <c r="C6972" s="3"/>
      <c r="D6972" s="3"/>
      <c r="E6972" s="3"/>
      <c r="F6972" s="3"/>
      <c r="G6972" s="3"/>
      <c r="H6972" s="3"/>
      <c r="I6972" s="3"/>
      <c r="J6972" s="3"/>
      <c r="K6972" s="3"/>
      <c r="L6972" s="3"/>
      <c r="M6972" s="3"/>
      <c r="N6972" s="3"/>
      <c r="O6972" s="3"/>
    </row>
    <row r="6973" spans="1:15" ht="15" customHeight="1" x14ac:dyDescent="0.25">
      <c r="A6973" s="2"/>
      <c r="B6973" s="2"/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</row>
    <row r="6974" spans="1:15" ht="15" customHeight="1" x14ac:dyDescent="0.25">
      <c r="A6974" s="3"/>
      <c r="B6974" s="3"/>
      <c r="C6974" s="3"/>
      <c r="D6974" s="3"/>
      <c r="E6974" s="3"/>
      <c r="F6974" s="3"/>
      <c r="G6974" s="3"/>
      <c r="H6974" s="3"/>
      <c r="I6974" s="3"/>
      <c r="J6974" s="3"/>
      <c r="K6974" s="3"/>
      <c r="L6974" s="3"/>
      <c r="M6974" s="3"/>
      <c r="N6974" s="3"/>
      <c r="O6974" s="3"/>
    </row>
    <row r="6975" spans="1:15" ht="15" customHeight="1" x14ac:dyDescent="0.25">
      <c r="A6975" s="2"/>
      <c r="B6975" s="2"/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</row>
    <row r="6976" spans="1:15" ht="15" customHeight="1" x14ac:dyDescent="0.25">
      <c r="A6976" s="3"/>
      <c r="B6976" s="3"/>
      <c r="C6976" s="3"/>
      <c r="D6976" s="3"/>
      <c r="E6976" s="3"/>
      <c r="F6976" s="3"/>
      <c r="G6976" s="3"/>
      <c r="H6976" s="3"/>
      <c r="I6976" s="3"/>
      <c r="J6976" s="3"/>
      <c r="K6976" s="3"/>
      <c r="L6976" s="3"/>
      <c r="M6976" s="3"/>
      <c r="N6976" s="3"/>
      <c r="O6976" s="3"/>
    </row>
    <row r="6977" spans="1:15" ht="15" customHeight="1" x14ac:dyDescent="0.25">
      <c r="A6977" s="2"/>
      <c r="B6977" s="2"/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</row>
    <row r="6978" spans="1:15" ht="15" customHeight="1" x14ac:dyDescent="0.25">
      <c r="A6978" s="3"/>
      <c r="B6978" s="3"/>
      <c r="C6978" s="3"/>
      <c r="D6978" s="3"/>
      <c r="E6978" s="3"/>
      <c r="F6978" s="3"/>
      <c r="G6978" s="3"/>
      <c r="H6978" s="3"/>
      <c r="I6978" s="3"/>
      <c r="J6978" s="3"/>
      <c r="K6978" s="3"/>
      <c r="L6978" s="3"/>
      <c r="M6978" s="3"/>
      <c r="N6978" s="3"/>
      <c r="O6978" s="3"/>
    </row>
    <row r="6979" spans="1:15" ht="15" customHeight="1" x14ac:dyDescent="0.25">
      <c r="A6979" s="2"/>
      <c r="B6979" s="2"/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</row>
    <row r="6980" spans="1:15" ht="15" customHeight="1" x14ac:dyDescent="0.25">
      <c r="A6980" s="3"/>
      <c r="B6980" s="3"/>
      <c r="C6980" s="3"/>
      <c r="D6980" s="3"/>
      <c r="E6980" s="3"/>
      <c r="F6980" s="3"/>
      <c r="G6980" s="3"/>
      <c r="H6980" s="3"/>
      <c r="I6980" s="3"/>
      <c r="J6980" s="3"/>
      <c r="K6980" s="3"/>
      <c r="L6980" s="3"/>
      <c r="M6980" s="3"/>
      <c r="N6980" s="3"/>
      <c r="O6980" s="3"/>
    </row>
    <row r="6981" spans="1:15" ht="15" customHeight="1" x14ac:dyDescent="0.25">
      <c r="A6981" s="2"/>
      <c r="B6981" s="2"/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</row>
    <row r="6982" spans="1:15" ht="15" customHeight="1" x14ac:dyDescent="0.25">
      <c r="A6982" s="3"/>
      <c r="B6982" s="3"/>
      <c r="C6982" s="3"/>
      <c r="D6982" s="3"/>
      <c r="E6982" s="3"/>
      <c r="F6982" s="3"/>
      <c r="G6982" s="3"/>
      <c r="H6982" s="3"/>
      <c r="I6982" s="3"/>
      <c r="J6982" s="3"/>
      <c r="K6982" s="3"/>
      <c r="L6982" s="3"/>
      <c r="M6982" s="3"/>
      <c r="N6982" s="3"/>
      <c r="O6982" s="3"/>
    </row>
    <row r="6983" spans="1:15" ht="15" customHeight="1" x14ac:dyDescent="0.25">
      <c r="A6983" s="2"/>
      <c r="B6983" s="2"/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</row>
    <row r="6984" spans="1:15" ht="15" customHeight="1" x14ac:dyDescent="0.25">
      <c r="A6984" s="3"/>
      <c r="B6984" s="3"/>
      <c r="C6984" s="3"/>
      <c r="D6984" s="3"/>
      <c r="E6984" s="3"/>
      <c r="F6984" s="3"/>
      <c r="G6984" s="3"/>
      <c r="H6984" s="3"/>
      <c r="I6984" s="3"/>
      <c r="J6984" s="3"/>
      <c r="K6984" s="3"/>
      <c r="L6984" s="3"/>
      <c r="M6984" s="3"/>
      <c r="N6984" s="3"/>
      <c r="O6984" s="3"/>
    </row>
    <row r="6985" spans="1:15" ht="15" customHeight="1" x14ac:dyDescent="0.25">
      <c r="A6985" s="2"/>
      <c r="B6985" s="2"/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</row>
    <row r="6986" spans="1:15" ht="15" customHeight="1" x14ac:dyDescent="0.25">
      <c r="A6986" s="3"/>
      <c r="B6986" s="3"/>
      <c r="C6986" s="3"/>
      <c r="D6986" s="3"/>
      <c r="E6986" s="3"/>
      <c r="F6986" s="3"/>
      <c r="G6986" s="3"/>
      <c r="H6986" s="3"/>
      <c r="I6986" s="3"/>
      <c r="J6986" s="3"/>
      <c r="K6986" s="3"/>
      <c r="L6986" s="3"/>
      <c r="M6986" s="3"/>
      <c r="N6986" s="3"/>
      <c r="O6986" s="3"/>
    </row>
    <row r="6987" spans="1:15" ht="15" customHeight="1" x14ac:dyDescent="0.25">
      <c r="A6987" s="2"/>
      <c r="B6987" s="2"/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</row>
    <row r="6988" spans="1:15" ht="15" customHeight="1" x14ac:dyDescent="0.25">
      <c r="A6988" s="3"/>
      <c r="B6988" s="3"/>
      <c r="C6988" s="3"/>
      <c r="D6988" s="3"/>
      <c r="E6988" s="3"/>
      <c r="F6988" s="3"/>
      <c r="G6988" s="3"/>
      <c r="H6988" s="3"/>
      <c r="I6988" s="3"/>
      <c r="J6988" s="3"/>
      <c r="K6988" s="3"/>
      <c r="L6988" s="3"/>
      <c r="M6988" s="3"/>
      <c r="N6988" s="3"/>
      <c r="O6988" s="3"/>
    </row>
    <row r="6989" spans="1:15" ht="15" customHeight="1" x14ac:dyDescent="0.25">
      <c r="A6989" s="2"/>
      <c r="B6989" s="2"/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</row>
    <row r="6990" spans="1:15" ht="15" customHeight="1" x14ac:dyDescent="0.25">
      <c r="A6990" s="3"/>
      <c r="B6990" s="3"/>
      <c r="C6990" s="3"/>
      <c r="D6990" s="3"/>
      <c r="E6990" s="3"/>
      <c r="F6990" s="3"/>
      <c r="G6990" s="3"/>
      <c r="H6990" s="3"/>
      <c r="I6990" s="3"/>
      <c r="J6990" s="3"/>
      <c r="K6990" s="3"/>
      <c r="L6990" s="3"/>
      <c r="M6990" s="3"/>
      <c r="N6990" s="3"/>
      <c r="O6990" s="3"/>
    </row>
    <row r="6991" spans="1:15" ht="15" customHeight="1" x14ac:dyDescent="0.25">
      <c r="A6991" s="2"/>
      <c r="B6991" s="2"/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</row>
    <row r="6992" spans="1:15" ht="15" customHeight="1" x14ac:dyDescent="0.25">
      <c r="A6992" s="3"/>
      <c r="B6992" s="3"/>
      <c r="C6992" s="3"/>
      <c r="D6992" s="3"/>
      <c r="E6992" s="3"/>
      <c r="F6992" s="3"/>
      <c r="G6992" s="3"/>
      <c r="H6992" s="3"/>
      <c r="I6992" s="3"/>
      <c r="J6992" s="3"/>
      <c r="K6992" s="3"/>
      <c r="L6992" s="3"/>
      <c r="M6992" s="3"/>
      <c r="N6992" s="3"/>
      <c r="O6992" s="3"/>
    </row>
    <row r="6993" spans="1:15" ht="15" customHeight="1" x14ac:dyDescent="0.25">
      <c r="A6993" s="2"/>
      <c r="B6993" s="2"/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</row>
    <row r="6994" spans="1:15" ht="15" customHeight="1" x14ac:dyDescent="0.25">
      <c r="A6994" s="3"/>
      <c r="B6994" s="3"/>
      <c r="C6994" s="3"/>
      <c r="D6994" s="3"/>
      <c r="E6994" s="3"/>
      <c r="F6994" s="3"/>
      <c r="G6994" s="3"/>
      <c r="H6994" s="3"/>
      <c r="I6994" s="3"/>
      <c r="J6994" s="3"/>
      <c r="K6994" s="3"/>
      <c r="L6994" s="3"/>
      <c r="M6994" s="3"/>
      <c r="N6994" s="3"/>
      <c r="O6994" s="3"/>
    </row>
    <row r="6995" spans="1:15" ht="15" customHeight="1" x14ac:dyDescent="0.25">
      <c r="A6995" s="2"/>
      <c r="B6995" s="2"/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</row>
    <row r="6996" spans="1:15" ht="15" customHeight="1" x14ac:dyDescent="0.25">
      <c r="A6996" s="3"/>
      <c r="B6996" s="3"/>
      <c r="C6996" s="3"/>
      <c r="D6996" s="3"/>
      <c r="E6996" s="3"/>
      <c r="F6996" s="3"/>
      <c r="G6996" s="3"/>
      <c r="H6996" s="3"/>
      <c r="I6996" s="3"/>
      <c r="J6996" s="3"/>
      <c r="K6996" s="3"/>
      <c r="L6996" s="3"/>
      <c r="M6996" s="3"/>
      <c r="N6996" s="3"/>
      <c r="O6996" s="3"/>
    </row>
    <row r="6997" spans="1:15" ht="15" customHeight="1" x14ac:dyDescent="0.25">
      <c r="A6997" s="2"/>
      <c r="B6997" s="2"/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</row>
    <row r="6998" spans="1:15" ht="15" customHeight="1" x14ac:dyDescent="0.25">
      <c r="A6998" s="3"/>
      <c r="B6998" s="3"/>
      <c r="C6998" s="3"/>
      <c r="D6998" s="3"/>
      <c r="E6998" s="3"/>
      <c r="F6998" s="3"/>
      <c r="G6998" s="3"/>
      <c r="H6998" s="3"/>
      <c r="I6998" s="3"/>
      <c r="J6998" s="3"/>
      <c r="K6998" s="3"/>
      <c r="L6998" s="3"/>
      <c r="M6998" s="3"/>
      <c r="N6998" s="3"/>
      <c r="O6998" s="3"/>
    </row>
    <row r="6999" spans="1:15" ht="15" customHeight="1" x14ac:dyDescent="0.25">
      <c r="A6999" s="2"/>
      <c r="B6999" s="2"/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</row>
    <row r="7000" spans="1:15" ht="15" customHeight="1" x14ac:dyDescent="0.25">
      <c r="A7000" s="3"/>
      <c r="B7000" s="3"/>
      <c r="C7000" s="3"/>
      <c r="D7000" s="3"/>
      <c r="E7000" s="3"/>
      <c r="F7000" s="3"/>
      <c r="G7000" s="3"/>
      <c r="H7000" s="3"/>
      <c r="I7000" s="3"/>
      <c r="J7000" s="3"/>
      <c r="K7000" s="3"/>
      <c r="L7000" s="3"/>
      <c r="M7000" s="3"/>
      <c r="N7000" s="3"/>
      <c r="O7000" s="3"/>
    </row>
    <row r="7001" spans="1:15" ht="15" customHeight="1" x14ac:dyDescent="0.25">
      <c r="A7001" s="2"/>
      <c r="B7001" s="2"/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</row>
    <row r="7002" spans="1:15" ht="15" customHeight="1" x14ac:dyDescent="0.25">
      <c r="A7002" s="3"/>
      <c r="B7002" s="3"/>
      <c r="C7002" s="3"/>
      <c r="D7002" s="3"/>
      <c r="E7002" s="3"/>
      <c r="F7002" s="3"/>
      <c r="G7002" s="3"/>
      <c r="H7002" s="3"/>
      <c r="I7002" s="3"/>
      <c r="J7002" s="3"/>
      <c r="K7002" s="3"/>
      <c r="L7002" s="3"/>
      <c r="M7002" s="3"/>
      <c r="N7002" s="3"/>
      <c r="O7002" s="3"/>
    </row>
    <row r="7003" spans="1:15" ht="15" customHeight="1" x14ac:dyDescent="0.25">
      <c r="A7003" s="2"/>
      <c r="B7003" s="2"/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</row>
    <row r="7004" spans="1:15" ht="15" customHeight="1" x14ac:dyDescent="0.25">
      <c r="A7004" s="3"/>
      <c r="B7004" s="3"/>
      <c r="C7004" s="3"/>
      <c r="D7004" s="3"/>
      <c r="E7004" s="3"/>
      <c r="F7004" s="3"/>
      <c r="G7004" s="3"/>
      <c r="H7004" s="3"/>
      <c r="I7004" s="3"/>
      <c r="J7004" s="3"/>
      <c r="K7004" s="3"/>
      <c r="L7004" s="3"/>
      <c r="M7004" s="3"/>
      <c r="N7004" s="3"/>
      <c r="O7004" s="3"/>
    </row>
    <row r="7005" spans="1:15" ht="15" customHeight="1" x14ac:dyDescent="0.25">
      <c r="A7005" s="2"/>
      <c r="B7005" s="2"/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</row>
    <row r="7006" spans="1:15" ht="15" customHeight="1" x14ac:dyDescent="0.25">
      <c r="A7006" s="3"/>
      <c r="B7006" s="3"/>
      <c r="C7006" s="3"/>
      <c r="D7006" s="3"/>
      <c r="E7006" s="3"/>
      <c r="F7006" s="3"/>
      <c r="G7006" s="3"/>
      <c r="H7006" s="3"/>
      <c r="I7006" s="3"/>
      <c r="J7006" s="3"/>
      <c r="K7006" s="3"/>
      <c r="L7006" s="3"/>
      <c r="M7006" s="3"/>
      <c r="N7006" s="3"/>
      <c r="O7006" s="3"/>
    </row>
    <row r="7007" spans="1:15" ht="15" customHeight="1" x14ac:dyDescent="0.25">
      <c r="A7007" s="2"/>
      <c r="B7007" s="2"/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</row>
    <row r="7008" spans="1:15" ht="15" customHeight="1" x14ac:dyDescent="0.25">
      <c r="A7008" s="3"/>
      <c r="B7008" s="3"/>
      <c r="C7008" s="3"/>
      <c r="D7008" s="3"/>
      <c r="E7008" s="3"/>
      <c r="F7008" s="3"/>
      <c r="G7008" s="3"/>
      <c r="H7008" s="3"/>
      <c r="I7008" s="3"/>
      <c r="J7008" s="3"/>
      <c r="K7008" s="3"/>
      <c r="L7008" s="3"/>
      <c r="M7008" s="3"/>
      <c r="N7008" s="3"/>
      <c r="O7008" s="3"/>
    </row>
    <row r="7009" spans="1:15" ht="15" customHeight="1" x14ac:dyDescent="0.25">
      <c r="A7009" s="2"/>
      <c r="B7009" s="2"/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</row>
    <row r="7010" spans="1:15" ht="15" customHeight="1" x14ac:dyDescent="0.25">
      <c r="A7010" s="3"/>
      <c r="B7010" s="3"/>
      <c r="C7010" s="3"/>
      <c r="D7010" s="3"/>
      <c r="E7010" s="3"/>
      <c r="F7010" s="3"/>
      <c r="G7010" s="3"/>
      <c r="H7010" s="3"/>
      <c r="I7010" s="3"/>
      <c r="J7010" s="3"/>
      <c r="K7010" s="3"/>
      <c r="L7010" s="3"/>
      <c r="M7010" s="3"/>
      <c r="N7010" s="3"/>
      <c r="O7010" s="3"/>
    </row>
    <row r="7011" spans="1:15" ht="15" customHeight="1" x14ac:dyDescent="0.25">
      <c r="A7011" s="2"/>
      <c r="B7011" s="2"/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</row>
    <row r="7012" spans="1:15" ht="15" customHeight="1" x14ac:dyDescent="0.25">
      <c r="A7012" s="3"/>
      <c r="B7012" s="3"/>
      <c r="C7012" s="3"/>
      <c r="D7012" s="3"/>
      <c r="E7012" s="3"/>
      <c r="F7012" s="3"/>
      <c r="G7012" s="3"/>
      <c r="H7012" s="3"/>
      <c r="I7012" s="3"/>
      <c r="J7012" s="3"/>
      <c r="K7012" s="3"/>
      <c r="L7012" s="3"/>
      <c r="M7012" s="3"/>
      <c r="N7012" s="3"/>
      <c r="O7012" s="3"/>
    </row>
    <row r="7013" spans="1:15" ht="15" customHeight="1" x14ac:dyDescent="0.25">
      <c r="A7013" s="2"/>
      <c r="B7013" s="2"/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</row>
    <row r="7014" spans="1:15" ht="15" customHeight="1" x14ac:dyDescent="0.25">
      <c r="A7014" s="3"/>
      <c r="B7014" s="3"/>
      <c r="C7014" s="3"/>
      <c r="D7014" s="3"/>
      <c r="E7014" s="3"/>
      <c r="F7014" s="3"/>
      <c r="G7014" s="3"/>
      <c r="H7014" s="3"/>
      <c r="I7014" s="3"/>
      <c r="J7014" s="3"/>
      <c r="K7014" s="3"/>
      <c r="L7014" s="3"/>
      <c r="M7014" s="3"/>
      <c r="N7014" s="3"/>
      <c r="O7014" s="3"/>
    </row>
    <row r="7015" spans="1:15" ht="15" customHeight="1" x14ac:dyDescent="0.25">
      <c r="A7015" s="2"/>
      <c r="B7015" s="2"/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</row>
    <row r="7016" spans="1:15" ht="15" customHeight="1" x14ac:dyDescent="0.25">
      <c r="A7016" s="3"/>
      <c r="B7016" s="3"/>
      <c r="C7016" s="3"/>
      <c r="D7016" s="3"/>
      <c r="E7016" s="3"/>
      <c r="F7016" s="3"/>
      <c r="G7016" s="3"/>
      <c r="H7016" s="3"/>
      <c r="I7016" s="3"/>
      <c r="J7016" s="3"/>
      <c r="K7016" s="3"/>
      <c r="L7016" s="3"/>
      <c r="M7016" s="3"/>
      <c r="N7016" s="3"/>
      <c r="O7016" s="3"/>
    </row>
    <row r="7017" spans="1:15" ht="15" customHeight="1" x14ac:dyDescent="0.25">
      <c r="A7017" s="2"/>
      <c r="B7017" s="2"/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</row>
    <row r="7018" spans="1:15" ht="15" customHeight="1" x14ac:dyDescent="0.25">
      <c r="A7018" s="3"/>
      <c r="B7018" s="3"/>
      <c r="C7018" s="3"/>
      <c r="D7018" s="3"/>
      <c r="E7018" s="3"/>
      <c r="F7018" s="3"/>
      <c r="G7018" s="3"/>
      <c r="H7018" s="3"/>
      <c r="I7018" s="3"/>
      <c r="J7018" s="3"/>
      <c r="K7018" s="3"/>
      <c r="L7018" s="3"/>
      <c r="M7018" s="3"/>
      <c r="N7018" s="3"/>
      <c r="O7018" s="3"/>
    </row>
    <row r="7019" spans="1:15" ht="15" customHeight="1" x14ac:dyDescent="0.25">
      <c r="A7019" s="2"/>
      <c r="B7019" s="2"/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</row>
    <row r="7020" spans="1:15" ht="15" customHeight="1" x14ac:dyDescent="0.25">
      <c r="A7020" s="3"/>
      <c r="B7020" s="3"/>
      <c r="C7020" s="3"/>
      <c r="D7020" s="3"/>
      <c r="E7020" s="3"/>
      <c r="F7020" s="3"/>
      <c r="G7020" s="3"/>
      <c r="H7020" s="3"/>
      <c r="I7020" s="3"/>
      <c r="J7020" s="3"/>
      <c r="K7020" s="3"/>
      <c r="L7020" s="3"/>
      <c r="M7020" s="3"/>
      <c r="N7020" s="3"/>
      <c r="O7020" s="3"/>
    </row>
    <row r="7021" spans="1:15" ht="15" customHeight="1" x14ac:dyDescent="0.25">
      <c r="A7021" s="2"/>
      <c r="B7021" s="2"/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</row>
    <row r="7022" spans="1:15" ht="15" customHeight="1" x14ac:dyDescent="0.25">
      <c r="A7022" s="3"/>
      <c r="B7022" s="3"/>
      <c r="C7022" s="3"/>
      <c r="D7022" s="3"/>
      <c r="E7022" s="3"/>
      <c r="F7022" s="3"/>
      <c r="G7022" s="3"/>
      <c r="H7022" s="3"/>
      <c r="I7022" s="3"/>
      <c r="J7022" s="3"/>
      <c r="K7022" s="3"/>
      <c r="L7022" s="3"/>
      <c r="M7022" s="3"/>
      <c r="N7022" s="3"/>
      <c r="O7022" s="3"/>
    </row>
    <row r="7023" spans="1:15" ht="15" customHeight="1" x14ac:dyDescent="0.25">
      <c r="A7023" s="2"/>
      <c r="B7023" s="2"/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</row>
    <row r="7024" spans="1:15" ht="15" customHeight="1" x14ac:dyDescent="0.25">
      <c r="A7024" s="3"/>
      <c r="B7024" s="3"/>
      <c r="C7024" s="3"/>
      <c r="D7024" s="3"/>
      <c r="E7024" s="3"/>
      <c r="F7024" s="3"/>
      <c r="G7024" s="3"/>
      <c r="H7024" s="3"/>
      <c r="I7024" s="3"/>
      <c r="J7024" s="3"/>
      <c r="K7024" s="3"/>
      <c r="L7024" s="3"/>
      <c r="M7024" s="3"/>
      <c r="N7024" s="3"/>
      <c r="O7024" s="3"/>
    </row>
    <row r="7025" spans="1:15" ht="15" customHeight="1" x14ac:dyDescent="0.25">
      <c r="A7025" s="2"/>
      <c r="B7025" s="2"/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</row>
    <row r="7026" spans="1:15" ht="15" customHeight="1" x14ac:dyDescent="0.25">
      <c r="A7026" s="3"/>
      <c r="B7026" s="3"/>
      <c r="C7026" s="3"/>
      <c r="D7026" s="3"/>
      <c r="E7026" s="3"/>
      <c r="F7026" s="3"/>
      <c r="G7026" s="3"/>
      <c r="H7026" s="3"/>
      <c r="I7026" s="3"/>
      <c r="J7026" s="3"/>
      <c r="K7026" s="3"/>
      <c r="L7026" s="3"/>
      <c r="M7026" s="3"/>
      <c r="N7026" s="3"/>
      <c r="O7026" s="3"/>
    </row>
    <row r="7027" spans="1:15" ht="15" customHeight="1" x14ac:dyDescent="0.25">
      <c r="A7027" s="2"/>
      <c r="B7027" s="2"/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</row>
    <row r="7028" spans="1:15" ht="15" customHeight="1" x14ac:dyDescent="0.25">
      <c r="A7028" s="3"/>
      <c r="B7028" s="3"/>
      <c r="C7028" s="3"/>
      <c r="D7028" s="3"/>
      <c r="E7028" s="3"/>
      <c r="F7028" s="3"/>
      <c r="G7028" s="3"/>
      <c r="H7028" s="3"/>
      <c r="I7028" s="3"/>
      <c r="J7028" s="3"/>
      <c r="K7028" s="3"/>
      <c r="L7028" s="3"/>
      <c r="M7028" s="3"/>
      <c r="N7028" s="3"/>
      <c r="O7028" s="3"/>
    </row>
    <row r="7029" spans="1:15" ht="15" customHeight="1" x14ac:dyDescent="0.25">
      <c r="A7029" s="2"/>
      <c r="B7029" s="2"/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</row>
    <row r="7030" spans="1:15" ht="15" customHeight="1" x14ac:dyDescent="0.25">
      <c r="A7030" s="3"/>
      <c r="B7030" s="3"/>
      <c r="C7030" s="3"/>
      <c r="D7030" s="3"/>
      <c r="E7030" s="3"/>
      <c r="F7030" s="3"/>
      <c r="G7030" s="3"/>
      <c r="H7030" s="3"/>
      <c r="I7030" s="3"/>
      <c r="J7030" s="3"/>
      <c r="K7030" s="3"/>
      <c r="L7030" s="3"/>
      <c r="M7030" s="3"/>
      <c r="N7030" s="3"/>
      <c r="O7030" s="3"/>
    </row>
    <row r="7031" spans="1:15" ht="15" customHeight="1" x14ac:dyDescent="0.25">
      <c r="A7031" s="2"/>
      <c r="B7031" s="2"/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</row>
    <row r="7032" spans="1:15" ht="15" customHeight="1" x14ac:dyDescent="0.25">
      <c r="A7032" s="3"/>
      <c r="B7032" s="3"/>
      <c r="C7032" s="3"/>
      <c r="D7032" s="3"/>
      <c r="E7032" s="3"/>
      <c r="F7032" s="3"/>
      <c r="G7032" s="3"/>
      <c r="H7032" s="3"/>
      <c r="I7032" s="3"/>
      <c r="J7032" s="3"/>
      <c r="K7032" s="3"/>
      <c r="L7032" s="3"/>
      <c r="M7032" s="3"/>
      <c r="N7032" s="3"/>
      <c r="O7032" s="3"/>
    </row>
    <row r="7033" spans="1:15" ht="15" customHeight="1" x14ac:dyDescent="0.25">
      <c r="A7033" s="2"/>
      <c r="B7033" s="2"/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</row>
    <row r="7034" spans="1:15" ht="15" customHeight="1" x14ac:dyDescent="0.25">
      <c r="A7034" s="3"/>
      <c r="B7034" s="3"/>
      <c r="C7034" s="3"/>
      <c r="D7034" s="3"/>
      <c r="E7034" s="3"/>
      <c r="F7034" s="3"/>
      <c r="G7034" s="3"/>
      <c r="H7034" s="3"/>
      <c r="I7034" s="3"/>
      <c r="J7034" s="3"/>
      <c r="K7034" s="3"/>
      <c r="L7034" s="3"/>
      <c r="M7034" s="3"/>
      <c r="N7034" s="3"/>
      <c r="O7034" s="3"/>
    </row>
    <row r="7035" spans="1:15" ht="15" customHeight="1" x14ac:dyDescent="0.25">
      <c r="A7035" s="2"/>
      <c r="B7035" s="2"/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</row>
    <row r="7036" spans="1:15" ht="15" customHeight="1" x14ac:dyDescent="0.25">
      <c r="A7036" s="3"/>
      <c r="B7036" s="3"/>
      <c r="C7036" s="3"/>
      <c r="D7036" s="3"/>
      <c r="E7036" s="3"/>
      <c r="F7036" s="3"/>
      <c r="G7036" s="3"/>
      <c r="H7036" s="3"/>
      <c r="I7036" s="3"/>
      <c r="J7036" s="3"/>
      <c r="K7036" s="3"/>
      <c r="L7036" s="3"/>
      <c r="M7036" s="3"/>
      <c r="N7036" s="3"/>
      <c r="O7036" s="3"/>
    </row>
    <row r="7037" spans="1:15" ht="15" customHeight="1" x14ac:dyDescent="0.25">
      <c r="A7037" s="2"/>
      <c r="B7037" s="2"/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</row>
    <row r="7038" spans="1:15" ht="15" customHeight="1" x14ac:dyDescent="0.25">
      <c r="A7038" s="3"/>
      <c r="B7038" s="3"/>
      <c r="C7038" s="3"/>
      <c r="D7038" s="3"/>
      <c r="E7038" s="3"/>
      <c r="F7038" s="3"/>
      <c r="G7038" s="3"/>
      <c r="H7038" s="3"/>
      <c r="I7038" s="3"/>
      <c r="J7038" s="3"/>
      <c r="K7038" s="3"/>
      <c r="L7038" s="3"/>
      <c r="M7038" s="3"/>
      <c r="N7038" s="3"/>
      <c r="O7038" s="3"/>
    </row>
    <row r="7039" spans="1:15" ht="15" customHeight="1" x14ac:dyDescent="0.25">
      <c r="A7039" s="2"/>
      <c r="B7039" s="2"/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</row>
    <row r="7040" spans="1:15" ht="15" customHeight="1" x14ac:dyDescent="0.25">
      <c r="A7040" s="3"/>
      <c r="B7040" s="3"/>
      <c r="C7040" s="3"/>
      <c r="D7040" s="3"/>
      <c r="E7040" s="3"/>
      <c r="F7040" s="3"/>
      <c r="G7040" s="3"/>
      <c r="H7040" s="3"/>
      <c r="I7040" s="3"/>
      <c r="J7040" s="3"/>
      <c r="K7040" s="3"/>
      <c r="L7040" s="3"/>
      <c r="M7040" s="3"/>
      <c r="N7040" s="3"/>
      <c r="O7040" s="3"/>
    </row>
    <row r="7041" spans="1:15" ht="15" customHeight="1" x14ac:dyDescent="0.25">
      <c r="A7041" s="2"/>
      <c r="B7041" s="2"/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</row>
    <row r="7042" spans="1:15" ht="15" customHeight="1" x14ac:dyDescent="0.25">
      <c r="A7042" s="3"/>
      <c r="B7042" s="3"/>
      <c r="C7042" s="3"/>
      <c r="D7042" s="3"/>
      <c r="E7042" s="3"/>
      <c r="F7042" s="3"/>
      <c r="G7042" s="3"/>
      <c r="H7042" s="3"/>
      <c r="I7042" s="3"/>
      <c r="J7042" s="3"/>
      <c r="K7042" s="3"/>
      <c r="L7042" s="3"/>
      <c r="M7042" s="3"/>
      <c r="N7042" s="3"/>
      <c r="O7042" s="3"/>
    </row>
    <row r="7043" spans="1:15" ht="15" customHeight="1" x14ac:dyDescent="0.25">
      <c r="A7043" s="2"/>
      <c r="B7043" s="2"/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</row>
    <row r="7044" spans="1:15" ht="15" customHeight="1" x14ac:dyDescent="0.25">
      <c r="A7044" s="3"/>
      <c r="B7044" s="3"/>
      <c r="C7044" s="3"/>
      <c r="D7044" s="3"/>
      <c r="E7044" s="3"/>
      <c r="F7044" s="3"/>
      <c r="G7044" s="3"/>
      <c r="H7044" s="3"/>
      <c r="I7044" s="3"/>
      <c r="J7044" s="3"/>
      <c r="K7044" s="3"/>
      <c r="L7044" s="3"/>
      <c r="M7044" s="3"/>
      <c r="N7044" s="3"/>
      <c r="O7044" s="3"/>
    </row>
    <row r="7045" spans="1:15" ht="15" customHeight="1" x14ac:dyDescent="0.25">
      <c r="A7045" s="2"/>
      <c r="B7045" s="2"/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</row>
    <row r="7046" spans="1:15" ht="15" customHeight="1" x14ac:dyDescent="0.25">
      <c r="A7046" s="3"/>
      <c r="B7046" s="3"/>
      <c r="C7046" s="3"/>
      <c r="D7046" s="3"/>
      <c r="E7046" s="3"/>
      <c r="F7046" s="3"/>
      <c r="G7046" s="3"/>
      <c r="H7046" s="3"/>
      <c r="I7046" s="3"/>
      <c r="J7046" s="3"/>
      <c r="K7046" s="3"/>
      <c r="L7046" s="3"/>
      <c r="M7046" s="3"/>
      <c r="N7046" s="3"/>
      <c r="O7046" s="3"/>
    </row>
    <row r="7047" spans="1:15" ht="15" customHeight="1" x14ac:dyDescent="0.25">
      <c r="A7047" s="2"/>
      <c r="B7047" s="2"/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</row>
    <row r="7048" spans="1:15" ht="15" customHeight="1" x14ac:dyDescent="0.25">
      <c r="A7048" s="3"/>
      <c r="B7048" s="3"/>
      <c r="C7048" s="3"/>
      <c r="D7048" s="3"/>
      <c r="E7048" s="3"/>
      <c r="F7048" s="3"/>
      <c r="G7048" s="3"/>
      <c r="H7048" s="3"/>
      <c r="I7048" s="3"/>
      <c r="J7048" s="3"/>
      <c r="K7048" s="3"/>
      <c r="L7048" s="3"/>
      <c r="M7048" s="3"/>
      <c r="N7048" s="3"/>
      <c r="O7048" s="3"/>
    </row>
    <row r="7049" spans="1:15" ht="15" customHeight="1" x14ac:dyDescent="0.25">
      <c r="A7049" s="2"/>
      <c r="B7049" s="2"/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</row>
    <row r="7050" spans="1:15" ht="15" customHeight="1" x14ac:dyDescent="0.25">
      <c r="A7050" s="3"/>
      <c r="B7050" s="3"/>
      <c r="C7050" s="3"/>
      <c r="D7050" s="3"/>
      <c r="E7050" s="3"/>
      <c r="F7050" s="3"/>
      <c r="G7050" s="3"/>
      <c r="H7050" s="3"/>
      <c r="I7050" s="3"/>
      <c r="J7050" s="3"/>
      <c r="K7050" s="3"/>
      <c r="L7050" s="3"/>
      <c r="M7050" s="3"/>
      <c r="N7050" s="3"/>
      <c r="O7050" s="3"/>
    </row>
    <row r="7051" spans="1:15" ht="15" customHeight="1" x14ac:dyDescent="0.25">
      <c r="A7051" s="2"/>
      <c r="B7051" s="2"/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</row>
    <row r="7052" spans="1:15" ht="15" customHeight="1" x14ac:dyDescent="0.25">
      <c r="A7052" s="3"/>
      <c r="B7052" s="3"/>
      <c r="C7052" s="3"/>
      <c r="D7052" s="3"/>
      <c r="E7052" s="3"/>
      <c r="F7052" s="3"/>
      <c r="G7052" s="3"/>
      <c r="H7052" s="3"/>
      <c r="I7052" s="3"/>
      <c r="J7052" s="3"/>
      <c r="K7052" s="3"/>
      <c r="L7052" s="3"/>
      <c r="M7052" s="3"/>
      <c r="N7052" s="3"/>
      <c r="O7052" s="3"/>
    </row>
    <row r="7053" spans="1:15" ht="15" customHeight="1" x14ac:dyDescent="0.25">
      <c r="A7053" s="2"/>
      <c r="B7053" s="2"/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</row>
    <row r="7054" spans="1:15" ht="15" customHeight="1" x14ac:dyDescent="0.25">
      <c r="A7054" s="3"/>
      <c r="B7054" s="3"/>
      <c r="C7054" s="3"/>
      <c r="D7054" s="3"/>
      <c r="E7054" s="3"/>
      <c r="F7054" s="3"/>
      <c r="G7054" s="3"/>
      <c r="H7054" s="3"/>
      <c r="I7054" s="3"/>
      <c r="J7054" s="3"/>
      <c r="K7054" s="3"/>
      <c r="L7054" s="3"/>
      <c r="M7054" s="3"/>
      <c r="N7054" s="3"/>
      <c r="O7054" s="3"/>
    </row>
    <row r="7055" spans="1:15" ht="15" customHeight="1" x14ac:dyDescent="0.25">
      <c r="A7055" s="2"/>
      <c r="B7055" s="2"/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</row>
    <row r="7056" spans="1:15" ht="15" customHeight="1" x14ac:dyDescent="0.25">
      <c r="A7056" s="3"/>
      <c r="B7056" s="3"/>
      <c r="C7056" s="3"/>
      <c r="D7056" s="3"/>
      <c r="E7056" s="3"/>
      <c r="F7056" s="3"/>
      <c r="G7056" s="3"/>
      <c r="H7056" s="3"/>
      <c r="I7056" s="3"/>
      <c r="J7056" s="3"/>
      <c r="K7056" s="3"/>
      <c r="L7056" s="3"/>
      <c r="M7056" s="3"/>
      <c r="N7056" s="3"/>
      <c r="O7056" s="3"/>
    </row>
    <row r="7057" spans="1:15" ht="15" customHeight="1" x14ac:dyDescent="0.25">
      <c r="A7057" s="2"/>
      <c r="B7057" s="2"/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</row>
    <row r="7058" spans="1:15" ht="15" customHeight="1" x14ac:dyDescent="0.25">
      <c r="A7058" s="3"/>
      <c r="B7058" s="3"/>
      <c r="C7058" s="3"/>
      <c r="D7058" s="3"/>
      <c r="E7058" s="3"/>
      <c r="F7058" s="3"/>
      <c r="G7058" s="3"/>
      <c r="H7058" s="3"/>
      <c r="I7058" s="3"/>
      <c r="J7058" s="3"/>
      <c r="K7058" s="3"/>
      <c r="L7058" s="3"/>
      <c r="M7058" s="3"/>
      <c r="N7058" s="3"/>
      <c r="O7058" s="3"/>
    </row>
    <row r="7059" spans="1:15" ht="15" customHeight="1" x14ac:dyDescent="0.25">
      <c r="A7059" s="2"/>
      <c r="B7059" s="2"/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</row>
    <row r="7060" spans="1:15" ht="15" customHeight="1" x14ac:dyDescent="0.25">
      <c r="A7060" s="3"/>
      <c r="B7060" s="3"/>
      <c r="C7060" s="3"/>
      <c r="D7060" s="3"/>
      <c r="E7060" s="3"/>
      <c r="F7060" s="3"/>
      <c r="G7060" s="3"/>
      <c r="H7060" s="3"/>
      <c r="I7060" s="3"/>
      <c r="J7060" s="3"/>
      <c r="K7060" s="3"/>
      <c r="L7060" s="3"/>
      <c r="M7060" s="3"/>
      <c r="N7060" s="3"/>
      <c r="O7060" s="3"/>
    </row>
    <row r="7061" spans="1:15" ht="15" customHeight="1" x14ac:dyDescent="0.25">
      <c r="A7061" s="2"/>
      <c r="B7061" s="2"/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</row>
    <row r="7062" spans="1:15" ht="15" customHeight="1" x14ac:dyDescent="0.25">
      <c r="A7062" s="3"/>
      <c r="B7062" s="3"/>
      <c r="C7062" s="3"/>
      <c r="D7062" s="3"/>
      <c r="E7062" s="3"/>
      <c r="F7062" s="3"/>
      <c r="G7062" s="3"/>
      <c r="H7062" s="3"/>
      <c r="I7062" s="3"/>
      <c r="J7062" s="3"/>
      <c r="K7062" s="3"/>
      <c r="L7062" s="3"/>
      <c r="M7062" s="3"/>
      <c r="N7062" s="3"/>
      <c r="O7062" s="3"/>
    </row>
    <row r="7063" spans="1:15" ht="15" customHeight="1" x14ac:dyDescent="0.25">
      <c r="A7063" s="2"/>
      <c r="B7063" s="2"/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</row>
    <row r="7064" spans="1:15" ht="15" customHeight="1" x14ac:dyDescent="0.25">
      <c r="A7064" s="3"/>
      <c r="B7064" s="3"/>
      <c r="C7064" s="3"/>
      <c r="D7064" s="3"/>
      <c r="E7064" s="3"/>
      <c r="F7064" s="3"/>
      <c r="G7064" s="3"/>
      <c r="H7064" s="3"/>
      <c r="I7064" s="3"/>
      <c r="J7064" s="3"/>
      <c r="K7064" s="3"/>
      <c r="L7064" s="3"/>
      <c r="M7064" s="3"/>
      <c r="N7064" s="3"/>
      <c r="O7064" s="3"/>
    </row>
    <row r="7065" spans="1:15" ht="15" customHeight="1" x14ac:dyDescent="0.25">
      <c r="A7065" s="2"/>
      <c r="B7065" s="2"/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</row>
    <row r="7066" spans="1:15" ht="15" customHeight="1" x14ac:dyDescent="0.25">
      <c r="A7066" s="3"/>
      <c r="B7066" s="3"/>
      <c r="C7066" s="3"/>
      <c r="D7066" s="3"/>
      <c r="E7066" s="3"/>
      <c r="F7066" s="3"/>
      <c r="G7066" s="3"/>
      <c r="H7066" s="3"/>
      <c r="I7066" s="3"/>
      <c r="J7066" s="3"/>
      <c r="K7066" s="3"/>
      <c r="L7066" s="3"/>
      <c r="M7066" s="3"/>
      <c r="N7066" s="3"/>
      <c r="O7066" s="3"/>
    </row>
    <row r="7067" spans="1:15" ht="15" customHeight="1" x14ac:dyDescent="0.25">
      <c r="A7067" s="2"/>
      <c r="B7067" s="2"/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</row>
    <row r="7068" spans="1:15" ht="15" customHeight="1" x14ac:dyDescent="0.25">
      <c r="A7068" s="3"/>
      <c r="B7068" s="3"/>
      <c r="C7068" s="3"/>
      <c r="D7068" s="3"/>
      <c r="E7068" s="3"/>
      <c r="F7068" s="3"/>
      <c r="G7068" s="3"/>
      <c r="H7068" s="3"/>
      <c r="I7068" s="3"/>
      <c r="J7068" s="3"/>
      <c r="K7068" s="3"/>
      <c r="L7068" s="3"/>
      <c r="M7068" s="3"/>
      <c r="N7068" s="3"/>
      <c r="O7068" s="3"/>
    </row>
    <row r="7069" spans="1:15" ht="15" customHeight="1" x14ac:dyDescent="0.25">
      <c r="A7069" s="2"/>
      <c r="B7069" s="2"/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</row>
    <row r="7070" spans="1:15" ht="15" customHeight="1" x14ac:dyDescent="0.25">
      <c r="A7070" s="3"/>
      <c r="B7070" s="3"/>
      <c r="C7070" s="3"/>
      <c r="D7070" s="3"/>
      <c r="E7070" s="3"/>
      <c r="F7070" s="3"/>
      <c r="G7070" s="3"/>
      <c r="H7070" s="3"/>
      <c r="I7070" s="3"/>
      <c r="J7070" s="3"/>
      <c r="K7070" s="3"/>
      <c r="L7070" s="3"/>
      <c r="M7070" s="3"/>
      <c r="N7070" s="3"/>
      <c r="O7070" s="3"/>
    </row>
    <row r="7071" spans="1:15" ht="15" customHeight="1" x14ac:dyDescent="0.25">
      <c r="A7071" s="2"/>
      <c r="B7071" s="2"/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</row>
    <row r="7072" spans="1:15" ht="15" customHeight="1" x14ac:dyDescent="0.25">
      <c r="A7072" s="3"/>
      <c r="B7072" s="3"/>
      <c r="C7072" s="3"/>
      <c r="D7072" s="3"/>
      <c r="E7072" s="3"/>
      <c r="F7072" s="3"/>
      <c r="G7072" s="3"/>
      <c r="H7072" s="3"/>
      <c r="I7072" s="3"/>
      <c r="J7072" s="3"/>
      <c r="K7072" s="3"/>
      <c r="L7072" s="3"/>
      <c r="M7072" s="3"/>
      <c r="N7072" s="3"/>
      <c r="O7072" s="3"/>
    </row>
    <row r="7073" spans="1:15" ht="15" customHeight="1" x14ac:dyDescent="0.25">
      <c r="A7073" s="2"/>
      <c r="B7073" s="2"/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</row>
    <row r="7074" spans="1:15" ht="15" customHeight="1" x14ac:dyDescent="0.25">
      <c r="A7074" s="3"/>
      <c r="B7074" s="3"/>
      <c r="C7074" s="3"/>
      <c r="D7074" s="3"/>
      <c r="E7074" s="3"/>
      <c r="F7074" s="3"/>
      <c r="G7074" s="3"/>
      <c r="H7074" s="3"/>
      <c r="I7074" s="3"/>
      <c r="J7074" s="3"/>
      <c r="K7074" s="3"/>
      <c r="L7074" s="3"/>
      <c r="M7074" s="3"/>
      <c r="N7074" s="3"/>
      <c r="O7074" s="3"/>
    </row>
    <row r="7075" spans="1:15" ht="15" customHeight="1" x14ac:dyDescent="0.25">
      <c r="A7075" s="2"/>
      <c r="B7075" s="2"/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</row>
    <row r="7076" spans="1:15" ht="15" customHeight="1" x14ac:dyDescent="0.25">
      <c r="A7076" s="3"/>
      <c r="B7076" s="3"/>
      <c r="C7076" s="3"/>
      <c r="D7076" s="3"/>
      <c r="E7076" s="3"/>
      <c r="F7076" s="3"/>
      <c r="G7076" s="3"/>
      <c r="H7076" s="3"/>
      <c r="I7076" s="3"/>
      <c r="J7076" s="3"/>
      <c r="K7076" s="3"/>
      <c r="L7076" s="3"/>
      <c r="M7076" s="3"/>
      <c r="N7076" s="3"/>
      <c r="O7076" s="3"/>
    </row>
    <row r="7077" spans="1:15" ht="15" customHeight="1" x14ac:dyDescent="0.25">
      <c r="A7077" s="2"/>
      <c r="B7077" s="2"/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</row>
    <row r="7078" spans="1:15" ht="15" customHeight="1" x14ac:dyDescent="0.25">
      <c r="A7078" s="3"/>
      <c r="B7078" s="3"/>
      <c r="C7078" s="3"/>
      <c r="D7078" s="3"/>
      <c r="E7078" s="3"/>
      <c r="F7078" s="3"/>
      <c r="G7078" s="3"/>
      <c r="H7078" s="3"/>
      <c r="I7078" s="3"/>
      <c r="J7078" s="3"/>
      <c r="K7078" s="3"/>
      <c r="L7078" s="3"/>
      <c r="M7078" s="3"/>
      <c r="N7078" s="3"/>
      <c r="O7078" s="3"/>
    </row>
    <row r="7079" spans="1:15" ht="15" customHeight="1" x14ac:dyDescent="0.25">
      <c r="A7079" s="2"/>
      <c r="B7079" s="2"/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</row>
    <row r="7080" spans="1:15" ht="15" customHeight="1" x14ac:dyDescent="0.25">
      <c r="A7080" s="3"/>
      <c r="B7080" s="3"/>
      <c r="C7080" s="3"/>
      <c r="D7080" s="3"/>
      <c r="E7080" s="3"/>
      <c r="F7080" s="3"/>
      <c r="G7080" s="3"/>
      <c r="H7080" s="3"/>
      <c r="I7080" s="3"/>
      <c r="J7080" s="3"/>
      <c r="K7080" s="3"/>
      <c r="L7080" s="3"/>
      <c r="M7080" s="3"/>
      <c r="N7080" s="3"/>
      <c r="O7080" s="3"/>
    </row>
    <row r="7081" spans="1:15" ht="15" customHeight="1" x14ac:dyDescent="0.25">
      <c r="A7081" s="2"/>
      <c r="B7081" s="2"/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</row>
    <row r="7082" spans="1:15" ht="15" customHeight="1" x14ac:dyDescent="0.25">
      <c r="A7082" s="3"/>
      <c r="B7082" s="3"/>
      <c r="C7082" s="3"/>
      <c r="D7082" s="3"/>
      <c r="E7082" s="3"/>
      <c r="F7082" s="3"/>
      <c r="G7082" s="3"/>
      <c r="H7082" s="3"/>
      <c r="I7082" s="3"/>
      <c r="J7082" s="3"/>
      <c r="K7082" s="3"/>
      <c r="L7082" s="3"/>
      <c r="M7082" s="3"/>
      <c r="N7082" s="3"/>
      <c r="O7082" s="3"/>
    </row>
    <row r="7083" spans="1:15" ht="15" customHeight="1" x14ac:dyDescent="0.25">
      <c r="A7083" s="2"/>
      <c r="B7083" s="2"/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</row>
    <row r="7084" spans="1:15" ht="15" customHeight="1" x14ac:dyDescent="0.25">
      <c r="A7084" s="3"/>
      <c r="B7084" s="3"/>
      <c r="C7084" s="3"/>
      <c r="D7084" s="3"/>
      <c r="E7084" s="3"/>
      <c r="F7084" s="3"/>
      <c r="G7084" s="3"/>
      <c r="H7084" s="3"/>
      <c r="I7084" s="3"/>
      <c r="J7084" s="3"/>
      <c r="K7084" s="3"/>
      <c r="L7084" s="3"/>
      <c r="M7084" s="3"/>
      <c r="N7084" s="3"/>
      <c r="O7084" s="3"/>
    </row>
    <row r="7085" spans="1:15" ht="15" customHeight="1" x14ac:dyDescent="0.25">
      <c r="A7085" s="2"/>
      <c r="B7085" s="2"/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</row>
    <row r="7086" spans="1:15" ht="15" customHeight="1" x14ac:dyDescent="0.25">
      <c r="A7086" s="3"/>
      <c r="B7086" s="3"/>
      <c r="C7086" s="3"/>
      <c r="D7086" s="3"/>
      <c r="E7086" s="3"/>
      <c r="F7086" s="3"/>
      <c r="G7086" s="3"/>
      <c r="H7086" s="3"/>
      <c r="I7086" s="3"/>
      <c r="J7086" s="3"/>
      <c r="K7086" s="3"/>
      <c r="L7086" s="3"/>
      <c r="M7086" s="3"/>
      <c r="N7086" s="3"/>
      <c r="O7086" s="3"/>
    </row>
    <row r="7087" spans="1:15" ht="15" customHeight="1" x14ac:dyDescent="0.25">
      <c r="A7087" s="2"/>
      <c r="B7087" s="2"/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</row>
    <row r="7088" spans="1:15" ht="15" customHeight="1" x14ac:dyDescent="0.25">
      <c r="A7088" s="3"/>
      <c r="B7088" s="3"/>
      <c r="C7088" s="3"/>
      <c r="D7088" s="3"/>
      <c r="E7088" s="3"/>
      <c r="F7088" s="3"/>
      <c r="G7088" s="3"/>
      <c r="H7088" s="3"/>
      <c r="I7088" s="3"/>
      <c r="J7088" s="3"/>
      <c r="K7088" s="3"/>
      <c r="L7088" s="3"/>
      <c r="M7088" s="3"/>
      <c r="N7088" s="3"/>
      <c r="O7088" s="3"/>
    </row>
    <row r="7089" spans="1:15" ht="15" customHeight="1" x14ac:dyDescent="0.25">
      <c r="A7089" s="2"/>
      <c r="B7089" s="2"/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</row>
    <row r="7090" spans="1:15" ht="15" customHeight="1" x14ac:dyDescent="0.25">
      <c r="A7090" s="3"/>
      <c r="B7090" s="3"/>
      <c r="C7090" s="3"/>
      <c r="D7090" s="3"/>
      <c r="E7090" s="3"/>
      <c r="F7090" s="3"/>
      <c r="G7090" s="3"/>
      <c r="H7090" s="3"/>
      <c r="I7090" s="3"/>
      <c r="J7090" s="3"/>
      <c r="K7090" s="3"/>
      <c r="L7090" s="3"/>
      <c r="M7090" s="3"/>
      <c r="N7090" s="3"/>
      <c r="O7090" s="3"/>
    </row>
    <row r="7091" spans="1:15" ht="15" customHeight="1" x14ac:dyDescent="0.25">
      <c r="A7091" s="2"/>
      <c r="B7091" s="2"/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</row>
    <row r="7092" spans="1:15" ht="15" customHeight="1" x14ac:dyDescent="0.25">
      <c r="A7092" s="3"/>
      <c r="B7092" s="3"/>
      <c r="C7092" s="3"/>
      <c r="D7092" s="3"/>
      <c r="E7092" s="3"/>
      <c r="F7092" s="3"/>
      <c r="G7092" s="3"/>
      <c r="H7092" s="3"/>
      <c r="I7092" s="3"/>
      <c r="J7092" s="3"/>
      <c r="K7092" s="3"/>
      <c r="L7092" s="3"/>
      <c r="M7092" s="3"/>
      <c r="N7092" s="3"/>
      <c r="O7092" s="3"/>
    </row>
    <row r="7093" spans="1:15" ht="15" customHeight="1" x14ac:dyDescent="0.25">
      <c r="A7093" s="2"/>
      <c r="B7093" s="2"/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</row>
    <row r="7094" spans="1:15" ht="15" customHeight="1" x14ac:dyDescent="0.25">
      <c r="A7094" s="3"/>
      <c r="B7094" s="3"/>
      <c r="C7094" s="3"/>
      <c r="D7094" s="3"/>
      <c r="E7094" s="3"/>
      <c r="F7094" s="3"/>
      <c r="G7094" s="3"/>
      <c r="H7094" s="3"/>
      <c r="I7094" s="3"/>
      <c r="J7094" s="3"/>
      <c r="K7094" s="3"/>
      <c r="L7094" s="3"/>
      <c r="M7094" s="3"/>
      <c r="N7094" s="3"/>
      <c r="O7094" s="3"/>
    </row>
    <row r="7095" spans="1:15" ht="15" customHeight="1" x14ac:dyDescent="0.25">
      <c r="A7095" s="2"/>
      <c r="B7095" s="2"/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</row>
    <row r="7096" spans="1:15" ht="15" customHeight="1" x14ac:dyDescent="0.25">
      <c r="A7096" s="3"/>
      <c r="B7096" s="3"/>
      <c r="C7096" s="3"/>
      <c r="D7096" s="3"/>
      <c r="E7096" s="3"/>
      <c r="F7096" s="3"/>
      <c r="G7096" s="3"/>
      <c r="H7096" s="3"/>
      <c r="I7096" s="3"/>
      <c r="J7096" s="3"/>
      <c r="K7096" s="3"/>
      <c r="L7096" s="3"/>
      <c r="M7096" s="3"/>
      <c r="N7096" s="3"/>
      <c r="O7096" s="3"/>
    </row>
    <row r="7097" spans="1:15" ht="15" customHeight="1" x14ac:dyDescent="0.25">
      <c r="A7097" s="2"/>
      <c r="B7097" s="2"/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</row>
    <row r="7098" spans="1:15" ht="15" customHeight="1" x14ac:dyDescent="0.25">
      <c r="A7098" s="3"/>
      <c r="B7098" s="3"/>
      <c r="C7098" s="3"/>
      <c r="D7098" s="3"/>
      <c r="E7098" s="3"/>
      <c r="F7098" s="3"/>
      <c r="G7098" s="3"/>
      <c r="H7098" s="3"/>
      <c r="I7098" s="3"/>
      <c r="J7098" s="3"/>
      <c r="K7098" s="3"/>
      <c r="L7098" s="3"/>
      <c r="M7098" s="3"/>
      <c r="N7098" s="3"/>
      <c r="O7098" s="3"/>
    </row>
    <row r="7099" spans="1:15" ht="15" customHeight="1" x14ac:dyDescent="0.25">
      <c r="A7099" s="2"/>
      <c r="B7099" s="2"/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</row>
    <row r="7100" spans="1:15" ht="15" customHeight="1" x14ac:dyDescent="0.25">
      <c r="A7100" s="3"/>
      <c r="B7100" s="3"/>
      <c r="C7100" s="3"/>
      <c r="D7100" s="3"/>
      <c r="E7100" s="3"/>
      <c r="F7100" s="3"/>
      <c r="G7100" s="3"/>
      <c r="H7100" s="3"/>
      <c r="I7100" s="3"/>
      <c r="J7100" s="3"/>
      <c r="K7100" s="3"/>
      <c r="L7100" s="3"/>
      <c r="M7100" s="3"/>
      <c r="N7100" s="3"/>
      <c r="O7100" s="3"/>
    </row>
    <row r="7101" spans="1:15" ht="15" customHeight="1" x14ac:dyDescent="0.25">
      <c r="A7101" s="2"/>
      <c r="B7101" s="2"/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</row>
    <row r="7102" spans="1:15" ht="15" customHeight="1" x14ac:dyDescent="0.25">
      <c r="A7102" s="3"/>
      <c r="B7102" s="3"/>
      <c r="C7102" s="3"/>
      <c r="D7102" s="3"/>
      <c r="E7102" s="3"/>
      <c r="F7102" s="3"/>
      <c r="G7102" s="3"/>
      <c r="H7102" s="3"/>
      <c r="I7102" s="3"/>
      <c r="J7102" s="3"/>
      <c r="K7102" s="3"/>
      <c r="L7102" s="3"/>
      <c r="M7102" s="3"/>
      <c r="N7102" s="3"/>
      <c r="O7102" s="3"/>
    </row>
    <row r="7103" spans="1:15" ht="15" customHeight="1" x14ac:dyDescent="0.25">
      <c r="A7103" s="2"/>
      <c r="B7103" s="2"/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</row>
    <row r="7104" spans="1:15" ht="15" customHeight="1" x14ac:dyDescent="0.25">
      <c r="A7104" s="3"/>
      <c r="B7104" s="3"/>
      <c r="C7104" s="3"/>
      <c r="D7104" s="3"/>
      <c r="E7104" s="3"/>
      <c r="F7104" s="3"/>
      <c r="G7104" s="3"/>
      <c r="H7104" s="3"/>
      <c r="I7104" s="3"/>
      <c r="J7104" s="3"/>
      <c r="K7104" s="3"/>
      <c r="L7104" s="3"/>
      <c r="M7104" s="3"/>
      <c r="N7104" s="3"/>
      <c r="O7104" s="3"/>
    </row>
    <row r="7105" spans="1:15" ht="15" customHeight="1" x14ac:dyDescent="0.25">
      <c r="A7105" s="2"/>
      <c r="B7105" s="2"/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</row>
    <row r="7106" spans="1:15" ht="15" customHeight="1" x14ac:dyDescent="0.25">
      <c r="A7106" s="3"/>
      <c r="B7106" s="3"/>
      <c r="C7106" s="3"/>
      <c r="D7106" s="3"/>
      <c r="E7106" s="3"/>
      <c r="F7106" s="3"/>
      <c r="G7106" s="3"/>
      <c r="H7106" s="3"/>
      <c r="I7106" s="3"/>
      <c r="J7106" s="3"/>
      <c r="K7106" s="3"/>
      <c r="L7106" s="3"/>
      <c r="M7106" s="3"/>
      <c r="N7106" s="3"/>
      <c r="O7106" s="3"/>
    </row>
    <row r="7107" spans="1:15" ht="15" customHeight="1" x14ac:dyDescent="0.25">
      <c r="A7107" s="2"/>
      <c r="B7107" s="2"/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</row>
    <row r="7108" spans="1:15" ht="15" customHeight="1" x14ac:dyDescent="0.25">
      <c r="A7108" s="3"/>
      <c r="B7108" s="3"/>
      <c r="C7108" s="3"/>
      <c r="D7108" s="3"/>
      <c r="E7108" s="3"/>
      <c r="F7108" s="3"/>
      <c r="G7108" s="3"/>
      <c r="H7108" s="3"/>
      <c r="I7108" s="3"/>
      <c r="J7108" s="3"/>
      <c r="K7108" s="3"/>
      <c r="L7108" s="3"/>
      <c r="M7108" s="3"/>
      <c r="N7108" s="3"/>
      <c r="O7108" s="3"/>
    </row>
    <row r="7109" spans="1:15" ht="15" customHeight="1" x14ac:dyDescent="0.25">
      <c r="A7109" s="2"/>
      <c r="B7109" s="2"/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</row>
    <row r="7110" spans="1:15" ht="15" customHeight="1" x14ac:dyDescent="0.25">
      <c r="A7110" s="3"/>
      <c r="B7110" s="3"/>
      <c r="C7110" s="3"/>
      <c r="D7110" s="3"/>
      <c r="E7110" s="3"/>
      <c r="F7110" s="3"/>
      <c r="G7110" s="3"/>
      <c r="H7110" s="3"/>
      <c r="I7110" s="3"/>
      <c r="J7110" s="3"/>
      <c r="K7110" s="3"/>
      <c r="L7110" s="3"/>
      <c r="M7110" s="3"/>
      <c r="N7110" s="3"/>
      <c r="O7110" s="3"/>
    </row>
    <row r="7111" spans="1:15" ht="15" customHeight="1" x14ac:dyDescent="0.25">
      <c r="A7111" s="2"/>
      <c r="B7111" s="2"/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</row>
    <row r="7112" spans="1:15" ht="15" customHeight="1" x14ac:dyDescent="0.25">
      <c r="A7112" s="3"/>
      <c r="B7112" s="3"/>
      <c r="C7112" s="3"/>
      <c r="D7112" s="3"/>
      <c r="E7112" s="3"/>
      <c r="F7112" s="3"/>
      <c r="G7112" s="3"/>
      <c r="H7112" s="3"/>
      <c r="I7112" s="3"/>
      <c r="J7112" s="3"/>
      <c r="K7112" s="3"/>
      <c r="L7112" s="3"/>
      <c r="M7112" s="3"/>
      <c r="N7112" s="3"/>
      <c r="O7112" s="3"/>
    </row>
    <row r="7113" spans="1:15" ht="15" customHeight="1" x14ac:dyDescent="0.25">
      <c r="A7113" s="2"/>
      <c r="B7113" s="2"/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</row>
    <row r="7114" spans="1:15" ht="15" customHeight="1" x14ac:dyDescent="0.25">
      <c r="A7114" s="3"/>
      <c r="B7114" s="3"/>
      <c r="C7114" s="3"/>
      <c r="D7114" s="3"/>
      <c r="E7114" s="3"/>
      <c r="F7114" s="3"/>
      <c r="G7114" s="3"/>
      <c r="H7114" s="3"/>
      <c r="I7114" s="3"/>
      <c r="J7114" s="3"/>
      <c r="K7114" s="3"/>
      <c r="L7114" s="3"/>
      <c r="M7114" s="3"/>
      <c r="N7114" s="3"/>
      <c r="O7114" s="3"/>
    </row>
    <row r="7115" spans="1:15" ht="15" customHeight="1" x14ac:dyDescent="0.25">
      <c r="A7115" s="2"/>
      <c r="B7115" s="2"/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</row>
    <row r="7116" spans="1:15" ht="15" customHeight="1" x14ac:dyDescent="0.25">
      <c r="A7116" s="3"/>
      <c r="B7116" s="3"/>
      <c r="C7116" s="3"/>
      <c r="D7116" s="3"/>
      <c r="E7116" s="3"/>
      <c r="F7116" s="3"/>
      <c r="G7116" s="3"/>
      <c r="H7116" s="3"/>
      <c r="I7116" s="3"/>
      <c r="J7116" s="3"/>
      <c r="K7116" s="3"/>
      <c r="L7116" s="3"/>
      <c r="M7116" s="3"/>
      <c r="N7116" s="3"/>
      <c r="O7116" s="3"/>
    </row>
    <row r="7117" spans="1:15" ht="15" customHeight="1" x14ac:dyDescent="0.25">
      <c r="A7117" s="2"/>
      <c r="B7117" s="2"/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</row>
    <row r="7118" spans="1:15" ht="15" customHeight="1" x14ac:dyDescent="0.25">
      <c r="A7118" s="3"/>
      <c r="B7118" s="3"/>
      <c r="C7118" s="3"/>
      <c r="D7118" s="3"/>
      <c r="E7118" s="3"/>
      <c r="F7118" s="3"/>
      <c r="G7118" s="3"/>
      <c r="H7118" s="3"/>
      <c r="I7118" s="3"/>
      <c r="J7118" s="3"/>
      <c r="K7118" s="3"/>
      <c r="L7118" s="3"/>
      <c r="M7118" s="3"/>
      <c r="N7118" s="3"/>
      <c r="O7118" s="3"/>
    </row>
    <row r="7119" spans="1:15" ht="15" customHeight="1" x14ac:dyDescent="0.25">
      <c r="A7119" s="2"/>
      <c r="B7119" s="2"/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</row>
    <row r="7120" spans="1:15" ht="15" customHeight="1" x14ac:dyDescent="0.25">
      <c r="A7120" s="3"/>
      <c r="B7120" s="3"/>
      <c r="C7120" s="3"/>
      <c r="D7120" s="3"/>
      <c r="E7120" s="3"/>
      <c r="F7120" s="3"/>
      <c r="G7120" s="3"/>
      <c r="H7120" s="3"/>
      <c r="I7120" s="3"/>
      <c r="J7120" s="3"/>
      <c r="K7120" s="3"/>
      <c r="L7120" s="3"/>
      <c r="M7120" s="3"/>
      <c r="N7120" s="3"/>
      <c r="O7120" s="3"/>
    </row>
    <row r="7121" spans="1:15" ht="15" customHeight="1" x14ac:dyDescent="0.25">
      <c r="A7121" s="2"/>
      <c r="B7121" s="2"/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</row>
    <row r="7122" spans="1:15" ht="15" customHeight="1" x14ac:dyDescent="0.25">
      <c r="A7122" s="3"/>
      <c r="B7122" s="3"/>
      <c r="C7122" s="3"/>
      <c r="D7122" s="3"/>
      <c r="E7122" s="3"/>
      <c r="F7122" s="3"/>
      <c r="G7122" s="3"/>
      <c r="H7122" s="3"/>
      <c r="I7122" s="3"/>
      <c r="J7122" s="3"/>
      <c r="K7122" s="3"/>
      <c r="L7122" s="3"/>
      <c r="M7122" s="3"/>
      <c r="N7122" s="3"/>
      <c r="O7122" s="3"/>
    </row>
    <row r="7123" spans="1:15" ht="15" customHeight="1" x14ac:dyDescent="0.25">
      <c r="A7123" s="2"/>
      <c r="B7123" s="2"/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</row>
    <row r="7124" spans="1:15" ht="15" customHeight="1" x14ac:dyDescent="0.25">
      <c r="A7124" s="3"/>
      <c r="B7124" s="3"/>
      <c r="C7124" s="3"/>
      <c r="D7124" s="3"/>
      <c r="E7124" s="3"/>
      <c r="F7124" s="3"/>
      <c r="G7124" s="3"/>
      <c r="H7124" s="3"/>
      <c r="I7124" s="3"/>
      <c r="J7124" s="3"/>
      <c r="K7124" s="3"/>
      <c r="L7124" s="3"/>
      <c r="M7124" s="3"/>
      <c r="N7124" s="3"/>
      <c r="O7124" s="3"/>
    </row>
    <row r="7125" spans="1:15" ht="15" customHeight="1" x14ac:dyDescent="0.25">
      <c r="A7125" s="2"/>
      <c r="B7125" s="2"/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</row>
    <row r="7126" spans="1:15" ht="15" customHeight="1" x14ac:dyDescent="0.25">
      <c r="A7126" s="3"/>
      <c r="B7126" s="3"/>
      <c r="C7126" s="3"/>
      <c r="D7126" s="3"/>
      <c r="E7126" s="3"/>
      <c r="F7126" s="3"/>
      <c r="G7126" s="3"/>
      <c r="H7126" s="3"/>
      <c r="I7126" s="3"/>
      <c r="J7126" s="3"/>
      <c r="K7126" s="3"/>
      <c r="L7126" s="3"/>
      <c r="M7126" s="3"/>
      <c r="N7126" s="3"/>
      <c r="O7126" s="3"/>
    </row>
    <row r="7127" spans="1:15" ht="15" customHeight="1" x14ac:dyDescent="0.25">
      <c r="A7127" s="2"/>
      <c r="B7127" s="2"/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</row>
    <row r="7128" spans="1:15" ht="15" customHeight="1" x14ac:dyDescent="0.25">
      <c r="A7128" s="3"/>
      <c r="B7128" s="3"/>
      <c r="C7128" s="3"/>
      <c r="D7128" s="3"/>
      <c r="E7128" s="3"/>
      <c r="F7128" s="3"/>
      <c r="G7128" s="3"/>
      <c r="H7128" s="3"/>
      <c r="I7128" s="3"/>
      <c r="J7128" s="3"/>
      <c r="K7128" s="3"/>
      <c r="L7128" s="3"/>
      <c r="M7128" s="3"/>
      <c r="N7128" s="3"/>
      <c r="O7128" s="3"/>
    </row>
    <row r="7129" spans="1:15" ht="15" customHeight="1" x14ac:dyDescent="0.25">
      <c r="A7129" s="2"/>
      <c r="B7129" s="2"/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</row>
    <row r="7130" spans="1:15" ht="15" customHeight="1" x14ac:dyDescent="0.25">
      <c r="A7130" s="3"/>
      <c r="B7130" s="3"/>
      <c r="C7130" s="3"/>
      <c r="D7130" s="3"/>
      <c r="E7130" s="3"/>
      <c r="F7130" s="3"/>
      <c r="G7130" s="3"/>
      <c r="H7130" s="3"/>
      <c r="I7130" s="3"/>
      <c r="J7130" s="3"/>
      <c r="K7130" s="3"/>
      <c r="L7130" s="3"/>
      <c r="M7130" s="3"/>
      <c r="N7130" s="3"/>
      <c r="O7130" s="3"/>
    </row>
    <row r="7131" spans="1:15" ht="15" customHeight="1" x14ac:dyDescent="0.25">
      <c r="A7131" s="2"/>
      <c r="B7131" s="2"/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</row>
    <row r="7132" spans="1:15" ht="15" customHeight="1" x14ac:dyDescent="0.25">
      <c r="A7132" s="3"/>
      <c r="B7132" s="3"/>
      <c r="C7132" s="3"/>
      <c r="D7132" s="3"/>
      <c r="E7132" s="3"/>
      <c r="F7132" s="3"/>
      <c r="G7132" s="3"/>
      <c r="H7132" s="3"/>
      <c r="I7132" s="3"/>
      <c r="J7132" s="3"/>
      <c r="K7132" s="3"/>
      <c r="L7132" s="3"/>
      <c r="M7132" s="3"/>
      <c r="N7132" s="3"/>
      <c r="O7132" s="3"/>
    </row>
    <row r="7133" spans="1:15" ht="15" customHeight="1" x14ac:dyDescent="0.25">
      <c r="A7133" s="2"/>
      <c r="B7133" s="2"/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</row>
    <row r="7134" spans="1:15" ht="15" customHeight="1" x14ac:dyDescent="0.25">
      <c r="A7134" s="3"/>
      <c r="B7134" s="3"/>
      <c r="C7134" s="3"/>
      <c r="D7134" s="3"/>
      <c r="E7134" s="3"/>
      <c r="F7134" s="3"/>
      <c r="G7134" s="3"/>
      <c r="H7134" s="3"/>
      <c r="I7134" s="3"/>
      <c r="J7134" s="3"/>
      <c r="K7134" s="3"/>
      <c r="L7134" s="3"/>
      <c r="M7134" s="3"/>
      <c r="N7134" s="3"/>
      <c r="O7134" s="3"/>
    </row>
    <row r="7135" spans="1:15" ht="15" customHeight="1" x14ac:dyDescent="0.25">
      <c r="A7135" s="2"/>
      <c r="B7135" s="2"/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</row>
    <row r="7136" spans="1:15" ht="15" customHeight="1" x14ac:dyDescent="0.25">
      <c r="A7136" s="3"/>
      <c r="B7136" s="3"/>
      <c r="C7136" s="3"/>
      <c r="D7136" s="3"/>
      <c r="E7136" s="3"/>
      <c r="F7136" s="3"/>
      <c r="G7136" s="3"/>
      <c r="H7136" s="3"/>
      <c r="I7136" s="3"/>
      <c r="J7136" s="3"/>
      <c r="K7136" s="3"/>
      <c r="L7136" s="3"/>
      <c r="M7136" s="3"/>
      <c r="N7136" s="3"/>
      <c r="O7136" s="3"/>
    </row>
    <row r="7137" spans="1:15" ht="15" customHeight="1" x14ac:dyDescent="0.25">
      <c r="A7137" s="2"/>
      <c r="B7137" s="2"/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</row>
    <row r="7138" spans="1:15" ht="15" customHeight="1" x14ac:dyDescent="0.25">
      <c r="A7138" s="3"/>
      <c r="B7138" s="3"/>
      <c r="C7138" s="3"/>
      <c r="D7138" s="3"/>
      <c r="E7138" s="3"/>
      <c r="F7138" s="3"/>
      <c r="G7138" s="3"/>
      <c r="H7138" s="3"/>
      <c r="I7138" s="3"/>
      <c r="J7138" s="3"/>
      <c r="K7138" s="3"/>
      <c r="L7138" s="3"/>
      <c r="M7138" s="3"/>
      <c r="N7138" s="3"/>
      <c r="O7138" s="3"/>
    </row>
    <row r="7139" spans="1:15" ht="15" customHeight="1" x14ac:dyDescent="0.25">
      <c r="A7139" s="2"/>
      <c r="B7139" s="2"/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</row>
    <row r="7140" spans="1:15" ht="15" customHeight="1" x14ac:dyDescent="0.25">
      <c r="A7140" s="3"/>
      <c r="B7140" s="3"/>
      <c r="C7140" s="3"/>
      <c r="D7140" s="3"/>
      <c r="E7140" s="3"/>
      <c r="F7140" s="3"/>
      <c r="G7140" s="3"/>
      <c r="H7140" s="3"/>
      <c r="I7140" s="3"/>
      <c r="J7140" s="3"/>
      <c r="K7140" s="3"/>
      <c r="L7140" s="3"/>
      <c r="M7140" s="3"/>
      <c r="N7140" s="3"/>
      <c r="O7140" s="3"/>
    </row>
    <row r="7141" spans="1:15" ht="15" customHeight="1" x14ac:dyDescent="0.25">
      <c r="A7141" s="2"/>
      <c r="B7141" s="2"/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</row>
    <row r="7142" spans="1:15" ht="15" customHeight="1" x14ac:dyDescent="0.25">
      <c r="A7142" s="3"/>
      <c r="B7142" s="3"/>
      <c r="C7142" s="3"/>
      <c r="D7142" s="3"/>
      <c r="E7142" s="3"/>
      <c r="F7142" s="3"/>
      <c r="G7142" s="3"/>
      <c r="H7142" s="3"/>
      <c r="I7142" s="3"/>
      <c r="J7142" s="3"/>
      <c r="K7142" s="3"/>
      <c r="L7142" s="3"/>
      <c r="M7142" s="3"/>
      <c r="N7142" s="3"/>
      <c r="O7142" s="3"/>
    </row>
    <row r="7143" spans="1:15" ht="15" customHeight="1" x14ac:dyDescent="0.25">
      <c r="A7143" s="2"/>
      <c r="B7143" s="2"/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</row>
    <row r="7144" spans="1:15" ht="15" customHeight="1" x14ac:dyDescent="0.25">
      <c r="A7144" s="3"/>
      <c r="B7144" s="3"/>
      <c r="C7144" s="3"/>
      <c r="D7144" s="3"/>
      <c r="E7144" s="3"/>
      <c r="F7144" s="3"/>
      <c r="G7144" s="3"/>
      <c r="H7144" s="3"/>
      <c r="I7144" s="3"/>
      <c r="J7144" s="3"/>
      <c r="K7144" s="3"/>
      <c r="L7144" s="3"/>
      <c r="M7144" s="3"/>
      <c r="N7144" s="3"/>
      <c r="O7144" s="3"/>
    </row>
    <row r="7145" spans="1:15" ht="15" customHeight="1" x14ac:dyDescent="0.25">
      <c r="A7145" s="2"/>
      <c r="B7145" s="2"/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</row>
    <row r="7146" spans="1:15" ht="15" customHeight="1" x14ac:dyDescent="0.25">
      <c r="A7146" s="3"/>
      <c r="B7146" s="3"/>
      <c r="C7146" s="3"/>
      <c r="D7146" s="3"/>
      <c r="E7146" s="3"/>
      <c r="F7146" s="3"/>
      <c r="G7146" s="3"/>
      <c r="H7146" s="3"/>
      <c r="I7146" s="3"/>
      <c r="J7146" s="3"/>
      <c r="K7146" s="3"/>
      <c r="L7146" s="3"/>
      <c r="M7146" s="3"/>
      <c r="N7146" s="3"/>
      <c r="O7146" s="3"/>
    </row>
    <row r="7147" spans="1:15" ht="15" customHeight="1" x14ac:dyDescent="0.25">
      <c r="A7147" s="2"/>
      <c r="B7147" s="2"/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</row>
    <row r="7148" spans="1:15" ht="15" customHeight="1" x14ac:dyDescent="0.25">
      <c r="A7148" s="3"/>
      <c r="B7148" s="3"/>
      <c r="C7148" s="3"/>
      <c r="D7148" s="3"/>
      <c r="E7148" s="3"/>
      <c r="F7148" s="3"/>
      <c r="G7148" s="3"/>
      <c r="H7148" s="3"/>
      <c r="I7148" s="3"/>
      <c r="J7148" s="3"/>
      <c r="K7148" s="3"/>
      <c r="L7148" s="3"/>
      <c r="M7148" s="3"/>
      <c r="N7148" s="3"/>
      <c r="O7148" s="3"/>
    </row>
    <row r="7149" spans="1:15" ht="15" customHeight="1" x14ac:dyDescent="0.25">
      <c r="A7149" s="2"/>
      <c r="B7149" s="2"/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</row>
    <row r="7150" spans="1:15" ht="15" customHeight="1" x14ac:dyDescent="0.25">
      <c r="A7150" s="3"/>
      <c r="B7150" s="3"/>
      <c r="C7150" s="3"/>
      <c r="D7150" s="3"/>
      <c r="E7150" s="3"/>
      <c r="F7150" s="3"/>
      <c r="G7150" s="3"/>
      <c r="H7150" s="3"/>
      <c r="I7150" s="3"/>
      <c r="J7150" s="3"/>
      <c r="K7150" s="3"/>
      <c r="L7150" s="3"/>
      <c r="M7150" s="3"/>
      <c r="N7150" s="3"/>
      <c r="O7150" s="3"/>
    </row>
    <row r="7151" spans="1:15" ht="15" customHeight="1" x14ac:dyDescent="0.25">
      <c r="A7151" s="2"/>
      <c r="B7151" s="2"/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</row>
    <row r="7152" spans="1:15" ht="15" customHeight="1" x14ac:dyDescent="0.25">
      <c r="A7152" s="3"/>
      <c r="B7152" s="3"/>
      <c r="C7152" s="3"/>
      <c r="D7152" s="3"/>
      <c r="E7152" s="3"/>
      <c r="F7152" s="3"/>
      <c r="G7152" s="3"/>
      <c r="H7152" s="3"/>
      <c r="I7152" s="3"/>
      <c r="J7152" s="3"/>
      <c r="K7152" s="3"/>
      <c r="L7152" s="3"/>
      <c r="M7152" s="3"/>
      <c r="N7152" s="3"/>
      <c r="O7152" s="3"/>
    </row>
    <row r="7153" spans="1:15" ht="15" customHeight="1" x14ac:dyDescent="0.25">
      <c r="A7153" s="2"/>
      <c r="B7153" s="2"/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</row>
    <row r="7154" spans="1:15" ht="15" customHeight="1" x14ac:dyDescent="0.25">
      <c r="A7154" s="3"/>
      <c r="B7154" s="3"/>
      <c r="C7154" s="3"/>
      <c r="D7154" s="3"/>
      <c r="E7154" s="3"/>
      <c r="F7154" s="3"/>
      <c r="G7154" s="3"/>
      <c r="H7154" s="3"/>
      <c r="I7154" s="3"/>
      <c r="J7154" s="3"/>
      <c r="K7154" s="3"/>
      <c r="L7154" s="3"/>
      <c r="M7154" s="3"/>
      <c r="N7154" s="3"/>
      <c r="O7154" s="3"/>
    </row>
    <row r="7155" spans="1:15" ht="15" customHeight="1" x14ac:dyDescent="0.25">
      <c r="A7155" s="2"/>
      <c r="B7155" s="2"/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</row>
    <row r="7156" spans="1:15" ht="15" customHeight="1" x14ac:dyDescent="0.25">
      <c r="A7156" s="3"/>
      <c r="B7156" s="3"/>
      <c r="C7156" s="3"/>
      <c r="D7156" s="3"/>
      <c r="E7156" s="3"/>
      <c r="F7156" s="3"/>
      <c r="G7156" s="3"/>
      <c r="H7156" s="3"/>
      <c r="I7156" s="3"/>
      <c r="J7156" s="3"/>
      <c r="K7156" s="3"/>
      <c r="L7156" s="3"/>
      <c r="M7156" s="3"/>
      <c r="N7156" s="3"/>
      <c r="O7156" s="3"/>
    </row>
    <row r="7157" spans="1:15" ht="15" customHeight="1" x14ac:dyDescent="0.25">
      <c r="A7157" s="2"/>
      <c r="B7157" s="2"/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</row>
    <row r="7158" spans="1:15" ht="15" customHeight="1" x14ac:dyDescent="0.25">
      <c r="A7158" s="3"/>
      <c r="B7158" s="3"/>
      <c r="C7158" s="3"/>
      <c r="D7158" s="3"/>
      <c r="E7158" s="3"/>
      <c r="F7158" s="3"/>
      <c r="G7158" s="3"/>
      <c r="H7158" s="3"/>
      <c r="I7158" s="3"/>
      <c r="J7158" s="3"/>
      <c r="K7158" s="3"/>
      <c r="L7158" s="3"/>
      <c r="M7158" s="3"/>
      <c r="N7158" s="3"/>
      <c r="O7158" s="3"/>
    </row>
    <row r="7159" spans="1:15" ht="15" customHeight="1" x14ac:dyDescent="0.25">
      <c r="A7159" s="2"/>
      <c r="B7159" s="2"/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</row>
    <row r="7160" spans="1:15" ht="15" customHeight="1" x14ac:dyDescent="0.25">
      <c r="A7160" s="3"/>
      <c r="B7160" s="3"/>
      <c r="C7160" s="3"/>
      <c r="D7160" s="3"/>
      <c r="E7160" s="3"/>
      <c r="F7160" s="3"/>
      <c r="G7160" s="3"/>
      <c r="H7160" s="3"/>
      <c r="I7160" s="3"/>
      <c r="J7160" s="3"/>
      <c r="K7160" s="3"/>
      <c r="L7160" s="3"/>
      <c r="M7160" s="3"/>
      <c r="N7160" s="3"/>
      <c r="O7160" s="3"/>
    </row>
    <row r="7161" spans="1:15" ht="15" customHeight="1" x14ac:dyDescent="0.25">
      <c r="A7161" s="2"/>
      <c r="B7161" s="2"/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</row>
    <row r="7162" spans="1:15" ht="15" customHeight="1" x14ac:dyDescent="0.25">
      <c r="A7162" s="3"/>
      <c r="B7162" s="3"/>
      <c r="C7162" s="3"/>
      <c r="D7162" s="3"/>
      <c r="E7162" s="3"/>
      <c r="F7162" s="3"/>
      <c r="G7162" s="3"/>
      <c r="H7162" s="3"/>
      <c r="I7162" s="3"/>
      <c r="J7162" s="3"/>
      <c r="K7162" s="3"/>
      <c r="L7162" s="3"/>
      <c r="M7162" s="3"/>
      <c r="N7162" s="3"/>
      <c r="O7162" s="3"/>
    </row>
    <row r="7163" spans="1:15" ht="15" customHeight="1" x14ac:dyDescent="0.25">
      <c r="A7163" s="2"/>
      <c r="B7163" s="2"/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</row>
    <row r="7164" spans="1:15" ht="15" customHeight="1" x14ac:dyDescent="0.25">
      <c r="A7164" s="3"/>
      <c r="B7164" s="3"/>
      <c r="C7164" s="3"/>
      <c r="D7164" s="3"/>
      <c r="E7164" s="3"/>
      <c r="F7164" s="3"/>
      <c r="G7164" s="3"/>
      <c r="H7164" s="3"/>
      <c r="I7164" s="3"/>
      <c r="J7164" s="3"/>
      <c r="K7164" s="3"/>
      <c r="L7164" s="3"/>
      <c r="M7164" s="3"/>
      <c r="N7164" s="3"/>
      <c r="O7164" s="3"/>
    </row>
    <row r="7165" spans="1:15" ht="15" customHeight="1" x14ac:dyDescent="0.25">
      <c r="A7165" s="2"/>
      <c r="B7165" s="2"/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</row>
    <row r="7166" spans="1:15" ht="15" customHeight="1" x14ac:dyDescent="0.25">
      <c r="A7166" s="3"/>
      <c r="B7166" s="3"/>
      <c r="C7166" s="3"/>
      <c r="D7166" s="3"/>
      <c r="E7166" s="3"/>
      <c r="F7166" s="3"/>
      <c r="G7166" s="3"/>
      <c r="H7166" s="3"/>
      <c r="I7166" s="3"/>
      <c r="J7166" s="3"/>
      <c r="K7166" s="3"/>
      <c r="L7166" s="3"/>
      <c r="M7166" s="3"/>
      <c r="N7166" s="3"/>
      <c r="O7166" s="3"/>
    </row>
    <row r="7167" spans="1:15" ht="15" customHeight="1" x14ac:dyDescent="0.25">
      <c r="A7167" s="2"/>
      <c r="B7167" s="2"/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</row>
    <row r="7168" spans="1:15" ht="15" customHeight="1" x14ac:dyDescent="0.25">
      <c r="A7168" s="3"/>
      <c r="B7168" s="3"/>
      <c r="C7168" s="3"/>
      <c r="D7168" s="3"/>
      <c r="E7168" s="3"/>
      <c r="F7168" s="3"/>
      <c r="G7168" s="3"/>
      <c r="H7168" s="3"/>
      <c r="I7168" s="3"/>
      <c r="J7168" s="3"/>
      <c r="K7168" s="3"/>
      <c r="L7168" s="3"/>
      <c r="M7168" s="3"/>
      <c r="N7168" s="3"/>
      <c r="O7168" s="3"/>
    </row>
    <row r="7169" spans="1:15" ht="15" customHeight="1" x14ac:dyDescent="0.25">
      <c r="A7169" s="2"/>
      <c r="B7169" s="2"/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</row>
    <row r="7170" spans="1:15" ht="15" customHeight="1" x14ac:dyDescent="0.25">
      <c r="A7170" s="3"/>
      <c r="B7170" s="3"/>
      <c r="C7170" s="3"/>
      <c r="D7170" s="3"/>
      <c r="E7170" s="3"/>
      <c r="F7170" s="3"/>
      <c r="G7170" s="3"/>
      <c r="H7170" s="3"/>
      <c r="I7170" s="3"/>
      <c r="J7170" s="3"/>
      <c r="K7170" s="3"/>
      <c r="L7170" s="3"/>
      <c r="M7170" s="3"/>
      <c r="N7170" s="3"/>
      <c r="O7170" s="3"/>
    </row>
    <row r="7171" spans="1:15" ht="15" customHeight="1" x14ac:dyDescent="0.25">
      <c r="A7171" s="2"/>
      <c r="B7171" s="2"/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</row>
    <row r="7172" spans="1:15" ht="15" customHeight="1" x14ac:dyDescent="0.25">
      <c r="A7172" s="3"/>
      <c r="B7172" s="3"/>
      <c r="C7172" s="3"/>
      <c r="D7172" s="3"/>
      <c r="E7172" s="3"/>
      <c r="F7172" s="3"/>
      <c r="G7172" s="3"/>
      <c r="H7172" s="3"/>
      <c r="I7172" s="3"/>
      <c r="J7172" s="3"/>
      <c r="K7172" s="3"/>
      <c r="L7172" s="3"/>
      <c r="M7172" s="3"/>
      <c r="N7172" s="3"/>
      <c r="O7172" s="3"/>
    </row>
    <row r="7173" spans="1:15" ht="15" customHeight="1" x14ac:dyDescent="0.25">
      <c r="A7173" s="2"/>
      <c r="B7173" s="2"/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</row>
    <row r="7174" spans="1:15" ht="15" customHeight="1" x14ac:dyDescent="0.25">
      <c r="A7174" s="3"/>
      <c r="B7174" s="3"/>
      <c r="C7174" s="3"/>
      <c r="D7174" s="3"/>
      <c r="E7174" s="3"/>
      <c r="F7174" s="3"/>
      <c r="G7174" s="3"/>
      <c r="H7174" s="3"/>
      <c r="I7174" s="3"/>
      <c r="J7174" s="3"/>
      <c r="K7174" s="3"/>
      <c r="L7174" s="3"/>
      <c r="M7174" s="3"/>
      <c r="N7174" s="3"/>
      <c r="O7174" s="3"/>
    </row>
    <row r="7175" spans="1:15" ht="15" customHeight="1" x14ac:dyDescent="0.25">
      <c r="A7175" s="2"/>
      <c r="B7175" s="2"/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</row>
    <row r="7176" spans="1:15" ht="15" customHeight="1" x14ac:dyDescent="0.25">
      <c r="A7176" s="3"/>
      <c r="B7176" s="3"/>
      <c r="C7176" s="3"/>
      <c r="D7176" s="3"/>
      <c r="E7176" s="3"/>
      <c r="F7176" s="3"/>
      <c r="G7176" s="3"/>
      <c r="H7176" s="3"/>
      <c r="I7176" s="3"/>
      <c r="J7176" s="3"/>
      <c r="K7176" s="3"/>
      <c r="L7176" s="3"/>
      <c r="M7176" s="3"/>
      <c r="N7176" s="3"/>
      <c r="O7176" s="3"/>
    </row>
    <row r="7177" spans="1:15" ht="15" customHeight="1" x14ac:dyDescent="0.25">
      <c r="A7177" s="2"/>
      <c r="B7177" s="2"/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</row>
    <row r="7178" spans="1:15" ht="15" customHeight="1" x14ac:dyDescent="0.25">
      <c r="A7178" s="3"/>
      <c r="B7178" s="3"/>
      <c r="C7178" s="3"/>
      <c r="D7178" s="3"/>
      <c r="E7178" s="3"/>
      <c r="F7178" s="3"/>
      <c r="G7178" s="3"/>
      <c r="H7178" s="3"/>
      <c r="I7178" s="3"/>
      <c r="J7178" s="3"/>
      <c r="K7178" s="3"/>
      <c r="L7178" s="3"/>
      <c r="M7178" s="3"/>
      <c r="N7178" s="3"/>
      <c r="O7178" s="3"/>
    </row>
    <row r="7179" spans="1:15" ht="15" customHeight="1" x14ac:dyDescent="0.25">
      <c r="A7179" s="2"/>
      <c r="B7179" s="2"/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</row>
    <row r="7180" spans="1:15" ht="15" customHeight="1" x14ac:dyDescent="0.25">
      <c r="A7180" s="3"/>
      <c r="B7180" s="3"/>
      <c r="C7180" s="3"/>
      <c r="D7180" s="3"/>
      <c r="E7180" s="3"/>
      <c r="F7180" s="3"/>
      <c r="G7180" s="3"/>
      <c r="H7180" s="3"/>
      <c r="I7180" s="3"/>
      <c r="J7180" s="3"/>
      <c r="K7180" s="3"/>
      <c r="L7180" s="3"/>
      <c r="M7180" s="3"/>
      <c r="N7180" s="3"/>
      <c r="O7180" s="3"/>
    </row>
    <row r="7181" spans="1:15" ht="15" customHeight="1" x14ac:dyDescent="0.25">
      <c r="A7181" s="2"/>
      <c r="B7181" s="2"/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</row>
    <row r="7182" spans="1:15" ht="15" customHeight="1" x14ac:dyDescent="0.25">
      <c r="A7182" s="3"/>
      <c r="B7182" s="3"/>
      <c r="C7182" s="3"/>
      <c r="D7182" s="3"/>
      <c r="E7182" s="3"/>
      <c r="F7182" s="3"/>
      <c r="G7182" s="3"/>
      <c r="H7182" s="3"/>
      <c r="I7182" s="3"/>
      <c r="J7182" s="3"/>
      <c r="K7182" s="3"/>
      <c r="L7182" s="3"/>
      <c r="M7182" s="3"/>
      <c r="N7182" s="3"/>
      <c r="O7182" s="3"/>
    </row>
    <row r="7183" spans="1:15" ht="15" customHeight="1" x14ac:dyDescent="0.25">
      <c r="A7183" s="2"/>
      <c r="B7183" s="2"/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</row>
    <row r="7184" spans="1:15" ht="15" customHeight="1" x14ac:dyDescent="0.25">
      <c r="A7184" s="3"/>
      <c r="B7184" s="3"/>
      <c r="C7184" s="3"/>
      <c r="D7184" s="3"/>
      <c r="E7184" s="3"/>
      <c r="F7184" s="3"/>
      <c r="G7184" s="3"/>
      <c r="H7184" s="3"/>
      <c r="I7184" s="3"/>
      <c r="J7184" s="3"/>
      <c r="K7184" s="3"/>
      <c r="L7184" s="3"/>
      <c r="M7184" s="3"/>
      <c r="N7184" s="3"/>
      <c r="O7184" s="3"/>
    </row>
    <row r="7185" spans="1:15" ht="15" customHeight="1" x14ac:dyDescent="0.25">
      <c r="A7185" s="2"/>
      <c r="B7185" s="2"/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</row>
    <row r="7186" spans="1:15" ht="15" customHeight="1" x14ac:dyDescent="0.25">
      <c r="A7186" s="3"/>
      <c r="B7186" s="3"/>
      <c r="C7186" s="3"/>
      <c r="D7186" s="3"/>
      <c r="E7186" s="3"/>
      <c r="F7186" s="3"/>
      <c r="G7186" s="3"/>
      <c r="H7186" s="3"/>
      <c r="I7186" s="3"/>
      <c r="J7186" s="3"/>
      <c r="K7186" s="3"/>
      <c r="L7186" s="3"/>
      <c r="M7186" s="3"/>
      <c r="N7186" s="3"/>
      <c r="O7186" s="3"/>
    </row>
    <row r="7187" spans="1:15" ht="15" customHeight="1" x14ac:dyDescent="0.25">
      <c r="A7187" s="2"/>
      <c r="B7187" s="2"/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</row>
    <row r="7188" spans="1:15" ht="15" customHeight="1" x14ac:dyDescent="0.25">
      <c r="A7188" s="3"/>
      <c r="B7188" s="3"/>
      <c r="C7188" s="3"/>
      <c r="D7188" s="3"/>
      <c r="E7188" s="3"/>
      <c r="F7188" s="3"/>
      <c r="G7188" s="3"/>
      <c r="H7188" s="3"/>
      <c r="I7188" s="3"/>
      <c r="J7188" s="3"/>
      <c r="K7188" s="3"/>
      <c r="L7188" s="3"/>
      <c r="M7188" s="3"/>
      <c r="N7188" s="3"/>
      <c r="O7188" s="3"/>
    </row>
    <row r="7189" spans="1:15" ht="15" customHeight="1" x14ac:dyDescent="0.25">
      <c r="A7189" s="2"/>
      <c r="B7189" s="2"/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</row>
    <row r="7190" spans="1:15" ht="15" customHeight="1" x14ac:dyDescent="0.25">
      <c r="A7190" s="3"/>
      <c r="B7190" s="3"/>
      <c r="C7190" s="3"/>
      <c r="D7190" s="3"/>
      <c r="E7190" s="3"/>
      <c r="F7190" s="3"/>
      <c r="G7190" s="3"/>
      <c r="H7190" s="3"/>
      <c r="I7190" s="3"/>
      <c r="J7190" s="3"/>
      <c r="K7190" s="3"/>
      <c r="L7190" s="3"/>
      <c r="M7190" s="3"/>
      <c r="N7190" s="3"/>
      <c r="O7190" s="3"/>
    </row>
    <row r="7191" spans="1:15" ht="15" customHeight="1" x14ac:dyDescent="0.25">
      <c r="A7191" s="2"/>
      <c r="B7191" s="2"/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</row>
    <row r="7192" spans="1:15" ht="15" customHeight="1" x14ac:dyDescent="0.25">
      <c r="A7192" s="3"/>
      <c r="B7192" s="3"/>
      <c r="C7192" s="3"/>
      <c r="D7192" s="3"/>
      <c r="E7192" s="3"/>
      <c r="F7192" s="3"/>
      <c r="G7192" s="3"/>
      <c r="H7192" s="3"/>
      <c r="I7192" s="3"/>
      <c r="J7192" s="3"/>
      <c r="K7192" s="3"/>
      <c r="L7192" s="3"/>
      <c r="M7192" s="3"/>
      <c r="N7192" s="3"/>
      <c r="O7192" s="3"/>
    </row>
    <row r="7193" spans="1:15" ht="15" customHeight="1" x14ac:dyDescent="0.25">
      <c r="A7193" s="2"/>
      <c r="B7193" s="2"/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</row>
    <row r="7194" spans="1:15" ht="15" customHeight="1" x14ac:dyDescent="0.25">
      <c r="A7194" s="3"/>
      <c r="B7194" s="3"/>
      <c r="C7194" s="3"/>
      <c r="D7194" s="3"/>
      <c r="E7194" s="3"/>
      <c r="F7194" s="3"/>
      <c r="G7194" s="3"/>
      <c r="H7194" s="3"/>
      <c r="I7194" s="3"/>
      <c r="J7194" s="3"/>
      <c r="K7194" s="3"/>
      <c r="L7194" s="3"/>
      <c r="M7194" s="3"/>
      <c r="N7194" s="3"/>
      <c r="O7194" s="3"/>
    </row>
    <row r="7195" spans="1:15" ht="15" customHeight="1" x14ac:dyDescent="0.25">
      <c r="A7195" s="2"/>
      <c r="B7195" s="2"/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</row>
    <row r="7196" spans="1:15" ht="15" customHeight="1" x14ac:dyDescent="0.25">
      <c r="A7196" s="3"/>
      <c r="B7196" s="3"/>
      <c r="C7196" s="3"/>
      <c r="D7196" s="3"/>
      <c r="E7196" s="3"/>
      <c r="F7196" s="3"/>
      <c r="G7196" s="3"/>
      <c r="H7196" s="3"/>
      <c r="I7196" s="3"/>
      <c r="J7196" s="3"/>
      <c r="K7196" s="3"/>
      <c r="L7196" s="3"/>
      <c r="M7196" s="3"/>
      <c r="N7196" s="3"/>
      <c r="O7196" s="3"/>
    </row>
    <row r="7197" spans="1:15" ht="15" customHeight="1" x14ac:dyDescent="0.25">
      <c r="A7197" s="2"/>
      <c r="B7197" s="2"/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</row>
    <row r="7198" spans="1:15" ht="15" customHeight="1" x14ac:dyDescent="0.25">
      <c r="A7198" s="3"/>
      <c r="B7198" s="3"/>
      <c r="C7198" s="3"/>
      <c r="D7198" s="3"/>
      <c r="E7198" s="3"/>
      <c r="F7198" s="3"/>
      <c r="G7198" s="3"/>
      <c r="H7198" s="3"/>
      <c r="I7198" s="3"/>
      <c r="J7198" s="3"/>
      <c r="K7198" s="3"/>
      <c r="L7198" s="3"/>
      <c r="M7198" s="3"/>
      <c r="N7198" s="3"/>
      <c r="O7198" s="3"/>
    </row>
    <row r="7199" spans="1:15" ht="15" customHeight="1" x14ac:dyDescent="0.25">
      <c r="A7199" s="2"/>
      <c r="B7199" s="2"/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</row>
    <row r="7200" spans="1:15" ht="15" customHeight="1" x14ac:dyDescent="0.25">
      <c r="A7200" s="3"/>
      <c r="B7200" s="3"/>
      <c r="C7200" s="3"/>
      <c r="D7200" s="3"/>
      <c r="E7200" s="3"/>
      <c r="F7200" s="3"/>
      <c r="G7200" s="3"/>
      <c r="H7200" s="3"/>
      <c r="I7200" s="3"/>
      <c r="J7200" s="3"/>
      <c r="K7200" s="3"/>
      <c r="L7200" s="3"/>
      <c r="M7200" s="3"/>
      <c r="N7200" s="3"/>
      <c r="O7200" s="3"/>
    </row>
    <row r="7201" spans="1:15" ht="15" customHeight="1" x14ac:dyDescent="0.25">
      <c r="A7201" s="2"/>
      <c r="B7201" s="2"/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</row>
    <row r="7202" spans="1:15" ht="15" customHeight="1" x14ac:dyDescent="0.25">
      <c r="A7202" s="3"/>
      <c r="B7202" s="3"/>
      <c r="C7202" s="3"/>
      <c r="D7202" s="3"/>
      <c r="E7202" s="3"/>
      <c r="F7202" s="3"/>
      <c r="G7202" s="3"/>
      <c r="H7202" s="3"/>
      <c r="I7202" s="3"/>
      <c r="J7202" s="3"/>
      <c r="K7202" s="3"/>
      <c r="L7202" s="3"/>
      <c r="M7202" s="3"/>
      <c r="N7202" s="3"/>
      <c r="O7202" s="3"/>
    </row>
    <row r="7203" spans="1:15" ht="15" customHeight="1" x14ac:dyDescent="0.25">
      <c r="A7203" s="2"/>
      <c r="B7203" s="2"/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</row>
    <row r="7204" spans="1:15" ht="15" customHeight="1" x14ac:dyDescent="0.25">
      <c r="A7204" s="3"/>
      <c r="B7204" s="3"/>
      <c r="C7204" s="3"/>
      <c r="D7204" s="3"/>
      <c r="E7204" s="3"/>
      <c r="F7204" s="3"/>
      <c r="G7204" s="3"/>
      <c r="H7204" s="3"/>
      <c r="I7204" s="3"/>
      <c r="J7204" s="3"/>
      <c r="K7204" s="3"/>
      <c r="L7204" s="3"/>
      <c r="M7204" s="3"/>
      <c r="N7204" s="3"/>
      <c r="O7204" s="3"/>
    </row>
    <row r="7205" spans="1:15" ht="15" customHeight="1" x14ac:dyDescent="0.25">
      <c r="A7205" s="2"/>
      <c r="B7205" s="2"/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</row>
    <row r="7206" spans="1:15" ht="15" customHeight="1" x14ac:dyDescent="0.25">
      <c r="A7206" s="3"/>
      <c r="B7206" s="3"/>
      <c r="C7206" s="3"/>
      <c r="D7206" s="3"/>
      <c r="E7206" s="3"/>
      <c r="F7206" s="3"/>
      <c r="G7206" s="3"/>
      <c r="H7206" s="3"/>
      <c r="I7206" s="3"/>
      <c r="J7206" s="3"/>
      <c r="K7206" s="3"/>
      <c r="L7206" s="3"/>
      <c r="M7206" s="3"/>
      <c r="N7206" s="3"/>
      <c r="O7206" s="3"/>
    </row>
    <row r="7207" spans="1:15" ht="15" customHeight="1" x14ac:dyDescent="0.25">
      <c r="A7207" s="2"/>
      <c r="B7207" s="2"/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</row>
    <row r="7208" spans="1:15" ht="15" customHeight="1" x14ac:dyDescent="0.25">
      <c r="A7208" s="3"/>
      <c r="B7208" s="3"/>
      <c r="C7208" s="3"/>
      <c r="D7208" s="3"/>
      <c r="E7208" s="3"/>
      <c r="F7208" s="3"/>
      <c r="G7208" s="3"/>
      <c r="H7208" s="3"/>
      <c r="I7208" s="3"/>
      <c r="J7208" s="3"/>
      <c r="K7208" s="3"/>
      <c r="L7208" s="3"/>
      <c r="M7208" s="3"/>
      <c r="N7208" s="3"/>
      <c r="O7208" s="3"/>
    </row>
    <row r="7209" spans="1:15" ht="15" customHeight="1" x14ac:dyDescent="0.25">
      <c r="A7209" s="2"/>
      <c r="B7209" s="2"/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</row>
    <row r="7210" spans="1:15" ht="15" customHeight="1" x14ac:dyDescent="0.25">
      <c r="A7210" s="3"/>
      <c r="B7210" s="3"/>
      <c r="C7210" s="3"/>
      <c r="D7210" s="3"/>
      <c r="E7210" s="3"/>
      <c r="F7210" s="3"/>
      <c r="G7210" s="3"/>
      <c r="H7210" s="3"/>
      <c r="I7210" s="3"/>
      <c r="J7210" s="3"/>
      <c r="K7210" s="3"/>
      <c r="L7210" s="3"/>
      <c r="M7210" s="3"/>
      <c r="N7210" s="3"/>
      <c r="O7210" s="3"/>
    </row>
    <row r="7211" spans="1:15" ht="15" customHeight="1" x14ac:dyDescent="0.25">
      <c r="A7211" s="2"/>
      <c r="B7211" s="2"/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</row>
    <row r="7212" spans="1:15" ht="15" customHeight="1" x14ac:dyDescent="0.25">
      <c r="A7212" s="3"/>
      <c r="B7212" s="3"/>
      <c r="C7212" s="3"/>
      <c r="D7212" s="3"/>
      <c r="E7212" s="3"/>
      <c r="F7212" s="3"/>
      <c r="G7212" s="3"/>
      <c r="H7212" s="3"/>
      <c r="I7212" s="3"/>
      <c r="J7212" s="3"/>
      <c r="K7212" s="3"/>
      <c r="L7212" s="3"/>
      <c r="M7212" s="3"/>
      <c r="N7212" s="3"/>
      <c r="O7212" s="3"/>
    </row>
    <row r="7213" spans="1:15" ht="15" customHeight="1" x14ac:dyDescent="0.25">
      <c r="A7213" s="2"/>
      <c r="B7213" s="2"/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</row>
    <row r="7214" spans="1:15" ht="15" customHeight="1" x14ac:dyDescent="0.25">
      <c r="A7214" s="3"/>
      <c r="B7214" s="3"/>
      <c r="C7214" s="3"/>
      <c r="D7214" s="3"/>
      <c r="E7214" s="3"/>
      <c r="F7214" s="3"/>
      <c r="G7214" s="3"/>
      <c r="H7214" s="3"/>
      <c r="I7214" s="3"/>
      <c r="J7214" s="3"/>
      <c r="K7214" s="3"/>
      <c r="L7214" s="3"/>
      <c r="M7214" s="3"/>
      <c r="N7214" s="3"/>
      <c r="O7214" s="3"/>
    </row>
    <row r="7215" spans="1:15" ht="15" customHeight="1" x14ac:dyDescent="0.25">
      <c r="A7215" s="2"/>
      <c r="B7215" s="2"/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</row>
    <row r="7216" spans="1:15" ht="15" customHeight="1" x14ac:dyDescent="0.25">
      <c r="A7216" s="3"/>
      <c r="B7216" s="3"/>
      <c r="C7216" s="3"/>
      <c r="D7216" s="3"/>
      <c r="E7216" s="3"/>
      <c r="F7216" s="3"/>
      <c r="G7216" s="3"/>
      <c r="H7216" s="3"/>
      <c r="I7216" s="3"/>
      <c r="J7216" s="3"/>
      <c r="K7216" s="3"/>
      <c r="L7216" s="3"/>
      <c r="M7216" s="3"/>
      <c r="N7216" s="3"/>
      <c r="O7216" s="3"/>
    </row>
    <row r="7217" spans="1:15" ht="15" customHeight="1" x14ac:dyDescent="0.25">
      <c r="A7217" s="2"/>
      <c r="B7217" s="2"/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</row>
    <row r="7218" spans="1:15" ht="15" customHeight="1" x14ac:dyDescent="0.25">
      <c r="A7218" s="3"/>
      <c r="B7218" s="3"/>
      <c r="C7218" s="3"/>
      <c r="D7218" s="3"/>
      <c r="E7218" s="3"/>
      <c r="F7218" s="3"/>
      <c r="G7218" s="3"/>
      <c r="H7218" s="3"/>
      <c r="I7218" s="3"/>
      <c r="J7218" s="3"/>
      <c r="K7218" s="3"/>
      <c r="L7218" s="3"/>
      <c r="M7218" s="3"/>
      <c r="N7218" s="3"/>
      <c r="O7218" s="3"/>
    </row>
    <row r="7219" spans="1:15" ht="15" customHeight="1" x14ac:dyDescent="0.25">
      <c r="A7219" s="2"/>
      <c r="B7219" s="2"/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</row>
    <row r="7220" spans="1:15" ht="15" customHeight="1" x14ac:dyDescent="0.25">
      <c r="A7220" s="3"/>
      <c r="B7220" s="3"/>
      <c r="C7220" s="3"/>
      <c r="D7220" s="3"/>
      <c r="E7220" s="3"/>
      <c r="F7220" s="3"/>
      <c r="G7220" s="3"/>
      <c r="H7220" s="3"/>
      <c r="I7220" s="3"/>
      <c r="J7220" s="3"/>
      <c r="K7220" s="3"/>
      <c r="L7220" s="3"/>
      <c r="M7220" s="3"/>
      <c r="N7220" s="3"/>
      <c r="O7220" s="3"/>
    </row>
    <row r="7221" spans="1:15" ht="15" customHeight="1" x14ac:dyDescent="0.25">
      <c r="A7221" s="2"/>
      <c r="B7221" s="2"/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</row>
    <row r="7222" spans="1:15" ht="15" customHeight="1" x14ac:dyDescent="0.25">
      <c r="A7222" s="3"/>
      <c r="B7222" s="3"/>
      <c r="C7222" s="3"/>
      <c r="D7222" s="3"/>
      <c r="E7222" s="3"/>
      <c r="F7222" s="3"/>
      <c r="G7222" s="3"/>
      <c r="H7222" s="3"/>
      <c r="I7222" s="3"/>
      <c r="J7222" s="3"/>
      <c r="K7222" s="3"/>
      <c r="L7222" s="3"/>
      <c r="M7222" s="3"/>
      <c r="N7222" s="3"/>
      <c r="O7222" s="3"/>
    </row>
    <row r="7223" spans="1:15" ht="15" customHeight="1" x14ac:dyDescent="0.25">
      <c r="A7223" s="2"/>
      <c r="B7223" s="2"/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</row>
    <row r="7224" spans="1:15" ht="15" customHeight="1" x14ac:dyDescent="0.25">
      <c r="A7224" s="3"/>
      <c r="B7224" s="3"/>
      <c r="C7224" s="3"/>
      <c r="D7224" s="3"/>
      <c r="E7224" s="3"/>
      <c r="F7224" s="3"/>
      <c r="G7224" s="3"/>
      <c r="H7224" s="3"/>
      <c r="I7224" s="3"/>
      <c r="J7224" s="3"/>
      <c r="K7224" s="3"/>
      <c r="L7224" s="3"/>
      <c r="M7224" s="3"/>
      <c r="N7224" s="3"/>
      <c r="O7224" s="3"/>
    </row>
    <row r="7225" spans="1:15" ht="15" customHeight="1" x14ac:dyDescent="0.25">
      <c r="A7225" s="2"/>
      <c r="B7225" s="2"/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</row>
    <row r="7226" spans="1:15" ht="15" customHeight="1" x14ac:dyDescent="0.25">
      <c r="A7226" s="3"/>
      <c r="B7226" s="3"/>
      <c r="C7226" s="3"/>
      <c r="D7226" s="3"/>
      <c r="E7226" s="3"/>
      <c r="F7226" s="3"/>
      <c r="G7226" s="3"/>
      <c r="H7226" s="3"/>
      <c r="I7226" s="3"/>
      <c r="J7226" s="3"/>
      <c r="K7226" s="3"/>
      <c r="L7226" s="3"/>
      <c r="M7226" s="3"/>
      <c r="N7226" s="3"/>
      <c r="O7226" s="3"/>
    </row>
    <row r="7227" spans="1:15" ht="15" customHeight="1" x14ac:dyDescent="0.25">
      <c r="A7227" s="2"/>
      <c r="B7227" s="2"/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</row>
    <row r="7228" spans="1:15" ht="15" customHeight="1" x14ac:dyDescent="0.25">
      <c r="A7228" s="3"/>
      <c r="B7228" s="3"/>
      <c r="C7228" s="3"/>
      <c r="D7228" s="3"/>
      <c r="E7228" s="3"/>
      <c r="F7228" s="3"/>
      <c r="G7228" s="3"/>
      <c r="H7228" s="3"/>
      <c r="I7228" s="3"/>
      <c r="J7228" s="3"/>
      <c r="K7228" s="3"/>
      <c r="L7228" s="3"/>
      <c r="M7228" s="3"/>
      <c r="N7228" s="3"/>
      <c r="O7228" s="3"/>
    </row>
    <row r="7229" spans="1:15" ht="15" customHeight="1" x14ac:dyDescent="0.25">
      <c r="A7229" s="2"/>
      <c r="B7229" s="2"/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</row>
    <row r="7230" spans="1:15" ht="15" customHeight="1" x14ac:dyDescent="0.25">
      <c r="A7230" s="3"/>
      <c r="B7230" s="3"/>
      <c r="C7230" s="3"/>
      <c r="D7230" s="3"/>
      <c r="E7230" s="3"/>
      <c r="F7230" s="3"/>
      <c r="G7230" s="3"/>
      <c r="H7230" s="3"/>
      <c r="I7230" s="3"/>
      <c r="J7230" s="3"/>
      <c r="K7230" s="3"/>
      <c r="L7230" s="3"/>
      <c r="M7230" s="3"/>
      <c r="N7230" s="3"/>
      <c r="O7230" s="3"/>
    </row>
    <row r="7231" spans="1:15" ht="15" customHeight="1" x14ac:dyDescent="0.25">
      <c r="A7231" s="2"/>
      <c r="B7231" s="2"/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</row>
    <row r="7232" spans="1:15" ht="15" customHeight="1" x14ac:dyDescent="0.25">
      <c r="A7232" s="3"/>
      <c r="B7232" s="3"/>
      <c r="C7232" s="3"/>
      <c r="D7232" s="3"/>
      <c r="E7232" s="3"/>
      <c r="F7232" s="3"/>
      <c r="G7232" s="3"/>
      <c r="H7232" s="3"/>
      <c r="I7232" s="3"/>
      <c r="J7232" s="3"/>
      <c r="K7232" s="3"/>
      <c r="L7232" s="3"/>
      <c r="M7232" s="3"/>
      <c r="N7232" s="3"/>
      <c r="O7232" s="3"/>
    </row>
    <row r="7233" spans="1:15" ht="15" customHeight="1" x14ac:dyDescent="0.25">
      <c r="A7233" s="2"/>
      <c r="B7233" s="2"/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</row>
    <row r="7234" spans="1:15" ht="15" customHeight="1" x14ac:dyDescent="0.25">
      <c r="A7234" s="3"/>
      <c r="B7234" s="3"/>
      <c r="C7234" s="3"/>
      <c r="D7234" s="3"/>
      <c r="E7234" s="3"/>
      <c r="F7234" s="3"/>
      <c r="G7234" s="3"/>
      <c r="H7234" s="3"/>
      <c r="I7234" s="3"/>
      <c r="J7234" s="3"/>
      <c r="K7234" s="3"/>
      <c r="L7234" s="3"/>
      <c r="M7234" s="3"/>
      <c r="N7234" s="3"/>
      <c r="O7234" s="3"/>
    </row>
    <row r="7235" spans="1:15" ht="15" customHeight="1" x14ac:dyDescent="0.25">
      <c r="A7235" s="2"/>
      <c r="B7235" s="2"/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</row>
    <row r="7236" spans="1:15" ht="15" customHeight="1" x14ac:dyDescent="0.25">
      <c r="A7236" s="3"/>
      <c r="B7236" s="3"/>
      <c r="C7236" s="3"/>
      <c r="D7236" s="3"/>
      <c r="E7236" s="3"/>
      <c r="F7236" s="3"/>
      <c r="G7236" s="3"/>
      <c r="H7236" s="3"/>
      <c r="I7236" s="3"/>
      <c r="J7236" s="3"/>
      <c r="K7236" s="3"/>
      <c r="L7236" s="3"/>
      <c r="M7236" s="3"/>
      <c r="N7236" s="3"/>
      <c r="O7236" s="3"/>
    </row>
    <row r="7237" spans="1:15" ht="15" customHeight="1" x14ac:dyDescent="0.25">
      <c r="A7237" s="2"/>
      <c r="B7237" s="2"/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</row>
    <row r="7238" spans="1:15" ht="15" customHeight="1" x14ac:dyDescent="0.25">
      <c r="A7238" s="3"/>
      <c r="B7238" s="3"/>
      <c r="C7238" s="3"/>
      <c r="D7238" s="3"/>
      <c r="E7238" s="3"/>
      <c r="F7238" s="3"/>
      <c r="G7238" s="3"/>
      <c r="H7238" s="3"/>
      <c r="I7238" s="3"/>
      <c r="J7238" s="3"/>
      <c r="K7238" s="3"/>
      <c r="L7238" s="3"/>
      <c r="M7238" s="3"/>
      <c r="N7238" s="3"/>
      <c r="O7238" s="3"/>
    </row>
    <row r="7239" spans="1:15" ht="15" customHeight="1" x14ac:dyDescent="0.25">
      <c r="A7239" s="2"/>
      <c r="B7239" s="2"/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</row>
    <row r="7240" spans="1:15" ht="15" customHeight="1" x14ac:dyDescent="0.25">
      <c r="A7240" s="3"/>
      <c r="B7240" s="3"/>
      <c r="C7240" s="3"/>
      <c r="D7240" s="3"/>
      <c r="E7240" s="3"/>
      <c r="F7240" s="3"/>
      <c r="G7240" s="3"/>
      <c r="H7240" s="3"/>
      <c r="I7240" s="3"/>
      <c r="J7240" s="3"/>
      <c r="K7240" s="3"/>
      <c r="L7240" s="3"/>
      <c r="M7240" s="3"/>
      <c r="N7240" s="3"/>
      <c r="O7240" s="3"/>
    </row>
    <row r="7241" spans="1:15" ht="15" customHeight="1" x14ac:dyDescent="0.25">
      <c r="A7241" s="2"/>
      <c r="B7241" s="2"/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</row>
    <row r="7242" spans="1:15" ht="15" customHeight="1" x14ac:dyDescent="0.25">
      <c r="A7242" s="3"/>
      <c r="B7242" s="3"/>
      <c r="C7242" s="3"/>
      <c r="D7242" s="3"/>
      <c r="E7242" s="3"/>
      <c r="F7242" s="3"/>
      <c r="G7242" s="3"/>
      <c r="H7242" s="3"/>
      <c r="I7242" s="3"/>
      <c r="J7242" s="3"/>
      <c r="K7242" s="3"/>
      <c r="L7242" s="3"/>
      <c r="M7242" s="3"/>
      <c r="N7242" s="3"/>
      <c r="O7242" s="3"/>
    </row>
    <row r="7243" spans="1:15" ht="15" customHeight="1" x14ac:dyDescent="0.25">
      <c r="A7243" s="2"/>
      <c r="B7243" s="2"/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</row>
    <row r="7244" spans="1:15" ht="15" customHeight="1" x14ac:dyDescent="0.25">
      <c r="A7244" s="3"/>
      <c r="B7244" s="3"/>
      <c r="C7244" s="3"/>
      <c r="D7244" s="3"/>
      <c r="E7244" s="3"/>
      <c r="F7244" s="3"/>
      <c r="G7244" s="3"/>
      <c r="H7244" s="3"/>
      <c r="I7244" s="3"/>
      <c r="J7244" s="3"/>
      <c r="K7244" s="3"/>
      <c r="L7244" s="3"/>
      <c r="M7244" s="3"/>
      <c r="N7244" s="3"/>
      <c r="O7244" s="3"/>
    </row>
    <row r="7245" spans="1:15" ht="15" customHeight="1" x14ac:dyDescent="0.25">
      <c r="A7245" s="2"/>
      <c r="B7245" s="2"/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</row>
    <row r="7246" spans="1:15" ht="15" customHeight="1" x14ac:dyDescent="0.25">
      <c r="A7246" s="3"/>
      <c r="B7246" s="3"/>
      <c r="C7246" s="3"/>
      <c r="D7246" s="3"/>
      <c r="E7246" s="3"/>
      <c r="F7246" s="3"/>
      <c r="G7246" s="3"/>
      <c r="H7246" s="3"/>
      <c r="I7246" s="3"/>
      <c r="J7246" s="3"/>
      <c r="K7246" s="3"/>
      <c r="L7246" s="3"/>
      <c r="M7246" s="3"/>
      <c r="N7246" s="3"/>
      <c r="O7246" s="3"/>
    </row>
    <row r="7247" spans="1:15" ht="15" customHeight="1" x14ac:dyDescent="0.25">
      <c r="A7247" s="2"/>
      <c r="B7247" s="2"/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</row>
    <row r="7248" spans="1:15" ht="15" customHeight="1" x14ac:dyDescent="0.25">
      <c r="A7248" s="3"/>
      <c r="B7248" s="3"/>
      <c r="C7248" s="3"/>
      <c r="D7248" s="3"/>
      <c r="E7248" s="3"/>
      <c r="F7248" s="3"/>
      <c r="G7248" s="3"/>
      <c r="H7248" s="3"/>
      <c r="I7248" s="3"/>
      <c r="J7248" s="3"/>
      <c r="K7248" s="3"/>
      <c r="L7248" s="3"/>
      <c r="M7248" s="3"/>
      <c r="N7248" s="3"/>
      <c r="O7248" s="3"/>
    </row>
    <row r="7249" spans="1:15" ht="15" customHeight="1" x14ac:dyDescent="0.25">
      <c r="A7249" s="2"/>
      <c r="B7249" s="2"/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</row>
    <row r="7250" spans="1:15" ht="15" customHeight="1" x14ac:dyDescent="0.25">
      <c r="A7250" s="3"/>
      <c r="B7250" s="3"/>
      <c r="C7250" s="3"/>
      <c r="D7250" s="3"/>
      <c r="E7250" s="3"/>
      <c r="F7250" s="3"/>
      <c r="G7250" s="3"/>
      <c r="H7250" s="3"/>
      <c r="I7250" s="3"/>
      <c r="J7250" s="3"/>
      <c r="K7250" s="3"/>
      <c r="L7250" s="3"/>
      <c r="M7250" s="3"/>
      <c r="N7250" s="3"/>
      <c r="O7250" s="3"/>
    </row>
    <row r="7251" spans="1:15" ht="15" customHeight="1" x14ac:dyDescent="0.25">
      <c r="A7251" s="2"/>
      <c r="B7251" s="2"/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</row>
    <row r="7252" spans="1:15" ht="15" customHeight="1" x14ac:dyDescent="0.25">
      <c r="A7252" s="3"/>
      <c r="B7252" s="3"/>
      <c r="C7252" s="3"/>
      <c r="D7252" s="3"/>
      <c r="E7252" s="3"/>
      <c r="F7252" s="3"/>
      <c r="G7252" s="3"/>
      <c r="H7252" s="3"/>
      <c r="I7252" s="3"/>
      <c r="J7252" s="3"/>
      <c r="K7252" s="3"/>
      <c r="L7252" s="3"/>
      <c r="M7252" s="3"/>
      <c r="N7252" s="3"/>
      <c r="O7252" s="3"/>
    </row>
    <row r="7253" spans="1:15" ht="15" customHeight="1" x14ac:dyDescent="0.25">
      <c r="A7253" s="2"/>
      <c r="B7253" s="2"/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</row>
    <row r="7254" spans="1:15" ht="15" customHeight="1" x14ac:dyDescent="0.25">
      <c r="A7254" s="3"/>
      <c r="B7254" s="3"/>
      <c r="C7254" s="3"/>
      <c r="D7254" s="3"/>
      <c r="E7254" s="3"/>
      <c r="F7254" s="3"/>
      <c r="G7254" s="3"/>
      <c r="H7254" s="3"/>
      <c r="I7254" s="3"/>
      <c r="J7254" s="3"/>
      <c r="K7254" s="3"/>
      <c r="L7254" s="3"/>
      <c r="M7254" s="3"/>
      <c r="N7254" s="3"/>
      <c r="O7254" s="3"/>
    </row>
    <row r="7255" spans="1:15" ht="15" customHeight="1" x14ac:dyDescent="0.25">
      <c r="A7255" s="2"/>
      <c r="B7255" s="2"/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</row>
    <row r="7256" spans="1:15" ht="15" customHeight="1" x14ac:dyDescent="0.25">
      <c r="A7256" s="3"/>
      <c r="B7256" s="3"/>
      <c r="C7256" s="3"/>
      <c r="D7256" s="3"/>
      <c r="E7256" s="3"/>
      <c r="F7256" s="3"/>
      <c r="G7256" s="3"/>
      <c r="H7256" s="3"/>
      <c r="I7256" s="3"/>
      <c r="J7256" s="3"/>
      <c r="K7256" s="3"/>
      <c r="L7256" s="3"/>
      <c r="M7256" s="3"/>
      <c r="N7256" s="3"/>
      <c r="O7256" s="3"/>
    </row>
    <row r="7257" spans="1:15" ht="15" customHeight="1" x14ac:dyDescent="0.25">
      <c r="A7257" s="2"/>
      <c r="B7257" s="2"/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</row>
    <row r="7258" spans="1:15" ht="15" customHeight="1" x14ac:dyDescent="0.25">
      <c r="A7258" s="3"/>
      <c r="B7258" s="3"/>
      <c r="C7258" s="3"/>
      <c r="D7258" s="3"/>
      <c r="E7258" s="3"/>
      <c r="F7258" s="3"/>
      <c r="G7258" s="3"/>
      <c r="H7258" s="3"/>
      <c r="I7258" s="3"/>
      <c r="J7258" s="3"/>
      <c r="K7258" s="3"/>
      <c r="L7258" s="3"/>
      <c r="M7258" s="3"/>
      <c r="N7258" s="3"/>
      <c r="O7258" s="3"/>
    </row>
    <row r="7259" spans="1:15" ht="15" customHeight="1" x14ac:dyDescent="0.25">
      <c r="A7259" s="2"/>
      <c r="B7259" s="2"/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</row>
    <row r="7260" spans="1:15" ht="15" customHeight="1" x14ac:dyDescent="0.25">
      <c r="A7260" s="3"/>
      <c r="B7260" s="3"/>
      <c r="C7260" s="3"/>
      <c r="D7260" s="3"/>
      <c r="E7260" s="3"/>
      <c r="F7260" s="3"/>
      <c r="G7260" s="3"/>
      <c r="H7260" s="3"/>
      <c r="I7260" s="3"/>
      <c r="J7260" s="3"/>
      <c r="K7260" s="3"/>
      <c r="L7260" s="3"/>
      <c r="M7260" s="3"/>
      <c r="N7260" s="3"/>
      <c r="O7260" s="3"/>
    </row>
    <row r="7261" spans="1:15" ht="15" customHeight="1" x14ac:dyDescent="0.25">
      <c r="A7261" s="2"/>
      <c r="B7261" s="2"/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</row>
    <row r="7262" spans="1:15" ht="15" customHeight="1" x14ac:dyDescent="0.25">
      <c r="A7262" s="3"/>
      <c r="B7262" s="3"/>
      <c r="C7262" s="3"/>
      <c r="D7262" s="3"/>
      <c r="E7262" s="3"/>
      <c r="F7262" s="3"/>
      <c r="G7262" s="3"/>
      <c r="H7262" s="3"/>
      <c r="I7262" s="3"/>
      <c r="J7262" s="3"/>
      <c r="K7262" s="3"/>
      <c r="L7262" s="3"/>
      <c r="M7262" s="3"/>
      <c r="N7262" s="3"/>
      <c r="O7262" s="3"/>
    </row>
    <row r="7263" spans="1:15" ht="15" customHeight="1" x14ac:dyDescent="0.25">
      <c r="A7263" s="2"/>
      <c r="B7263" s="2"/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</row>
    <row r="7264" spans="1:15" ht="15" customHeight="1" x14ac:dyDescent="0.25">
      <c r="A7264" s="3"/>
      <c r="B7264" s="3"/>
      <c r="C7264" s="3"/>
      <c r="D7264" s="3"/>
      <c r="E7264" s="3"/>
      <c r="F7264" s="3"/>
      <c r="G7264" s="3"/>
      <c r="H7264" s="3"/>
      <c r="I7264" s="3"/>
      <c r="J7264" s="3"/>
      <c r="K7264" s="3"/>
      <c r="L7264" s="3"/>
      <c r="M7264" s="3"/>
      <c r="N7264" s="3"/>
      <c r="O7264" s="3"/>
    </row>
    <row r="7265" spans="1:15" ht="15" customHeight="1" x14ac:dyDescent="0.25">
      <c r="A7265" s="2"/>
      <c r="B7265" s="2"/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</row>
    <row r="7266" spans="1:15" ht="15" customHeight="1" x14ac:dyDescent="0.25">
      <c r="A7266" s="3"/>
      <c r="B7266" s="3"/>
      <c r="C7266" s="3"/>
      <c r="D7266" s="3"/>
      <c r="E7266" s="3"/>
      <c r="F7266" s="3"/>
      <c r="G7266" s="3"/>
      <c r="H7266" s="3"/>
      <c r="I7266" s="3"/>
      <c r="J7266" s="3"/>
      <c r="K7266" s="3"/>
      <c r="L7266" s="3"/>
      <c r="M7266" s="3"/>
      <c r="N7266" s="3"/>
      <c r="O7266" s="3"/>
    </row>
    <row r="7267" spans="1:15" ht="15" customHeight="1" x14ac:dyDescent="0.25">
      <c r="A7267" s="2"/>
      <c r="B7267" s="2"/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</row>
    <row r="7268" spans="1:15" ht="15" customHeight="1" x14ac:dyDescent="0.25">
      <c r="A7268" s="3"/>
      <c r="B7268" s="3"/>
      <c r="C7268" s="3"/>
      <c r="D7268" s="3"/>
      <c r="E7268" s="3"/>
      <c r="F7268" s="3"/>
      <c r="G7268" s="3"/>
      <c r="H7268" s="3"/>
      <c r="I7268" s="3"/>
      <c r="J7268" s="3"/>
      <c r="K7268" s="3"/>
      <c r="L7268" s="3"/>
      <c r="M7268" s="3"/>
      <c r="N7268" s="3"/>
      <c r="O7268" s="3"/>
    </row>
    <row r="7269" spans="1:15" ht="15" customHeight="1" x14ac:dyDescent="0.25">
      <c r="A7269" s="2"/>
      <c r="B7269" s="2"/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</row>
    <row r="7270" spans="1:15" ht="15" customHeight="1" x14ac:dyDescent="0.25">
      <c r="A7270" s="3"/>
      <c r="B7270" s="3"/>
      <c r="C7270" s="3"/>
      <c r="D7270" s="3"/>
      <c r="E7270" s="3"/>
      <c r="F7270" s="3"/>
      <c r="G7270" s="3"/>
      <c r="H7270" s="3"/>
      <c r="I7270" s="3"/>
      <c r="J7270" s="3"/>
      <c r="K7270" s="3"/>
      <c r="L7270" s="3"/>
      <c r="M7270" s="3"/>
      <c r="N7270" s="3"/>
      <c r="O7270" s="3"/>
    </row>
    <row r="7271" spans="1:15" ht="15" customHeight="1" x14ac:dyDescent="0.25">
      <c r="A7271" s="2"/>
      <c r="B7271" s="2"/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</row>
    <row r="7272" spans="1:15" ht="15" customHeight="1" x14ac:dyDescent="0.25">
      <c r="A7272" s="3"/>
      <c r="B7272" s="3"/>
      <c r="C7272" s="3"/>
      <c r="D7272" s="3"/>
      <c r="E7272" s="3"/>
      <c r="F7272" s="3"/>
      <c r="G7272" s="3"/>
      <c r="H7272" s="3"/>
      <c r="I7272" s="3"/>
      <c r="J7272" s="3"/>
      <c r="K7272" s="3"/>
      <c r="L7272" s="3"/>
      <c r="M7272" s="3"/>
      <c r="N7272" s="3"/>
      <c r="O7272" s="3"/>
    </row>
    <row r="7273" spans="1:15" ht="15" customHeight="1" x14ac:dyDescent="0.25">
      <c r="A7273" s="2"/>
      <c r="B7273" s="2"/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</row>
    <row r="7274" spans="1:15" ht="15" customHeight="1" x14ac:dyDescent="0.25">
      <c r="A7274" s="3"/>
      <c r="B7274" s="3"/>
      <c r="C7274" s="3"/>
      <c r="D7274" s="3"/>
      <c r="E7274" s="3"/>
      <c r="F7274" s="3"/>
      <c r="G7274" s="3"/>
      <c r="H7274" s="3"/>
      <c r="I7274" s="3"/>
      <c r="J7274" s="3"/>
      <c r="K7274" s="3"/>
      <c r="L7274" s="3"/>
      <c r="M7274" s="3"/>
      <c r="N7274" s="3"/>
      <c r="O7274" s="3"/>
    </row>
    <row r="7275" spans="1:15" ht="15" customHeight="1" x14ac:dyDescent="0.25">
      <c r="A7275" s="2"/>
      <c r="B7275" s="2"/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</row>
    <row r="7276" spans="1:15" ht="15" customHeight="1" x14ac:dyDescent="0.25">
      <c r="A7276" s="3"/>
      <c r="B7276" s="3"/>
      <c r="C7276" s="3"/>
      <c r="D7276" s="3"/>
      <c r="E7276" s="3"/>
      <c r="F7276" s="3"/>
      <c r="G7276" s="3"/>
      <c r="H7276" s="3"/>
      <c r="I7276" s="3"/>
      <c r="J7276" s="3"/>
      <c r="K7276" s="3"/>
      <c r="L7276" s="3"/>
      <c r="M7276" s="3"/>
      <c r="N7276" s="3"/>
      <c r="O7276" s="3"/>
    </row>
    <row r="7277" spans="1:15" ht="15" customHeight="1" x14ac:dyDescent="0.25">
      <c r="A7277" s="2"/>
      <c r="B7277" s="2"/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</row>
    <row r="7278" spans="1:15" ht="15" customHeight="1" x14ac:dyDescent="0.25">
      <c r="A7278" s="3"/>
      <c r="B7278" s="3"/>
      <c r="C7278" s="3"/>
      <c r="D7278" s="3"/>
      <c r="E7278" s="3"/>
      <c r="F7278" s="3"/>
      <c r="G7278" s="3"/>
      <c r="H7278" s="3"/>
      <c r="I7278" s="3"/>
      <c r="J7278" s="3"/>
      <c r="K7278" s="3"/>
      <c r="L7278" s="3"/>
      <c r="M7278" s="3"/>
      <c r="N7278" s="3"/>
      <c r="O7278" s="3"/>
    </row>
    <row r="7279" spans="1:15" ht="15" customHeight="1" x14ac:dyDescent="0.25">
      <c r="A7279" s="2"/>
      <c r="B7279" s="2"/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</row>
    <row r="7280" spans="1:15" ht="15" customHeight="1" x14ac:dyDescent="0.25">
      <c r="A7280" s="3"/>
      <c r="B7280" s="3"/>
      <c r="C7280" s="3"/>
      <c r="D7280" s="3"/>
      <c r="E7280" s="3"/>
      <c r="F7280" s="3"/>
      <c r="G7280" s="3"/>
      <c r="H7280" s="3"/>
      <c r="I7280" s="3"/>
      <c r="J7280" s="3"/>
      <c r="K7280" s="3"/>
      <c r="L7280" s="3"/>
      <c r="M7280" s="3"/>
      <c r="N7280" s="3"/>
      <c r="O7280" s="3"/>
    </row>
    <row r="7281" spans="1:15" ht="15" customHeight="1" x14ac:dyDescent="0.25">
      <c r="A7281" s="2"/>
      <c r="B7281" s="2"/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</row>
    <row r="7282" spans="1:15" ht="15" customHeight="1" x14ac:dyDescent="0.25">
      <c r="A7282" s="3"/>
      <c r="B7282" s="3"/>
      <c r="C7282" s="3"/>
      <c r="D7282" s="3"/>
      <c r="E7282" s="3"/>
      <c r="F7282" s="3"/>
      <c r="G7282" s="3"/>
      <c r="H7282" s="3"/>
      <c r="I7282" s="3"/>
      <c r="J7282" s="3"/>
      <c r="K7282" s="3"/>
      <c r="L7282" s="3"/>
      <c r="M7282" s="3"/>
      <c r="N7282" s="3"/>
      <c r="O7282" s="3"/>
    </row>
    <row r="7283" spans="1:15" ht="15" customHeight="1" x14ac:dyDescent="0.25">
      <c r="A7283" s="2"/>
      <c r="B7283" s="2"/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</row>
    <row r="7284" spans="1:15" ht="15" customHeight="1" x14ac:dyDescent="0.25">
      <c r="A7284" s="3"/>
      <c r="B7284" s="3"/>
      <c r="C7284" s="3"/>
      <c r="D7284" s="3"/>
      <c r="E7284" s="3"/>
      <c r="F7284" s="3"/>
      <c r="G7284" s="3"/>
      <c r="H7284" s="3"/>
      <c r="I7284" s="3"/>
      <c r="J7284" s="3"/>
      <c r="K7284" s="3"/>
      <c r="L7284" s="3"/>
      <c r="M7284" s="3"/>
      <c r="N7284" s="3"/>
      <c r="O7284" s="3"/>
    </row>
    <row r="7285" spans="1:15" ht="15" customHeight="1" x14ac:dyDescent="0.25">
      <c r="A7285" s="2"/>
      <c r="B7285" s="2"/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</row>
    <row r="7286" spans="1:15" ht="15" customHeight="1" x14ac:dyDescent="0.25">
      <c r="A7286" s="3"/>
      <c r="B7286" s="3"/>
      <c r="C7286" s="3"/>
      <c r="D7286" s="3"/>
      <c r="E7286" s="3"/>
      <c r="F7286" s="3"/>
      <c r="G7286" s="3"/>
      <c r="H7286" s="3"/>
      <c r="I7286" s="3"/>
      <c r="J7286" s="3"/>
      <c r="K7286" s="3"/>
      <c r="L7286" s="3"/>
      <c r="M7286" s="3"/>
      <c r="N7286" s="3"/>
      <c r="O7286" s="3"/>
    </row>
    <row r="7287" spans="1:15" ht="15" customHeight="1" x14ac:dyDescent="0.25">
      <c r="A7287" s="2"/>
      <c r="B7287" s="2"/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</row>
    <row r="7288" spans="1:15" ht="15" customHeight="1" x14ac:dyDescent="0.25">
      <c r="A7288" s="3"/>
      <c r="B7288" s="3"/>
      <c r="C7288" s="3"/>
      <c r="D7288" s="3"/>
      <c r="E7288" s="3"/>
      <c r="F7288" s="3"/>
      <c r="G7288" s="3"/>
      <c r="H7288" s="3"/>
      <c r="I7288" s="3"/>
      <c r="J7288" s="3"/>
      <c r="K7288" s="3"/>
      <c r="L7288" s="3"/>
      <c r="M7288" s="3"/>
      <c r="N7288" s="3"/>
      <c r="O7288" s="3"/>
    </row>
    <row r="7289" spans="1:15" ht="15" customHeight="1" x14ac:dyDescent="0.25">
      <c r="A7289" s="2"/>
      <c r="B7289" s="2"/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</row>
    <row r="7290" spans="1:15" ht="15" customHeight="1" x14ac:dyDescent="0.25">
      <c r="A7290" s="3"/>
      <c r="B7290" s="3"/>
      <c r="C7290" s="3"/>
      <c r="D7290" s="3"/>
      <c r="E7290" s="3"/>
      <c r="F7290" s="3"/>
      <c r="G7290" s="3"/>
      <c r="H7290" s="3"/>
      <c r="I7290" s="3"/>
      <c r="J7290" s="3"/>
      <c r="K7290" s="3"/>
      <c r="L7290" s="3"/>
      <c r="M7290" s="3"/>
      <c r="N7290" s="3"/>
      <c r="O7290" s="3"/>
    </row>
    <row r="7291" spans="1:15" ht="15" customHeight="1" x14ac:dyDescent="0.25">
      <c r="A7291" s="2"/>
      <c r="B7291" s="2"/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</row>
    <row r="7292" spans="1:15" ht="15" customHeight="1" x14ac:dyDescent="0.25">
      <c r="A7292" s="3"/>
      <c r="B7292" s="3"/>
      <c r="C7292" s="3"/>
      <c r="D7292" s="3"/>
      <c r="E7292" s="3"/>
      <c r="F7292" s="3"/>
      <c r="G7292" s="3"/>
      <c r="H7292" s="3"/>
      <c r="I7292" s="3"/>
      <c r="J7292" s="3"/>
      <c r="K7292" s="3"/>
      <c r="L7292" s="3"/>
      <c r="M7292" s="3"/>
      <c r="N7292" s="3"/>
      <c r="O7292" s="3"/>
    </row>
    <row r="7293" spans="1:15" ht="15" customHeight="1" x14ac:dyDescent="0.25">
      <c r="A7293" s="2"/>
      <c r="B7293" s="2"/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</row>
    <row r="7294" spans="1:15" ht="15" customHeight="1" x14ac:dyDescent="0.25">
      <c r="A7294" s="3"/>
      <c r="B7294" s="3"/>
      <c r="C7294" s="3"/>
      <c r="D7294" s="3"/>
      <c r="E7294" s="3"/>
      <c r="F7294" s="3"/>
      <c r="G7294" s="3"/>
      <c r="H7294" s="3"/>
      <c r="I7294" s="3"/>
      <c r="J7294" s="3"/>
      <c r="K7294" s="3"/>
      <c r="L7294" s="3"/>
      <c r="M7294" s="3"/>
      <c r="N7294" s="3"/>
      <c r="O7294" s="3"/>
    </row>
    <row r="7295" spans="1:15" ht="15" customHeight="1" x14ac:dyDescent="0.25">
      <c r="A7295" s="2"/>
      <c r="B7295" s="2"/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</row>
    <row r="7296" spans="1:15" ht="15" customHeight="1" x14ac:dyDescent="0.25">
      <c r="A7296" s="3"/>
      <c r="B7296" s="3"/>
      <c r="C7296" s="3"/>
      <c r="D7296" s="3"/>
      <c r="E7296" s="3"/>
      <c r="F7296" s="3"/>
      <c r="G7296" s="3"/>
      <c r="H7296" s="3"/>
      <c r="I7296" s="3"/>
      <c r="J7296" s="3"/>
      <c r="K7296" s="3"/>
      <c r="L7296" s="3"/>
      <c r="M7296" s="3"/>
      <c r="N7296" s="3"/>
      <c r="O7296" s="3"/>
    </row>
    <row r="7297" spans="1:15" ht="15" customHeight="1" x14ac:dyDescent="0.25">
      <c r="A7297" s="2"/>
      <c r="B7297" s="2"/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</row>
    <row r="7298" spans="1:15" ht="15" customHeight="1" x14ac:dyDescent="0.25">
      <c r="A7298" s="3"/>
      <c r="B7298" s="3"/>
      <c r="C7298" s="3"/>
      <c r="D7298" s="3"/>
      <c r="E7298" s="3"/>
      <c r="F7298" s="3"/>
      <c r="G7298" s="3"/>
      <c r="H7298" s="3"/>
      <c r="I7298" s="3"/>
      <c r="J7298" s="3"/>
      <c r="K7298" s="3"/>
      <c r="L7298" s="3"/>
      <c r="M7298" s="3"/>
      <c r="N7298" s="3"/>
      <c r="O7298" s="3"/>
    </row>
    <row r="7299" spans="1:15" ht="15" customHeight="1" x14ac:dyDescent="0.25">
      <c r="A7299" s="2"/>
      <c r="B7299" s="2"/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</row>
    <row r="7300" spans="1:15" ht="15" customHeight="1" x14ac:dyDescent="0.25">
      <c r="A7300" s="3"/>
      <c r="B7300" s="3"/>
      <c r="C7300" s="3"/>
      <c r="D7300" s="3"/>
      <c r="E7300" s="3"/>
      <c r="F7300" s="3"/>
      <c r="G7300" s="3"/>
      <c r="H7300" s="3"/>
      <c r="I7300" s="3"/>
      <c r="J7300" s="3"/>
      <c r="K7300" s="3"/>
      <c r="L7300" s="3"/>
      <c r="M7300" s="3"/>
      <c r="N7300" s="3"/>
      <c r="O7300" s="3"/>
    </row>
    <row r="7301" spans="1:15" ht="15" customHeight="1" x14ac:dyDescent="0.25">
      <c r="A7301" s="2"/>
      <c r="B7301" s="2"/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</row>
    <row r="7302" spans="1:15" ht="15" customHeight="1" x14ac:dyDescent="0.25">
      <c r="A7302" s="3"/>
      <c r="B7302" s="3"/>
      <c r="C7302" s="3"/>
      <c r="D7302" s="3"/>
      <c r="E7302" s="3"/>
      <c r="F7302" s="3"/>
      <c r="G7302" s="3"/>
      <c r="H7302" s="3"/>
      <c r="I7302" s="3"/>
      <c r="J7302" s="3"/>
      <c r="K7302" s="3"/>
      <c r="L7302" s="3"/>
      <c r="M7302" s="3"/>
      <c r="N7302" s="3"/>
      <c r="O7302" s="3"/>
    </row>
    <row r="7303" spans="1:15" ht="15" customHeight="1" x14ac:dyDescent="0.25">
      <c r="A7303" s="2"/>
      <c r="B7303" s="2"/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</row>
    <row r="7304" spans="1:15" ht="15" customHeight="1" x14ac:dyDescent="0.25">
      <c r="A7304" s="3"/>
      <c r="B7304" s="3"/>
      <c r="C7304" s="3"/>
      <c r="D7304" s="3"/>
      <c r="E7304" s="3"/>
      <c r="F7304" s="3"/>
      <c r="G7304" s="3"/>
      <c r="H7304" s="3"/>
      <c r="I7304" s="3"/>
      <c r="J7304" s="3"/>
      <c r="K7304" s="3"/>
      <c r="L7304" s="3"/>
      <c r="M7304" s="3"/>
      <c r="N7304" s="3"/>
      <c r="O7304" s="3"/>
    </row>
    <row r="7305" spans="1:15" ht="15" customHeight="1" x14ac:dyDescent="0.25">
      <c r="A7305" s="2"/>
      <c r="B7305" s="2"/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</row>
    <row r="7306" spans="1:15" ht="15" customHeight="1" x14ac:dyDescent="0.25">
      <c r="A7306" s="3"/>
      <c r="B7306" s="3"/>
      <c r="C7306" s="3"/>
      <c r="D7306" s="3"/>
      <c r="E7306" s="3"/>
      <c r="F7306" s="3"/>
      <c r="G7306" s="3"/>
      <c r="H7306" s="3"/>
      <c r="I7306" s="3"/>
      <c r="J7306" s="3"/>
      <c r="K7306" s="3"/>
      <c r="L7306" s="3"/>
      <c r="M7306" s="3"/>
      <c r="N7306" s="3"/>
      <c r="O7306" s="3"/>
    </row>
    <row r="7307" spans="1:15" ht="15" customHeight="1" x14ac:dyDescent="0.25">
      <c r="A7307" s="2"/>
      <c r="B7307" s="2"/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</row>
    <row r="7308" spans="1:15" ht="15" customHeight="1" x14ac:dyDescent="0.25">
      <c r="A7308" s="3"/>
      <c r="B7308" s="3"/>
      <c r="C7308" s="3"/>
      <c r="D7308" s="3"/>
      <c r="E7308" s="3"/>
      <c r="F7308" s="3"/>
      <c r="G7308" s="3"/>
      <c r="H7308" s="3"/>
      <c r="I7308" s="3"/>
      <c r="J7308" s="3"/>
      <c r="K7308" s="3"/>
      <c r="L7308" s="3"/>
      <c r="M7308" s="3"/>
      <c r="N7308" s="3"/>
      <c r="O7308" s="3"/>
    </row>
    <row r="7309" spans="1:15" ht="15" customHeight="1" x14ac:dyDescent="0.25">
      <c r="A7309" s="2"/>
      <c r="B7309" s="2"/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</row>
    <row r="7310" spans="1:15" ht="15" customHeight="1" x14ac:dyDescent="0.25">
      <c r="A7310" s="3"/>
      <c r="B7310" s="3"/>
      <c r="C7310" s="3"/>
      <c r="D7310" s="3"/>
      <c r="E7310" s="3"/>
      <c r="F7310" s="3"/>
      <c r="G7310" s="3"/>
      <c r="H7310" s="3"/>
      <c r="I7310" s="3"/>
      <c r="J7310" s="3"/>
      <c r="K7310" s="3"/>
      <c r="L7310" s="3"/>
      <c r="M7310" s="3"/>
      <c r="N7310" s="3"/>
      <c r="O7310" s="3"/>
    </row>
    <row r="7311" spans="1:15" ht="15" customHeight="1" x14ac:dyDescent="0.25">
      <c r="A7311" s="2"/>
      <c r="B7311" s="2"/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</row>
    <row r="7312" spans="1:15" ht="15" customHeight="1" x14ac:dyDescent="0.25">
      <c r="A7312" s="3"/>
      <c r="B7312" s="3"/>
      <c r="C7312" s="3"/>
      <c r="D7312" s="3"/>
      <c r="E7312" s="3"/>
      <c r="F7312" s="3"/>
      <c r="G7312" s="3"/>
      <c r="H7312" s="3"/>
      <c r="I7312" s="3"/>
      <c r="J7312" s="3"/>
      <c r="K7312" s="3"/>
      <c r="L7312" s="3"/>
      <c r="M7312" s="3"/>
      <c r="N7312" s="3"/>
      <c r="O7312" s="3"/>
    </row>
    <row r="7313" spans="1:15" ht="15" customHeight="1" x14ac:dyDescent="0.25">
      <c r="A7313" s="2"/>
      <c r="B7313" s="2"/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</row>
    <row r="7314" spans="1:15" ht="15" customHeight="1" x14ac:dyDescent="0.25">
      <c r="A7314" s="3"/>
      <c r="B7314" s="3"/>
      <c r="C7314" s="3"/>
      <c r="D7314" s="3"/>
      <c r="E7314" s="3"/>
      <c r="F7314" s="3"/>
      <c r="G7314" s="3"/>
      <c r="H7314" s="3"/>
      <c r="I7314" s="3"/>
      <c r="J7314" s="3"/>
      <c r="K7314" s="3"/>
      <c r="L7314" s="3"/>
      <c r="M7314" s="3"/>
      <c r="N7314" s="3"/>
      <c r="O7314" s="3"/>
    </row>
    <row r="7315" spans="1:15" ht="15" customHeight="1" x14ac:dyDescent="0.25">
      <c r="A7315" s="2"/>
      <c r="B7315" s="2"/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</row>
    <row r="7316" spans="1:15" ht="15" customHeight="1" x14ac:dyDescent="0.25">
      <c r="A7316" s="3"/>
      <c r="B7316" s="3"/>
      <c r="C7316" s="3"/>
      <c r="D7316" s="3"/>
      <c r="E7316" s="3"/>
      <c r="F7316" s="3"/>
      <c r="G7316" s="3"/>
      <c r="H7316" s="3"/>
      <c r="I7316" s="3"/>
      <c r="J7316" s="3"/>
      <c r="K7316" s="3"/>
      <c r="L7316" s="3"/>
      <c r="M7316" s="3"/>
      <c r="N7316" s="3"/>
      <c r="O7316" s="3"/>
    </row>
    <row r="7317" spans="1:15" ht="15" customHeight="1" x14ac:dyDescent="0.25">
      <c r="A7317" s="2"/>
      <c r="B7317" s="2"/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</row>
    <row r="7318" spans="1:15" ht="15" customHeight="1" x14ac:dyDescent="0.25">
      <c r="A7318" s="3"/>
      <c r="B7318" s="3"/>
      <c r="C7318" s="3"/>
      <c r="D7318" s="3"/>
      <c r="E7318" s="3"/>
      <c r="F7318" s="3"/>
      <c r="G7318" s="3"/>
      <c r="H7318" s="3"/>
      <c r="I7318" s="3"/>
      <c r="J7318" s="3"/>
      <c r="K7318" s="3"/>
      <c r="L7318" s="3"/>
      <c r="M7318" s="3"/>
      <c r="N7318" s="3"/>
      <c r="O7318" s="3"/>
    </row>
    <row r="7319" spans="1:15" ht="15" customHeight="1" x14ac:dyDescent="0.25">
      <c r="A7319" s="2"/>
      <c r="B7319" s="2"/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</row>
    <row r="7320" spans="1:15" ht="15" customHeight="1" x14ac:dyDescent="0.25">
      <c r="A7320" s="3"/>
      <c r="B7320" s="3"/>
      <c r="C7320" s="3"/>
      <c r="D7320" s="3"/>
      <c r="E7320" s="3"/>
      <c r="F7320" s="3"/>
      <c r="G7320" s="3"/>
      <c r="H7320" s="3"/>
      <c r="I7320" s="3"/>
      <c r="J7320" s="3"/>
      <c r="K7320" s="3"/>
      <c r="L7320" s="3"/>
      <c r="M7320" s="3"/>
      <c r="N7320" s="3"/>
      <c r="O7320" s="3"/>
    </row>
    <row r="7321" spans="1:15" ht="15" customHeight="1" x14ac:dyDescent="0.25">
      <c r="A7321" s="2"/>
      <c r="B7321" s="2"/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</row>
    <row r="7322" spans="1:15" ht="15" customHeight="1" x14ac:dyDescent="0.25">
      <c r="A7322" s="3"/>
      <c r="B7322" s="3"/>
      <c r="C7322" s="3"/>
      <c r="D7322" s="3"/>
      <c r="E7322" s="3"/>
      <c r="F7322" s="3"/>
      <c r="G7322" s="3"/>
      <c r="H7322" s="3"/>
      <c r="I7322" s="3"/>
      <c r="J7322" s="3"/>
      <c r="K7322" s="3"/>
      <c r="L7322" s="3"/>
      <c r="M7322" s="3"/>
      <c r="N7322" s="3"/>
      <c r="O7322" s="3"/>
    </row>
    <row r="7323" spans="1:15" ht="15" customHeight="1" x14ac:dyDescent="0.25">
      <c r="A7323" s="2"/>
      <c r="B7323" s="2"/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</row>
    <row r="7324" spans="1:15" ht="15" customHeight="1" x14ac:dyDescent="0.25">
      <c r="A7324" s="3"/>
      <c r="B7324" s="3"/>
      <c r="C7324" s="3"/>
      <c r="D7324" s="3"/>
      <c r="E7324" s="3"/>
      <c r="F7324" s="3"/>
      <c r="G7324" s="3"/>
      <c r="H7324" s="3"/>
      <c r="I7324" s="3"/>
      <c r="J7324" s="3"/>
      <c r="K7324" s="3"/>
      <c r="L7324" s="3"/>
      <c r="M7324" s="3"/>
      <c r="N7324" s="3"/>
      <c r="O7324" s="3"/>
    </row>
    <row r="7325" spans="1:15" ht="15" customHeight="1" x14ac:dyDescent="0.25">
      <c r="A7325" s="2"/>
      <c r="B7325" s="2"/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</row>
    <row r="7326" spans="1:15" ht="15" customHeight="1" x14ac:dyDescent="0.25">
      <c r="A7326" s="3"/>
      <c r="B7326" s="3"/>
      <c r="C7326" s="3"/>
      <c r="D7326" s="3"/>
      <c r="E7326" s="3"/>
      <c r="F7326" s="3"/>
      <c r="G7326" s="3"/>
      <c r="H7326" s="3"/>
      <c r="I7326" s="3"/>
      <c r="J7326" s="3"/>
      <c r="K7326" s="3"/>
      <c r="L7326" s="3"/>
      <c r="M7326" s="3"/>
      <c r="N7326" s="3"/>
      <c r="O7326" s="3"/>
    </row>
    <row r="7327" spans="1:15" ht="15" customHeight="1" x14ac:dyDescent="0.25">
      <c r="A7327" s="2"/>
      <c r="B7327" s="2"/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</row>
    <row r="7328" spans="1:15" ht="15" customHeight="1" x14ac:dyDescent="0.25">
      <c r="A7328" s="3"/>
      <c r="B7328" s="3"/>
      <c r="C7328" s="3"/>
      <c r="D7328" s="3"/>
      <c r="E7328" s="3"/>
      <c r="F7328" s="3"/>
      <c r="G7328" s="3"/>
      <c r="H7328" s="3"/>
      <c r="I7328" s="3"/>
      <c r="J7328" s="3"/>
      <c r="K7328" s="3"/>
      <c r="L7328" s="3"/>
      <c r="M7328" s="3"/>
      <c r="N7328" s="3"/>
      <c r="O7328" s="3"/>
    </row>
    <row r="7329" spans="1:15" ht="15" customHeight="1" x14ac:dyDescent="0.25">
      <c r="A7329" s="2"/>
      <c r="B7329" s="2"/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</row>
    <row r="7330" spans="1:15" ht="15" customHeight="1" x14ac:dyDescent="0.25">
      <c r="A7330" s="3"/>
      <c r="B7330" s="3"/>
      <c r="C7330" s="3"/>
      <c r="D7330" s="3"/>
      <c r="E7330" s="3"/>
      <c r="F7330" s="3"/>
      <c r="G7330" s="3"/>
      <c r="H7330" s="3"/>
      <c r="I7330" s="3"/>
      <c r="J7330" s="3"/>
      <c r="K7330" s="3"/>
      <c r="L7330" s="3"/>
      <c r="M7330" s="3"/>
      <c r="N7330" s="3"/>
      <c r="O7330" s="3"/>
    </row>
    <row r="7331" spans="1:15" ht="15" customHeight="1" x14ac:dyDescent="0.25">
      <c r="A7331" s="2"/>
      <c r="B7331" s="2"/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</row>
    <row r="7332" spans="1:15" ht="15" customHeight="1" x14ac:dyDescent="0.25">
      <c r="A7332" s="3"/>
      <c r="B7332" s="3"/>
      <c r="C7332" s="3"/>
      <c r="D7332" s="3"/>
      <c r="E7332" s="3"/>
      <c r="F7332" s="3"/>
      <c r="G7332" s="3"/>
      <c r="H7332" s="3"/>
      <c r="I7332" s="3"/>
      <c r="J7332" s="3"/>
      <c r="K7332" s="3"/>
      <c r="L7332" s="3"/>
      <c r="M7332" s="3"/>
      <c r="N7332" s="3"/>
      <c r="O7332" s="3"/>
    </row>
    <row r="7333" spans="1:15" ht="15" customHeight="1" x14ac:dyDescent="0.25">
      <c r="A7333" s="2"/>
      <c r="B7333" s="2"/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</row>
    <row r="7334" spans="1:15" ht="15" customHeight="1" x14ac:dyDescent="0.25">
      <c r="A7334" s="3"/>
      <c r="B7334" s="3"/>
      <c r="C7334" s="3"/>
      <c r="D7334" s="3"/>
      <c r="E7334" s="3"/>
      <c r="F7334" s="3"/>
      <c r="G7334" s="3"/>
      <c r="H7334" s="3"/>
      <c r="I7334" s="3"/>
      <c r="J7334" s="3"/>
      <c r="K7334" s="3"/>
      <c r="L7334" s="3"/>
      <c r="M7334" s="3"/>
      <c r="N7334" s="3"/>
      <c r="O7334" s="3"/>
    </row>
    <row r="7335" spans="1:15" ht="15" customHeight="1" x14ac:dyDescent="0.25">
      <c r="A7335" s="2"/>
      <c r="B7335" s="2"/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</row>
    <row r="7336" spans="1:15" ht="15" customHeight="1" x14ac:dyDescent="0.25">
      <c r="A7336" s="3"/>
      <c r="B7336" s="3"/>
      <c r="C7336" s="3"/>
      <c r="D7336" s="3"/>
      <c r="E7336" s="3"/>
      <c r="F7336" s="3"/>
      <c r="G7336" s="3"/>
      <c r="H7336" s="3"/>
      <c r="I7336" s="3"/>
      <c r="J7336" s="3"/>
      <c r="K7336" s="3"/>
      <c r="L7336" s="3"/>
      <c r="M7336" s="3"/>
      <c r="N7336" s="3"/>
      <c r="O7336" s="3"/>
    </row>
    <row r="7337" spans="1:15" ht="15" customHeight="1" x14ac:dyDescent="0.25">
      <c r="A7337" s="2"/>
      <c r="B7337" s="2"/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</row>
    <row r="7338" spans="1:15" ht="15" customHeight="1" x14ac:dyDescent="0.25">
      <c r="A7338" s="3"/>
      <c r="B7338" s="3"/>
      <c r="C7338" s="3"/>
      <c r="D7338" s="3"/>
      <c r="E7338" s="3"/>
      <c r="F7338" s="3"/>
      <c r="G7338" s="3"/>
      <c r="H7338" s="3"/>
      <c r="I7338" s="3"/>
      <c r="J7338" s="3"/>
      <c r="K7338" s="3"/>
      <c r="L7338" s="3"/>
      <c r="M7338" s="3"/>
      <c r="N7338" s="3"/>
      <c r="O7338" s="3"/>
    </row>
    <row r="7339" spans="1:15" ht="15" customHeight="1" x14ac:dyDescent="0.25">
      <c r="A7339" s="2"/>
      <c r="B7339" s="2"/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</row>
    <row r="7340" spans="1:15" ht="15" customHeight="1" x14ac:dyDescent="0.25">
      <c r="A7340" s="3"/>
      <c r="B7340" s="3"/>
      <c r="C7340" s="3"/>
      <c r="D7340" s="3"/>
      <c r="E7340" s="3"/>
      <c r="F7340" s="3"/>
      <c r="G7340" s="3"/>
      <c r="H7340" s="3"/>
      <c r="I7340" s="3"/>
      <c r="J7340" s="3"/>
      <c r="K7340" s="3"/>
      <c r="L7340" s="3"/>
      <c r="M7340" s="3"/>
      <c r="N7340" s="3"/>
      <c r="O7340" s="3"/>
    </row>
    <row r="7341" spans="1:15" ht="15" customHeight="1" x14ac:dyDescent="0.25">
      <c r="A7341" s="2"/>
      <c r="B7341" s="2"/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</row>
    <row r="7342" spans="1:15" ht="15" customHeight="1" x14ac:dyDescent="0.25">
      <c r="A7342" s="3"/>
      <c r="B7342" s="3"/>
      <c r="C7342" s="3"/>
      <c r="D7342" s="3"/>
      <c r="E7342" s="3"/>
      <c r="F7342" s="3"/>
      <c r="G7342" s="3"/>
      <c r="H7342" s="3"/>
      <c r="I7342" s="3"/>
      <c r="J7342" s="3"/>
      <c r="K7342" s="3"/>
      <c r="L7342" s="3"/>
      <c r="M7342" s="3"/>
      <c r="N7342" s="3"/>
      <c r="O7342" s="3"/>
    </row>
    <row r="7343" spans="1:15" ht="15" customHeight="1" x14ac:dyDescent="0.25">
      <c r="A7343" s="2"/>
      <c r="B7343" s="2"/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</row>
    <row r="7344" spans="1:15" ht="15" customHeight="1" x14ac:dyDescent="0.25">
      <c r="A7344" s="3"/>
      <c r="B7344" s="3"/>
      <c r="C7344" s="3"/>
      <c r="D7344" s="3"/>
      <c r="E7344" s="3"/>
      <c r="F7344" s="3"/>
      <c r="G7344" s="3"/>
      <c r="H7344" s="3"/>
      <c r="I7344" s="3"/>
      <c r="J7344" s="3"/>
      <c r="K7344" s="3"/>
      <c r="L7344" s="3"/>
      <c r="M7344" s="3"/>
      <c r="N7344" s="3"/>
      <c r="O7344" s="3"/>
    </row>
    <row r="7345" spans="1:15" ht="15" customHeight="1" x14ac:dyDescent="0.25">
      <c r="A7345" s="2"/>
      <c r="B7345" s="2"/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</row>
    <row r="7346" spans="1:15" ht="15" customHeight="1" x14ac:dyDescent="0.25">
      <c r="A7346" s="3"/>
      <c r="B7346" s="3"/>
      <c r="C7346" s="3"/>
      <c r="D7346" s="3"/>
      <c r="E7346" s="3"/>
      <c r="F7346" s="3"/>
      <c r="G7346" s="3"/>
      <c r="H7346" s="3"/>
      <c r="I7346" s="3"/>
      <c r="J7346" s="3"/>
      <c r="K7346" s="3"/>
      <c r="L7346" s="3"/>
      <c r="M7346" s="3"/>
      <c r="N7346" s="3"/>
      <c r="O7346" s="3"/>
    </row>
    <row r="7347" spans="1:15" ht="15" customHeight="1" x14ac:dyDescent="0.25">
      <c r="A7347" s="2"/>
      <c r="B7347" s="2"/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</row>
    <row r="7348" spans="1:15" ht="15" customHeight="1" x14ac:dyDescent="0.25">
      <c r="A7348" s="3"/>
      <c r="B7348" s="3"/>
      <c r="C7348" s="3"/>
      <c r="D7348" s="3"/>
      <c r="E7348" s="3"/>
      <c r="F7348" s="3"/>
      <c r="G7348" s="3"/>
      <c r="H7348" s="3"/>
      <c r="I7348" s="3"/>
      <c r="J7348" s="3"/>
      <c r="K7348" s="3"/>
      <c r="L7348" s="3"/>
      <c r="M7348" s="3"/>
      <c r="N7348" s="3"/>
      <c r="O7348" s="3"/>
    </row>
    <row r="7349" spans="1:15" ht="15" customHeight="1" x14ac:dyDescent="0.25">
      <c r="A7349" s="2"/>
      <c r="B7349" s="2"/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</row>
    <row r="7350" spans="1:15" ht="15" customHeight="1" x14ac:dyDescent="0.25">
      <c r="A7350" s="3"/>
      <c r="B7350" s="3"/>
      <c r="C7350" s="3"/>
      <c r="D7350" s="3"/>
      <c r="E7350" s="3"/>
      <c r="F7350" s="3"/>
      <c r="G7350" s="3"/>
      <c r="H7350" s="3"/>
      <c r="I7350" s="3"/>
      <c r="J7350" s="3"/>
      <c r="K7350" s="3"/>
      <c r="L7350" s="3"/>
      <c r="M7350" s="3"/>
      <c r="N7350" s="3"/>
      <c r="O7350" s="3"/>
    </row>
    <row r="7351" spans="1:15" ht="15" customHeight="1" x14ac:dyDescent="0.25">
      <c r="A7351" s="2"/>
      <c r="B7351" s="2"/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</row>
    <row r="7352" spans="1:15" ht="15" customHeight="1" x14ac:dyDescent="0.25">
      <c r="A7352" s="3"/>
      <c r="B7352" s="3"/>
      <c r="C7352" s="3"/>
      <c r="D7352" s="3"/>
      <c r="E7352" s="3"/>
      <c r="F7352" s="3"/>
      <c r="G7352" s="3"/>
      <c r="H7352" s="3"/>
      <c r="I7352" s="3"/>
      <c r="J7352" s="3"/>
      <c r="K7352" s="3"/>
      <c r="L7352" s="3"/>
      <c r="M7352" s="3"/>
      <c r="N7352" s="3"/>
      <c r="O7352" s="3"/>
    </row>
    <row r="7353" spans="1:15" ht="15" customHeight="1" x14ac:dyDescent="0.25">
      <c r="A7353" s="2"/>
      <c r="B7353" s="2"/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</row>
    <row r="7354" spans="1:15" ht="15" customHeight="1" x14ac:dyDescent="0.25">
      <c r="A7354" s="3"/>
      <c r="B7354" s="3"/>
      <c r="C7354" s="3"/>
      <c r="D7354" s="3"/>
      <c r="E7354" s="3"/>
      <c r="F7354" s="3"/>
      <c r="G7354" s="3"/>
      <c r="H7354" s="3"/>
      <c r="I7354" s="3"/>
      <c r="J7354" s="3"/>
      <c r="K7354" s="3"/>
      <c r="L7354" s="3"/>
      <c r="M7354" s="3"/>
      <c r="N7354" s="3"/>
      <c r="O7354" s="3"/>
    </row>
    <row r="7355" spans="1:15" ht="15" customHeight="1" x14ac:dyDescent="0.25">
      <c r="A7355" s="2"/>
      <c r="B7355" s="2"/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</row>
    <row r="7356" spans="1:15" ht="15" customHeight="1" x14ac:dyDescent="0.25">
      <c r="A7356" s="3"/>
      <c r="B7356" s="3"/>
      <c r="C7356" s="3"/>
      <c r="D7356" s="3"/>
      <c r="E7356" s="3"/>
      <c r="F7356" s="3"/>
      <c r="G7356" s="3"/>
      <c r="H7356" s="3"/>
      <c r="I7356" s="3"/>
      <c r="J7356" s="3"/>
      <c r="K7356" s="3"/>
      <c r="L7356" s="3"/>
      <c r="M7356" s="3"/>
      <c r="N7356" s="3"/>
      <c r="O7356" s="3"/>
    </row>
    <row r="7357" spans="1:15" ht="15" customHeight="1" x14ac:dyDescent="0.25">
      <c r="A7357" s="2"/>
      <c r="B7357" s="2"/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</row>
    <row r="7358" spans="1:15" ht="15" customHeight="1" x14ac:dyDescent="0.25">
      <c r="A7358" s="3"/>
      <c r="B7358" s="3"/>
      <c r="C7358" s="3"/>
      <c r="D7358" s="3"/>
      <c r="E7358" s="3"/>
      <c r="F7358" s="3"/>
      <c r="G7358" s="3"/>
      <c r="H7358" s="3"/>
      <c r="I7358" s="3"/>
      <c r="J7358" s="3"/>
      <c r="K7358" s="3"/>
      <c r="L7358" s="3"/>
      <c r="M7358" s="3"/>
      <c r="N7358" s="3"/>
      <c r="O7358" s="3"/>
    </row>
    <row r="7359" spans="1:15" ht="15" customHeight="1" x14ac:dyDescent="0.25">
      <c r="A7359" s="2"/>
      <c r="B7359" s="2"/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</row>
    <row r="7360" spans="1:15" ht="15" customHeight="1" x14ac:dyDescent="0.25">
      <c r="A7360" s="3"/>
      <c r="B7360" s="3"/>
      <c r="C7360" s="3"/>
      <c r="D7360" s="3"/>
      <c r="E7360" s="3"/>
      <c r="F7360" s="3"/>
      <c r="G7360" s="3"/>
      <c r="H7360" s="3"/>
      <c r="I7360" s="3"/>
      <c r="J7360" s="3"/>
      <c r="K7360" s="3"/>
      <c r="L7360" s="3"/>
      <c r="M7360" s="3"/>
      <c r="N7360" s="3"/>
      <c r="O7360" s="3"/>
    </row>
    <row r="7361" spans="1:15" ht="15" customHeight="1" x14ac:dyDescent="0.25">
      <c r="A7361" s="2"/>
      <c r="B7361" s="2"/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</row>
    <row r="7362" spans="1:15" ht="15" customHeight="1" x14ac:dyDescent="0.25">
      <c r="A7362" s="3"/>
      <c r="B7362" s="3"/>
      <c r="C7362" s="3"/>
      <c r="D7362" s="3"/>
      <c r="E7362" s="3"/>
      <c r="F7362" s="3"/>
      <c r="G7362" s="3"/>
      <c r="H7362" s="3"/>
      <c r="I7362" s="3"/>
      <c r="J7362" s="3"/>
      <c r="K7362" s="3"/>
      <c r="L7362" s="3"/>
      <c r="M7362" s="3"/>
      <c r="N7362" s="3"/>
      <c r="O7362" s="3"/>
    </row>
    <row r="7363" spans="1:15" ht="15" customHeight="1" x14ac:dyDescent="0.25">
      <c r="A7363" s="2"/>
      <c r="B7363" s="2"/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</row>
    <row r="7364" spans="1:15" ht="15" customHeight="1" x14ac:dyDescent="0.25">
      <c r="A7364" s="3"/>
      <c r="B7364" s="3"/>
      <c r="C7364" s="3"/>
      <c r="D7364" s="3"/>
      <c r="E7364" s="3"/>
      <c r="F7364" s="3"/>
      <c r="G7364" s="3"/>
      <c r="H7364" s="3"/>
      <c r="I7364" s="3"/>
      <c r="J7364" s="3"/>
      <c r="K7364" s="3"/>
      <c r="L7364" s="3"/>
      <c r="M7364" s="3"/>
      <c r="N7364" s="3"/>
      <c r="O7364" s="3"/>
    </row>
    <row r="7365" spans="1:15" ht="15" customHeight="1" x14ac:dyDescent="0.25">
      <c r="A7365" s="2"/>
      <c r="B7365" s="2"/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</row>
    <row r="7366" spans="1:15" ht="15" customHeight="1" x14ac:dyDescent="0.25">
      <c r="A7366" s="3"/>
      <c r="B7366" s="3"/>
      <c r="C7366" s="3"/>
      <c r="D7366" s="3"/>
      <c r="E7366" s="3"/>
      <c r="F7366" s="3"/>
      <c r="G7366" s="3"/>
      <c r="H7366" s="3"/>
      <c r="I7366" s="3"/>
      <c r="J7366" s="3"/>
      <c r="K7366" s="3"/>
      <c r="L7366" s="3"/>
      <c r="M7366" s="3"/>
      <c r="N7366" s="3"/>
      <c r="O7366" s="3"/>
    </row>
    <row r="7367" spans="1:15" ht="15" customHeight="1" x14ac:dyDescent="0.25">
      <c r="A7367" s="2"/>
      <c r="B7367" s="2"/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</row>
    <row r="7368" spans="1:15" ht="15" customHeight="1" x14ac:dyDescent="0.25">
      <c r="A7368" s="3"/>
      <c r="B7368" s="3"/>
      <c r="C7368" s="3"/>
      <c r="D7368" s="3"/>
      <c r="E7368" s="3"/>
      <c r="F7368" s="3"/>
      <c r="G7368" s="3"/>
      <c r="H7368" s="3"/>
      <c r="I7368" s="3"/>
      <c r="J7368" s="3"/>
      <c r="K7368" s="3"/>
      <c r="L7368" s="3"/>
      <c r="M7368" s="3"/>
      <c r="N7368" s="3"/>
      <c r="O7368" s="3"/>
    </row>
    <row r="7369" spans="1:15" ht="15" customHeight="1" x14ac:dyDescent="0.25">
      <c r="A7369" s="2"/>
      <c r="B7369" s="2"/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</row>
    <row r="7370" spans="1:15" ht="15" customHeight="1" x14ac:dyDescent="0.25">
      <c r="A7370" s="3"/>
      <c r="B7370" s="3"/>
      <c r="C7370" s="3"/>
      <c r="D7370" s="3"/>
      <c r="E7370" s="3"/>
      <c r="F7370" s="3"/>
      <c r="G7370" s="3"/>
      <c r="H7370" s="3"/>
      <c r="I7370" s="3"/>
      <c r="J7370" s="3"/>
      <c r="K7370" s="3"/>
      <c r="L7370" s="3"/>
      <c r="M7370" s="3"/>
      <c r="N7370" s="3"/>
      <c r="O7370" s="3"/>
    </row>
    <row r="7371" spans="1:15" ht="15" customHeight="1" x14ac:dyDescent="0.25">
      <c r="A7371" s="2"/>
      <c r="B7371" s="2"/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</row>
    <row r="7372" spans="1:15" ht="15" customHeight="1" x14ac:dyDescent="0.25">
      <c r="A7372" s="3"/>
      <c r="B7372" s="3"/>
      <c r="C7372" s="3"/>
      <c r="D7372" s="3"/>
      <c r="E7372" s="3"/>
      <c r="F7372" s="3"/>
      <c r="G7372" s="3"/>
      <c r="H7372" s="3"/>
      <c r="I7372" s="3"/>
      <c r="J7372" s="3"/>
      <c r="K7372" s="3"/>
      <c r="L7372" s="3"/>
      <c r="M7372" s="3"/>
      <c r="N7372" s="3"/>
      <c r="O7372" s="3"/>
    </row>
    <row r="7373" spans="1:15" ht="15" customHeight="1" x14ac:dyDescent="0.25">
      <c r="A7373" s="2"/>
      <c r="B7373" s="2"/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</row>
    <row r="7374" spans="1:15" ht="15" customHeight="1" x14ac:dyDescent="0.25">
      <c r="A7374" s="3"/>
      <c r="B7374" s="3"/>
      <c r="C7374" s="3"/>
      <c r="D7374" s="3"/>
      <c r="E7374" s="3"/>
      <c r="F7374" s="3"/>
      <c r="G7374" s="3"/>
      <c r="H7374" s="3"/>
      <c r="I7374" s="3"/>
      <c r="J7374" s="3"/>
      <c r="K7374" s="3"/>
      <c r="L7374" s="3"/>
      <c r="M7374" s="3"/>
      <c r="N7374" s="3"/>
      <c r="O7374" s="3"/>
    </row>
    <row r="7375" spans="1:15" ht="15" customHeight="1" x14ac:dyDescent="0.25">
      <c r="A7375" s="2"/>
      <c r="B7375" s="2"/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</row>
    <row r="7376" spans="1:15" ht="15" customHeight="1" x14ac:dyDescent="0.25">
      <c r="A7376" s="3"/>
      <c r="B7376" s="3"/>
      <c r="C7376" s="3"/>
      <c r="D7376" s="3"/>
      <c r="E7376" s="3"/>
      <c r="F7376" s="3"/>
      <c r="G7376" s="3"/>
      <c r="H7376" s="3"/>
      <c r="I7376" s="3"/>
      <c r="J7376" s="3"/>
      <c r="K7376" s="3"/>
      <c r="L7376" s="3"/>
      <c r="M7376" s="3"/>
      <c r="N7376" s="3"/>
      <c r="O7376" s="3"/>
    </row>
    <row r="7377" spans="1:15" ht="15" customHeight="1" x14ac:dyDescent="0.25">
      <c r="A7377" s="2"/>
      <c r="B7377" s="2"/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</row>
    <row r="7378" spans="1:15" ht="15" customHeight="1" x14ac:dyDescent="0.25">
      <c r="A7378" s="3"/>
      <c r="B7378" s="3"/>
      <c r="C7378" s="3"/>
      <c r="D7378" s="3"/>
      <c r="E7378" s="3"/>
      <c r="F7378" s="3"/>
      <c r="G7378" s="3"/>
      <c r="H7378" s="3"/>
      <c r="I7378" s="3"/>
      <c r="J7378" s="3"/>
      <c r="K7378" s="3"/>
      <c r="L7378" s="3"/>
      <c r="M7378" s="3"/>
      <c r="N7378" s="3"/>
      <c r="O7378" s="3"/>
    </row>
    <row r="7379" spans="1:15" ht="15" customHeight="1" x14ac:dyDescent="0.25">
      <c r="A7379" s="2"/>
      <c r="B7379" s="2"/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</row>
    <row r="7380" spans="1:15" ht="15" customHeight="1" x14ac:dyDescent="0.25">
      <c r="A7380" s="3"/>
      <c r="B7380" s="3"/>
      <c r="C7380" s="3"/>
      <c r="D7380" s="3"/>
      <c r="E7380" s="3"/>
      <c r="F7380" s="3"/>
      <c r="G7380" s="3"/>
      <c r="H7380" s="3"/>
      <c r="I7380" s="3"/>
      <c r="J7380" s="3"/>
      <c r="K7380" s="3"/>
      <c r="L7380" s="3"/>
      <c r="M7380" s="3"/>
      <c r="N7380" s="3"/>
      <c r="O7380" s="3"/>
    </row>
    <row r="7381" spans="1:15" ht="15" customHeight="1" x14ac:dyDescent="0.25">
      <c r="A7381" s="2"/>
      <c r="B7381" s="2"/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</row>
    <row r="7382" spans="1:15" ht="15" customHeight="1" x14ac:dyDescent="0.25">
      <c r="A7382" s="3"/>
      <c r="B7382" s="3"/>
      <c r="C7382" s="3"/>
      <c r="D7382" s="3"/>
      <c r="E7382" s="3"/>
      <c r="F7382" s="3"/>
      <c r="G7382" s="3"/>
      <c r="H7382" s="3"/>
      <c r="I7382" s="3"/>
      <c r="J7382" s="3"/>
      <c r="K7382" s="3"/>
      <c r="L7382" s="3"/>
      <c r="M7382" s="3"/>
      <c r="N7382" s="3"/>
      <c r="O7382" s="3"/>
    </row>
    <row r="7383" spans="1:15" ht="15" customHeight="1" x14ac:dyDescent="0.25">
      <c r="A7383" s="2"/>
      <c r="B7383" s="2"/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</row>
    <row r="7384" spans="1:15" ht="15" customHeight="1" x14ac:dyDescent="0.25">
      <c r="A7384" s="3"/>
      <c r="B7384" s="3"/>
      <c r="C7384" s="3"/>
      <c r="D7384" s="3"/>
      <c r="E7384" s="3"/>
      <c r="F7384" s="3"/>
      <c r="G7384" s="3"/>
      <c r="H7384" s="3"/>
      <c r="I7384" s="3"/>
      <c r="J7384" s="3"/>
      <c r="K7384" s="3"/>
      <c r="L7384" s="3"/>
      <c r="M7384" s="3"/>
      <c r="N7384" s="3"/>
      <c r="O7384" s="3"/>
    </row>
    <row r="7385" spans="1:15" ht="15" customHeight="1" x14ac:dyDescent="0.25">
      <c r="A7385" s="2"/>
      <c r="B7385" s="2"/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</row>
    <row r="7386" spans="1:15" ht="15" customHeight="1" x14ac:dyDescent="0.25">
      <c r="A7386" s="3"/>
      <c r="B7386" s="3"/>
      <c r="C7386" s="3"/>
      <c r="D7386" s="3"/>
      <c r="E7386" s="3"/>
      <c r="F7386" s="3"/>
      <c r="G7386" s="3"/>
      <c r="H7386" s="3"/>
      <c r="I7386" s="3"/>
      <c r="J7386" s="3"/>
      <c r="K7386" s="3"/>
      <c r="L7386" s="3"/>
      <c r="M7386" s="3"/>
      <c r="N7386" s="3"/>
      <c r="O7386" s="3"/>
    </row>
    <row r="7387" spans="1:15" ht="15" customHeight="1" x14ac:dyDescent="0.25">
      <c r="A7387" s="2"/>
      <c r="B7387" s="2"/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</row>
    <row r="7388" spans="1:15" ht="15" customHeight="1" x14ac:dyDescent="0.25">
      <c r="A7388" s="3"/>
      <c r="B7388" s="3"/>
      <c r="C7388" s="3"/>
      <c r="D7388" s="3"/>
      <c r="E7388" s="3"/>
      <c r="F7388" s="3"/>
      <c r="G7388" s="3"/>
      <c r="H7388" s="3"/>
      <c r="I7388" s="3"/>
      <c r="J7388" s="3"/>
      <c r="K7388" s="3"/>
      <c r="L7388" s="3"/>
      <c r="M7388" s="3"/>
      <c r="N7388" s="3"/>
      <c r="O7388" s="3"/>
    </row>
    <row r="7389" spans="1:15" ht="15" customHeight="1" x14ac:dyDescent="0.25">
      <c r="A7389" s="2"/>
      <c r="B7389" s="2"/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</row>
    <row r="7390" spans="1:15" ht="15" customHeight="1" x14ac:dyDescent="0.25">
      <c r="A7390" s="3"/>
      <c r="B7390" s="3"/>
      <c r="C7390" s="3"/>
      <c r="D7390" s="3"/>
      <c r="E7390" s="3"/>
      <c r="F7390" s="3"/>
      <c r="G7390" s="3"/>
      <c r="H7390" s="3"/>
      <c r="I7390" s="3"/>
      <c r="J7390" s="3"/>
      <c r="K7390" s="3"/>
      <c r="L7390" s="3"/>
      <c r="M7390" s="3"/>
      <c r="N7390" s="3"/>
      <c r="O7390" s="3"/>
    </row>
    <row r="7391" spans="1:15" ht="15" customHeight="1" x14ac:dyDescent="0.25">
      <c r="A7391" s="2"/>
      <c r="B7391" s="2"/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</row>
    <row r="7392" spans="1:15" ht="15" customHeight="1" x14ac:dyDescent="0.25">
      <c r="A7392" s="3"/>
      <c r="B7392" s="3"/>
      <c r="C7392" s="3"/>
      <c r="D7392" s="3"/>
      <c r="E7392" s="3"/>
      <c r="F7392" s="3"/>
      <c r="G7392" s="3"/>
      <c r="H7392" s="3"/>
      <c r="I7392" s="3"/>
      <c r="J7392" s="3"/>
      <c r="K7392" s="3"/>
      <c r="L7392" s="3"/>
      <c r="M7392" s="3"/>
      <c r="N7392" s="3"/>
      <c r="O7392" s="3"/>
    </row>
    <row r="7393" spans="1:15" ht="15" customHeight="1" x14ac:dyDescent="0.25">
      <c r="A7393" s="2"/>
      <c r="B7393" s="2"/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</row>
    <row r="7394" spans="1:15" ht="15" customHeight="1" x14ac:dyDescent="0.25">
      <c r="A7394" s="3"/>
      <c r="B7394" s="3"/>
      <c r="C7394" s="3"/>
      <c r="D7394" s="3"/>
      <c r="E7394" s="3"/>
      <c r="F7394" s="3"/>
      <c r="G7394" s="3"/>
      <c r="H7394" s="3"/>
      <c r="I7394" s="3"/>
      <c r="J7394" s="3"/>
      <c r="K7394" s="3"/>
      <c r="L7394" s="3"/>
      <c r="M7394" s="3"/>
      <c r="N7394" s="3"/>
      <c r="O7394" s="3"/>
    </row>
    <row r="7395" spans="1:15" ht="15" customHeight="1" x14ac:dyDescent="0.25">
      <c r="A7395" s="2"/>
      <c r="B7395" s="2"/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</row>
    <row r="7396" spans="1:15" ht="15" customHeight="1" x14ac:dyDescent="0.25">
      <c r="A7396" s="3"/>
      <c r="B7396" s="3"/>
      <c r="C7396" s="3"/>
      <c r="D7396" s="3"/>
      <c r="E7396" s="3"/>
      <c r="F7396" s="3"/>
      <c r="G7396" s="3"/>
      <c r="H7396" s="3"/>
      <c r="I7396" s="3"/>
      <c r="J7396" s="3"/>
      <c r="K7396" s="3"/>
      <c r="L7396" s="3"/>
      <c r="M7396" s="3"/>
      <c r="N7396" s="3"/>
      <c r="O7396" s="3"/>
    </row>
    <row r="7397" spans="1:15" ht="15" customHeight="1" x14ac:dyDescent="0.25">
      <c r="A7397" s="2"/>
      <c r="B7397" s="2"/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</row>
    <row r="7398" spans="1:15" ht="15" customHeight="1" x14ac:dyDescent="0.25">
      <c r="A7398" s="3"/>
      <c r="B7398" s="3"/>
      <c r="C7398" s="3"/>
      <c r="D7398" s="3"/>
      <c r="E7398" s="3"/>
      <c r="F7398" s="3"/>
      <c r="G7398" s="3"/>
      <c r="H7398" s="3"/>
      <c r="I7398" s="3"/>
      <c r="J7398" s="3"/>
      <c r="K7398" s="3"/>
      <c r="L7398" s="3"/>
      <c r="M7398" s="3"/>
      <c r="N7398" s="3"/>
      <c r="O7398" s="3"/>
    </row>
    <row r="7399" spans="1:15" ht="15" customHeight="1" x14ac:dyDescent="0.25">
      <c r="A7399" s="2"/>
      <c r="B7399" s="2"/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</row>
    <row r="7400" spans="1:15" ht="15" customHeight="1" x14ac:dyDescent="0.25">
      <c r="A7400" s="3"/>
      <c r="B7400" s="3"/>
      <c r="C7400" s="3"/>
      <c r="D7400" s="3"/>
      <c r="E7400" s="3"/>
      <c r="F7400" s="3"/>
      <c r="G7400" s="3"/>
      <c r="H7400" s="3"/>
      <c r="I7400" s="3"/>
      <c r="J7400" s="3"/>
      <c r="K7400" s="3"/>
      <c r="L7400" s="3"/>
      <c r="M7400" s="3"/>
      <c r="N7400" s="3"/>
      <c r="O7400" s="3"/>
    </row>
    <row r="7401" spans="1:15" ht="15" customHeight="1" x14ac:dyDescent="0.25">
      <c r="A7401" s="2"/>
      <c r="B7401" s="2"/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</row>
    <row r="7402" spans="1:15" ht="15" customHeight="1" x14ac:dyDescent="0.25">
      <c r="A7402" s="3"/>
      <c r="B7402" s="3"/>
      <c r="C7402" s="3"/>
      <c r="D7402" s="3"/>
      <c r="E7402" s="3"/>
      <c r="F7402" s="3"/>
      <c r="G7402" s="3"/>
      <c r="H7402" s="3"/>
      <c r="I7402" s="3"/>
      <c r="J7402" s="3"/>
      <c r="K7402" s="3"/>
      <c r="L7402" s="3"/>
      <c r="M7402" s="3"/>
      <c r="N7402" s="3"/>
      <c r="O7402" s="3"/>
    </row>
    <row r="7403" spans="1:15" ht="15" customHeight="1" x14ac:dyDescent="0.25">
      <c r="A7403" s="2"/>
      <c r="B7403" s="2"/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</row>
    <row r="7404" spans="1:15" ht="15" customHeight="1" x14ac:dyDescent="0.25">
      <c r="A7404" s="3"/>
      <c r="B7404" s="3"/>
      <c r="C7404" s="3"/>
      <c r="D7404" s="3"/>
      <c r="E7404" s="3"/>
      <c r="F7404" s="3"/>
      <c r="G7404" s="3"/>
      <c r="H7404" s="3"/>
      <c r="I7404" s="3"/>
      <c r="J7404" s="3"/>
      <c r="K7404" s="3"/>
      <c r="L7404" s="3"/>
      <c r="M7404" s="3"/>
      <c r="N7404" s="3"/>
      <c r="O7404" s="3"/>
    </row>
    <row r="7405" spans="1:15" ht="15" customHeight="1" x14ac:dyDescent="0.25">
      <c r="A7405" s="2"/>
      <c r="B7405" s="2"/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</row>
    <row r="7406" spans="1:15" ht="15" customHeight="1" x14ac:dyDescent="0.25">
      <c r="A7406" s="3"/>
      <c r="B7406" s="3"/>
      <c r="C7406" s="3"/>
      <c r="D7406" s="3"/>
      <c r="E7406" s="3"/>
      <c r="F7406" s="3"/>
      <c r="G7406" s="3"/>
      <c r="H7406" s="3"/>
      <c r="I7406" s="3"/>
      <c r="J7406" s="3"/>
      <c r="K7406" s="3"/>
      <c r="L7406" s="3"/>
      <c r="M7406" s="3"/>
      <c r="N7406" s="3"/>
      <c r="O7406" s="3"/>
    </row>
    <row r="7407" spans="1:15" ht="15" customHeight="1" x14ac:dyDescent="0.25">
      <c r="A7407" s="2"/>
      <c r="B7407" s="2"/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</row>
    <row r="7408" spans="1:15" ht="15" customHeight="1" x14ac:dyDescent="0.25">
      <c r="A7408" s="3"/>
      <c r="B7408" s="3"/>
      <c r="C7408" s="3"/>
      <c r="D7408" s="3"/>
      <c r="E7408" s="3"/>
      <c r="F7408" s="3"/>
      <c r="G7408" s="3"/>
      <c r="H7408" s="3"/>
      <c r="I7408" s="3"/>
      <c r="J7408" s="3"/>
      <c r="K7408" s="3"/>
      <c r="L7408" s="3"/>
      <c r="M7408" s="3"/>
      <c r="N7408" s="3"/>
      <c r="O7408" s="3"/>
    </row>
    <row r="7409" spans="1:15" ht="15" customHeight="1" x14ac:dyDescent="0.25">
      <c r="A7409" s="2"/>
      <c r="B7409" s="2"/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</row>
    <row r="7410" spans="1:15" ht="15" customHeight="1" x14ac:dyDescent="0.25">
      <c r="A7410" s="3"/>
      <c r="B7410" s="3"/>
      <c r="C7410" s="3"/>
      <c r="D7410" s="3"/>
      <c r="E7410" s="3"/>
      <c r="F7410" s="3"/>
      <c r="G7410" s="3"/>
      <c r="H7410" s="3"/>
      <c r="I7410" s="3"/>
      <c r="J7410" s="3"/>
      <c r="K7410" s="3"/>
      <c r="L7410" s="3"/>
      <c r="M7410" s="3"/>
      <c r="N7410" s="3"/>
      <c r="O7410" s="3"/>
    </row>
    <row r="7411" spans="1:15" ht="15" customHeight="1" x14ac:dyDescent="0.25">
      <c r="A7411" s="2"/>
      <c r="B7411" s="2"/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</row>
    <row r="7412" spans="1:15" ht="15" customHeight="1" x14ac:dyDescent="0.25">
      <c r="A7412" s="3"/>
      <c r="B7412" s="3"/>
      <c r="C7412" s="3"/>
      <c r="D7412" s="3"/>
      <c r="E7412" s="3"/>
      <c r="F7412" s="3"/>
      <c r="G7412" s="3"/>
      <c r="H7412" s="3"/>
      <c r="I7412" s="3"/>
      <c r="J7412" s="3"/>
      <c r="K7412" s="3"/>
      <c r="L7412" s="3"/>
      <c r="M7412" s="3"/>
      <c r="N7412" s="3"/>
      <c r="O7412" s="3"/>
    </row>
    <row r="7413" spans="1:15" ht="15" customHeight="1" x14ac:dyDescent="0.25">
      <c r="A7413" s="2"/>
      <c r="B7413" s="2"/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</row>
    <row r="7414" spans="1:15" ht="15" customHeight="1" x14ac:dyDescent="0.25">
      <c r="A7414" s="3"/>
      <c r="B7414" s="3"/>
      <c r="C7414" s="3"/>
      <c r="D7414" s="3"/>
      <c r="E7414" s="3"/>
      <c r="F7414" s="3"/>
      <c r="G7414" s="3"/>
      <c r="H7414" s="3"/>
      <c r="I7414" s="3"/>
      <c r="J7414" s="3"/>
      <c r="K7414" s="3"/>
      <c r="L7414" s="3"/>
      <c r="M7414" s="3"/>
      <c r="N7414" s="3"/>
      <c r="O7414" s="3"/>
    </row>
    <row r="7415" spans="1:15" ht="15" customHeight="1" x14ac:dyDescent="0.25">
      <c r="A7415" s="2"/>
      <c r="B7415" s="2"/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</row>
    <row r="7416" spans="1:15" ht="15" customHeight="1" x14ac:dyDescent="0.25">
      <c r="A7416" s="3"/>
      <c r="B7416" s="3"/>
      <c r="C7416" s="3"/>
      <c r="D7416" s="3"/>
      <c r="E7416" s="3"/>
      <c r="F7416" s="3"/>
      <c r="G7416" s="3"/>
      <c r="H7416" s="3"/>
      <c r="I7416" s="3"/>
      <c r="J7416" s="3"/>
      <c r="K7416" s="3"/>
      <c r="L7416" s="3"/>
      <c r="M7416" s="3"/>
      <c r="N7416" s="3"/>
      <c r="O7416" s="3"/>
    </row>
    <row r="7417" spans="1:15" ht="15" customHeight="1" x14ac:dyDescent="0.25">
      <c r="A7417" s="2"/>
      <c r="B7417" s="2"/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</row>
    <row r="7418" spans="1:15" ht="15" customHeight="1" x14ac:dyDescent="0.25">
      <c r="A7418" s="3"/>
      <c r="B7418" s="3"/>
      <c r="C7418" s="3"/>
      <c r="D7418" s="3"/>
      <c r="E7418" s="3"/>
      <c r="F7418" s="3"/>
      <c r="G7418" s="3"/>
      <c r="H7418" s="3"/>
      <c r="I7418" s="3"/>
      <c r="J7418" s="3"/>
      <c r="K7418" s="3"/>
      <c r="L7418" s="3"/>
      <c r="M7418" s="3"/>
      <c r="N7418" s="3"/>
      <c r="O7418" s="3"/>
    </row>
    <row r="7419" spans="1:15" ht="15" customHeight="1" x14ac:dyDescent="0.25">
      <c r="A7419" s="2"/>
      <c r="B7419" s="2"/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</row>
    <row r="7420" spans="1:15" ht="15" customHeight="1" x14ac:dyDescent="0.25">
      <c r="A7420" s="3"/>
      <c r="B7420" s="3"/>
      <c r="C7420" s="3"/>
      <c r="D7420" s="3"/>
      <c r="E7420" s="3"/>
      <c r="F7420" s="3"/>
      <c r="G7420" s="3"/>
      <c r="H7420" s="3"/>
      <c r="I7420" s="3"/>
      <c r="J7420" s="3"/>
      <c r="K7420" s="3"/>
      <c r="L7420" s="3"/>
      <c r="M7420" s="3"/>
      <c r="N7420" s="3"/>
      <c r="O7420" s="3"/>
    </row>
    <row r="7421" spans="1:15" ht="15" customHeight="1" x14ac:dyDescent="0.25">
      <c r="A7421" s="2"/>
      <c r="B7421" s="2"/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</row>
    <row r="7422" spans="1:15" ht="15" customHeight="1" x14ac:dyDescent="0.25">
      <c r="A7422" s="3"/>
      <c r="B7422" s="3"/>
      <c r="C7422" s="3"/>
      <c r="D7422" s="3"/>
      <c r="E7422" s="3"/>
      <c r="F7422" s="3"/>
      <c r="G7422" s="3"/>
      <c r="H7422" s="3"/>
      <c r="I7422" s="3"/>
      <c r="J7422" s="3"/>
      <c r="K7422" s="3"/>
      <c r="L7422" s="3"/>
      <c r="M7422" s="3"/>
      <c r="N7422" s="3"/>
      <c r="O7422" s="3"/>
    </row>
    <row r="7423" spans="1:15" ht="15" customHeight="1" x14ac:dyDescent="0.25">
      <c r="A7423" s="2"/>
      <c r="B7423" s="2"/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</row>
    <row r="7424" spans="1:15" ht="15" customHeight="1" x14ac:dyDescent="0.25">
      <c r="A7424" s="3"/>
      <c r="B7424" s="3"/>
      <c r="C7424" s="3"/>
      <c r="D7424" s="3"/>
      <c r="E7424" s="3"/>
      <c r="F7424" s="3"/>
      <c r="G7424" s="3"/>
      <c r="H7424" s="3"/>
      <c r="I7424" s="3"/>
      <c r="J7424" s="3"/>
      <c r="K7424" s="3"/>
      <c r="L7424" s="3"/>
      <c r="M7424" s="3"/>
      <c r="N7424" s="3"/>
      <c r="O7424" s="3"/>
    </row>
    <row r="7425" spans="1:15" ht="15" customHeight="1" x14ac:dyDescent="0.25">
      <c r="A7425" s="2"/>
      <c r="B7425" s="2"/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</row>
    <row r="7426" spans="1:15" ht="15" customHeight="1" x14ac:dyDescent="0.25">
      <c r="A7426" s="3"/>
      <c r="B7426" s="3"/>
      <c r="C7426" s="3"/>
      <c r="D7426" s="3"/>
      <c r="E7426" s="3"/>
      <c r="F7426" s="3"/>
      <c r="G7426" s="3"/>
      <c r="H7426" s="3"/>
      <c r="I7426" s="3"/>
      <c r="J7426" s="3"/>
      <c r="K7426" s="3"/>
      <c r="L7426" s="3"/>
      <c r="M7426" s="3"/>
      <c r="N7426" s="3"/>
      <c r="O7426" s="3"/>
    </row>
    <row r="7427" spans="1:15" ht="15" customHeight="1" x14ac:dyDescent="0.25">
      <c r="A7427" s="2"/>
      <c r="B7427" s="2"/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</row>
    <row r="7428" spans="1:15" ht="15" customHeight="1" x14ac:dyDescent="0.25">
      <c r="A7428" s="3"/>
      <c r="B7428" s="3"/>
      <c r="C7428" s="3"/>
      <c r="D7428" s="3"/>
      <c r="E7428" s="3"/>
      <c r="F7428" s="3"/>
      <c r="G7428" s="3"/>
      <c r="H7428" s="3"/>
      <c r="I7428" s="3"/>
      <c r="J7428" s="3"/>
      <c r="K7428" s="3"/>
      <c r="L7428" s="3"/>
      <c r="M7428" s="3"/>
      <c r="N7428" s="3"/>
      <c r="O7428" s="3"/>
    </row>
    <row r="7429" spans="1:15" ht="15" customHeight="1" x14ac:dyDescent="0.25">
      <c r="A7429" s="2"/>
      <c r="B7429" s="2"/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</row>
    <row r="7430" spans="1:15" ht="15" customHeight="1" x14ac:dyDescent="0.25">
      <c r="A7430" s="3"/>
      <c r="B7430" s="3"/>
      <c r="C7430" s="3"/>
      <c r="D7430" s="3"/>
      <c r="E7430" s="3"/>
      <c r="F7430" s="3"/>
      <c r="G7430" s="3"/>
      <c r="H7430" s="3"/>
      <c r="I7430" s="3"/>
      <c r="J7430" s="3"/>
      <c r="K7430" s="3"/>
      <c r="L7430" s="3"/>
      <c r="M7430" s="3"/>
      <c r="N7430" s="3"/>
      <c r="O7430" s="3"/>
    </row>
    <row r="7431" spans="1:15" ht="15" customHeight="1" x14ac:dyDescent="0.25">
      <c r="A7431" s="2"/>
      <c r="B7431" s="2"/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</row>
    <row r="7432" spans="1:15" ht="15" customHeight="1" x14ac:dyDescent="0.25">
      <c r="A7432" s="3"/>
      <c r="B7432" s="3"/>
      <c r="C7432" s="3"/>
      <c r="D7432" s="3"/>
      <c r="E7432" s="3"/>
      <c r="F7432" s="3"/>
      <c r="G7432" s="3"/>
      <c r="H7432" s="3"/>
      <c r="I7432" s="3"/>
      <c r="J7432" s="3"/>
      <c r="K7432" s="3"/>
      <c r="L7432" s="3"/>
      <c r="M7432" s="3"/>
      <c r="N7432" s="3"/>
      <c r="O7432" s="3"/>
    </row>
    <row r="7433" spans="1:15" ht="15" customHeight="1" x14ac:dyDescent="0.25">
      <c r="A7433" s="2"/>
      <c r="B7433" s="2"/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</row>
    <row r="7434" spans="1:15" ht="15" customHeight="1" x14ac:dyDescent="0.25">
      <c r="A7434" s="3"/>
      <c r="B7434" s="3"/>
      <c r="C7434" s="3"/>
      <c r="D7434" s="3"/>
      <c r="E7434" s="3"/>
      <c r="F7434" s="3"/>
      <c r="G7434" s="3"/>
      <c r="H7434" s="3"/>
      <c r="I7434" s="3"/>
      <c r="J7434" s="3"/>
      <c r="K7434" s="3"/>
      <c r="L7434" s="3"/>
      <c r="M7434" s="3"/>
      <c r="N7434" s="3"/>
      <c r="O7434" s="3"/>
    </row>
    <row r="7435" spans="1:15" ht="15" customHeight="1" x14ac:dyDescent="0.25">
      <c r="A7435" s="2"/>
      <c r="B7435" s="2"/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</row>
    <row r="7436" spans="1:15" ht="15" customHeight="1" x14ac:dyDescent="0.25">
      <c r="A7436" s="3"/>
      <c r="B7436" s="3"/>
      <c r="C7436" s="3"/>
      <c r="D7436" s="3"/>
      <c r="E7436" s="3"/>
      <c r="F7436" s="3"/>
      <c r="G7436" s="3"/>
      <c r="H7436" s="3"/>
      <c r="I7436" s="3"/>
      <c r="J7436" s="3"/>
      <c r="K7436" s="3"/>
      <c r="L7436" s="3"/>
      <c r="M7436" s="3"/>
      <c r="N7436" s="3"/>
      <c r="O7436" s="3"/>
    </row>
    <row r="7437" spans="1:15" ht="15" customHeight="1" x14ac:dyDescent="0.25">
      <c r="A7437" s="2"/>
      <c r="B7437" s="2"/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</row>
    <row r="7438" spans="1:15" ht="15" customHeight="1" x14ac:dyDescent="0.25">
      <c r="A7438" s="3"/>
      <c r="B7438" s="3"/>
      <c r="C7438" s="3"/>
      <c r="D7438" s="3"/>
      <c r="E7438" s="3"/>
      <c r="F7438" s="3"/>
      <c r="G7438" s="3"/>
      <c r="H7438" s="3"/>
      <c r="I7438" s="3"/>
      <c r="J7438" s="3"/>
      <c r="K7438" s="3"/>
      <c r="L7438" s="3"/>
      <c r="M7438" s="3"/>
      <c r="N7438" s="3"/>
      <c r="O7438" s="3"/>
    </row>
    <row r="7439" spans="1:15" ht="15" customHeight="1" x14ac:dyDescent="0.25">
      <c r="A7439" s="2"/>
      <c r="B7439" s="2"/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</row>
    <row r="7440" spans="1:15" ht="15" customHeight="1" x14ac:dyDescent="0.25">
      <c r="A7440" s="3"/>
      <c r="B7440" s="3"/>
      <c r="C7440" s="3"/>
      <c r="D7440" s="3"/>
      <c r="E7440" s="3"/>
      <c r="F7440" s="3"/>
      <c r="G7440" s="3"/>
      <c r="H7440" s="3"/>
      <c r="I7440" s="3"/>
      <c r="J7440" s="3"/>
      <c r="K7440" s="3"/>
      <c r="L7440" s="3"/>
      <c r="M7440" s="3"/>
      <c r="N7440" s="3"/>
      <c r="O7440" s="3"/>
    </row>
    <row r="7441" spans="1:15" ht="15" customHeight="1" x14ac:dyDescent="0.25">
      <c r="A7441" s="2"/>
      <c r="B7441" s="2"/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</row>
    <row r="7442" spans="1:15" ht="15" customHeight="1" x14ac:dyDescent="0.25">
      <c r="A7442" s="3"/>
      <c r="B7442" s="3"/>
      <c r="C7442" s="3"/>
      <c r="D7442" s="3"/>
      <c r="E7442" s="3"/>
      <c r="F7442" s="3"/>
      <c r="G7442" s="3"/>
      <c r="H7442" s="3"/>
      <c r="I7442" s="3"/>
      <c r="J7442" s="3"/>
      <c r="K7442" s="3"/>
      <c r="L7442" s="3"/>
      <c r="M7442" s="3"/>
      <c r="N7442" s="3"/>
      <c r="O7442" s="3"/>
    </row>
    <row r="7443" spans="1:15" ht="15" customHeight="1" x14ac:dyDescent="0.25">
      <c r="A7443" s="2"/>
      <c r="B7443" s="2"/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</row>
    <row r="7444" spans="1:15" ht="15" customHeight="1" x14ac:dyDescent="0.25">
      <c r="A7444" s="3"/>
      <c r="B7444" s="3"/>
      <c r="C7444" s="3"/>
      <c r="D7444" s="3"/>
      <c r="E7444" s="3"/>
      <c r="F7444" s="3"/>
      <c r="G7444" s="3"/>
      <c r="H7444" s="3"/>
      <c r="I7444" s="3"/>
      <c r="J7444" s="3"/>
      <c r="K7444" s="3"/>
      <c r="L7444" s="3"/>
      <c r="M7444" s="3"/>
      <c r="N7444" s="3"/>
      <c r="O7444" s="3"/>
    </row>
    <row r="7445" spans="1:15" ht="15" customHeight="1" x14ac:dyDescent="0.25">
      <c r="A7445" s="2"/>
      <c r="B7445" s="2"/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</row>
    <row r="7446" spans="1:15" ht="15" customHeight="1" x14ac:dyDescent="0.25">
      <c r="A7446" s="3"/>
      <c r="B7446" s="3"/>
      <c r="C7446" s="3"/>
      <c r="D7446" s="3"/>
      <c r="E7446" s="3"/>
      <c r="F7446" s="3"/>
      <c r="G7446" s="3"/>
      <c r="H7446" s="3"/>
      <c r="I7446" s="3"/>
      <c r="J7446" s="3"/>
      <c r="K7446" s="3"/>
      <c r="L7446" s="3"/>
      <c r="M7446" s="3"/>
      <c r="N7446" s="3"/>
      <c r="O7446" s="3"/>
    </row>
    <row r="7447" spans="1:15" ht="15" customHeight="1" x14ac:dyDescent="0.25">
      <c r="A7447" s="2"/>
      <c r="B7447" s="2"/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</row>
    <row r="7448" spans="1:15" ht="15" customHeight="1" x14ac:dyDescent="0.25">
      <c r="A7448" s="3"/>
      <c r="B7448" s="3"/>
      <c r="C7448" s="3"/>
      <c r="D7448" s="3"/>
      <c r="E7448" s="3"/>
      <c r="F7448" s="3"/>
      <c r="G7448" s="3"/>
      <c r="H7448" s="3"/>
      <c r="I7448" s="3"/>
      <c r="J7448" s="3"/>
      <c r="K7448" s="3"/>
      <c r="L7448" s="3"/>
      <c r="M7448" s="3"/>
      <c r="N7448" s="3"/>
      <c r="O7448" s="3"/>
    </row>
    <row r="7449" spans="1:15" ht="15" customHeight="1" x14ac:dyDescent="0.25">
      <c r="A7449" s="2"/>
      <c r="B7449" s="2"/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</row>
    <row r="7450" spans="1:15" ht="15" customHeight="1" x14ac:dyDescent="0.25">
      <c r="A7450" s="3"/>
      <c r="B7450" s="3"/>
      <c r="C7450" s="3"/>
      <c r="D7450" s="3"/>
      <c r="E7450" s="3"/>
      <c r="F7450" s="3"/>
      <c r="G7450" s="3"/>
      <c r="H7450" s="3"/>
      <c r="I7450" s="3"/>
      <c r="J7450" s="3"/>
      <c r="K7450" s="3"/>
      <c r="L7450" s="3"/>
      <c r="M7450" s="3"/>
      <c r="N7450" s="3"/>
      <c r="O7450" s="3"/>
    </row>
    <row r="7451" spans="1:15" ht="15" customHeight="1" x14ac:dyDescent="0.25">
      <c r="A7451" s="2"/>
      <c r="B7451" s="2"/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</row>
    <row r="7452" spans="1:15" ht="15" customHeight="1" x14ac:dyDescent="0.25">
      <c r="A7452" s="3"/>
      <c r="B7452" s="3"/>
      <c r="C7452" s="3"/>
      <c r="D7452" s="3"/>
      <c r="E7452" s="3"/>
      <c r="F7452" s="3"/>
      <c r="G7452" s="3"/>
      <c r="H7452" s="3"/>
      <c r="I7452" s="3"/>
      <c r="J7452" s="3"/>
      <c r="K7452" s="3"/>
      <c r="L7452" s="3"/>
      <c r="M7452" s="3"/>
      <c r="N7452" s="3"/>
      <c r="O7452" s="3"/>
    </row>
    <row r="7453" spans="1:15" ht="15" customHeight="1" x14ac:dyDescent="0.25">
      <c r="A7453" s="2"/>
      <c r="B7453" s="2"/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</row>
    <row r="7454" spans="1:15" ht="15" customHeight="1" x14ac:dyDescent="0.25">
      <c r="A7454" s="3"/>
      <c r="B7454" s="3"/>
      <c r="C7454" s="3"/>
      <c r="D7454" s="3"/>
      <c r="E7454" s="3"/>
      <c r="F7454" s="3"/>
      <c r="G7454" s="3"/>
      <c r="H7454" s="3"/>
      <c r="I7454" s="3"/>
      <c r="J7454" s="3"/>
      <c r="K7454" s="3"/>
      <c r="L7454" s="3"/>
      <c r="M7454" s="3"/>
      <c r="N7454" s="3"/>
      <c r="O7454" s="3"/>
    </row>
    <row r="7455" spans="1:15" ht="15" customHeight="1" x14ac:dyDescent="0.25">
      <c r="A7455" s="2"/>
      <c r="B7455" s="2"/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</row>
    <row r="7456" spans="1:15" ht="15" customHeight="1" x14ac:dyDescent="0.25">
      <c r="A7456" s="3"/>
      <c r="B7456" s="3"/>
      <c r="C7456" s="3"/>
      <c r="D7456" s="3"/>
      <c r="E7456" s="3"/>
      <c r="F7456" s="3"/>
      <c r="G7456" s="3"/>
      <c r="H7456" s="3"/>
      <c r="I7456" s="3"/>
      <c r="J7456" s="3"/>
      <c r="K7456" s="3"/>
      <c r="L7456" s="3"/>
      <c r="M7456" s="3"/>
      <c r="N7456" s="3"/>
      <c r="O7456" s="3"/>
    </row>
    <row r="7457" spans="1:15" ht="15" customHeight="1" x14ac:dyDescent="0.25">
      <c r="A7457" s="2"/>
      <c r="B7457" s="2"/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</row>
    <row r="7458" spans="1:15" ht="15" customHeight="1" x14ac:dyDescent="0.25">
      <c r="A7458" s="3"/>
      <c r="B7458" s="3"/>
      <c r="C7458" s="3"/>
      <c r="D7458" s="3"/>
      <c r="E7458" s="3"/>
      <c r="F7458" s="3"/>
      <c r="G7458" s="3"/>
      <c r="H7458" s="3"/>
      <c r="I7458" s="3"/>
      <c r="J7458" s="3"/>
      <c r="K7458" s="3"/>
      <c r="L7458" s="3"/>
      <c r="M7458" s="3"/>
      <c r="N7458" s="3"/>
      <c r="O7458" s="3"/>
    </row>
    <row r="7459" spans="1:15" ht="15" customHeight="1" x14ac:dyDescent="0.25">
      <c r="A7459" s="2"/>
      <c r="B7459" s="2"/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</row>
    <row r="7460" spans="1:15" ht="15" customHeight="1" x14ac:dyDescent="0.25">
      <c r="A7460" s="3"/>
      <c r="B7460" s="3"/>
      <c r="C7460" s="3"/>
      <c r="D7460" s="3"/>
      <c r="E7460" s="3"/>
      <c r="F7460" s="3"/>
      <c r="G7460" s="3"/>
      <c r="H7460" s="3"/>
      <c r="I7460" s="3"/>
      <c r="J7460" s="3"/>
      <c r="K7460" s="3"/>
      <c r="L7460" s="3"/>
      <c r="M7460" s="3"/>
      <c r="N7460" s="3"/>
      <c r="O7460" s="3"/>
    </row>
    <row r="7461" spans="1:15" ht="15" customHeight="1" x14ac:dyDescent="0.25">
      <c r="A7461" s="2"/>
      <c r="B7461" s="2"/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</row>
    <row r="7462" spans="1:15" ht="15" customHeight="1" x14ac:dyDescent="0.25">
      <c r="A7462" s="3"/>
      <c r="B7462" s="3"/>
      <c r="C7462" s="3"/>
      <c r="D7462" s="3"/>
      <c r="E7462" s="3"/>
      <c r="F7462" s="3"/>
      <c r="G7462" s="3"/>
      <c r="H7462" s="3"/>
      <c r="I7462" s="3"/>
      <c r="J7462" s="3"/>
      <c r="K7462" s="3"/>
      <c r="L7462" s="3"/>
      <c r="M7462" s="3"/>
      <c r="N7462" s="3"/>
      <c r="O7462" s="3"/>
    </row>
    <row r="7463" spans="1:15" ht="15" customHeight="1" x14ac:dyDescent="0.25">
      <c r="A7463" s="2"/>
      <c r="B7463" s="2"/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</row>
    <row r="7464" spans="1:15" ht="15" customHeight="1" x14ac:dyDescent="0.25">
      <c r="A7464" s="3"/>
      <c r="B7464" s="3"/>
      <c r="C7464" s="3"/>
      <c r="D7464" s="3"/>
      <c r="E7464" s="3"/>
      <c r="F7464" s="3"/>
      <c r="G7464" s="3"/>
      <c r="H7464" s="3"/>
      <c r="I7464" s="3"/>
      <c r="J7464" s="3"/>
      <c r="K7464" s="3"/>
      <c r="L7464" s="3"/>
      <c r="M7464" s="3"/>
      <c r="N7464" s="3"/>
      <c r="O7464" s="3"/>
    </row>
    <row r="7465" spans="1:15" ht="15" customHeight="1" x14ac:dyDescent="0.25">
      <c r="A7465" s="2"/>
      <c r="B7465" s="2"/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</row>
    <row r="7466" spans="1:15" ht="15" customHeight="1" x14ac:dyDescent="0.25">
      <c r="A7466" s="3"/>
      <c r="B7466" s="3"/>
      <c r="C7466" s="3"/>
      <c r="D7466" s="3"/>
      <c r="E7466" s="3"/>
      <c r="F7466" s="3"/>
      <c r="G7466" s="3"/>
      <c r="H7466" s="3"/>
      <c r="I7466" s="3"/>
      <c r="J7466" s="3"/>
      <c r="K7466" s="3"/>
      <c r="L7466" s="3"/>
      <c r="M7466" s="3"/>
      <c r="N7466" s="3"/>
      <c r="O7466" s="3"/>
    </row>
    <row r="7467" spans="1:15" ht="15" customHeight="1" x14ac:dyDescent="0.25">
      <c r="A7467" s="2"/>
      <c r="B7467" s="2"/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</row>
    <row r="7468" spans="1:15" ht="15" customHeight="1" x14ac:dyDescent="0.25">
      <c r="A7468" s="3"/>
      <c r="B7468" s="3"/>
      <c r="C7468" s="3"/>
      <c r="D7468" s="3"/>
      <c r="E7468" s="3"/>
      <c r="F7468" s="3"/>
      <c r="G7468" s="3"/>
      <c r="H7468" s="3"/>
      <c r="I7468" s="3"/>
      <c r="J7468" s="3"/>
      <c r="K7468" s="3"/>
      <c r="L7468" s="3"/>
      <c r="M7468" s="3"/>
      <c r="N7468" s="3"/>
      <c r="O7468" s="3"/>
    </row>
    <row r="7469" spans="1:15" ht="15" customHeight="1" x14ac:dyDescent="0.25">
      <c r="A7469" s="2"/>
      <c r="B7469" s="2"/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</row>
    <row r="7470" spans="1:15" ht="15" customHeight="1" x14ac:dyDescent="0.25">
      <c r="A7470" s="3"/>
      <c r="B7470" s="3"/>
      <c r="C7470" s="3"/>
      <c r="D7470" s="3"/>
      <c r="E7470" s="3"/>
      <c r="F7470" s="3"/>
      <c r="G7470" s="3"/>
      <c r="H7470" s="3"/>
      <c r="I7470" s="3"/>
      <c r="J7470" s="3"/>
      <c r="K7470" s="3"/>
      <c r="L7470" s="3"/>
      <c r="M7470" s="3"/>
      <c r="N7470" s="3"/>
      <c r="O7470" s="3"/>
    </row>
    <row r="7471" spans="1:15" ht="15" customHeight="1" x14ac:dyDescent="0.25">
      <c r="A7471" s="2"/>
      <c r="B7471" s="2"/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</row>
    <row r="7472" spans="1:15" ht="15" customHeight="1" x14ac:dyDescent="0.25">
      <c r="A7472" s="3"/>
      <c r="B7472" s="3"/>
      <c r="C7472" s="3"/>
      <c r="D7472" s="3"/>
      <c r="E7472" s="3"/>
      <c r="F7472" s="3"/>
      <c r="G7472" s="3"/>
      <c r="H7472" s="3"/>
      <c r="I7472" s="3"/>
      <c r="J7472" s="3"/>
      <c r="K7472" s="3"/>
      <c r="L7472" s="3"/>
      <c r="M7472" s="3"/>
      <c r="N7472" s="3"/>
      <c r="O7472" s="3"/>
    </row>
    <row r="7473" spans="1:15" ht="15" customHeight="1" x14ac:dyDescent="0.25">
      <c r="A7473" s="2"/>
      <c r="B7473" s="2"/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</row>
    <row r="7474" spans="1:15" ht="15" customHeight="1" x14ac:dyDescent="0.25">
      <c r="A7474" s="3"/>
      <c r="B7474" s="3"/>
      <c r="C7474" s="3"/>
      <c r="D7474" s="3"/>
      <c r="E7474" s="3"/>
      <c r="F7474" s="3"/>
      <c r="G7474" s="3"/>
      <c r="H7474" s="3"/>
      <c r="I7474" s="3"/>
      <c r="J7474" s="3"/>
      <c r="K7474" s="3"/>
      <c r="L7474" s="3"/>
      <c r="M7474" s="3"/>
      <c r="N7474" s="3"/>
      <c r="O7474" s="3"/>
    </row>
    <row r="7475" spans="1:15" ht="15" customHeight="1" x14ac:dyDescent="0.25">
      <c r="A7475" s="2"/>
      <c r="B7475" s="2"/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</row>
    <row r="7476" spans="1:15" ht="15" customHeight="1" x14ac:dyDescent="0.25">
      <c r="A7476" s="3"/>
      <c r="B7476" s="3"/>
      <c r="C7476" s="3"/>
      <c r="D7476" s="3"/>
      <c r="E7476" s="3"/>
      <c r="F7476" s="3"/>
      <c r="G7476" s="3"/>
      <c r="H7476" s="3"/>
      <c r="I7476" s="3"/>
      <c r="J7476" s="3"/>
      <c r="K7476" s="3"/>
      <c r="L7476" s="3"/>
      <c r="M7476" s="3"/>
      <c r="N7476" s="3"/>
      <c r="O7476" s="3"/>
    </row>
    <row r="7477" spans="1:15" ht="15" customHeight="1" x14ac:dyDescent="0.25">
      <c r="A7477" s="2"/>
      <c r="B7477" s="2"/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</row>
    <row r="7478" spans="1:15" ht="15" customHeight="1" x14ac:dyDescent="0.25">
      <c r="A7478" s="3"/>
      <c r="B7478" s="3"/>
      <c r="C7478" s="3"/>
      <c r="D7478" s="3"/>
      <c r="E7478" s="3"/>
      <c r="F7478" s="3"/>
      <c r="G7478" s="3"/>
      <c r="H7478" s="3"/>
      <c r="I7478" s="3"/>
      <c r="J7478" s="3"/>
      <c r="K7478" s="3"/>
      <c r="L7478" s="3"/>
      <c r="M7478" s="3"/>
      <c r="N7478" s="3"/>
      <c r="O7478" s="3"/>
    </row>
    <row r="7479" spans="1:15" ht="15" customHeight="1" x14ac:dyDescent="0.25">
      <c r="A7479" s="2"/>
      <c r="B7479" s="2"/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</row>
    <row r="7480" spans="1:15" ht="15" customHeight="1" x14ac:dyDescent="0.25">
      <c r="A7480" s="3"/>
      <c r="B7480" s="3"/>
      <c r="C7480" s="3"/>
      <c r="D7480" s="3"/>
      <c r="E7480" s="3"/>
      <c r="F7480" s="3"/>
      <c r="G7480" s="3"/>
      <c r="H7480" s="3"/>
      <c r="I7480" s="3"/>
      <c r="J7480" s="3"/>
      <c r="K7480" s="3"/>
      <c r="L7480" s="3"/>
      <c r="M7480" s="3"/>
      <c r="N7480" s="3"/>
      <c r="O7480" s="3"/>
    </row>
    <row r="7481" spans="1:15" ht="15" customHeight="1" x14ac:dyDescent="0.25">
      <c r="A7481" s="2"/>
      <c r="B7481" s="2"/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</row>
    <row r="7482" spans="1:15" ht="15" customHeight="1" x14ac:dyDescent="0.25">
      <c r="A7482" s="3"/>
      <c r="B7482" s="3"/>
      <c r="C7482" s="3"/>
      <c r="D7482" s="3"/>
      <c r="E7482" s="3"/>
      <c r="F7482" s="3"/>
      <c r="G7482" s="3"/>
      <c r="H7482" s="3"/>
      <c r="I7482" s="3"/>
      <c r="J7482" s="3"/>
      <c r="K7482" s="3"/>
      <c r="L7482" s="3"/>
      <c r="M7482" s="3"/>
      <c r="N7482" s="3"/>
      <c r="O7482" s="3"/>
    </row>
    <row r="7483" spans="1:15" ht="15" customHeight="1" x14ac:dyDescent="0.25">
      <c r="A7483" s="2"/>
      <c r="B7483" s="2"/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</row>
    <row r="7484" spans="1:15" ht="15" customHeight="1" x14ac:dyDescent="0.25">
      <c r="A7484" s="3"/>
      <c r="B7484" s="3"/>
      <c r="C7484" s="3"/>
      <c r="D7484" s="3"/>
      <c r="E7484" s="3"/>
      <c r="F7484" s="3"/>
      <c r="G7484" s="3"/>
      <c r="H7484" s="3"/>
      <c r="I7484" s="3"/>
      <c r="J7484" s="3"/>
      <c r="K7484" s="3"/>
      <c r="L7484" s="3"/>
      <c r="M7484" s="3"/>
      <c r="N7484" s="3"/>
      <c r="O7484" s="3"/>
    </row>
    <row r="7485" spans="1:15" ht="15" customHeight="1" x14ac:dyDescent="0.25">
      <c r="A7485" s="2"/>
      <c r="B7485" s="2"/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</row>
    <row r="7486" spans="1:15" ht="15" customHeight="1" x14ac:dyDescent="0.25">
      <c r="A7486" s="3"/>
      <c r="B7486" s="3"/>
      <c r="C7486" s="3"/>
      <c r="D7486" s="3"/>
      <c r="E7486" s="3"/>
      <c r="F7486" s="3"/>
      <c r="G7486" s="3"/>
      <c r="H7486" s="3"/>
      <c r="I7486" s="3"/>
      <c r="J7486" s="3"/>
      <c r="K7486" s="3"/>
      <c r="L7486" s="3"/>
      <c r="M7486" s="3"/>
      <c r="N7486" s="3"/>
      <c r="O7486" s="3"/>
    </row>
    <row r="7487" spans="1:15" ht="15" customHeight="1" x14ac:dyDescent="0.25">
      <c r="A7487" s="2"/>
      <c r="B7487" s="2"/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</row>
    <row r="7488" spans="1:15" ht="15" customHeight="1" x14ac:dyDescent="0.25">
      <c r="A7488" s="3"/>
      <c r="B7488" s="3"/>
      <c r="C7488" s="3"/>
      <c r="D7488" s="3"/>
      <c r="E7488" s="3"/>
      <c r="F7488" s="3"/>
      <c r="G7488" s="3"/>
      <c r="H7488" s="3"/>
      <c r="I7488" s="3"/>
      <c r="J7488" s="3"/>
      <c r="K7488" s="3"/>
      <c r="L7488" s="3"/>
      <c r="M7488" s="3"/>
      <c r="N7488" s="3"/>
      <c r="O7488" s="3"/>
    </row>
    <row r="7489" spans="1:15" ht="15" customHeight="1" x14ac:dyDescent="0.25">
      <c r="A7489" s="2"/>
      <c r="B7489" s="2"/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</row>
    <row r="7490" spans="1:15" ht="15" customHeight="1" x14ac:dyDescent="0.25">
      <c r="A7490" s="3"/>
      <c r="B7490" s="3"/>
      <c r="C7490" s="3"/>
      <c r="D7490" s="3"/>
      <c r="E7490" s="3"/>
      <c r="F7490" s="3"/>
      <c r="G7490" s="3"/>
      <c r="H7490" s="3"/>
      <c r="I7490" s="3"/>
      <c r="J7490" s="3"/>
      <c r="K7490" s="3"/>
      <c r="L7490" s="3"/>
      <c r="M7490" s="3"/>
      <c r="N7490" s="3"/>
      <c r="O7490" s="3"/>
    </row>
    <row r="7491" spans="1:15" ht="15" customHeight="1" x14ac:dyDescent="0.25">
      <c r="A7491" s="2"/>
      <c r="B7491" s="2"/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</row>
    <row r="7492" spans="1:15" ht="15" customHeight="1" x14ac:dyDescent="0.25">
      <c r="A7492" s="3"/>
      <c r="B7492" s="3"/>
      <c r="C7492" s="3"/>
      <c r="D7492" s="3"/>
      <c r="E7492" s="3"/>
      <c r="F7492" s="3"/>
      <c r="G7492" s="3"/>
      <c r="H7492" s="3"/>
      <c r="I7492" s="3"/>
      <c r="J7492" s="3"/>
      <c r="K7492" s="3"/>
      <c r="L7492" s="3"/>
      <c r="M7492" s="3"/>
      <c r="N7492" s="3"/>
      <c r="O7492" s="3"/>
    </row>
    <row r="7493" spans="1:15" ht="15" customHeight="1" x14ac:dyDescent="0.25">
      <c r="A7493" s="2"/>
      <c r="B7493" s="2"/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</row>
    <row r="7494" spans="1:15" ht="15" customHeight="1" x14ac:dyDescent="0.25">
      <c r="A7494" s="3"/>
      <c r="B7494" s="3"/>
      <c r="C7494" s="3"/>
      <c r="D7494" s="3"/>
      <c r="E7494" s="3"/>
      <c r="F7494" s="3"/>
      <c r="G7494" s="3"/>
      <c r="H7494" s="3"/>
      <c r="I7494" s="3"/>
      <c r="J7494" s="3"/>
      <c r="K7494" s="3"/>
      <c r="L7494" s="3"/>
      <c r="M7494" s="3"/>
      <c r="N7494" s="3"/>
      <c r="O7494" s="3"/>
    </row>
    <row r="7495" spans="1:15" ht="15" customHeight="1" x14ac:dyDescent="0.25">
      <c r="A7495" s="2"/>
      <c r="B7495" s="2"/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</row>
    <row r="7496" spans="1:15" ht="15" customHeight="1" x14ac:dyDescent="0.25">
      <c r="A7496" s="3"/>
      <c r="B7496" s="3"/>
      <c r="C7496" s="3"/>
      <c r="D7496" s="3"/>
      <c r="E7496" s="3"/>
      <c r="F7496" s="3"/>
      <c r="G7496" s="3"/>
      <c r="H7496" s="3"/>
      <c r="I7496" s="3"/>
      <c r="J7496" s="3"/>
      <c r="K7496" s="3"/>
      <c r="L7496" s="3"/>
      <c r="M7496" s="3"/>
      <c r="N7496" s="3"/>
      <c r="O7496" s="3"/>
    </row>
    <row r="7497" spans="1:15" ht="15" customHeight="1" x14ac:dyDescent="0.25">
      <c r="A7497" s="2"/>
      <c r="B7497" s="2"/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</row>
    <row r="7498" spans="1:15" ht="15" customHeight="1" x14ac:dyDescent="0.25">
      <c r="A7498" s="3"/>
      <c r="B7498" s="3"/>
      <c r="C7498" s="3"/>
      <c r="D7498" s="3"/>
      <c r="E7498" s="3"/>
      <c r="F7498" s="3"/>
      <c r="G7498" s="3"/>
      <c r="H7498" s="3"/>
      <c r="I7498" s="3"/>
      <c r="J7498" s="3"/>
      <c r="K7498" s="3"/>
      <c r="L7498" s="3"/>
      <c r="M7498" s="3"/>
      <c r="N7498" s="3"/>
      <c r="O7498" s="3"/>
    </row>
    <row r="7499" spans="1:15" ht="15" customHeight="1" x14ac:dyDescent="0.25">
      <c r="A7499" s="2"/>
      <c r="B7499" s="2"/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</row>
    <row r="7500" spans="1:15" ht="15" customHeight="1" x14ac:dyDescent="0.25">
      <c r="A7500" s="3"/>
      <c r="B7500" s="3"/>
      <c r="C7500" s="3"/>
      <c r="D7500" s="3"/>
      <c r="E7500" s="3"/>
      <c r="F7500" s="3"/>
      <c r="G7500" s="3"/>
      <c r="H7500" s="3"/>
      <c r="I7500" s="3"/>
      <c r="J7500" s="3"/>
      <c r="K7500" s="3"/>
      <c r="L7500" s="3"/>
      <c r="M7500" s="3"/>
      <c r="N7500" s="3"/>
      <c r="O7500" s="3"/>
    </row>
    <row r="7501" spans="1:15" ht="15" customHeight="1" x14ac:dyDescent="0.25">
      <c r="A7501" s="2"/>
      <c r="B7501" s="2"/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</row>
    <row r="7502" spans="1:15" ht="15" customHeight="1" x14ac:dyDescent="0.25">
      <c r="A7502" s="3"/>
      <c r="B7502" s="3"/>
      <c r="C7502" s="3"/>
      <c r="D7502" s="3"/>
      <c r="E7502" s="3"/>
      <c r="F7502" s="3"/>
      <c r="G7502" s="3"/>
      <c r="H7502" s="3"/>
      <c r="I7502" s="3"/>
      <c r="J7502" s="3"/>
      <c r="K7502" s="3"/>
      <c r="L7502" s="3"/>
      <c r="M7502" s="3"/>
      <c r="N7502" s="3"/>
      <c r="O7502" s="3"/>
    </row>
    <row r="7503" spans="1:15" ht="15" customHeight="1" x14ac:dyDescent="0.25">
      <c r="A7503" s="2"/>
      <c r="B7503" s="2"/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</row>
    <row r="7504" spans="1:15" ht="15" customHeight="1" x14ac:dyDescent="0.25">
      <c r="A7504" s="3"/>
      <c r="B7504" s="3"/>
      <c r="C7504" s="3"/>
      <c r="D7504" s="3"/>
      <c r="E7504" s="3"/>
      <c r="F7504" s="3"/>
      <c r="G7504" s="3"/>
      <c r="H7504" s="3"/>
      <c r="I7504" s="3"/>
      <c r="J7504" s="3"/>
      <c r="K7504" s="3"/>
      <c r="L7504" s="3"/>
      <c r="M7504" s="3"/>
      <c r="N7504" s="3"/>
      <c r="O7504" s="3"/>
    </row>
    <row r="7505" spans="1:15" ht="15" customHeight="1" x14ac:dyDescent="0.25">
      <c r="A7505" s="2"/>
      <c r="B7505" s="2"/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</row>
    <row r="7506" spans="1:15" ht="15" customHeight="1" x14ac:dyDescent="0.25">
      <c r="A7506" s="3"/>
      <c r="B7506" s="3"/>
      <c r="C7506" s="3"/>
      <c r="D7506" s="3"/>
      <c r="E7506" s="3"/>
      <c r="F7506" s="3"/>
      <c r="G7506" s="3"/>
      <c r="H7506" s="3"/>
      <c r="I7506" s="3"/>
      <c r="J7506" s="3"/>
      <c r="K7506" s="3"/>
      <c r="L7506" s="3"/>
      <c r="M7506" s="3"/>
      <c r="N7506" s="3"/>
      <c r="O7506" s="3"/>
    </row>
    <row r="7507" spans="1:15" ht="15" customHeight="1" x14ac:dyDescent="0.25">
      <c r="A7507" s="2"/>
      <c r="B7507" s="2"/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</row>
    <row r="7508" spans="1:15" ht="15" customHeight="1" x14ac:dyDescent="0.25">
      <c r="A7508" s="3"/>
      <c r="B7508" s="3"/>
      <c r="C7508" s="3"/>
      <c r="D7508" s="3"/>
      <c r="E7508" s="3"/>
      <c r="F7508" s="3"/>
      <c r="G7508" s="3"/>
      <c r="H7508" s="3"/>
      <c r="I7508" s="3"/>
      <c r="J7508" s="3"/>
      <c r="K7508" s="3"/>
      <c r="L7508" s="3"/>
      <c r="M7508" s="3"/>
      <c r="N7508" s="3"/>
      <c r="O7508" s="3"/>
    </row>
    <row r="7509" spans="1:15" ht="15" customHeight="1" x14ac:dyDescent="0.25">
      <c r="A7509" s="2"/>
      <c r="B7509" s="2"/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</row>
    <row r="7510" spans="1:15" ht="15" customHeight="1" x14ac:dyDescent="0.25">
      <c r="A7510" s="3"/>
      <c r="B7510" s="3"/>
      <c r="C7510" s="3"/>
      <c r="D7510" s="3"/>
      <c r="E7510" s="3"/>
      <c r="F7510" s="3"/>
      <c r="G7510" s="3"/>
      <c r="H7510" s="3"/>
      <c r="I7510" s="3"/>
      <c r="J7510" s="3"/>
      <c r="K7510" s="3"/>
      <c r="L7510" s="3"/>
      <c r="M7510" s="3"/>
      <c r="N7510" s="3"/>
      <c r="O7510" s="3"/>
    </row>
    <row r="7511" spans="1:15" ht="15" customHeight="1" x14ac:dyDescent="0.25">
      <c r="A7511" s="2"/>
      <c r="B7511" s="2"/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</row>
    <row r="7512" spans="1:15" ht="15" customHeight="1" x14ac:dyDescent="0.25">
      <c r="A7512" s="3"/>
      <c r="B7512" s="3"/>
      <c r="C7512" s="3"/>
      <c r="D7512" s="3"/>
      <c r="E7512" s="3"/>
      <c r="F7512" s="3"/>
      <c r="G7512" s="3"/>
      <c r="H7512" s="3"/>
      <c r="I7512" s="3"/>
      <c r="J7512" s="3"/>
      <c r="K7512" s="3"/>
      <c r="L7512" s="3"/>
      <c r="M7512" s="3"/>
      <c r="N7512" s="3"/>
      <c r="O7512" s="3"/>
    </row>
    <row r="7513" spans="1:15" ht="15" customHeight="1" x14ac:dyDescent="0.25">
      <c r="A7513" s="2"/>
      <c r="B7513" s="2"/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</row>
    <row r="7514" spans="1:15" ht="15" customHeight="1" x14ac:dyDescent="0.25">
      <c r="A7514" s="3"/>
      <c r="B7514" s="3"/>
      <c r="C7514" s="3"/>
      <c r="D7514" s="3"/>
      <c r="E7514" s="3"/>
      <c r="F7514" s="3"/>
      <c r="G7514" s="3"/>
      <c r="H7514" s="3"/>
      <c r="I7514" s="3"/>
      <c r="J7514" s="3"/>
      <c r="K7514" s="3"/>
      <c r="L7514" s="3"/>
      <c r="M7514" s="3"/>
      <c r="N7514" s="3"/>
      <c r="O7514" s="3"/>
    </row>
    <row r="7515" spans="1:15" ht="15" customHeight="1" x14ac:dyDescent="0.25">
      <c r="A7515" s="2"/>
      <c r="B7515" s="2"/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</row>
    <row r="7516" spans="1:15" ht="15" customHeight="1" x14ac:dyDescent="0.25">
      <c r="A7516" s="3"/>
      <c r="B7516" s="3"/>
      <c r="C7516" s="3"/>
      <c r="D7516" s="3"/>
      <c r="E7516" s="3"/>
      <c r="F7516" s="3"/>
      <c r="G7516" s="3"/>
      <c r="H7516" s="3"/>
      <c r="I7516" s="3"/>
      <c r="J7516" s="3"/>
      <c r="K7516" s="3"/>
      <c r="L7516" s="3"/>
      <c r="M7516" s="3"/>
      <c r="N7516" s="3"/>
      <c r="O7516" s="3"/>
    </row>
    <row r="7517" spans="1:15" ht="15" customHeight="1" x14ac:dyDescent="0.25">
      <c r="A7517" s="2"/>
      <c r="B7517" s="2"/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</row>
    <row r="7518" spans="1:15" ht="15" customHeight="1" x14ac:dyDescent="0.25">
      <c r="A7518" s="3"/>
      <c r="B7518" s="3"/>
      <c r="C7518" s="3"/>
      <c r="D7518" s="3"/>
      <c r="E7518" s="3"/>
      <c r="F7518" s="3"/>
      <c r="G7518" s="3"/>
      <c r="H7518" s="3"/>
      <c r="I7518" s="3"/>
      <c r="J7518" s="3"/>
      <c r="K7518" s="3"/>
      <c r="L7518" s="3"/>
      <c r="M7518" s="3"/>
      <c r="N7518" s="3"/>
      <c r="O7518" s="3"/>
    </row>
    <row r="7519" spans="1:15" ht="15" customHeight="1" x14ac:dyDescent="0.25">
      <c r="A7519" s="2"/>
      <c r="B7519" s="2"/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</row>
    <row r="7520" spans="1:15" ht="15" customHeight="1" x14ac:dyDescent="0.25">
      <c r="A7520" s="3"/>
      <c r="B7520" s="3"/>
      <c r="C7520" s="3"/>
      <c r="D7520" s="3"/>
      <c r="E7520" s="3"/>
      <c r="F7520" s="3"/>
      <c r="G7520" s="3"/>
      <c r="H7520" s="3"/>
      <c r="I7520" s="3"/>
      <c r="J7520" s="3"/>
      <c r="K7520" s="3"/>
      <c r="L7520" s="3"/>
      <c r="M7520" s="3"/>
      <c r="N7520" s="3"/>
      <c r="O7520" s="3"/>
    </row>
    <row r="7521" spans="1:15" ht="15" customHeight="1" x14ac:dyDescent="0.25">
      <c r="A7521" s="2"/>
      <c r="B7521" s="2"/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</row>
    <row r="7522" spans="1:15" ht="15" customHeight="1" x14ac:dyDescent="0.25">
      <c r="A7522" s="3"/>
      <c r="B7522" s="3"/>
      <c r="C7522" s="3"/>
      <c r="D7522" s="3"/>
      <c r="E7522" s="3"/>
      <c r="F7522" s="3"/>
      <c r="G7522" s="3"/>
      <c r="H7522" s="3"/>
      <c r="I7522" s="3"/>
      <c r="J7522" s="3"/>
      <c r="K7522" s="3"/>
      <c r="L7522" s="3"/>
      <c r="M7522" s="3"/>
      <c r="N7522" s="3"/>
      <c r="O7522" s="3"/>
    </row>
    <row r="7523" spans="1:15" ht="15" customHeight="1" x14ac:dyDescent="0.25">
      <c r="A7523" s="2"/>
      <c r="B7523" s="2"/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</row>
    <row r="7524" spans="1:15" ht="15" customHeight="1" x14ac:dyDescent="0.25">
      <c r="A7524" s="3"/>
      <c r="B7524" s="3"/>
      <c r="C7524" s="3"/>
      <c r="D7524" s="3"/>
      <c r="E7524" s="3"/>
      <c r="F7524" s="3"/>
      <c r="G7524" s="3"/>
      <c r="H7524" s="3"/>
      <c r="I7524" s="3"/>
      <c r="J7524" s="3"/>
      <c r="K7524" s="3"/>
      <c r="L7524" s="3"/>
      <c r="M7524" s="3"/>
      <c r="N7524" s="3"/>
      <c r="O7524" s="3"/>
    </row>
    <row r="7525" spans="1:15" ht="15" customHeight="1" x14ac:dyDescent="0.25">
      <c r="A7525" s="2"/>
      <c r="B7525" s="2"/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</row>
    <row r="7526" spans="1:15" ht="15" customHeight="1" x14ac:dyDescent="0.25">
      <c r="A7526" s="3"/>
      <c r="B7526" s="3"/>
      <c r="C7526" s="3"/>
      <c r="D7526" s="3"/>
      <c r="E7526" s="3"/>
      <c r="F7526" s="3"/>
      <c r="G7526" s="3"/>
      <c r="H7526" s="3"/>
      <c r="I7526" s="3"/>
      <c r="J7526" s="3"/>
      <c r="K7526" s="3"/>
      <c r="L7526" s="3"/>
      <c r="M7526" s="3"/>
      <c r="N7526" s="3"/>
      <c r="O7526" s="3"/>
    </row>
    <row r="7527" spans="1:15" ht="15" customHeight="1" x14ac:dyDescent="0.25">
      <c r="A7527" s="2"/>
      <c r="B7527" s="2"/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</row>
    <row r="7528" spans="1:15" ht="15" customHeight="1" x14ac:dyDescent="0.25">
      <c r="A7528" s="3"/>
      <c r="B7528" s="3"/>
      <c r="C7528" s="3"/>
      <c r="D7528" s="3"/>
      <c r="E7528" s="3"/>
      <c r="F7528" s="3"/>
      <c r="G7528" s="3"/>
      <c r="H7528" s="3"/>
      <c r="I7528" s="3"/>
      <c r="J7528" s="3"/>
      <c r="K7528" s="3"/>
      <c r="L7528" s="3"/>
      <c r="M7528" s="3"/>
      <c r="N7528" s="3"/>
      <c r="O7528" s="3"/>
    </row>
    <row r="7529" spans="1:15" ht="15" customHeight="1" x14ac:dyDescent="0.25">
      <c r="A7529" s="2"/>
      <c r="B7529" s="2"/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</row>
    <row r="7530" spans="1:15" ht="15" customHeight="1" x14ac:dyDescent="0.25">
      <c r="A7530" s="3"/>
      <c r="B7530" s="3"/>
      <c r="C7530" s="3"/>
      <c r="D7530" s="3"/>
      <c r="E7530" s="3"/>
      <c r="F7530" s="3"/>
      <c r="G7530" s="3"/>
      <c r="H7530" s="3"/>
      <c r="I7530" s="3"/>
      <c r="J7530" s="3"/>
      <c r="K7530" s="3"/>
      <c r="L7530" s="3"/>
      <c r="M7530" s="3"/>
      <c r="N7530" s="3"/>
      <c r="O7530" s="3"/>
    </row>
    <row r="7531" spans="1:15" ht="15" customHeight="1" x14ac:dyDescent="0.25">
      <c r="A7531" s="2"/>
      <c r="B7531" s="2"/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</row>
    <row r="7532" spans="1:15" ht="15" customHeight="1" x14ac:dyDescent="0.25">
      <c r="A7532" s="3"/>
      <c r="B7532" s="3"/>
      <c r="C7532" s="3"/>
      <c r="D7532" s="3"/>
      <c r="E7532" s="3"/>
      <c r="F7532" s="3"/>
      <c r="G7532" s="3"/>
      <c r="H7532" s="3"/>
      <c r="I7532" s="3"/>
      <c r="J7532" s="3"/>
      <c r="K7532" s="3"/>
      <c r="L7532" s="3"/>
      <c r="M7532" s="3"/>
      <c r="N7532" s="3"/>
      <c r="O7532" s="3"/>
    </row>
    <row r="7533" spans="1:15" ht="15" customHeight="1" x14ac:dyDescent="0.25">
      <c r="A7533" s="2"/>
      <c r="B7533" s="2"/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</row>
    <row r="7534" spans="1:15" ht="15" customHeight="1" x14ac:dyDescent="0.25">
      <c r="A7534" s="3"/>
      <c r="B7534" s="3"/>
      <c r="C7534" s="3"/>
      <c r="D7534" s="3"/>
      <c r="E7534" s="3"/>
      <c r="F7534" s="3"/>
      <c r="G7534" s="3"/>
      <c r="H7534" s="3"/>
      <c r="I7534" s="3"/>
      <c r="J7534" s="3"/>
      <c r="K7534" s="3"/>
      <c r="L7534" s="3"/>
      <c r="M7534" s="3"/>
      <c r="N7534" s="3"/>
      <c r="O7534" s="3"/>
    </row>
    <row r="7535" spans="1:15" ht="15" customHeight="1" x14ac:dyDescent="0.25">
      <c r="A7535" s="2"/>
      <c r="B7535" s="2"/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</row>
    <row r="7536" spans="1:15" ht="15" customHeight="1" x14ac:dyDescent="0.25">
      <c r="A7536" s="3"/>
      <c r="B7536" s="3"/>
      <c r="C7536" s="3"/>
      <c r="D7536" s="3"/>
      <c r="E7536" s="3"/>
      <c r="F7536" s="3"/>
      <c r="G7536" s="3"/>
      <c r="H7536" s="3"/>
      <c r="I7536" s="3"/>
      <c r="J7536" s="3"/>
      <c r="K7536" s="3"/>
      <c r="L7536" s="3"/>
      <c r="M7536" s="3"/>
      <c r="N7536" s="3"/>
      <c r="O7536" s="3"/>
    </row>
    <row r="7537" spans="1:15" ht="15" customHeight="1" x14ac:dyDescent="0.25">
      <c r="A7537" s="2"/>
      <c r="B7537" s="2"/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</row>
    <row r="7538" spans="1:15" ht="15" customHeight="1" x14ac:dyDescent="0.25">
      <c r="A7538" s="3"/>
      <c r="B7538" s="3"/>
      <c r="C7538" s="3"/>
      <c r="D7538" s="3"/>
      <c r="E7538" s="3"/>
      <c r="F7538" s="3"/>
      <c r="G7538" s="3"/>
      <c r="H7538" s="3"/>
      <c r="I7538" s="3"/>
      <c r="J7538" s="3"/>
      <c r="K7538" s="3"/>
      <c r="L7538" s="3"/>
      <c r="M7538" s="3"/>
      <c r="N7538" s="3"/>
      <c r="O7538" s="3"/>
    </row>
    <row r="7539" spans="1:15" ht="15" customHeight="1" x14ac:dyDescent="0.25">
      <c r="A7539" s="2"/>
      <c r="B7539" s="2"/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</row>
    <row r="7540" spans="1:15" ht="15" customHeight="1" x14ac:dyDescent="0.25">
      <c r="A7540" s="3"/>
      <c r="B7540" s="3"/>
      <c r="C7540" s="3"/>
      <c r="D7540" s="3"/>
      <c r="E7540" s="3"/>
      <c r="F7540" s="3"/>
      <c r="G7540" s="3"/>
      <c r="H7540" s="3"/>
      <c r="I7540" s="3"/>
      <c r="J7540" s="3"/>
      <c r="K7540" s="3"/>
      <c r="L7540" s="3"/>
      <c r="M7540" s="3"/>
      <c r="N7540" s="3"/>
      <c r="O7540" s="3"/>
    </row>
    <row r="7541" spans="1:15" ht="15" customHeight="1" x14ac:dyDescent="0.25">
      <c r="A7541" s="2"/>
      <c r="B7541" s="2"/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</row>
    <row r="7542" spans="1:15" ht="15" customHeight="1" x14ac:dyDescent="0.25">
      <c r="A7542" s="3"/>
      <c r="B7542" s="3"/>
      <c r="C7542" s="3"/>
      <c r="D7542" s="3"/>
      <c r="E7542" s="3"/>
      <c r="F7542" s="3"/>
      <c r="G7542" s="3"/>
      <c r="H7542" s="3"/>
      <c r="I7542" s="3"/>
      <c r="J7542" s="3"/>
      <c r="K7542" s="3"/>
      <c r="L7542" s="3"/>
      <c r="M7542" s="3"/>
      <c r="N7542" s="3"/>
      <c r="O7542" s="3"/>
    </row>
    <row r="7543" spans="1:15" ht="15" customHeight="1" x14ac:dyDescent="0.25">
      <c r="A7543" s="2"/>
      <c r="B7543" s="2"/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</row>
    <row r="7544" spans="1:15" ht="15" customHeight="1" x14ac:dyDescent="0.25">
      <c r="A7544" s="3"/>
      <c r="B7544" s="3"/>
      <c r="C7544" s="3"/>
      <c r="D7544" s="3"/>
      <c r="E7544" s="3"/>
      <c r="F7544" s="3"/>
      <c r="G7544" s="3"/>
      <c r="H7544" s="3"/>
      <c r="I7544" s="3"/>
      <c r="J7544" s="3"/>
      <c r="K7544" s="3"/>
      <c r="L7544" s="3"/>
      <c r="M7544" s="3"/>
      <c r="N7544" s="3"/>
      <c r="O7544" s="3"/>
    </row>
    <row r="7545" spans="1:15" ht="15" customHeight="1" x14ac:dyDescent="0.25">
      <c r="A7545" s="2"/>
      <c r="B7545" s="2"/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</row>
    <row r="7546" spans="1:15" ht="15" customHeight="1" x14ac:dyDescent="0.25">
      <c r="A7546" s="3"/>
      <c r="B7546" s="3"/>
      <c r="C7546" s="3"/>
      <c r="D7546" s="3"/>
      <c r="E7546" s="3"/>
      <c r="F7546" s="3"/>
      <c r="G7546" s="3"/>
      <c r="H7546" s="3"/>
      <c r="I7546" s="3"/>
      <c r="J7546" s="3"/>
      <c r="K7546" s="3"/>
      <c r="L7546" s="3"/>
      <c r="M7546" s="3"/>
      <c r="N7546" s="3"/>
      <c r="O7546" s="3"/>
    </row>
    <row r="7547" spans="1:15" ht="15" customHeight="1" x14ac:dyDescent="0.25">
      <c r="A7547" s="2"/>
      <c r="B7547" s="2"/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</row>
    <row r="7548" spans="1:15" ht="15" customHeight="1" x14ac:dyDescent="0.25">
      <c r="A7548" s="3"/>
      <c r="B7548" s="3"/>
      <c r="C7548" s="3"/>
      <c r="D7548" s="3"/>
      <c r="E7548" s="3"/>
      <c r="F7548" s="3"/>
      <c r="G7548" s="3"/>
      <c r="H7548" s="3"/>
      <c r="I7548" s="3"/>
      <c r="J7548" s="3"/>
      <c r="K7548" s="3"/>
      <c r="L7548" s="3"/>
      <c r="M7548" s="3"/>
      <c r="N7548" s="3"/>
      <c r="O7548" s="3"/>
    </row>
    <row r="7549" spans="1:15" ht="15" customHeight="1" x14ac:dyDescent="0.25">
      <c r="A7549" s="2"/>
      <c r="B7549" s="2"/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</row>
    <row r="7550" spans="1:15" ht="15" customHeight="1" x14ac:dyDescent="0.25">
      <c r="A7550" s="3"/>
      <c r="B7550" s="3"/>
      <c r="C7550" s="3"/>
      <c r="D7550" s="3"/>
      <c r="E7550" s="3"/>
      <c r="F7550" s="3"/>
      <c r="G7550" s="3"/>
      <c r="H7550" s="3"/>
      <c r="I7550" s="3"/>
      <c r="J7550" s="3"/>
      <c r="K7550" s="3"/>
      <c r="L7550" s="3"/>
      <c r="M7550" s="3"/>
      <c r="N7550" s="3"/>
      <c r="O7550" s="3"/>
    </row>
    <row r="7551" spans="1:15" ht="15" customHeight="1" x14ac:dyDescent="0.25">
      <c r="A7551" s="2"/>
      <c r="B7551" s="2"/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</row>
    <row r="7552" spans="1:15" ht="15" customHeight="1" x14ac:dyDescent="0.25">
      <c r="A7552" s="3"/>
      <c r="B7552" s="3"/>
      <c r="C7552" s="3"/>
      <c r="D7552" s="3"/>
      <c r="E7552" s="3"/>
      <c r="F7552" s="3"/>
      <c r="G7552" s="3"/>
      <c r="H7552" s="3"/>
      <c r="I7552" s="3"/>
      <c r="J7552" s="3"/>
      <c r="K7552" s="3"/>
      <c r="L7552" s="3"/>
      <c r="M7552" s="3"/>
      <c r="N7552" s="3"/>
      <c r="O7552" s="3"/>
    </row>
    <row r="7553" spans="1:15" ht="15" customHeight="1" x14ac:dyDescent="0.25">
      <c r="A7553" s="2"/>
      <c r="B7553" s="2"/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</row>
    <row r="7554" spans="1:15" ht="15" customHeight="1" x14ac:dyDescent="0.25">
      <c r="A7554" s="3"/>
      <c r="B7554" s="3"/>
      <c r="C7554" s="3"/>
      <c r="D7554" s="3"/>
      <c r="E7554" s="3"/>
      <c r="F7554" s="3"/>
      <c r="G7554" s="3"/>
      <c r="H7554" s="3"/>
      <c r="I7554" s="3"/>
      <c r="J7554" s="3"/>
      <c r="K7554" s="3"/>
      <c r="L7554" s="3"/>
      <c r="M7554" s="3"/>
      <c r="N7554" s="3"/>
      <c r="O7554" s="3"/>
    </row>
    <row r="7555" spans="1:15" ht="15" customHeight="1" x14ac:dyDescent="0.25">
      <c r="A7555" s="2"/>
      <c r="B7555" s="2"/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</row>
    <row r="7556" spans="1:15" ht="15" customHeight="1" x14ac:dyDescent="0.25">
      <c r="A7556" s="3"/>
      <c r="B7556" s="3"/>
      <c r="C7556" s="3"/>
      <c r="D7556" s="3"/>
      <c r="E7556" s="3"/>
      <c r="F7556" s="3"/>
      <c r="G7556" s="3"/>
      <c r="H7556" s="3"/>
      <c r="I7556" s="3"/>
      <c r="J7556" s="3"/>
      <c r="K7556" s="3"/>
      <c r="L7556" s="3"/>
      <c r="M7556" s="3"/>
      <c r="N7556" s="3"/>
      <c r="O7556" s="3"/>
    </row>
    <row r="7557" spans="1:15" ht="15" customHeight="1" x14ac:dyDescent="0.25">
      <c r="A7557" s="2"/>
      <c r="B7557" s="2"/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</row>
    <row r="7558" spans="1:15" ht="15" customHeight="1" x14ac:dyDescent="0.25">
      <c r="A7558" s="3"/>
      <c r="B7558" s="3"/>
      <c r="C7558" s="3"/>
      <c r="D7558" s="3"/>
      <c r="E7558" s="3"/>
      <c r="F7558" s="3"/>
      <c r="G7558" s="3"/>
      <c r="H7558" s="3"/>
      <c r="I7558" s="3"/>
      <c r="J7558" s="3"/>
      <c r="K7558" s="3"/>
      <c r="L7558" s="3"/>
      <c r="M7558" s="3"/>
      <c r="N7558" s="3"/>
      <c r="O7558" s="3"/>
    </row>
    <row r="7559" spans="1:15" ht="15" customHeight="1" x14ac:dyDescent="0.25">
      <c r="A7559" s="2"/>
      <c r="B7559" s="2"/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</row>
    <row r="7560" spans="1:15" ht="15" customHeight="1" x14ac:dyDescent="0.25">
      <c r="A7560" s="3"/>
      <c r="B7560" s="3"/>
      <c r="C7560" s="3"/>
      <c r="D7560" s="3"/>
      <c r="E7560" s="3"/>
      <c r="F7560" s="3"/>
      <c r="G7560" s="3"/>
      <c r="H7560" s="3"/>
      <c r="I7560" s="3"/>
      <c r="J7560" s="3"/>
      <c r="K7560" s="3"/>
      <c r="L7560" s="3"/>
      <c r="M7560" s="3"/>
      <c r="N7560" s="3"/>
      <c r="O7560" s="3"/>
    </row>
    <row r="7561" spans="1:15" ht="15" customHeight="1" x14ac:dyDescent="0.25">
      <c r="A7561" s="2"/>
      <c r="B7561" s="2"/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</row>
    <row r="7562" spans="1:15" ht="15" customHeight="1" x14ac:dyDescent="0.25">
      <c r="A7562" s="3"/>
      <c r="B7562" s="3"/>
      <c r="C7562" s="3"/>
      <c r="D7562" s="3"/>
      <c r="E7562" s="3"/>
      <c r="F7562" s="3"/>
      <c r="G7562" s="3"/>
      <c r="H7562" s="3"/>
      <c r="I7562" s="3"/>
      <c r="J7562" s="3"/>
      <c r="K7562" s="3"/>
      <c r="L7562" s="3"/>
      <c r="M7562" s="3"/>
      <c r="N7562" s="3"/>
      <c r="O7562" s="3"/>
    </row>
    <row r="7563" spans="1:15" ht="15" customHeight="1" x14ac:dyDescent="0.25">
      <c r="A7563" s="2"/>
      <c r="B7563" s="2"/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</row>
    <row r="7564" spans="1:15" ht="15" customHeight="1" x14ac:dyDescent="0.25">
      <c r="A7564" s="3"/>
      <c r="B7564" s="3"/>
      <c r="C7564" s="3"/>
      <c r="D7564" s="3"/>
      <c r="E7564" s="3"/>
      <c r="F7564" s="3"/>
      <c r="G7564" s="3"/>
      <c r="H7564" s="3"/>
      <c r="I7564" s="3"/>
      <c r="J7564" s="3"/>
      <c r="K7564" s="3"/>
      <c r="L7564" s="3"/>
      <c r="M7564" s="3"/>
      <c r="N7564" s="3"/>
      <c r="O7564" s="3"/>
    </row>
    <row r="7565" spans="1:15" ht="15" customHeight="1" x14ac:dyDescent="0.25">
      <c r="A7565" s="2"/>
      <c r="B7565" s="2"/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</row>
    <row r="7566" spans="1:15" ht="15" customHeight="1" x14ac:dyDescent="0.25">
      <c r="A7566" s="3"/>
      <c r="B7566" s="3"/>
      <c r="C7566" s="3"/>
      <c r="D7566" s="3"/>
      <c r="E7566" s="3"/>
      <c r="F7566" s="3"/>
      <c r="G7566" s="3"/>
      <c r="H7566" s="3"/>
      <c r="I7566" s="3"/>
      <c r="J7566" s="3"/>
      <c r="K7566" s="3"/>
      <c r="L7566" s="3"/>
      <c r="M7566" s="3"/>
      <c r="N7566" s="3"/>
      <c r="O7566" s="3"/>
    </row>
    <row r="7567" spans="1:15" ht="15" customHeight="1" x14ac:dyDescent="0.25">
      <c r="A7567" s="2"/>
      <c r="B7567" s="2"/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</row>
    <row r="7568" spans="1:15" ht="15" customHeight="1" x14ac:dyDescent="0.25">
      <c r="A7568" s="3"/>
      <c r="B7568" s="3"/>
      <c r="C7568" s="3"/>
      <c r="D7568" s="3"/>
      <c r="E7568" s="3"/>
      <c r="F7568" s="3"/>
      <c r="G7568" s="3"/>
      <c r="H7568" s="3"/>
      <c r="I7568" s="3"/>
      <c r="J7568" s="3"/>
      <c r="K7568" s="3"/>
      <c r="L7568" s="3"/>
      <c r="M7568" s="3"/>
      <c r="N7568" s="3"/>
      <c r="O7568" s="3"/>
    </row>
    <row r="7569" spans="1:15" ht="15" customHeight="1" x14ac:dyDescent="0.25">
      <c r="A7569" s="2"/>
      <c r="B7569" s="2"/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</row>
    <row r="7570" spans="1:15" ht="15" customHeight="1" x14ac:dyDescent="0.25">
      <c r="A7570" s="3"/>
      <c r="B7570" s="3"/>
      <c r="C7570" s="3"/>
      <c r="D7570" s="3"/>
      <c r="E7570" s="3"/>
      <c r="F7570" s="3"/>
      <c r="G7570" s="3"/>
      <c r="H7570" s="3"/>
      <c r="I7570" s="3"/>
      <c r="J7570" s="3"/>
      <c r="K7570" s="3"/>
      <c r="L7570" s="3"/>
      <c r="M7570" s="3"/>
      <c r="N7570" s="3"/>
      <c r="O7570" s="3"/>
    </row>
    <row r="7571" spans="1:15" ht="15" customHeight="1" x14ac:dyDescent="0.25">
      <c r="A7571" s="2"/>
      <c r="B7571" s="2"/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</row>
    <row r="7572" spans="1:15" ht="15" customHeight="1" x14ac:dyDescent="0.25">
      <c r="A7572" s="3"/>
      <c r="B7572" s="3"/>
      <c r="C7572" s="3"/>
      <c r="D7572" s="3"/>
      <c r="E7572" s="3"/>
      <c r="F7572" s="3"/>
      <c r="G7572" s="3"/>
      <c r="H7572" s="3"/>
      <c r="I7572" s="3"/>
      <c r="J7572" s="3"/>
      <c r="K7572" s="3"/>
      <c r="L7572" s="3"/>
      <c r="M7572" s="3"/>
      <c r="N7572" s="3"/>
      <c r="O7572" s="3"/>
    </row>
    <row r="7573" spans="1:15" ht="15" customHeight="1" x14ac:dyDescent="0.25">
      <c r="A7573" s="2"/>
      <c r="B7573" s="2"/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</row>
    <row r="7574" spans="1:15" ht="15" customHeight="1" x14ac:dyDescent="0.25">
      <c r="A7574" s="3"/>
      <c r="B7574" s="3"/>
      <c r="C7574" s="3"/>
      <c r="D7574" s="3"/>
      <c r="E7574" s="3"/>
      <c r="F7574" s="3"/>
      <c r="G7574" s="3"/>
      <c r="H7574" s="3"/>
      <c r="I7574" s="3"/>
      <c r="J7574" s="3"/>
      <c r="K7574" s="3"/>
      <c r="L7574" s="3"/>
      <c r="M7574" s="3"/>
      <c r="N7574" s="3"/>
      <c r="O7574" s="3"/>
    </row>
    <row r="7575" spans="1:15" ht="15" customHeight="1" x14ac:dyDescent="0.25">
      <c r="A7575" s="2"/>
      <c r="B7575" s="2"/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</row>
    <row r="7576" spans="1:15" ht="15" customHeight="1" x14ac:dyDescent="0.25">
      <c r="A7576" s="3"/>
      <c r="B7576" s="3"/>
      <c r="C7576" s="3"/>
      <c r="D7576" s="3"/>
      <c r="E7576" s="3"/>
      <c r="F7576" s="3"/>
      <c r="G7576" s="3"/>
      <c r="H7576" s="3"/>
      <c r="I7576" s="3"/>
      <c r="J7576" s="3"/>
      <c r="K7576" s="3"/>
      <c r="L7576" s="3"/>
      <c r="M7576" s="3"/>
      <c r="N7576" s="3"/>
      <c r="O7576" s="3"/>
    </row>
    <row r="7577" spans="1:15" ht="15" customHeight="1" x14ac:dyDescent="0.25">
      <c r="A7577" s="2"/>
      <c r="B7577" s="2"/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</row>
    <row r="7578" spans="1:15" ht="15" customHeight="1" x14ac:dyDescent="0.25">
      <c r="A7578" s="3"/>
      <c r="B7578" s="3"/>
      <c r="C7578" s="3"/>
      <c r="D7578" s="3"/>
      <c r="E7578" s="3"/>
      <c r="F7578" s="3"/>
      <c r="G7578" s="3"/>
      <c r="H7578" s="3"/>
      <c r="I7578" s="3"/>
      <c r="J7578" s="3"/>
      <c r="K7578" s="3"/>
      <c r="L7578" s="3"/>
      <c r="M7578" s="3"/>
      <c r="N7578" s="3"/>
      <c r="O7578" s="3"/>
    </row>
    <row r="7579" spans="1:15" ht="15" customHeight="1" x14ac:dyDescent="0.25">
      <c r="A7579" s="2"/>
      <c r="B7579" s="2"/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</row>
    <row r="7580" spans="1:15" ht="15" customHeight="1" x14ac:dyDescent="0.25">
      <c r="A7580" s="3"/>
      <c r="B7580" s="3"/>
      <c r="C7580" s="3"/>
      <c r="D7580" s="3"/>
      <c r="E7580" s="3"/>
      <c r="F7580" s="3"/>
      <c r="G7580" s="3"/>
      <c r="H7580" s="3"/>
      <c r="I7580" s="3"/>
      <c r="J7580" s="3"/>
      <c r="K7580" s="3"/>
      <c r="L7580" s="3"/>
      <c r="M7580" s="3"/>
      <c r="N7580" s="3"/>
      <c r="O7580" s="3"/>
    </row>
    <row r="7581" spans="1:15" ht="15" customHeight="1" x14ac:dyDescent="0.25">
      <c r="A7581" s="2"/>
      <c r="B7581" s="2"/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</row>
    <row r="7582" spans="1:15" ht="15" customHeight="1" x14ac:dyDescent="0.25">
      <c r="A7582" s="3"/>
      <c r="B7582" s="3"/>
      <c r="C7582" s="3"/>
      <c r="D7582" s="3"/>
      <c r="E7582" s="3"/>
      <c r="F7582" s="3"/>
      <c r="G7582" s="3"/>
      <c r="H7582" s="3"/>
      <c r="I7582" s="3"/>
      <c r="J7582" s="3"/>
      <c r="K7582" s="3"/>
      <c r="L7582" s="3"/>
      <c r="M7582" s="3"/>
      <c r="N7582" s="3"/>
      <c r="O7582" s="3"/>
    </row>
    <row r="7583" spans="1:15" ht="15" customHeight="1" x14ac:dyDescent="0.25">
      <c r="A7583" s="2"/>
      <c r="B7583" s="2"/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</row>
    <row r="7584" spans="1:15" ht="15" customHeight="1" x14ac:dyDescent="0.25">
      <c r="A7584" s="3"/>
      <c r="B7584" s="3"/>
      <c r="C7584" s="3"/>
      <c r="D7584" s="3"/>
      <c r="E7584" s="3"/>
      <c r="F7584" s="3"/>
      <c r="G7584" s="3"/>
      <c r="H7584" s="3"/>
      <c r="I7584" s="3"/>
      <c r="J7584" s="3"/>
      <c r="K7584" s="3"/>
      <c r="L7584" s="3"/>
      <c r="M7584" s="3"/>
      <c r="N7584" s="3"/>
      <c r="O7584" s="3"/>
    </row>
    <row r="7585" spans="1:15" ht="15" customHeight="1" x14ac:dyDescent="0.25">
      <c r="A7585" s="2"/>
      <c r="B7585" s="2"/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</row>
    <row r="7586" spans="1:15" ht="15" customHeight="1" x14ac:dyDescent="0.25">
      <c r="A7586" s="3"/>
      <c r="B7586" s="3"/>
      <c r="C7586" s="3"/>
      <c r="D7586" s="3"/>
      <c r="E7586" s="3"/>
      <c r="F7586" s="3"/>
      <c r="G7586" s="3"/>
      <c r="H7586" s="3"/>
      <c r="I7586" s="3"/>
      <c r="J7586" s="3"/>
      <c r="K7586" s="3"/>
      <c r="L7586" s="3"/>
      <c r="M7586" s="3"/>
      <c r="N7586" s="3"/>
      <c r="O7586" s="3"/>
    </row>
    <row r="7587" spans="1:15" ht="15" customHeight="1" x14ac:dyDescent="0.25">
      <c r="A7587" s="2"/>
      <c r="B7587" s="2"/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</row>
    <row r="7588" spans="1:15" ht="15" customHeight="1" x14ac:dyDescent="0.25">
      <c r="A7588" s="3"/>
      <c r="B7588" s="3"/>
      <c r="C7588" s="3"/>
      <c r="D7588" s="3"/>
      <c r="E7588" s="3"/>
      <c r="F7588" s="3"/>
      <c r="G7588" s="3"/>
      <c r="H7588" s="3"/>
      <c r="I7588" s="3"/>
      <c r="J7588" s="3"/>
      <c r="K7588" s="3"/>
      <c r="L7588" s="3"/>
      <c r="M7588" s="3"/>
      <c r="N7588" s="3"/>
      <c r="O7588" s="3"/>
    </row>
    <row r="7589" spans="1:15" ht="15" customHeight="1" x14ac:dyDescent="0.25">
      <c r="A7589" s="2"/>
      <c r="B7589" s="2"/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</row>
    <row r="7590" spans="1:15" ht="15" customHeight="1" x14ac:dyDescent="0.25">
      <c r="A7590" s="3"/>
      <c r="B7590" s="3"/>
      <c r="C7590" s="3"/>
      <c r="D7590" s="3"/>
      <c r="E7590" s="3"/>
      <c r="F7590" s="3"/>
      <c r="G7590" s="3"/>
      <c r="H7590" s="3"/>
      <c r="I7590" s="3"/>
      <c r="J7590" s="3"/>
      <c r="K7590" s="3"/>
      <c r="L7590" s="3"/>
      <c r="M7590" s="3"/>
      <c r="N7590" s="3"/>
      <c r="O7590" s="3"/>
    </row>
    <row r="7591" spans="1:15" ht="15" customHeight="1" x14ac:dyDescent="0.25">
      <c r="A7591" s="2"/>
      <c r="B7591" s="2"/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</row>
    <row r="7592" spans="1:15" ht="15" customHeight="1" x14ac:dyDescent="0.25">
      <c r="A7592" s="3"/>
      <c r="B7592" s="3"/>
      <c r="C7592" s="3"/>
      <c r="D7592" s="3"/>
      <c r="E7592" s="3"/>
      <c r="F7592" s="3"/>
      <c r="G7592" s="3"/>
      <c r="H7592" s="3"/>
      <c r="I7592" s="3"/>
      <c r="J7592" s="3"/>
      <c r="K7592" s="3"/>
      <c r="L7592" s="3"/>
      <c r="M7592" s="3"/>
      <c r="N7592" s="3"/>
      <c r="O7592" s="3"/>
    </row>
    <row r="7593" spans="1:15" ht="15" customHeight="1" x14ac:dyDescent="0.25">
      <c r="A7593" s="2"/>
      <c r="B7593" s="2"/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</row>
    <row r="7594" spans="1:15" ht="15" customHeight="1" x14ac:dyDescent="0.25">
      <c r="A7594" s="3"/>
      <c r="B7594" s="3"/>
      <c r="C7594" s="3"/>
      <c r="D7594" s="3"/>
      <c r="E7594" s="3"/>
      <c r="F7594" s="3"/>
      <c r="G7594" s="3"/>
      <c r="H7594" s="3"/>
      <c r="I7594" s="3"/>
      <c r="J7594" s="3"/>
      <c r="K7594" s="3"/>
      <c r="L7594" s="3"/>
      <c r="M7594" s="3"/>
      <c r="N7594" s="3"/>
      <c r="O7594" s="3"/>
    </row>
    <row r="7595" spans="1:15" ht="15" customHeight="1" x14ac:dyDescent="0.25">
      <c r="A7595" s="2"/>
      <c r="B7595" s="2"/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</row>
    <row r="7596" spans="1:15" ht="15" customHeight="1" x14ac:dyDescent="0.25">
      <c r="A7596" s="3"/>
      <c r="B7596" s="3"/>
      <c r="C7596" s="3"/>
      <c r="D7596" s="3"/>
      <c r="E7596" s="3"/>
      <c r="F7596" s="3"/>
      <c r="G7596" s="3"/>
      <c r="H7596" s="3"/>
      <c r="I7596" s="3"/>
      <c r="J7596" s="3"/>
      <c r="K7596" s="3"/>
      <c r="L7596" s="3"/>
      <c r="M7596" s="3"/>
      <c r="N7596" s="3"/>
      <c r="O7596" s="3"/>
    </row>
    <row r="7597" spans="1:15" ht="15" customHeight="1" x14ac:dyDescent="0.25">
      <c r="A7597" s="2"/>
      <c r="B7597" s="2"/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</row>
    <row r="7598" spans="1:15" ht="15" customHeight="1" x14ac:dyDescent="0.25">
      <c r="A7598" s="3"/>
      <c r="B7598" s="3"/>
      <c r="C7598" s="3"/>
      <c r="D7598" s="3"/>
      <c r="E7598" s="3"/>
      <c r="F7598" s="3"/>
      <c r="G7598" s="3"/>
      <c r="H7598" s="3"/>
      <c r="I7598" s="3"/>
      <c r="J7598" s="3"/>
      <c r="K7598" s="3"/>
      <c r="L7598" s="3"/>
      <c r="M7598" s="3"/>
      <c r="N7598" s="3"/>
      <c r="O7598" s="3"/>
    </row>
    <row r="7599" spans="1:15" ht="15" customHeight="1" x14ac:dyDescent="0.25">
      <c r="A7599" s="2"/>
      <c r="B7599" s="2"/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</row>
    <row r="7600" spans="1:15" ht="15" customHeight="1" x14ac:dyDescent="0.25">
      <c r="A7600" s="3"/>
      <c r="B7600" s="3"/>
      <c r="C7600" s="3"/>
      <c r="D7600" s="3"/>
      <c r="E7600" s="3"/>
      <c r="F7600" s="3"/>
      <c r="G7600" s="3"/>
      <c r="H7600" s="3"/>
      <c r="I7600" s="3"/>
      <c r="J7600" s="3"/>
      <c r="K7600" s="3"/>
      <c r="L7600" s="3"/>
      <c r="M7600" s="3"/>
      <c r="N7600" s="3"/>
      <c r="O7600" s="3"/>
    </row>
    <row r="7601" spans="1:15" ht="15" customHeight="1" x14ac:dyDescent="0.25">
      <c r="A7601" s="2"/>
      <c r="B7601" s="2"/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</row>
    <row r="7602" spans="1:15" ht="15" customHeight="1" x14ac:dyDescent="0.25">
      <c r="A7602" s="3"/>
      <c r="B7602" s="3"/>
      <c r="C7602" s="3"/>
      <c r="D7602" s="3"/>
      <c r="E7602" s="3"/>
      <c r="F7602" s="3"/>
      <c r="G7602" s="3"/>
      <c r="H7602" s="3"/>
      <c r="I7602" s="3"/>
      <c r="J7602" s="3"/>
      <c r="K7602" s="3"/>
      <c r="L7602" s="3"/>
      <c r="M7602" s="3"/>
      <c r="N7602" s="3"/>
      <c r="O7602" s="3"/>
    </row>
    <row r="7603" spans="1:15" ht="15" customHeight="1" x14ac:dyDescent="0.25">
      <c r="A7603" s="2"/>
      <c r="B7603" s="2"/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</row>
    <row r="7604" spans="1:15" ht="15" customHeight="1" x14ac:dyDescent="0.25">
      <c r="A7604" s="3"/>
      <c r="B7604" s="3"/>
      <c r="C7604" s="3"/>
      <c r="D7604" s="3"/>
      <c r="E7604" s="3"/>
      <c r="F7604" s="3"/>
      <c r="G7604" s="3"/>
      <c r="H7604" s="3"/>
      <c r="I7604" s="3"/>
      <c r="J7604" s="3"/>
      <c r="K7604" s="3"/>
      <c r="L7604" s="3"/>
      <c r="M7604" s="3"/>
      <c r="N7604" s="3"/>
      <c r="O7604" s="3"/>
    </row>
    <row r="7605" spans="1:15" ht="15" customHeight="1" x14ac:dyDescent="0.25">
      <c r="A7605" s="2"/>
      <c r="B7605" s="2"/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</row>
    <row r="7606" spans="1:15" ht="15" customHeight="1" x14ac:dyDescent="0.25">
      <c r="A7606" s="3"/>
      <c r="B7606" s="3"/>
      <c r="C7606" s="3"/>
      <c r="D7606" s="3"/>
      <c r="E7606" s="3"/>
      <c r="F7606" s="3"/>
      <c r="G7606" s="3"/>
      <c r="H7606" s="3"/>
      <c r="I7606" s="3"/>
      <c r="J7606" s="3"/>
      <c r="K7606" s="3"/>
      <c r="L7606" s="3"/>
      <c r="M7606" s="3"/>
      <c r="N7606" s="3"/>
      <c r="O7606" s="3"/>
    </row>
    <row r="7607" spans="1:15" ht="15" customHeight="1" x14ac:dyDescent="0.25">
      <c r="A7607" s="2"/>
      <c r="B7607" s="2"/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</row>
    <row r="7608" spans="1:15" ht="15" customHeight="1" x14ac:dyDescent="0.25">
      <c r="A7608" s="3"/>
      <c r="B7608" s="3"/>
      <c r="C7608" s="3"/>
      <c r="D7608" s="3"/>
      <c r="E7608" s="3"/>
      <c r="F7608" s="3"/>
      <c r="G7608" s="3"/>
      <c r="H7608" s="3"/>
      <c r="I7608" s="3"/>
      <c r="J7608" s="3"/>
      <c r="K7608" s="3"/>
      <c r="L7608" s="3"/>
      <c r="M7608" s="3"/>
      <c r="N7608" s="3"/>
      <c r="O7608" s="3"/>
    </row>
    <row r="7609" spans="1:15" ht="15" customHeight="1" x14ac:dyDescent="0.25">
      <c r="A7609" s="2"/>
      <c r="B7609" s="2"/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</row>
    <row r="7610" spans="1:15" ht="15" customHeight="1" x14ac:dyDescent="0.25">
      <c r="A7610" s="3"/>
      <c r="B7610" s="3"/>
      <c r="C7610" s="3"/>
      <c r="D7610" s="3"/>
      <c r="E7610" s="3"/>
      <c r="F7610" s="3"/>
      <c r="G7610" s="3"/>
      <c r="H7610" s="3"/>
      <c r="I7610" s="3"/>
      <c r="J7610" s="3"/>
      <c r="K7610" s="3"/>
      <c r="L7610" s="3"/>
      <c r="M7610" s="3"/>
      <c r="N7610" s="3"/>
      <c r="O7610" s="3"/>
    </row>
    <row r="7611" spans="1:15" ht="15" customHeight="1" x14ac:dyDescent="0.25">
      <c r="A7611" s="2"/>
      <c r="B7611" s="2"/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</row>
    <row r="7612" spans="1:15" ht="15" customHeight="1" x14ac:dyDescent="0.25">
      <c r="A7612" s="3"/>
      <c r="B7612" s="3"/>
      <c r="C7612" s="3"/>
      <c r="D7612" s="3"/>
      <c r="E7612" s="3"/>
      <c r="F7612" s="3"/>
      <c r="G7612" s="3"/>
      <c r="H7612" s="3"/>
      <c r="I7612" s="3"/>
      <c r="J7612" s="3"/>
      <c r="K7612" s="3"/>
      <c r="L7612" s="3"/>
      <c r="M7612" s="3"/>
      <c r="N7612" s="3"/>
      <c r="O7612" s="3"/>
    </row>
    <row r="7613" spans="1:15" ht="15" customHeight="1" x14ac:dyDescent="0.25">
      <c r="A7613" s="2"/>
      <c r="B7613" s="2"/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</row>
    <row r="7614" spans="1:15" ht="15" customHeight="1" x14ac:dyDescent="0.25">
      <c r="A7614" s="3"/>
      <c r="B7614" s="3"/>
      <c r="C7614" s="3"/>
      <c r="D7614" s="3"/>
      <c r="E7614" s="3"/>
      <c r="F7614" s="3"/>
      <c r="G7614" s="3"/>
      <c r="H7614" s="3"/>
      <c r="I7614" s="3"/>
      <c r="J7614" s="3"/>
      <c r="K7614" s="3"/>
      <c r="L7614" s="3"/>
      <c r="M7614" s="3"/>
      <c r="N7614" s="3"/>
      <c r="O7614" s="3"/>
    </row>
    <row r="7615" spans="1:15" ht="15" customHeight="1" x14ac:dyDescent="0.25">
      <c r="A7615" s="2"/>
      <c r="B7615" s="2"/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</row>
    <row r="7616" spans="1:15" ht="15" customHeight="1" x14ac:dyDescent="0.25">
      <c r="A7616" s="3"/>
      <c r="B7616" s="3"/>
      <c r="C7616" s="3"/>
      <c r="D7616" s="3"/>
      <c r="E7616" s="3"/>
      <c r="F7616" s="3"/>
      <c r="G7616" s="3"/>
      <c r="H7616" s="3"/>
      <c r="I7616" s="3"/>
      <c r="J7616" s="3"/>
      <c r="K7616" s="3"/>
      <c r="L7616" s="3"/>
      <c r="M7616" s="3"/>
      <c r="N7616" s="3"/>
      <c r="O7616" s="3"/>
    </row>
    <row r="7617" spans="1:15" ht="15" customHeight="1" x14ac:dyDescent="0.25">
      <c r="A7617" s="2"/>
      <c r="B7617" s="2"/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</row>
    <row r="7618" spans="1:15" ht="15" customHeight="1" x14ac:dyDescent="0.25">
      <c r="A7618" s="3"/>
      <c r="B7618" s="3"/>
      <c r="C7618" s="3"/>
      <c r="D7618" s="3"/>
      <c r="E7618" s="3"/>
      <c r="F7618" s="3"/>
      <c r="G7618" s="3"/>
      <c r="H7618" s="3"/>
      <c r="I7618" s="3"/>
      <c r="J7618" s="3"/>
      <c r="K7618" s="3"/>
      <c r="L7618" s="3"/>
      <c r="M7618" s="3"/>
      <c r="N7618" s="3"/>
      <c r="O7618" s="3"/>
    </row>
    <row r="7619" spans="1:15" ht="15" customHeight="1" x14ac:dyDescent="0.25">
      <c r="A7619" s="2"/>
      <c r="B7619" s="2"/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</row>
    <row r="7620" spans="1:15" ht="15" customHeight="1" x14ac:dyDescent="0.25">
      <c r="A7620" s="3"/>
      <c r="B7620" s="3"/>
      <c r="C7620" s="3"/>
      <c r="D7620" s="3"/>
      <c r="E7620" s="3"/>
      <c r="F7620" s="3"/>
      <c r="G7620" s="3"/>
      <c r="H7620" s="3"/>
      <c r="I7620" s="3"/>
      <c r="J7620" s="3"/>
      <c r="K7620" s="3"/>
      <c r="L7620" s="3"/>
      <c r="M7620" s="3"/>
      <c r="N7620" s="3"/>
      <c r="O7620" s="3"/>
    </row>
    <row r="7621" spans="1:15" ht="15" customHeight="1" x14ac:dyDescent="0.25">
      <c r="A7621" s="2"/>
      <c r="B7621" s="2"/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</row>
    <row r="7622" spans="1:15" ht="15" customHeight="1" x14ac:dyDescent="0.25">
      <c r="A7622" s="3"/>
      <c r="B7622" s="3"/>
      <c r="C7622" s="3"/>
      <c r="D7622" s="3"/>
      <c r="E7622" s="3"/>
      <c r="F7622" s="3"/>
      <c r="G7622" s="3"/>
      <c r="H7622" s="3"/>
      <c r="I7622" s="3"/>
      <c r="J7622" s="3"/>
      <c r="K7622" s="3"/>
      <c r="L7622" s="3"/>
      <c r="M7622" s="3"/>
      <c r="N7622" s="3"/>
      <c r="O7622" s="3"/>
    </row>
    <row r="7623" spans="1:15" ht="15" customHeight="1" x14ac:dyDescent="0.25">
      <c r="A7623" s="2"/>
      <c r="B7623" s="2"/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</row>
    <row r="7624" spans="1:15" ht="15" customHeight="1" x14ac:dyDescent="0.25">
      <c r="A7624" s="3"/>
      <c r="B7624" s="3"/>
      <c r="C7624" s="3"/>
      <c r="D7624" s="3"/>
      <c r="E7624" s="3"/>
      <c r="F7624" s="3"/>
      <c r="G7624" s="3"/>
      <c r="H7624" s="3"/>
      <c r="I7624" s="3"/>
      <c r="J7624" s="3"/>
      <c r="K7624" s="3"/>
      <c r="L7624" s="3"/>
      <c r="M7624" s="3"/>
      <c r="N7624" s="3"/>
      <c r="O7624" s="3"/>
    </row>
    <row r="7625" spans="1:15" ht="15" customHeight="1" x14ac:dyDescent="0.25">
      <c r="A7625" s="2"/>
      <c r="B7625" s="2"/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</row>
    <row r="7626" spans="1:15" ht="15" customHeight="1" x14ac:dyDescent="0.25">
      <c r="A7626" s="3"/>
      <c r="B7626" s="3"/>
      <c r="C7626" s="3"/>
      <c r="D7626" s="3"/>
      <c r="E7626" s="3"/>
      <c r="F7626" s="3"/>
      <c r="G7626" s="3"/>
      <c r="H7626" s="3"/>
      <c r="I7626" s="3"/>
      <c r="J7626" s="3"/>
      <c r="K7626" s="3"/>
      <c r="L7626" s="3"/>
      <c r="M7626" s="3"/>
      <c r="N7626" s="3"/>
      <c r="O7626" s="3"/>
    </row>
    <row r="7627" spans="1:15" ht="15" customHeight="1" x14ac:dyDescent="0.25">
      <c r="A7627" s="2"/>
      <c r="B7627" s="2"/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</row>
    <row r="7628" spans="1:15" ht="15" customHeight="1" x14ac:dyDescent="0.25">
      <c r="A7628" s="3"/>
      <c r="B7628" s="3"/>
      <c r="C7628" s="3"/>
      <c r="D7628" s="3"/>
      <c r="E7628" s="3"/>
      <c r="F7628" s="3"/>
      <c r="G7628" s="3"/>
      <c r="H7628" s="3"/>
      <c r="I7628" s="3"/>
      <c r="J7628" s="3"/>
      <c r="K7628" s="3"/>
      <c r="L7628" s="3"/>
      <c r="M7628" s="3"/>
      <c r="N7628" s="3"/>
      <c r="O7628" s="3"/>
    </row>
    <row r="7629" spans="1:15" ht="15" customHeight="1" x14ac:dyDescent="0.25">
      <c r="A7629" s="2"/>
      <c r="B7629" s="2"/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</row>
    <row r="7630" spans="1:15" ht="15" customHeight="1" x14ac:dyDescent="0.25">
      <c r="A7630" s="3"/>
      <c r="B7630" s="3"/>
      <c r="C7630" s="3"/>
      <c r="D7630" s="3"/>
      <c r="E7630" s="3"/>
      <c r="F7630" s="3"/>
      <c r="G7630" s="3"/>
      <c r="H7630" s="3"/>
      <c r="I7630" s="3"/>
      <c r="J7630" s="3"/>
      <c r="K7630" s="3"/>
      <c r="L7630" s="3"/>
      <c r="M7630" s="3"/>
      <c r="N7630" s="3"/>
      <c r="O7630" s="3"/>
    </row>
    <row r="7631" spans="1:15" ht="15" customHeight="1" x14ac:dyDescent="0.25">
      <c r="A7631" s="2"/>
      <c r="B7631" s="2"/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</row>
    <row r="7632" spans="1:15" ht="15" customHeight="1" x14ac:dyDescent="0.25">
      <c r="A7632" s="3"/>
      <c r="B7632" s="3"/>
      <c r="C7632" s="3"/>
      <c r="D7632" s="3"/>
      <c r="E7632" s="3"/>
      <c r="F7632" s="3"/>
      <c r="G7632" s="3"/>
      <c r="H7632" s="3"/>
      <c r="I7632" s="3"/>
      <c r="J7632" s="3"/>
      <c r="K7632" s="3"/>
      <c r="L7632" s="3"/>
      <c r="M7632" s="3"/>
      <c r="N7632" s="3"/>
      <c r="O7632" s="3"/>
    </row>
    <row r="7633" spans="1:15" ht="15" customHeight="1" x14ac:dyDescent="0.25">
      <c r="A7633" s="2"/>
      <c r="B7633" s="2"/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</row>
    <row r="7634" spans="1:15" ht="15" customHeight="1" x14ac:dyDescent="0.25">
      <c r="A7634" s="3"/>
      <c r="B7634" s="3"/>
      <c r="C7634" s="3"/>
      <c r="D7634" s="3"/>
      <c r="E7634" s="3"/>
      <c r="F7634" s="3"/>
      <c r="G7634" s="3"/>
      <c r="H7634" s="3"/>
      <c r="I7634" s="3"/>
      <c r="J7634" s="3"/>
      <c r="K7634" s="3"/>
      <c r="L7634" s="3"/>
      <c r="M7634" s="3"/>
      <c r="N7634" s="3"/>
      <c r="O7634" s="3"/>
    </row>
    <row r="7635" spans="1:15" ht="15" customHeight="1" x14ac:dyDescent="0.25">
      <c r="A7635" s="2"/>
      <c r="B7635" s="2"/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</row>
    <row r="7636" spans="1:15" ht="15" customHeight="1" x14ac:dyDescent="0.25">
      <c r="A7636" s="3"/>
      <c r="B7636" s="3"/>
      <c r="C7636" s="3"/>
      <c r="D7636" s="3"/>
      <c r="E7636" s="3"/>
      <c r="F7636" s="3"/>
      <c r="G7636" s="3"/>
      <c r="H7636" s="3"/>
      <c r="I7636" s="3"/>
      <c r="J7636" s="3"/>
      <c r="K7636" s="3"/>
      <c r="L7636" s="3"/>
      <c r="M7636" s="3"/>
      <c r="N7636" s="3"/>
      <c r="O7636" s="3"/>
    </row>
    <row r="7637" spans="1:15" ht="15" customHeight="1" x14ac:dyDescent="0.25">
      <c r="A7637" s="2"/>
      <c r="B7637" s="2"/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</row>
    <row r="7638" spans="1:15" ht="15" customHeight="1" x14ac:dyDescent="0.25">
      <c r="A7638" s="3"/>
      <c r="B7638" s="3"/>
      <c r="C7638" s="3"/>
      <c r="D7638" s="3"/>
      <c r="E7638" s="3"/>
      <c r="F7638" s="3"/>
      <c r="G7638" s="3"/>
      <c r="H7638" s="3"/>
      <c r="I7638" s="3"/>
      <c r="J7638" s="3"/>
      <c r="K7638" s="3"/>
      <c r="L7638" s="3"/>
      <c r="M7638" s="3"/>
      <c r="N7638" s="3"/>
      <c r="O7638" s="3"/>
    </row>
    <row r="7639" spans="1:15" ht="15" customHeight="1" x14ac:dyDescent="0.25">
      <c r="A7639" s="2"/>
      <c r="B7639" s="2"/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</row>
    <row r="7640" spans="1:15" ht="15" customHeight="1" x14ac:dyDescent="0.25">
      <c r="A7640" s="3"/>
      <c r="B7640" s="3"/>
      <c r="C7640" s="3"/>
      <c r="D7640" s="3"/>
      <c r="E7640" s="3"/>
      <c r="F7640" s="3"/>
      <c r="G7640" s="3"/>
      <c r="H7640" s="3"/>
      <c r="I7640" s="3"/>
      <c r="J7640" s="3"/>
      <c r="K7640" s="3"/>
      <c r="L7640" s="3"/>
      <c r="M7640" s="3"/>
      <c r="N7640" s="3"/>
      <c r="O7640" s="3"/>
    </row>
    <row r="7641" spans="1:15" ht="15" customHeight="1" x14ac:dyDescent="0.25">
      <c r="A7641" s="2"/>
      <c r="B7641" s="2"/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</row>
    <row r="7642" spans="1:15" ht="15" customHeight="1" x14ac:dyDescent="0.25">
      <c r="A7642" s="3"/>
      <c r="B7642" s="3"/>
      <c r="C7642" s="3"/>
      <c r="D7642" s="3"/>
      <c r="E7642" s="3"/>
      <c r="F7642" s="3"/>
      <c r="G7642" s="3"/>
      <c r="H7642" s="3"/>
      <c r="I7642" s="3"/>
      <c r="J7642" s="3"/>
      <c r="K7642" s="3"/>
      <c r="L7642" s="3"/>
      <c r="M7642" s="3"/>
      <c r="N7642" s="3"/>
      <c r="O7642" s="3"/>
    </row>
    <row r="7643" spans="1:15" ht="15" customHeight="1" x14ac:dyDescent="0.25">
      <c r="A7643" s="2"/>
      <c r="B7643" s="2"/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</row>
    <row r="7644" spans="1:15" ht="15" customHeight="1" x14ac:dyDescent="0.25">
      <c r="A7644" s="3"/>
      <c r="B7644" s="3"/>
      <c r="C7644" s="3"/>
      <c r="D7644" s="3"/>
      <c r="E7644" s="3"/>
      <c r="F7644" s="3"/>
      <c r="G7644" s="3"/>
      <c r="H7644" s="3"/>
      <c r="I7644" s="3"/>
      <c r="J7644" s="3"/>
      <c r="K7644" s="3"/>
      <c r="L7644" s="3"/>
      <c r="M7644" s="3"/>
      <c r="N7644" s="3"/>
      <c r="O7644" s="3"/>
    </row>
    <row r="7645" spans="1:15" ht="15" customHeight="1" x14ac:dyDescent="0.25">
      <c r="A7645" s="2"/>
      <c r="B7645" s="2"/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</row>
    <row r="7646" spans="1:15" ht="15" customHeight="1" x14ac:dyDescent="0.25">
      <c r="A7646" s="3"/>
      <c r="B7646" s="3"/>
      <c r="C7646" s="3"/>
      <c r="D7646" s="3"/>
      <c r="E7646" s="3"/>
      <c r="F7646" s="3"/>
      <c r="G7646" s="3"/>
      <c r="H7646" s="3"/>
      <c r="I7646" s="3"/>
      <c r="J7646" s="3"/>
      <c r="K7646" s="3"/>
      <c r="L7646" s="3"/>
      <c r="M7646" s="3"/>
      <c r="N7646" s="3"/>
      <c r="O7646" s="3"/>
    </row>
    <row r="7647" spans="1:15" ht="15" customHeight="1" x14ac:dyDescent="0.25">
      <c r="A7647" s="2"/>
      <c r="B7647" s="2"/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</row>
    <row r="7648" spans="1:15" ht="15" customHeight="1" x14ac:dyDescent="0.25">
      <c r="A7648" s="3"/>
      <c r="B7648" s="3"/>
      <c r="C7648" s="3"/>
      <c r="D7648" s="3"/>
      <c r="E7648" s="3"/>
      <c r="F7648" s="3"/>
      <c r="G7648" s="3"/>
      <c r="H7648" s="3"/>
      <c r="I7648" s="3"/>
      <c r="J7648" s="3"/>
      <c r="K7648" s="3"/>
      <c r="L7648" s="3"/>
      <c r="M7648" s="3"/>
      <c r="N7648" s="3"/>
      <c r="O7648" s="3"/>
    </row>
    <row r="7649" spans="1:15" ht="15" customHeight="1" x14ac:dyDescent="0.25">
      <c r="A7649" s="2"/>
      <c r="B7649" s="2"/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</row>
    <row r="7650" spans="1:15" ht="15" customHeight="1" x14ac:dyDescent="0.25">
      <c r="A7650" s="3"/>
      <c r="B7650" s="3"/>
      <c r="C7650" s="3"/>
      <c r="D7650" s="3"/>
      <c r="E7650" s="3"/>
      <c r="F7650" s="3"/>
      <c r="G7650" s="3"/>
      <c r="H7650" s="3"/>
      <c r="I7650" s="3"/>
      <c r="J7650" s="3"/>
      <c r="K7650" s="3"/>
      <c r="L7650" s="3"/>
      <c r="M7650" s="3"/>
      <c r="N7650" s="3"/>
      <c r="O7650" s="3"/>
    </row>
    <row r="7651" spans="1:15" ht="15" customHeight="1" x14ac:dyDescent="0.25">
      <c r="A7651" s="2"/>
      <c r="B7651" s="2"/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</row>
    <row r="7652" spans="1:15" ht="15" customHeight="1" x14ac:dyDescent="0.25">
      <c r="A7652" s="3"/>
      <c r="B7652" s="3"/>
      <c r="C7652" s="3"/>
      <c r="D7652" s="3"/>
      <c r="E7652" s="3"/>
      <c r="F7652" s="3"/>
      <c r="G7652" s="3"/>
      <c r="H7652" s="3"/>
      <c r="I7652" s="3"/>
      <c r="J7652" s="3"/>
      <c r="K7652" s="3"/>
      <c r="L7652" s="3"/>
      <c r="M7652" s="3"/>
      <c r="N7652" s="3"/>
      <c r="O7652" s="3"/>
    </row>
    <row r="7653" spans="1:15" ht="15" customHeight="1" x14ac:dyDescent="0.25">
      <c r="A7653" s="2"/>
      <c r="B7653" s="2"/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</row>
    <row r="7654" spans="1:15" ht="15" customHeight="1" x14ac:dyDescent="0.25">
      <c r="A7654" s="3"/>
      <c r="B7654" s="3"/>
      <c r="C7654" s="3"/>
      <c r="D7654" s="3"/>
      <c r="E7654" s="3"/>
      <c r="F7654" s="3"/>
      <c r="G7654" s="3"/>
      <c r="H7654" s="3"/>
      <c r="I7654" s="3"/>
      <c r="J7654" s="3"/>
      <c r="K7654" s="3"/>
      <c r="L7654" s="3"/>
      <c r="M7654" s="3"/>
      <c r="N7654" s="3"/>
      <c r="O7654" s="3"/>
    </row>
    <row r="7655" spans="1:15" ht="15" customHeight="1" x14ac:dyDescent="0.25">
      <c r="A7655" s="2"/>
      <c r="B7655" s="2"/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</row>
    <row r="7656" spans="1:15" ht="15" customHeight="1" x14ac:dyDescent="0.25">
      <c r="A7656" s="3"/>
      <c r="B7656" s="3"/>
      <c r="C7656" s="3"/>
      <c r="D7656" s="3"/>
      <c r="E7656" s="3"/>
      <c r="F7656" s="3"/>
      <c r="G7656" s="3"/>
      <c r="H7656" s="3"/>
      <c r="I7656" s="3"/>
      <c r="J7656" s="3"/>
      <c r="K7656" s="3"/>
      <c r="L7656" s="3"/>
      <c r="M7656" s="3"/>
      <c r="N7656" s="3"/>
      <c r="O7656" s="3"/>
    </row>
    <row r="7657" spans="1:15" ht="15" customHeight="1" x14ac:dyDescent="0.25">
      <c r="A7657" s="2"/>
      <c r="B7657" s="2"/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</row>
    <row r="7658" spans="1:15" ht="15" customHeight="1" x14ac:dyDescent="0.25">
      <c r="A7658" s="3"/>
      <c r="B7658" s="3"/>
      <c r="C7658" s="3"/>
      <c r="D7658" s="3"/>
      <c r="E7658" s="3"/>
      <c r="F7658" s="3"/>
      <c r="G7658" s="3"/>
      <c r="H7658" s="3"/>
      <c r="I7658" s="3"/>
      <c r="J7658" s="3"/>
      <c r="K7658" s="3"/>
      <c r="L7658" s="3"/>
      <c r="M7658" s="3"/>
      <c r="N7658" s="3"/>
      <c r="O7658" s="3"/>
    </row>
    <row r="7659" spans="1:15" ht="15" customHeight="1" x14ac:dyDescent="0.25">
      <c r="A7659" s="2"/>
      <c r="B7659" s="2"/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</row>
    <row r="7660" spans="1:15" ht="15" customHeight="1" x14ac:dyDescent="0.25">
      <c r="A7660" s="3"/>
      <c r="B7660" s="3"/>
      <c r="C7660" s="3"/>
      <c r="D7660" s="3"/>
      <c r="E7660" s="3"/>
      <c r="F7660" s="3"/>
      <c r="G7660" s="3"/>
      <c r="H7660" s="3"/>
      <c r="I7660" s="3"/>
      <c r="J7660" s="3"/>
      <c r="K7660" s="3"/>
      <c r="L7660" s="3"/>
      <c r="M7660" s="3"/>
      <c r="N7660" s="3"/>
      <c r="O7660" s="3"/>
    </row>
    <row r="7661" spans="1:15" ht="15" customHeight="1" x14ac:dyDescent="0.25">
      <c r="A7661" s="2"/>
      <c r="B7661" s="2"/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</row>
    <row r="7662" spans="1:15" ht="15" customHeight="1" x14ac:dyDescent="0.25">
      <c r="A7662" s="3"/>
      <c r="B7662" s="3"/>
      <c r="C7662" s="3"/>
      <c r="D7662" s="3"/>
      <c r="E7662" s="3"/>
      <c r="F7662" s="3"/>
      <c r="G7662" s="3"/>
      <c r="H7662" s="3"/>
      <c r="I7662" s="3"/>
      <c r="J7662" s="3"/>
      <c r="K7662" s="3"/>
      <c r="L7662" s="3"/>
      <c r="M7662" s="3"/>
      <c r="N7662" s="3"/>
      <c r="O7662" s="3"/>
    </row>
    <row r="7663" spans="1:15" ht="15" customHeight="1" x14ac:dyDescent="0.25">
      <c r="A7663" s="2"/>
      <c r="B7663" s="2"/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</row>
    <row r="7664" spans="1:15" ht="15" customHeight="1" x14ac:dyDescent="0.25">
      <c r="A7664" s="3"/>
      <c r="B7664" s="3"/>
      <c r="C7664" s="3"/>
      <c r="D7664" s="3"/>
      <c r="E7664" s="3"/>
      <c r="F7664" s="3"/>
      <c r="G7664" s="3"/>
      <c r="H7664" s="3"/>
      <c r="I7664" s="3"/>
      <c r="J7664" s="3"/>
      <c r="K7664" s="3"/>
      <c r="L7664" s="3"/>
      <c r="M7664" s="3"/>
      <c r="N7664" s="3"/>
      <c r="O7664" s="3"/>
    </row>
    <row r="7665" spans="1:15" ht="15" customHeight="1" x14ac:dyDescent="0.25">
      <c r="A7665" s="2"/>
      <c r="B7665" s="2"/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</row>
    <row r="7666" spans="1:15" ht="15" customHeight="1" x14ac:dyDescent="0.25">
      <c r="A7666" s="3"/>
      <c r="B7666" s="3"/>
      <c r="C7666" s="3"/>
      <c r="D7666" s="3"/>
      <c r="E7666" s="3"/>
      <c r="F7666" s="3"/>
      <c r="G7666" s="3"/>
      <c r="H7666" s="3"/>
      <c r="I7666" s="3"/>
      <c r="J7666" s="3"/>
      <c r="K7666" s="3"/>
      <c r="L7666" s="3"/>
      <c r="M7666" s="3"/>
      <c r="N7666" s="3"/>
      <c r="O7666" s="3"/>
    </row>
    <row r="7667" spans="1:15" ht="15" customHeight="1" x14ac:dyDescent="0.25">
      <c r="A7667" s="2"/>
      <c r="B7667" s="2"/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</row>
    <row r="7668" spans="1:15" ht="15" customHeight="1" x14ac:dyDescent="0.25">
      <c r="A7668" s="3"/>
      <c r="B7668" s="3"/>
      <c r="C7668" s="3"/>
      <c r="D7668" s="3"/>
      <c r="E7668" s="3"/>
      <c r="F7668" s="3"/>
      <c r="G7668" s="3"/>
      <c r="H7668" s="3"/>
      <c r="I7668" s="3"/>
      <c r="J7668" s="3"/>
      <c r="K7668" s="3"/>
      <c r="L7668" s="3"/>
      <c r="M7668" s="3"/>
      <c r="N7668" s="3"/>
      <c r="O7668" s="3"/>
    </row>
    <row r="7669" spans="1:15" ht="15" customHeight="1" x14ac:dyDescent="0.25">
      <c r="A7669" s="2"/>
      <c r="B7669" s="2"/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</row>
    <row r="7670" spans="1:15" ht="15" customHeight="1" x14ac:dyDescent="0.25">
      <c r="A7670" s="3"/>
      <c r="B7670" s="3"/>
      <c r="C7670" s="3"/>
      <c r="D7670" s="3"/>
      <c r="E7670" s="3"/>
      <c r="F7670" s="3"/>
      <c r="G7670" s="3"/>
      <c r="H7670" s="3"/>
      <c r="I7670" s="3"/>
      <c r="J7670" s="3"/>
      <c r="K7670" s="3"/>
      <c r="L7670" s="3"/>
      <c r="M7670" s="3"/>
      <c r="N7670" s="3"/>
      <c r="O7670" s="3"/>
    </row>
    <row r="7671" spans="1:15" ht="15" customHeight="1" x14ac:dyDescent="0.25">
      <c r="A7671" s="2"/>
      <c r="B7671" s="2"/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</row>
    <row r="7672" spans="1:15" ht="15" customHeight="1" x14ac:dyDescent="0.25">
      <c r="A7672" s="3"/>
      <c r="B7672" s="3"/>
      <c r="C7672" s="3"/>
      <c r="D7672" s="3"/>
      <c r="E7672" s="3"/>
      <c r="F7672" s="3"/>
      <c r="G7672" s="3"/>
      <c r="H7672" s="3"/>
      <c r="I7672" s="3"/>
      <c r="J7672" s="3"/>
      <c r="K7672" s="3"/>
      <c r="L7672" s="3"/>
      <c r="M7672" s="3"/>
      <c r="N7672" s="3"/>
      <c r="O7672" s="3"/>
    </row>
    <row r="7673" spans="1:15" ht="15" customHeight="1" x14ac:dyDescent="0.25">
      <c r="A7673" s="2"/>
      <c r="B7673" s="2"/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</row>
    <row r="7674" spans="1:15" ht="15" customHeight="1" x14ac:dyDescent="0.25">
      <c r="A7674" s="3"/>
      <c r="B7674" s="3"/>
      <c r="C7674" s="3"/>
      <c r="D7674" s="3"/>
      <c r="E7674" s="3"/>
      <c r="F7674" s="3"/>
      <c r="G7674" s="3"/>
      <c r="H7674" s="3"/>
      <c r="I7674" s="3"/>
      <c r="J7674" s="3"/>
      <c r="K7674" s="3"/>
      <c r="L7674" s="3"/>
      <c r="M7674" s="3"/>
      <c r="N7674" s="3"/>
      <c r="O7674" s="3"/>
    </row>
    <row r="7675" spans="1:15" ht="15" customHeight="1" x14ac:dyDescent="0.25">
      <c r="A7675" s="2"/>
      <c r="B7675" s="2"/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</row>
    <row r="7676" spans="1:15" ht="15" customHeight="1" x14ac:dyDescent="0.25">
      <c r="A7676" s="3"/>
      <c r="B7676" s="3"/>
      <c r="C7676" s="3"/>
      <c r="D7676" s="3"/>
      <c r="E7676" s="3"/>
      <c r="F7676" s="3"/>
      <c r="G7676" s="3"/>
      <c r="H7676" s="3"/>
      <c r="I7676" s="3"/>
      <c r="J7676" s="3"/>
      <c r="K7676" s="3"/>
      <c r="L7676" s="3"/>
      <c r="M7676" s="3"/>
      <c r="N7676" s="3"/>
      <c r="O7676" s="3"/>
    </row>
    <row r="7677" spans="1:15" ht="15" customHeight="1" x14ac:dyDescent="0.25">
      <c r="A7677" s="2"/>
      <c r="B7677" s="2"/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</row>
    <row r="7678" spans="1:15" ht="15" customHeight="1" x14ac:dyDescent="0.25">
      <c r="A7678" s="3"/>
      <c r="B7678" s="3"/>
      <c r="C7678" s="3"/>
      <c r="D7678" s="3"/>
      <c r="E7678" s="3"/>
      <c r="F7678" s="3"/>
      <c r="G7678" s="3"/>
      <c r="H7678" s="3"/>
      <c r="I7678" s="3"/>
      <c r="J7678" s="3"/>
      <c r="K7678" s="3"/>
      <c r="L7678" s="3"/>
      <c r="M7678" s="3"/>
      <c r="N7678" s="3"/>
      <c r="O7678" s="3"/>
    </row>
    <row r="7679" spans="1:15" ht="15" customHeight="1" x14ac:dyDescent="0.25">
      <c r="A7679" s="2"/>
      <c r="B7679" s="2"/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</row>
    <row r="7680" spans="1:15" ht="15" customHeight="1" x14ac:dyDescent="0.25">
      <c r="A7680" s="3"/>
      <c r="B7680" s="3"/>
      <c r="C7680" s="3"/>
      <c r="D7680" s="3"/>
      <c r="E7680" s="3"/>
      <c r="F7680" s="3"/>
      <c r="G7680" s="3"/>
      <c r="H7680" s="3"/>
      <c r="I7680" s="3"/>
      <c r="J7680" s="3"/>
      <c r="K7680" s="3"/>
      <c r="L7680" s="3"/>
      <c r="M7680" s="3"/>
      <c r="N7680" s="3"/>
      <c r="O7680" s="3"/>
    </row>
    <row r="7681" spans="1:15" ht="15" customHeight="1" x14ac:dyDescent="0.25">
      <c r="A7681" s="2"/>
      <c r="B7681" s="2"/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</row>
    <row r="7682" spans="1:15" ht="15" customHeight="1" x14ac:dyDescent="0.25">
      <c r="A7682" s="3"/>
      <c r="B7682" s="3"/>
      <c r="C7682" s="3"/>
      <c r="D7682" s="3"/>
      <c r="E7682" s="3"/>
      <c r="F7682" s="3"/>
      <c r="G7682" s="3"/>
      <c r="H7682" s="3"/>
      <c r="I7682" s="3"/>
      <c r="J7682" s="3"/>
      <c r="K7682" s="3"/>
      <c r="L7682" s="3"/>
      <c r="M7682" s="3"/>
      <c r="N7682" s="3"/>
      <c r="O7682" s="3"/>
    </row>
    <row r="7683" spans="1:15" ht="15" customHeight="1" x14ac:dyDescent="0.25">
      <c r="A7683" s="2"/>
      <c r="B7683" s="2"/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</row>
    <row r="7684" spans="1:15" ht="15" customHeight="1" x14ac:dyDescent="0.25">
      <c r="A7684" s="3"/>
      <c r="B7684" s="3"/>
      <c r="C7684" s="3"/>
      <c r="D7684" s="3"/>
      <c r="E7684" s="3"/>
      <c r="F7684" s="3"/>
      <c r="G7684" s="3"/>
      <c r="H7684" s="3"/>
      <c r="I7684" s="3"/>
      <c r="J7684" s="3"/>
      <c r="K7684" s="3"/>
      <c r="L7684" s="3"/>
      <c r="M7684" s="3"/>
      <c r="N7684" s="3"/>
      <c r="O7684" s="3"/>
    </row>
    <row r="7685" spans="1:15" ht="15" customHeight="1" x14ac:dyDescent="0.25">
      <c r="A7685" s="2"/>
      <c r="B7685" s="2"/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</row>
    <row r="7686" spans="1:15" ht="15" customHeight="1" x14ac:dyDescent="0.25">
      <c r="A7686" s="3"/>
      <c r="B7686" s="3"/>
      <c r="C7686" s="3"/>
      <c r="D7686" s="3"/>
      <c r="E7686" s="3"/>
      <c r="F7686" s="3"/>
      <c r="G7686" s="3"/>
      <c r="H7686" s="3"/>
      <c r="I7686" s="3"/>
      <c r="J7686" s="3"/>
      <c r="K7686" s="3"/>
      <c r="L7686" s="3"/>
      <c r="M7686" s="3"/>
      <c r="N7686" s="3"/>
      <c r="O7686" s="3"/>
    </row>
    <row r="7687" spans="1:15" ht="15" customHeight="1" x14ac:dyDescent="0.25">
      <c r="A7687" s="2"/>
      <c r="B7687" s="2"/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</row>
    <row r="7688" spans="1:15" ht="15" customHeight="1" x14ac:dyDescent="0.25">
      <c r="A7688" s="3"/>
      <c r="B7688" s="3"/>
      <c r="C7688" s="3"/>
      <c r="D7688" s="3"/>
      <c r="E7688" s="3"/>
      <c r="F7688" s="3"/>
      <c r="G7688" s="3"/>
      <c r="H7688" s="3"/>
      <c r="I7688" s="3"/>
      <c r="J7688" s="3"/>
      <c r="K7688" s="3"/>
      <c r="L7688" s="3"/>
      <c r="M7688" s="3"/>
      <c r="N7688" s="3"/>
      <c r="O7688" s="3"/>
    </row>
    <row r="7689" spans="1:15" ht="15" customHeight="1" x14ac:dyDescent="0.25">
      <c r="A7689" s="2"/>
      <c r="B7689" s="2"/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</row>
    <row r="7690" spans="1:15" ht="15" customHeight="1" x14ac:dyDescent="0.25">
      <c r="A7690" s="3"/>
      <c r="B7690" s="3"/>
      <c r="C7690" s="3"/>
      <c r="D7690" s="3"/>
      <c r="E7690" s="3"/>
      <c r="F7690" s="3"/>
      <c r="G7690" s="3"/>
      <c r="H7690" s="3"/>
      <c r="I7690" s="3"/>
      <c r="J7690" s="3"/>
      <c r="K7690" s="3"/>
      <c r="L7690" s="3"/>
      <c r="M7690" s="3"/>
      <c r="N7690" s="3"/>
      <c r="O7690" s="3"/>
    </row>
    <row r="7691" spans="1:15" ht="15" customHeight="1" x14ac:dyDescent="0.25">
      <c r="A7691" s="2"/>
      <c r="B7691" s="2"/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</row>
    <row r="7692" spans="1:15" ht="15" customHeight="1" x14ac:dyDescent="0.25">
      <c r="A7692" s="3"/>
      <c r="B7692" s="3"/>
      <c r="C7692" s="3"/>
      <c r="D7692" s="3"/>
      <c r="E7692" s="3"/>
      <c r="F7692" s="3"/>
      <c r="G7692" s="3"/>
      <c r="H7692" s="3"/>
      <c r="I7692" s="3"/>
      <c r="J7692" s="3"/>
      <c r="K7692" s="3"/>
      <c r="L7692" s="3"/>
      <c r="M7692" s="3"/>
      <c r="N7692" s="3"/>
      <c r="O7692" s="3"/>
    </row>
    <row r="7693" spans="1:15" ht="15" customHeight="1" x14ac:dyDescent="0.25">
      <c r="A7693" s="2"/>
      <c r="B7693" s="2"/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</row>
    <row r="7694" spans="1:15" ht="15" customHeight="1" x14ac:dyDescent="0.25">
      <c r="A7694" s="3"/>
      <c r="B7694" s="3"/>
      <c r="C7694" s="3"/>
      <c r="D7694" s="3"/>
      <c r="E7694" s="3"/>
      <c r="F7694" s="3"/>
      <c r="G7694" s="3"/>
      <c r="H7694" s="3"/>
      <c r="I7694" s="3"/>
      <c r="J7694" s="3"/>
      <c r="K7694" s="3"/>
      <c r="L7694" s="3"/>
      <c r="M7694" s="3"/>
      <c r="N7694" s="3"/>
      <c r="O7694" s="3"/>
    </row>
    <row r="7695" spans="1:15" ht="15" customHeight="1" x14ac:dyDescent="0.25">
      <c r="A7695" s="2"/>
      <c r="B7695" s="2"/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</row>
    <row r="7696" spans="1:15" ht="15" customHeight="1" x14ac:dyDescent="0.25">
      <c r="A7696" s="3"/>
      <c r="B7696" s="3"/>
      <c r="C7696" s="3"/>
      <c r="D7696" s="3"/>
      <c r="E7696" s="3"/>
      <c r="F7696" s="3"/>
      <c r="G7696" s="3"/>
      <c r="H7696" s="3"/>
      <c r="I7696" s="3"/>
      <c r="J7696" s="3"/>
      <c r="K7696" s="3"/>
      <c r="L7696" s="3"/>
      <c r="M7696" s="3"/>
      <c r="N7696" s="3"/>
      <c r="O7696" s="3"/>
    </row>
    <row r="7697" spans="1:15" ht="15" customHeight="1" x14ac:dyDescent="0.25">
      <c r="A7697" s="2"/>
      <c r="B7697" s="2"/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</row>
    <row r="7698" spans="1:15" ht="15" customHeight="1" x14ac:dyDescent="0.25">
      <c r="A7698" s="3"/>
      <c r="B7698" s="3"/>
      <c r="C7698" s="3"/>
      <c r="D7698" s="3"/>
      <c r="E7698" s="3"/>
      <c r="F7698" s="3"/>
      <c r="G7698" s="3"/>
      <c r="H7698" s="3"/>
      <c r="I7698" s="3"/>
      <c r="J7698" s="3"/>
      <c r="K7698" s="3"/>
      <c r="L7698" s="3"/>
      <c r="M7698" s="3"/>
      <c r="N7698" s="3"/>
      <c r="O7698" s="3"/>
    </row>
    <row r="7699" spans="1:15" ht="15" customHeight="1" x14ac:dyDescent="0.25">
      <c r="A7699" s="2"/>
      <c r="B7699" s="2"/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</row>
    <row r="7700" spans="1:15" ht="15" customHeight="1" x14ac:dyDescent="0.25">
      <c r="A7700" s="3"/>
      <c r="B7700" s="3"/>
      <c r="C7700" s="3"/>
      <c r="D7700" s="3"/>
      <c r="E7700" s="3"/>
      <c r="F7700" s="3"/>
      <c r="G7700" s="3"/>
      <c r="H7700" s="3"/>
      <c r="I7700" s="3"/>
      <c r="J7700" s="3"/>
      <c r="K7700" s="3"/>
      <c r="L7700" s="3"/>
      <c r="M7700" s="3"/>
      <c r="N7700" s="3"/>
      <c r="O7700" s="3"/>
    </row>
    <row r="7701" spans="1:15" ht="15" customHeight="1" x14ac:dyDescent="0.25">
      <c r="A7701" s="2"/>
      <c r="B7701" s="2"/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</row>
    <row r="7702" spans="1:15" ht="15" customHeight="1" x14ac:dyDescent="0.25">
      <c r="A7702" s="3"/>
      <c r="B7702" s="3"/>
      <c r="C7702" s="3"/>
      <c r="D7702" s="3"/>
      <c r="E7702" s="3"/>
      <c r="F7702" s="3"/>
      <c r="G7702" s="3"/>
      <c r="H7702" s="3"/>
      <c r="I7702" s="3"/>
      <c r="J7702" s="3"/>
      <c r="K7702" s="3"/>
      <c r="L7702" s="3"/>
      <c r="M7702" s="3"/>
      <c r="N7702" s="3"/>
      <c r="O7702" s="3"/>
    </row>
    <row r="7703" spans="1:15" ht="15" customHeight="1" x14ac:dyDescent="0.25">
      <c r="A7703" s="2"/>
      <c r="B7703" s="2"/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</row>
    <row r="7704" spans="1:15" ht="15" customHeight="1" x14ac:dyDescent="0.25">
      <c r="A7704" s="3"/>
      <c r="B7704" s="3"/>
      <c r="C7704" s="3"/>
      <c r="D7704" s="3"/>
      <c r="E7704" s="3"/>
      <c r="F7704" s="3"/>
      <c r="G7704" s="3"/>
      <c r="H7704" s="3"/>
      <c r="I7704" s="3"/>
      <c r="J7704" s="3"/>
      <c r="K7704" s="3"/>
      <c r="L7704" s="3"/>
      <c r="M7704" s="3"/>
      <c r="N7704" s="3"/>
      <c r="O7704" s="3"/>
    </row>
    <row r="7705" spans="1:15" ht="15" customHeight="1" x14ac:dyDescent="0.25">
      <c r="A7705" s="2"/>
      <c r="B7705" s="2"/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</row>
    <row r="7706" spans="1:15" ht="15" customHeight="1" x14ac:dyDescent="0.25">
      <c r="A7706" s="3"/>
      <c r="B7706" s="3"/>
      <c r="C7706" s="3"/>
      <c r="D7706" s="3"/>
      <c r="E7706" s="3"/>
      <c r="F7706" s="3"/>
      <c r="G7706" s="3"/>
      <c r="H7706" s="3"/>
      <c r="I7706" s="3"/>
      <c r="J7706" s="3"/>
      <c r="K7706" s="3"/>
      <c r="L7706" s="3"/>
      <c r="M7706" s="3"/>
      <c r="N7706" s="3"/>
      <c r="O7706" s="3"/>
    </row>
    <row r="7707" spans="1:15" ht="15" customHeight="1" x14ac:dyDescent="0.25">
      <c r="A7707" s="2"/>
      <c r="B7707" s="2"/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</row>
    <row r="7708" spans="1:15" ht="15" customHeight="1" x14ac:dyDescent="0.25">
      <c r="A7708" s="3"/>
      <c r="B7708" s="3"/>
      <c r="C7708" s="3"/>
      <c r="D7708" s="3"/>
      <c r="E7708" s="3"/>
      <c r="F7708" s="3"/>
      <c r="G7708" s="3"/>
      <c r="H7708" s="3"/>
      <c r="I7708" s="3"/>
      <c r="J7708" s="3"/>
      <c r="K7708" s="3"/>
      <c r="L7708" s="3"/>
      <c r="M7708" s="3"/>
      <c r="N7708" s="3"/>
      <c r="O7708" s="3"/>
    </row>
    <row r="7709" spans="1:15" ht="15" customHeight="1" x14ac:dyDescent="0.25">
      <c r="A7709" s="2"/>
      <c r="B7709" s="2"/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</row>
    <row r="7710" spans="1:15" ht="15" customHeight="1" x14ac:dyDescent="0.25">
      <c r="A7710" s="3"/>
      <c r="B7710" s="3"/>
      <c r="C7710" s="3"/>
      <c r="D7710" s="3"/>
      <c r="E7710" s="3"/>
      <c r="F7710" s="3"/>
      <c r="G7710" s="3"/>
      <c r="H7710" s="3"/>
      <c r="I7710" s="3"/>
      <c r="J7710" s="3"/>
      <c r="K7710" s="3"/>
      <c r="L7710" s="3"/>
      <c r="M7710" s="3"/>
      <c r="N7710" s="3"/>
      <c r="O7710" s="3"/>
    </row>
    <row r="7711" spans="1:15" ht="15" customHeight="1" x14ac:dyDescent="0.25">
      <c r="A7711" s="2"/>
      <c r="B7711" s="2"/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</row>
    <row r="7712" spans="1:15" ht="15" customHeight="1" x14ac:dyDescent="0.25">
      <c r="A7712" s="3"/>
      <c r="B7712" s="3"/>
      <c r="C7712" s="3"/>
      <c r="D7712" s="3"/>
      <c r="E7712" s="3"/>
      <c r="F7712" s="3"/>
      <c r="G7712" s="3"/>
      <c r="H7712" s="3"/>
      <c r="I7712" s="3"/>
      <c r="J7712" s="3"/>
      <c r="K7712" s="3"/>
      <c r="L7712" s="3"/>
      <c r="M7712" s="3"/>
      <c r="N7712" s="3"/>
      <c r="O7712" s="3"/>
    </row>
    <row r="7713" spans="1:15" ht="15" customHeight="1" x14ac:dyDescent="0.25">
      <c r="A7713" s="2"/>
      <c r="B7713" s="2"/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</row>
    <row r="7714" spans="1:15" ht="15" customHeight="1" x14ac:dyDescent="0.25">
      <c r="A7714" s="3"/>
      <c r="B7714" s="3"/>
      <c r="C7714" s="3"/>
      <c r="D7714" s="3"/>
      <c r="E7714" s="3"/>
      <c r="F7714" s="3"/>
      <c r="G7714" s="3"/>
      <c r="H7714" s="3"/>
      <c r="I7714" s="3"/>
      <c r="J7714" s="3"/>
      <c r="K7714" s="3"/>
      <c r="L7714" s="3"/>
      <c r="M7714" s="3"/>
      <c r="N7714" s="3"/>
      <c r="O7714" s="3"/>
    </row>
    <row r="7715" spans="1:15" ht="15" customHeight="1" x14ac:dyDescent="0.25">
      <c r="A7715" s="2"/>
      <c r="B7715" s="2"/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</row>
    <row r="7716" spans="1:15" ht="15" customHeight="1" x14ac:dyDescent="0.25">
      <c r="A7716" s="3"/>
      <c r="B7716" s="3"/>
      <c r="C7716" s="3"/>
      <c r="D7716" s="3"/>
      <c r="E7716" s="3"/>
      <c r="F7716" s="3"/>
      <c r="G7716" s="3"/>
      <c r="H7716" s="3"/>
      <c r="I7716" s="3"/>
      <c r="J7716" s="3"/>
      <c r="K7716" s="3"/>
      <c r="L7716" s="3"/>
      <c r="M7716" s="3"/>
      <c r="N7716" s="3"/>
      <c r="O7716" s="3"/>
    </row>
    <row r="7717" spans="1:15" ht="15" customHeight="1" x14ac:dyDescent="0.25">
      <c r="A7717" s="2"/>
      <c r="B7717" s="2"/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</row>
    <row r="7718" spans="1:15" ht="15" customHeight="1" x14ac:dyDescent="0.25">
      <c r="A7718" s="3"/>
      <c r="B7718" s="3"/>
      <c r="C7718" s="3"/>
      <c r="D7718" s="3"/>
      <c r="E7718" s="3"/>
      <c r="F7718" s="3"/>
      <c r="G7718" s="3"/>
      <c r="H7718" s="3"/>
      <c r="I7718" s="3"/>
      <c r="J7718" s="3"/>
      <c r="K7718" s="3"/>
      <c r="L7718" s="3"/>
      <c r="M7718" s="3"/>
      <c r="N7718" s="3"/>
      <c r="O7718" s="3"/>
    </row>
    <row r="7719" spans="1:15" ht="15" customHeight="1" x14ac:dyDescent="0.25">
      <c r="A7719" s="2"/>
      <c r="B7719" s="2"/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</row>
    <row r="7720" spans="1:15" ht="15" customHeight="1" x14ac:dyDescent="0.25">
      <c r="A7720" s="3"/>
      <c r="B7720" s="3"/>
      <c r="C7720" s="3"/>
      <c r="D7720" s="3"/>
      <c r="E7720" s="3"/>
      <c r="F7720" s="3"/>
      <c r="G7720" s="3"/>
      <c r="H7720" s="3"/>
      <c r="I7720" s="3"/>
      <c r="J7720" s="3"/>
      <c r="K7720" s="3"/>
      <c r="L7720" s="3"/>
      <c r="M7720" s="3"/>
      <c r="N7720" s="3"/>
      <c r="O7720" s="3"/>
    </row>
    <row r="7721" spans="1:15" ht="15" customHeight="1" x14ac:dyDescent="0.25">
      <c r="A7721" s="2"/>
      <c r="B7721" s="2"/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</row>
    <row r="7722" spans="1:15" ht="15" customHeight="1" x14ac:dyDescent="0.25">
      <c r="A7722" s="3"/>
      <c r="B7722" s="3"/>
      <c r="C7722" s="3"/>
      <c r="D7722" s="3"/>
      <c r="E7722" s="3"/>
      <c r="F7722" s="3"/>
      <c r="G7722" s="3"/>
      <c r="H7722" s="3"/>
      <c r="I7722" s="3"/>
      <c r="J7722" s="3"/>
      <c r="K7722" s="3"/>
      <c r="L7722" s="3"/>
      <c r="M7722" s="3"/>
      <c r="N7722" s="3"/>
      <c r="O7722" s="3"/>
    </row>
    <row r="7723" spans="1:15" ht="15" customHeight="1" x14ac:dyDescent="0.25">
      <c r="A7723" s="2"/>
      <c r="B7723" s="2"/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</row>
    <row r="7724" spans="1:15" ht="15" customHeight="1" x14ac:dyDescent="0.25">
      <c r="A7724" s="3"/>
      <c r="B7724" s="3"/>
      <c r="C7724" s="3"/>
      <c r="D7724" s="3"/>
      <c r="E7724" s="3"/>
      <c r="F7724" s="3"/>
      <c r="G7724" s="3"/>
      <c r="H7724" s="3"/>
      <c r="I7724" s="3"/>
      <c r="J7724" s="3"/>
      <c r="K7724" s="3"/>
      <c r="L7724" s="3"/>
      <c r="M7724" s="3"/>
      <c r="N7724" s="3"/>
      <c r="O7724" s="3"/>
    </row>
    <row r="7725" spans="1:15" ht="15" customHeight="1" x14ac:dyDescent="0.25">
      <c r="A7725" s="2"/>
      <c r="B7725" s="2"/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</row>
    <row r="7726" spans="1:15" ht="15" customHeight="1" x14ac:dyDescent="0.25">
      <c r="A7726" s="3"/>
      <c r="B7726" s="3"/>
      <c r="C7726" s="3"/>
      <c r="D7726" s="3"/>
      <c r="E7726" s="3"/>
      <c r="F7726" s="3"/>
      <c r="G7726" s="3"/>
      <c r="H7726" s="3"/>
      <c r="I7726" s="3"/>
      <c r="J7726" s="3"/>
      <c r="K7726" s="3"/>
      <c r="L7726" s="3"/>
      <c r="M7726" s="3"/>
      <c r="N7726" s="3"/>
      <c r="O7726" s="3"/>
    </row>
    <row r="7727" spans="1:15" ht="15" customHeight="1" x14ac:dyDescent="0.25">
      <c r="A7727" s="2"/>
      <c r="B7727" s="2"/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</row>
    <row r="7728" spans="1:15" ht="15" customHeight="1" x14ac:dyDescent="0.25">
      <c r="A7728" s="3"/>
      <c r="B7728" s="3"/>
      <c r="C7728" s="3"/>
      <c r="D7728" s="3"/>
      <c r="E7728" s="3"/>
      <c r="F7728" s="3"/>
      <c r="G7728" s="3"/>
      <c r="H7728" s="3"/>
      <c r="I7728" s="3"/>
      <c r="J7728" s="3"/>
      <c r="K7728" s="3"/>
      <c r="L7728" s="3"/>
      <c r="M7728" s="3"/>
      <c r="N7728" s="3"/>
      <c r="O7728" s="3"/>
    </row>
    <row r="7729" spans="1:15" ht="15" customHeight="1" x14ac:dyDescent="0.25">
      <c r="A7729" s="2"/>
      <c r="B7729" s="2"/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</row>
    <row r="7730" spans="1:15" ht="15" customHeight="1" x14ac:dyDescent="0.25">
      <c r="A7730" s="3"/>
      <c r="B7730" s="3"/>
      <c r="C7730" s="3"/>
      <c r="D7730" s="3"/>
      <c r="E7730" s="3"/>
      <c r="F7730" s="3"/>
      <c r="G7730" s="3"/>
      <c r="H7730" s="3"/>
      <c r="I7730" s="3"/>
      <c r="J7730" s="3"/>
      <c r="K7730" s="3"/>
      <c r="L7730" s="3"/>
      <c r="M7730" s="3"/>
      <c r="N7730" s="3"/>
      <c r="O7730" s="3"/>
    </row>
    <row r="7731" spans="1:15" ht="15" customHeight="1" x14ac:dyDescent="0.25">
      <c r="A7731" s="2"/>
      <c r="B7731" s="2"/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</row>
    <row r="7732" spans="1:15" ht="15" customHeight="1" x14ac:dyDescent="0.25">
      <c r="A7732" s="3"/>
      <c r="B7732" s="3"/>
      <c r="C7732" s="3"/>
      <c r="D7732" s="3"/>
      <c r="E7732" s="3"/>
      <c r="F7732" s="3"/>
      <c r="G7732" s="3"/>
      <c r="H7732" s="3"/>
      <c r="I7732" s="3"/>
      <c r="J7732" s="3"/>
      <c r="K7732" s="3"/>
      <c r="L7732" s="3"/>
      <c r="M7732" s="3"/>
      <c r="N7732" s="3"/>
      <c r="O7732" s="3"/>
    </row>
    <row r="7733" spans="1:15" ht="15" customHeight="1" x14ac:dyDescent="0.25">
      <c r="A7733" s="2"/>
      <c r="B7733" s="2"/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</row>
    <row r="7734" spans="1:15" ht="15" customHeight="1" x14ac:dyDescent="0.25">
      <c r="A7734" s="3"/>
      <c r="B7734" s="3"/>
      <c r="C7734" s="3"/>
      <c r="D7734" s="3"/>
      <c r="E7734" s="3"/>
      <c r="F7734" s="3"/>
      <c r="G7734" s="3"/>
      <c r="H7734" s="3"/>
      <c r="I7734" s="3"/>
      <c r="J7734" s="3"/>
      <c r="K7734" s="3"/>
      <c r="L7734" s="3"/>
      <c r="M7734" s="3"/>
      <c r="N7734" s="3"/>
      <c r="O7734" s="3"/>
    </row>
    <row r="7735" spans="1:15" ht="15" customHeight="1" x14ac:dyDescent="0.25">
      <c r="A7735" s="2"/>
      <c r="B7735" s="2"/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</row>
    <row r="7736" spans="1:15" ht="15" customHeight="1" x14ac:dyDescent="0.25">
      <c r="A7736" s="3"/>
      <c r="B7736" s="3"/>
      <c r="C7736" s="3"/>
      <c r="D7736" s="3"/>
      <c r="E7736" s="3"/>
      <c r="F7736" s="3"/>
      <c r="G7736" s="3"/>
      <c r="H7736" s="3"/>
      <c r="I7736" s="3"/>
      <c r="J7736" s="3"/>
      <c r="K7736" s="3"/>
      <c r="L7736" s="3"/>
      <c r="M7736" s="3"/>
      <c r="N7736" s="3"/>
      <c r="O7736" s="3"/>
    </row>
    <row r="7737" spans="1:15" ht="15" customHeight="1" x14ac:dyDescent="0.25">
      <c r="A7737" s="2"/>
      <c r="B7737" s="2"/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</row>
    <row r="7738" spans="1:15" ht="15" customHeight="1" x14ac:dyDescent="0.25">
      <c r="A7738" s="3"/>
      <c r="B7738" s="3"/>
      <c r="C7738" s="3"/>
      <c r="D7738" s="3"/>
      <c r="E7738" s="3"/>
      <c r="F7738" s="3"/>
      <c r="G7738" s="3"/>
      <c r="H7738" s="3"/>
      <c r="I7738" s="3"/>
      <c r="J7738" s="3"/>
      <c r="K7738" s="3"/>
      <c r="L7738" s="3"/>
      <c r="M7738" s="3"/>
      <c r="N7738" s="3"/>
      <c r="O7738" s="3"/>
    </row>
    <row r="7739" spans="1:15" ht="15" customHeight="1" x14ac:dyDescent="0.25">
      <c r="A7739" s="2"/>
      <c r="B7739" s="2"/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</row>
    <row r="7740" spans="1:15" ht="15" customHeight="1" x14ac:dyDescent="0.25">
      <c r="A7740" s="3"/>
      <c r="B7740" s="3"/>
      <c r="C7740" s="3"/>
      <c r="D7740" s="3"/>
      <c r="E7740" s="3"/>
      <c r="F7740" s="3"/>
      <c r="G7740" s="3"/>
      <c r="H7740" s="3"/>
      <c r="I7740" s="3"/>
      <c r="J7740" s="3"/>
      <c r="K7740" s="3"/>
      <c r="L7740" s="3"/>
      <c r="M7740" s="3"/>
      <c r="N7740" s="3"/>
      <c r="O7740" s="3"/>
    </row>
    <row r="7741" spans="1:15" ht="15" customHeight="1" x14ac:dyDescent="0.25">
      <c r="A7741" s="2"/>
      <c r="B7741" s="2"/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</row>
    <row r="7742" spans="1:15" ht="15" customHeight="1" x14ac:dyDescent="0.25">
      <c r="A7742" s="3"/>
      <c r="B7742" s="3"/>
      <c r="C7742" s="3"/>
      <c r="D7742" s="3"/>
      <c r="E7742" s="3"/>
      <c r="F7742" s="3"/>
      <c r="G7742" s="3"/>
      <c r="H7742" s="3"/>
      <c r="I7742" s="3"/>
      <c r="J7742" s="3"/>
      <c r="K7742" s="3"/>
      <c r="L7742" s="3"/>
      <c r="M7742" s="3"/>
      <c r="N7742" s="3"/>
      <c r="O7742" s="3"/>
    </row>
    <row r="7743" spans="1:15" ht="15" customHeight="1" x14ac:dyDescent="0.25">
      <c r="A7743" s="2"/>
      <c r="B7743" s="2"/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</row>
    <row r="7744" spans="1:15" ht="15" customHeight="1" x14ac:dyDescent="0.25">
      <c r="A7744" s="3"/>
      <c r="B7744" s="3"/>
      <c r="C7744" s="3"/>
      <c r="D7744" s="3"/>
      <c r="E7744" s="3"/>
      <c r="F7744" s="3"/>
      <c r="G7744" s="3"/>
      <c r="H7744" s="3"/>
      <c r="I7744" s="3"/>
      <c r="J7744" s="3"/>
      <c r="K7744" s="3"/>
      <c r="L7744" s="3"/>
      <c r="M7744" s="3"/>
      <c r="N7744" s="3"/>
      <c r="O7744" s="3"/>
    </row>
    <row r="7745" spans="1:15" ht="15" customHeight="1" x14ac:dyDescent="0.25">
      <c r="A7745" s="2"/>
      <c r="B7745" s="2"/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</row>
    <row r="7746" spans="1:15" ht="15" customHeight="1" x14ac:dyDescent="0.25">
      <c r="A7746" s="3"/>
      <c r="B7746" s="3"/>
      <c r="C7746" s="3"/>
      <c r="D7746" s="3"/>
      <c r="E7746" s="3"/>
      <c r="F7746" s="3"/>
      <c r="G7746" s="3"/>
      <c r="H7746" s="3"/>
      <c r="I7746" s="3"/>
      <c r="J7746" s="3"/>
      <c r="K7746" s="3"/>
      <c r="L7746" s="3"/>
      <c r="M7746" s="3"/>
      <c r="N7746" s="3"/>
      <c r="O7746" s="3"/>
    </row>
    <row r="7747" spans="1:15" ht="15" customHeight="1" x14ac:dyDescent="0.25">
      <c r="A7747" s="2"/>
      <c r="B7747" s="2"/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</row>
    <row r="7748" spans="1:15" ht="15" customHeight="1" x14ac:dyDescent="0.25">
      <c r="A7748" s="3"/>
      <c r="B7748" s="3"/>
      <c r="C7748" s="3"/>
      <c r="D7748" s="3"/>
      <c r="E7748" s="3"/>
      <c r="F7748" s="3"/>
      <c r="G7748" s="3"/>
      <c r="H7748" s="3"/>
      <c r="I7748" s="3"/>
      <c r="J7748" s="3"/>
      <c r="K7748" s="3"/>
      <c r="L7748" s="3"/>
      <c r="M7748" s="3"/>
      <c r="N7748" s="3"/>
      <c r="O7748" s="3"/>
    </row>
    <row r="7749" spans="1:15" ht="15" customHeight="1" x14ac:dyDescent="0.25">
      <c r="A7749" s="2"/>
      <c r="B7749" s="2"/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</row>
    <row r="7750" spans="1:15" ht="15" customHeight="1" x14ac:dyDescent="0.25">
      <c r="A7750" s="3"/>
      <c r="B7750" s="3"/>
      <c r="C7750" s="3"/>
      <c r="D7750" s="3"/>
      <c r="E7750" s="3"/>
      <c r="F7750" s="3"/>
      <c r="G7750" s="3"/>
      <c r="H7750" s="3"/>
      <c r="I7750" s="3"/>
      <c r="J7750" s="3"/>
      <c r="K7750" s="3"/>
      <c r="L7750" s="3"/>
      <c r="M7750" s="3"/>
      <c r="N7750" s="3"/>
      <c r="O7750" s="3"/>
    </row>
    <row r="7751" spans="1:15" ht="15" customHeight="1" x14ac:dyDescent="0.25">
      <c r="A7751" s="2"/>
      <c r="B7751" s="2"/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</row>
    <row r="7752" spans="1:15" ht="15" customHeight="1" x14ac:dyDescent="0.25">
      <c r="A7752" s="3"/>
      <c r="B7752" s="3"/>
      <c r="C7752" s="3"/>
      <c r="D7752" s="3"/>
      <c r="E7752" s="3"/>
      <c r="F7752" s="3"/>
      <c r="G7752" s="3"/>
      <c r="H7752" s="3"/>
      <c r="I7752" s="3"/>
      <c r="J7752" s="3"/>
      <c r="K7752" s="3"/>
      <c r="L7752" s="3"/>
      <c r="M7752" s="3"/>
      <c r="N7752" s="3"/>
      <c r="O7752" s="3"/>
    </row>
    <row r="7753" spans="1:15" ht="15" customHeight="1" x14ac:dyDescent="0.25">
      <c r="A7753" s="2"/>
      <c r="B7753" s="2"/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</row>
    <row r="7754" spans="1:15" ht="15" customHeight="1" x14ac:dyDescent="0.25">
      <c r="A7754" s="3"/>
      <c r="B7754" s="3"/>
      <c r="C7754" s="3"/>
      <c r="D7754" s="3"/>
      <c r="E7754" s="3"/>
      <c r="F7754" s="3"/>
      <c r="G7754" s="3"/>
      <c r="H7754" s="3"/>
      <c r="I7754" s="3"/>
      <c r="J7754" s="3"/>
      <c r="K7754" s="3"/>
      <c r="L7754" s="3"/>
      <c r="M7754" s="3"/>
      <c r="N7754" s="3"/>
      <c r="O7754" s="3"/>
    </row>
    <row r="7755" spans="1:15" ht="15" customHeight="1" x14ac:dyDescent="0.25">
      <c r="A7755" s="2"/>
      <c r="B7755" s="2"/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</row>
    <row r="7756" spans="1:15" ht="15" customHeight="1" x14ac:dyDescent="0.25">
      <c r="A7756" s="3"/>
      <c r="B7756" s="3"/>
      <c r="C7756" s="3"/>
      <c r="D7756" s="3"/>
      <c r="E7756" s="3"/>
      <c r="F7756" s="3"/>
      <c r="G7756" s="3"/>
      <c r="H7756" s="3"/>
      <c r="I7756" s="3"/>
      <c r="J7756" s="3"/>
      <c r="K7756" s="3"/>
      <c r="L7756" s="3"/>
      <c r="M7756" s="3"/>
      <c r="N7756" s="3"/>
      <c r="O7756" s="3"/>
    </row>
    <row r="7757" spans="1:15" ht="15" customHeight="1" x14ac:dyDescent="0.25">
      <c r="A7757" s="2"/>
      <c r="B7757" s="2"/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</row>
    <row r="7758" spans="1:15" ht="15" customHeight="1" x14ac:dyDescent="0.25">
      <c r="A7758" s="3"/>
      <c r="B7758" s="3"/>
      <c r="C7758" s="3"/>
      <c r="D7758" s="3"/>
      <c r="E7758" s="3"/>
      <c r="F7758" s="3"/>
      <c r="G7758" s="3"/>
      <c r="H7758" s="3"/>
      <c r="I7758" s="3"/>
      <c r="J7758" s="3"/>
      <c r="K7758" s="3"/>
      <c r="L7758" s="3"/>
      <c r="M7758" s="3"/>
      <c r="N7758" s="3"/>
      <c r="O7758" s="3"/>
    </row>
    <row r="7759" spans="1:15" ht="15" customHeight="1" x14ac:dyDescent="0.25">
      <c r="A7759" s="2"/>
      <c r="B7759" s="2"/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</row>
    <row r="7760" spans="1:15" ht="15" customHeight="1" x14ac:dyDescent="0.25">
      <c r="A7760" s="3"/>
      <c r="B7760" s="3"/>
      <c r="C7760" s="3"/>
      <c r="D7760" s="3"/>
      <c r="E7760" s="3"/>
      <c r="F7760" s="3"/>
      <c r="G7760" s="3"/>
      <c r="H7760" s="3"/>
      <c r="I7760" s="3"/>
      <c r="J7760" s="3"/>
      <c r="K7760" s="3"/>
      <c r="L7760" s="3"/>
      <c r="M7760" s="3"/>
      <c r="N7760" s="3"/>
      <c r="O7760" s="3"/>
    </row>
    <row r="7761" spans="1:15" ht="15" customHeight="1" x14ac:dyDescent="0.25">
      <c r="A7761" s="2"/>
      <c r="B7761" s="2"/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</row>
    <row r="7762" spans="1:15" ht="15" customHeight="1" x14ac:dyDescent="0.25">
      <c r="A7762" s="3"/>
      <c r="B7762" s="3"/>
      <c r="C7762" s="3"/>
      <c r="D7762" s="3"/>
      <c r="E7762" s="3"/>
      <c r="F7762" s="3"/>
      <c r="G7762" s="3"/>
      <c r="H7762" s="3"/>
      <c r="I7762" s="3"/>
      <c r="J7762" s="3"/>
      <c r="K7762" s="3"/>
      <c r="L7762" s="3"/>
      <c r="M7762" s="3"/>
      <c r="N7762" s="3"/>
      <c r="O7762" s="3"/>
    </row>
    <row r="7763" spans="1:15" ht="15" customHeight="1" x14ac:dyDescent="0.25">
      <c r="A7763" s="2"/>
      <c r="B7763" s="2"/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</row>
    <row r="7764" spans="1:15" ht="15" customHeight="1" x14ac:dyDescent="0.25">
      <c r="A7764" s="3"/>
      <c r="B7764" s="3"/>
      <c r="C7764" s="3"/>
      <c r="D7764" s="3"/>
      <c r="E7764" s="3"/>
      <c r="F7764" s="3"/>
      <c r="G7764" s="3"/>
      <c r="H7764" s="3"/>
      <c r="I7764" s="3"/>
      <c r="J7764" s="3"/>
      <c r="K7764" s="3"/>
      <c r="L7764" s="3"/>
      <c r="M7764" s="3"/>
      <c r="N7764" s="3"/>
      <c r="O7764" s="3"/>
    </row>
    <row r="7765" spans="1:15" ht="15" customHeight="1" x14ac:dyDescent="0.25">
      <c r="A7765" s="2"/>
      <c r="B7765" s="2"/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</row>
    <row r="7766" spans="1:15" ht="15" customHeight="1" x14ac:dyDescent="0.25">
      <c r="A7766" s="3"/>
      <c r="B7766" s="3"/>
      <c r="C7766" s="3"/>
      <c r="D7766" s="3"/>
      <c r="E7766" s="3"/>
      <c r="F7766" s="3"/>
      <c r="G7766" s="3"/>
      <c r="H7766" s="3"/>
      <c r="I7766" s="3"/>
      <c r="J7766" s="3"/>
      <c r="K7766" s="3"/>
      <c r="L7766" s="3"/>
      <c r="M7766" s="3"/>
      <c r="N7766" s="3"/>
      <c r="O7766" s="3"/>
    </row>
    <row r="7767" spans="1:15" ht="15" customHeight="1" x14ac:dyDescent="0.25">
      <c r="A7767" s="2"/>
      <c r="B7767" s="2"/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</row>
    <row r="7768" spans="1:15" ht="15" customHeight="1" x14ac:dyDescent="0.25">
      <c r="A7768" s="3"/>
      <c r="B7768" s="3"/>
      <c r="C7768" s="3"/>
      <c r="D7768" s="3"/>
      <c r="E7768" s="3"/>
      <c r="F7768" s="3"/>
      <c r="G7768" s="3"/>
      <c r="H7768" s="3"/>
      <c r="I7768" s="3"/>
      <c r="J7768" s="3"/>
      <c r="K7768" s="3"/>
      <c r="L7768" s="3"/>
      <c r="M7768" s="3"/>
      <c r="N7768" s="3"/>
      <c r="O7768" s="3"/>
    </row>
    <row r="7769" spans="1:15" ht="15" customHeight="1" x14ac:dyDescent="0.25">
      <c r="A7769" s="2"/>
      <c r="B7769" s="2"/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</row>
    <row r="7770" spans="1:15" ht="15" customHeight="1" x14ac:dyDescent="0.25">
      <c r="A7770" s="3"/>
      <c r="B7770" s="3"/>
      <c r="C7770" s="3"/>
      <c r="D7770" s="3"/>
      <c r="E7770" s="3"/>
      <c r="F7770" s="3"/>
      <c r="G7770" s="3"/>
      <c r="H7770" s="3"/>
      <c r="I7770" s="3"/>
      <c r="J7770" s="3"/>
      <c r="K7770" s="3"/>
      <c r="L7770" s="3"/>
      <c r="M7770" s="3"/>
      <c r="N7770" s="3"/>
      <c r="O7770" s="3"/>
    </row>
    <row r="7771" spans="1:15" ht="15" customHeight="1" x14ac:dyDescent="0.25">
      <c r="A7771" s="2"/>
      <c r="B7771" s="2"/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</row>
    <row r="7772" spans="1:15" ht="15" customHeight="1" x14ac:dyDescent="0.25">
      <c r="A7772" s="3"/>
      <c r="B7772" s="3"/>
      <c r="C7772" s="3"/>
      <c r="D7772" s="3"/>
      <c r="E7772" s="3"/>
      <c r="F7772" s="3"/>
      <c r="G7772" s="3"/>
      <c r="H7772" s="3"/>
      <c r="I7772" s="3"/>
      <c r="J7772" s="3"/>
      <c r="K7772" s="3"/>
      <c r="L7772" s="3"/>
      <c r="M7772" s="3"/>
      <c r="N7772" s="3"/>
      <c r="O7772" s="3"/>
    </row>
    <row r="7773" spans="1:15" ht="15" customHeight="1" x14ac:dyDescent="0.25">
      <c r="A7773" s="2"/>
      <c r="B7773" s="2"/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</row>
    <row r="7774" spans="1:15" ht="15" customHeight="1" x14ac:dyDescent="0.25">
      <c r="A7774" s="3"/>
      <c r="B7774" s="3"/>
      <c r="C7774" s="3"/>
      <c r="D7774" s="3"/>
      <c r="E7774" s="3"/>
      <c r="F7774" s="3"/>
      <c r="G7774" s="3"/>
      <c r="H7774" s="3"/>
      <c r="I7774" s="3"/>
      <c r="J7774" s="3"/>
      <c r="K7774" s="3"/>
      <c r="L7774" s="3"/>
      <c r="M7774" s="3"/>
      <c r="N7774" s="3"/>
      <c r="O7774" s="3"/>
    </row>
    <row r="7775" spans="1:15" ht="15" customHeight="1" x14ac:dyDescent="0.25">
      <c r="A7775" s="2"/>
      <c r="B7775" s="2"/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</row>
    <row r="7776" spans="1:15" ht="15" customHeight="1" x14ac:dyDescent="0.25">
      <c r="A7776" s="3"/>
      <c r="B7776" s="3"/>
      <c r="C7776" s="3"/>
      <c r="D7776" s="3"/>
      <c r="E7776" s="3"/>
      <c r="F7776" s="3"/>
      <c r="G7776" s="3"/>
      <c r="H7776" s="3"/>
      <c r="I7776" s="3"/>
      <c r="J7776" s="3"/>
      <c r="K7776" s="3"/>
      <c r="L7776" s="3"/>
      <c r="M7776" s="3"/>
      <c r="N7776" s="3"/>
      <c r="O7776" s="3"/>
    </row>
    <row r="7777" spans="1:15" ht="15" customHeight="1" x14ac:dyDescent="0.25">
      <c r="A7777" s="2"/>
      <c r="B7777" s="2"/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</row>
    <row r="7778" spans="1:15" ht="15" customHeight="1" x14ac:dyDescent="0.25">
      <c r="A7778" s="3"/>
      <c r="B7778" s="3"/>
      <c r="C7778" s="3"/>
      <c r="D7778" s="3"/>
      <c r="E7778" s="3"/>
      <c r="F7778" s="3"/>
      <c r="G7778" s="3"/>
      <c r="H7778" s="3"/>
      <c r="I7778" s="3"/>
      <c r="J7778" s="3"/>
      <c r="K7778" s="3"/>
      <c r="L7778" s="3"/>
      <c r="M7778" s="3"/>
      <c r="N7778" s="3"/>
      <c r="O7778" s="3"/>
    </row>
    <row r="7779" spans="1:15" ht="15" customHeight="1" x14ac:dyDescent="0.25">
      <c r="A7779" s="2"/>
      <c r="B7779" s="2"/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</row>
    <row r="7780" spans="1:15" ht="15" customHeight="1" x14ac:dyDescent="0.25">
      <c r="A7780" s="3"/>
      <c r="B7780" s="3"/>
      <c r="C7780" s="3"/>
      <c r="D7780" s="3"/>
      <c r="E7780" s="3"/>
      <c r="F7780" s="3"/>
      <c r="G7780" s="3"/>
      <c r="H7780" s="3"/>
      <c r="I7780" s="3"/>
      <c r="J7780" s="3"/>
      <c r="K7780" s="3"/>
      <c r="L7780" s="3"/>
      <c r="M7780" s="3"/>
      <c r="N7780" s="3"/>
      <c r="O7780" s="3"/>
    </row>
    <row r="7781" spans="1:15" ht="15" customHeight="1" x14ac:dyDescent="0.25">
      <c r="A7781" s="2"/>
      <c r="B7781" s="2"/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</row>
    <row r="7782" spans="1:15" ht="15" customHeight="1" x14ac:dyDescent="0.25">
      <c r="A7782" s="3"/>
      <c r="B7782" s="3"/>
      <c r="C7782" s="3"/>
      <c r="D7782" s="3"/>
      <c r="E7782" s="3"/>
      <c r="F7782" s="3"/>
      <c r="G7782" s="3"/>
      <c r="H7782" s="3"/>
      <c r="I7782" s="3"/>
      <c r="J7782" s="3"/>
      <c r="K7782" s="3"/>
      <c r="L7782" s="3"/>
      <c r="M7782" s="3"/>
      <c r="N7782" s="3"/>
      <c r="O7782" s="3"/>
    </row>
    <row r="7783" spans="1:15" ht="15" customHeight="1" x14ac:dyDescent="0.25">
      <c r="A7783" s="2"/>
      <c r="B7783" s="2"/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</row>
    <row r="7784" spans="1:15" ht="15" customHeight="1" x14ac:dyDescent="0.25">
      <c r="A7784" s="3"/>
      <c r="B7784" s="3"/>
      <c r="C7784" s="3"/>
      <c r="D7784" s="3"/>
      <c r="E7784" s="3"/>
      <c r="F7784" s="3"/>
      <c r="G7784" s="3"/>
      <c r="H7784" s="3"/>
      <c r="I7784" s="3"/>
      <c r="J7784" s="3"/>
      <c r="K7784" s="3"/>
      <c r="L7784" s="3"/>
      <c r="M7784" s="3"/>
      <c r="N7784" s="3"/>
      <c r="O7784" s="3"/>
    </row>
    <row r="7785" spans="1:15" ht="15" customHeight="1" x14ac:dyDescent="0.25">
      <c r="A7785" s="2"/>
      <c r="B7785" s="2"/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</row>
    <row r="7786" spans="1:15" ht="15" customHeight="1" x14ac:dyDescent="0.25">
      <c r="A7786" s="3"/>
      <c r="B7786" s="3"/>
      <c r="C7786" s="3"/>
      <c r="D7786" s="3"/>
      <c r="E7786" s="3"/>
      <c r="F7786" s="3"/>
      <c r="G7786" s="3"/>
      <c r="H7786" s="3"/>
      <c r="I7786" s="3"/>
      <c r="J7786" s="3"/>
      <c r="K7786" s="3"/>
      <c r="L7786" s="3"/>
      <c r="M7786" s="3"/>
      <c r="N7786" s="3"/>
      <c r="O7786" s="3"/>
    </row>
    <row r="7787" spans="1:15" ht="15" customHeight="1" x14ac:dyDescent="0.25">
      <c r="A7787" s="2"/>
      <c r="B7787" s="2"/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</row>
    <row r="7788" spans="1:15" ht="15" customHeight="1" x14ac:dyDescent="0.25">
      <c r="A7788" s="3"/>
      <c r="B7788" s="3"/>
      <c r="C7788" s="3"/>
      <c r="D7788" s="3"/>
      <c r="E7788" s="3"/>
      <c r="F7788" s="3"/>
      <c r="G7788" s="3"/>
      <c r="H7788" s="3"/>
      <c r="I7788" s="3"/>
      <c r="J7788" s="3"/>
      <c r="K7788" s="3"/>
      <c r="L7788" s="3"/>
      <c r="M7788" s="3"/>
      <c r="N7788" s="3"/>
      <c r="O7788" s="3"/>
    </row>
    <row r="7789" spans="1:15" ht="15" customHeight="1" x14ac:dyDescent="0.25">
      <c r="A7789" s="2"/>
      <c r="B7789" s="2"/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</row>
    <row r="7790" spans="1:15" ht="15" customHeight="1" x14ac:dyDescent="0.25">
      <c r="A7790" s="3"/>
      <c r="B7790" s="3"/>
      <c r="C7790" s="3"/>
      <c r="D7790" s="3"/>
      <c r="E7790" s="3"/>
      <c r="F7790" s="3"/>
      <c r="G7790" s="3"/>
      <c r="H7790" s="3"/>
      <c r="I7790" s="3"/>
      <c r="J7790" s="3"/>
      <c r="K7790" s="3"/>
      <c r="L7790" s="3"/>
      <c r="M7790" s="3"/>
      <c r="N7790" s="3"/>
      <c r="O7790" s="3"/>
    </row>
    <row r="7791" spans="1:15" ht="15" customHeight="1" x14ac:dyDescent="0.25">
      <c r="A7791" s="2"/>
      <c r="B7791" s="2"/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</row>
    <row r="7792" spans="1:15" ht="15" customHeight="1" x14ac:dyDescent="0.25">
      <c r="A7792" s="3"/>
      <c r="B7792" s="3"/>
      <c r="C7792" s="3"/>
      <c r="D7792" s="3"/>
      <c r="E7792" s="3"/>
      <c r="F7792" s="3"/>
      <c r="G7792" s="3"/>
      <c r="H7792" s="3"/>
      <c r="I7792" s="3"/>
      <c r="J7792" s="3"/>
      <c r="K7792" s="3"/>
      <c r="L7792" s="3"/>
      <c r="M7792" s="3"/>
      <c r="N7792" s="3"/>
      <c r="O7792" s="3"/>
    </row>
    <row r="7793" spans="1:15" ht="15" customHeight="1" x14ac:dyDescent="0.25">
      <c r="A7793" s="2"/>
      <c r="B7793" s="2"/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</row>
    <row r="7794" spans="1:15" ht="15" customHeight="1" x14ac:dyDescent="0.25">
      <c r="A7794" s="3"/>
      <c r="B7794" s="3"/>
      <c r="C7794" s="3"/>
      <c r="D7794" s="3"/>
      <c r="E7794" s="3"/>
      <c r="F7794" s="3"/>
      <c r="G7794" s="3"/>
      <c r="H7794" s="3"/>
      <c r="I7794" s="3"/>
      <c r="J7794" s="3"/>
      <c r="K7794" s="3"/>
      <c r="L7794" s="3"/>
      <c r="M7794" s="3"/>
      <c r="N7794" s="3"/>
      <c r="O7794" s="3"/>
    </row>
    <row r="7795" spans="1:15" ht="15" customHeight="1" x14ac:dyDescent="0.25">
      <c r="A7795" s="2"/>
      <c r="B7795" s="2"/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</row>
    <row r="7796" spans="1:15" ht="15" customHeight="1" x14ac:dyDescent="0.25">
      <c r="A7796" s="3"/>
      <c r="B7796" s="3"/>
      <c r="C7796" s="3"/>
      <c r="D7796" s="3"/>
      <c r="E7796" s="3"/>
      <c r="F7796" s="3"/>
      <c r="G7796" s="3"/>
      <c r="H7796" s="3"/>
      <c r="I7796" s="3"/>
      <c r="J7796" s="3"/>
      <c r="K7796" s="3"/>
      <c r="L7796" s="3"/>
      <c r="M7796" s="3"/>
      <c r="N7796" s="3"/>
      <c r="O7796" s="3"/>
    </row>
    <row r="7797" spans="1:15" ht="15" customHeight="1" x14ac:dyDescent="0.25">
      <c r="A7797" s="2"/>
      <c r="B7797" s="2"/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</row>
    <row r="7798" spans="1:15" ht="15" customHeight="1" x14ac:dyDescent="0.25">
      <c r="A7798" s="3"/>
      <c r="B7798" s="3"/>
      <c r="C7798" s="3"/>
      <c r="D7798" s="3"/>
      <c r="E7798" s="3"/>
      <c r="F7798" s="3"/>
      <c r="G7798" s="3"/>
      <c r="H7798" s="3"/>
      <c r="I7798" s="3"/>
      <c r="J7798" s="3"/>
      <c r="K7798" s="3"/>
      <c r="L7798" s="3"/>
      <c r="M7798" s="3"/>
      <c r="N7798" s="3"/>
      <c r="O7798" s="3"/>
    </row>
    <row r="7799" spans="1:15" ht="15" customHeight="1" x14ac:dyDescent="0.25">
      <c r="A7799" s="2"/>
      <c r="B7799" s="2"/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</row>
    <row r="7800" spans="1:15" ht="15" customHeight="1" x14ac:dyDescent="0.25">
      <c r="A7800" s="3"/>
      <c r="B7800" s="3"/>
      <c r="C7800" s="3"/>
      <c r="D7800" s="3"/>
      <c r="E7800" s="3"/>
      <c r="F7800" s="3"/>
      <c r="G7800" s="3"/>
      <c r="H7800" s="3"/>
      <c r="I7800" s="3"/>
      <c r="J7800" s="3"/>
      <c r="K7800" s="3"/>
      <c r="L7800" s="3"/>
      <c r="M7800" s="3"/>
      <c r="N7800" s="3"/>
      <c r="O7800" s="3"/>
    </row>
    <row r="7801" spans="1:15" ht="15" customHeight="1" x14ac:dyDescent="0.25">
      <c r="A7801" s="2"/>
      <c r="B7801" s="2"/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</row>
    <row r="7802" spans="1:15" ht="15" customHeight="1" x14ac:dyDescent="0.25">
      <c r="A7802" s="3"/>
      <c r="B7802" s="3"/>
      <c r="C7802" s="3"/>
      <c r="D7802" s="3"/>
      <c r="E7802" s="3"/>
      <c r="F7802" s="3"/>
      <c r="G7802" s="3"/>
      <c r="H7802" s="3"/>
      <c r="I7802" s="3"/>
      <c r="J7802" s="3"/>
      <c r="K7802" s="3"/>
      <c r="L7802" s="3"/>
      <c r="M7802" s="3"/>
      <c r="N7802" s="3"/>
      <c r="O7802" s="3"/>
    </row>
    <row r="7803" spans="1:15" ht="15" customHeight="1" x14ac:dyDescent="0.25">
      <c r="A7803" s="2"/>
      <c r="B7803" s="2"/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</row>
    <row r="7804" spans="1:15" ht="15" customHeight="1" x14ac:dyDescent="0.25">
      <c r="A7804" s="3"/>
      <c r="B7804" s="3"/>
      <c r="C7804" s="3"/>
      <c r="D7804" s="3"/>
      <c r="E7804" s="3"/>
      <c r="F7804" s="3"/>
      <c r="G7804" s="3"/>
      <c r="H7804" s="3"/>
      <c r="I7804" s="3"/>
      <c r="J7804" s="3"/>
      <c r="K7804" s="3"/>
      <c r="L7804" s="3"/>
      <c r="M7804" s="3"/>
      <c r="N7804" s="3"/>
      <c r="O7804" s="3"/>
    </row>
    <row r="7805" spans="1:15" ht="15" customHeight="1" x14ac:dyDescent="0.25">
      <c r="A7805" s="2"/>
      <c r="B7805" s="2"/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</row>
    <row r="7806" spans="1:15" ht="15" customHeight="1" x14ac:dyDescent="0.25">
      <c r="A7806" s="3"/>
      <c r="B7806" s="3"/>
      <c r="C7806" s="3"/>
      <c r="D7806" s="3"/>
      <c r="E7806" s="3"/>
      <c r="F7806" s="3"/>
      <c r="G7806" s="3"/>
      <c r="H7806" s="3"/>
      <c r="I7806" s="3"/>
      <c r="J7806" s="3"/>
      <c r="K7806" s="3"/>
      <c r="L7806" s="3"/>
      <c r="M7806" s="3"/>
      <c r="N7806" s="3"/>
      <c r="O7806" s="3"/>
    </row>
    <row r="7807" spans="1:15" ht="15" customHeight="1" x14ac:dyDescent="0.25">
      <c r="A7807" s="2"/>
      <c r="B7807" s="2"/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</row>
    <row r="7808" spans="1:15" ht="15" customHeight="1" x14ac:dyDescent="0.25">
      <c r="A7808" s="3"/>
      <c r="B7808" s="3"/>
      <c r="C7808" s="3"/>
      <c r="D7808" s="3"/>
      <c r="E7808" s="3"/>
      <c r="F7808" s="3"/>
      <c r="G7808" s="3"/>
      <c r="H7808" s="3"/>
      <c r="I7808" s="3"/>
      <c r="J7808" s="3"/>
      <c r="K7808" s="3"/>
      <c r="L7808" s="3"/>
      <c r="M7808" s="3"/>
      <c r="N7808" s="3"/>
      <c r="O7808" s="3"/>
    </row>
    <row r="7809" spans="1:15" ht="15" customHeight="1" x14ac:dyDescent="0.25">
      <c r="A7809" s="2"/>
      <c r="B7809" s="2"/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</row>
    <row r="7810" spans="1:15" ht="15" customHeight="1" x14ac:dyDescent="0.25">
      <c r="A7810" s="3"/>
      <c r="B7810" s="3"/>
      <c r="C7810" s="3"/>
      <c r="D7810" s="3"/>
      <c r="E7810" s="3"/>
      <c r="F7810" s="3"/>
      <c r="G7810" s="3"/>
      <c r="H7810" s="3"/>
      <c r="I7810" s="3"/>
      <c r="J7810" s="3"/>
      <c r="K7810" s="3"/>
      <c r="L7810" s="3"/>
      <c r="M7810" s="3"/>
      <c r="N7810" s="3"/>
      <c r="O7810" s="3"/>
    </row>
    <row r="7811" spans="1:15" ht="15" customHeight="1" x14ac:dyDescent="0.25">
      <c r="A7811" s="2"/>
      <c r="B7811" s="2"/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</row>
    <row r="7812" spans="1:15" ht="15" customHeight="1" x14ac:dyDescent="0.25">
      <c r="A7812" s="3"/>
      <c r="B7812" s="3"/>
      <c r="C7812" s="3"/>
      <c r="D7812" s="3"/>
      <c r="E7812" s="3"/>
      <c r="F7812" s="3"/>
      <c r="G7812" s="3"/>
      <c r="H7812" s="3"/>
      <c r="I7812" s="3"/>
      <c r="J7812" s="3"/>
      <c r="K7812" s="3"/>
      <c r="L7812" s="3"/>
      <c r="M7812" s="3"/>
      <c r="N7812" s="3"/>
      <c r="O7812" s="3"/>
    </row>
    <row r="7813" spans="1:15" ht="15" customHeight="1" x14ac:dyDescent="0.25">
      <c r="A7813" s="2"/>
      <c r="B7813" s="2"/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</row>
    <row r="7814" spans="1:15" ht="15" customHeight="1" x14ac:dyDescent="0.25">
      <c r="A7814" s="3"/>
      <c r="B7814" s="3"/>
      <c r="C7814" s="3"/>
      <c r="D7814" s="3"/>
      <c r="E7814" s="3"/>
      <c r="F7814" s="3"/>
      <c r="G7814" s="3"/>
      <c r="H7814" s="3"/>
      <c r="I7814" s="3"/>
      <c r="J7814" s="3"/>
      <c r="K7814" s="3"/>
      <c r="L7814" s="3"/>
      <c r="M7814" s="3"/>
      <c r="N7814" s="3"/>
      <c r="O7814" s="3"/>
    </row>
    <row r="7815" spans="1:15" ht="15" customHeight="1" x14ac:dyDescent="0.25">
      <c r="A7815" s="2"/>
      <c r="B7815" s="2"/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</row>
    <row r="7816" spans="1:15" ht="15" customHeight="1" x14ac:dyDescent="0.25">
      <c r="A7816" s="3"/>
      <c r="B7816" s="3"/>
      <c r="C7816" s="3"/>
      <c r="D7816" s="3"/>
      <c r="E7816" s="3"/>
      <c r="F7816" s="3"/>
      <c r="G7816" s="3"/>
      <c r="H7816" s="3"/>
      <c r="I7816" s="3"/>
      <c r="J7816" s="3"/>
      <c r="K7816" s="3"/>
      <c r="L7816" s="3"/>
      <c r="M7816" s="3"/>
      <c r="N7816" s="3"/>
      <c r="O7816" s="3"/>
    </row>
    <row r="7817" spans="1:15" ht="15" customHeight="1" x14ac:dyDescent="0.25">
      <c r="A7817" s="2"/>
      <c r="B7817" s="2"/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</row>
    <row r="7818" spans="1:15" ht="15" customHeight="1" x14ac:dyDescent="0.25">
      <c r="A7818" s="3"/>
      <c r="B7818" s="3"/>
      <c r="C7818" s="3"/>
      <c r="D7818" s="3"/>
      <c r="E7818" s="3"/>
      <c r="F7818" s="3"/>
      <c r="G7818" s="3"/>
      <c r="H7818" s="3"/>
      <c r="I7818" s="3"/>
      <c r="J7818" s="3"/>
      <c r="K7818" s="3"/>
      <c r="L7818" s="3"/>
      <c r="M7818" s="3"/>
      <c r="N7818" s="3"/>
      <c r="O7818" s="3"/>
    </row>
    <row r="7819" spans="1:15" ht="15" customHeight="1" x14ac:dyDescent="0.25">
      <c r="A7819" s="2"/>
      <c r="B7819" s="2"/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</row>
    <row r="7820" spans="1:15" ht="15" customHeight="1" x14ac:dyDescent="0.25">
      <c r="A7820" s="3"/>
      <c r="B7820" s="3"/>
      <c r="C7820" s="3"/>
      <c r="D7820" s="3"/>
      <c r="E7820" s="3"/>
      <c r="F7820" s="3"/>
      <c r="G7820" s="3"/>
      <c r="H7820" s="3"/>
      <c r="I7820" s="3"/>
      <c r="J7820" s="3"/>
      <c r="K7820" s="3"/>
      <c r="L7820" s="3"/>
      <c r="M7820" s="3"/>
      <c r="N7820" s="3"/>
      <c r="O7820" s="3"/>
    </row>
    <row r="7821" spans="1:15" ht="15" customHeight="1" x14ac:dyDescent="0.25">
      <c r="A7821" s="2"/>
      <c r="B7821" s="2"/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</row>
    <row r="7822" spans="1:15" ht="15" customHeight="1" x14ac:dyDescent="0.25">
      <c r="A7822" s="3"/>
      <c r="B7822" s="3"/>
      <c r="C7822" s="3"/>
      <c r="D7822" s="3"/>
      <c r="E7822" s="3"/>
      <c r="F7822" s="3"/>
      <c r="G7822" s="3"/>
      <c r="H7822" s="3"/>
      <c r="I7822" s="3"/>
      <c r="J7822" s="3"/>
      <c r="K7822" s="3"/>
      <c r="L7822" s="3"/>
      <c r="M7822" s="3"/>
      <c r="N7822" s="3"/>
      <c r="O7822" s="3"/>
    </row>
    <row r="7823" spans="1:15" ht="15" customHeight="1" x14ac:dyDescent="0.25">
      <c r="A7823" s="2"/>
      <c r="B7823" s="2"/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</row>
    <row r="7824" spans="1:15" ht="15" customHeight="1" x14ac:dyDescent="0.25">
      <c r="A7824" s="3"/>
      <c r="B7824" s="3"/>
      <c r="C7824" s="3"/>
      <c r="D7824" s="3"/>
      <c r="E7824" s="3"/>
      <c r="F7824" s="3"/>
      <c r="G7824" s="3"/>
      <c r="H7824" s="3"/>
      <c r="I7824" s="3"/>
      <c r="J7824" s="3"/>
      <c r="K7824" s="3"/>
      <c r="L7824" s="3"/>
      <c r="M7824" s="3"/>
      <c r="N7824" s="3"/>
      <c r="O7824" s="3"/>
    </row>
    <row r="7825" spans="1:15" ht="15" customHeight="1" x14ac:dyDescent="0.25">
      <c r="A7825" s="2"/>
      <c r="B7825" s="2"/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</row>
    <row r="7826" spans="1:15" ht="15" customHeight="1" x14ac:dyDescent="0.25">
      <c r="A7826" s="3"/>
      <c r="B7826" s="3"/>
      <c r="C7826" s="3"/>
      <c r="D7826" s="3"/>
      <c r="E7826" s="3"/>
      <c r="F7826" s="3"/>
      <c r="G7826" s="3"/>
      <c r="H7826" s="3"/>
      <c r="I7826" s="3"/>
      <c r="J7826" s="3"/>
      <c r="K7826" s="3"/>
      <c r="L7826" s="3"/>
      <c r="M7826" s="3"/>
      <c r="N7826" s="3"/>
      <c r="O7826" s="3"/>
    </row>
    <row r="7827" spans="1:15" ht="15" customHeight="1" x14ac:dyDescent="0.25">
      <c r="A7827" s="2"/>
      <c r="B7827" s="2"/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</row>
    <row r="7828" spans="1:15" ht="15" customHeight="1" x14ac:dyDescent="0.25">
      <c r="A7828" s="3"/>
      <c r="B7828" s="3"/>
      <c r="C7828" s="3"/>
      <c r="D7828" s="3"/>
      <c r="E7828" s="3"/>
      <c r="F7828" s="3"/>
      <c r="G7828" s="3"/>
      <c r="H7828" s="3"/>
      <c r="I7828" s="3"/>
      <c r="J7828" s="3"/>
      <c r="K7828" s="3"/>
      <c r="L7828" s="3"/>
      <c r="M7828" s="3"/>
      <c r="N7828" s="3"/>
      <c r="O7828" s="3"/>
    </row>
    <row r="7829" spans="1:15" ht="15" customHeight="1" x14ac:dyDescent="0.25">
      <c r="A7829" s="2"/>
      <c r="B7829" s="2"/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</row>
    <row r="7830" spans="1:15" ht="15" customHeight="1" x14ac:dyDescent="0.25">
      <c r="A7830" s="3"/>
      <c r="B7830" s="3"/>
      <c r="C7830" s="3"/>
      <c r="D7830" s="3"/>
      <c r="E7830" s="3"/>
      <c r="F7830" s="3"/>
      <c r="G7830" s="3"/>
      <c r="H7830" s="3"/>
      <c r="I7830" s="3"/>
      <c r="J7830" s="3"/>
      <c r="K7830" s="3"/>
      <c r="L7830" s="3"/>
      <c r="M7830" s="3"/>
      <c r="N7830" s="3"/>
      <c r="O7830" s="3"/>
    </row>
    <row r="7831" spans="1:15" ht="15" customHeight="1" x14ac:dyDescent="0.25">
      <c r="A7831" s="2"/>
      <c r="B7831" s="2"/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</row>
    <row r="7832" spans="1:15" ht="15" customHeight="1" x14ac:dyDescent="0.25">
      <c r="A7832" s="3"/>
      <c r="B7832" s="3"/>
      <c r="C7832" s="3"/>
      <c r="D7832" s="3"/>
      <c r="E7832" s="3"/>
      <c r="F7832" s="3"/>
      <c r="G7832" s="3"/>
      <c r="H7832" s="3"/>
      <c r="I7832" s="3"/>
      <c r="J7832" s="3"/>
      <c r="K7832" s="3"/>
      <c r="L7832" s="3"/>
      <c r="M7832" s="3"/>
      <c r="N7832" s="3"/>
      <c r="O7832" s="3"/>
    </row>
    <row r="7833" spans="1:15" ht="15" customHeight="1" x14ac:dyDescent="0.25">
      <c r="A7833" s="2"/>
      <c r="B7833" s="2"/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</row>
    <row r="7834" spans="1:15" ht="15" customHeight="1" x14ac:dyDescent="0.25">
      <c r="A7834" s="3"/>
      <c r="B7834" s="3"/>
      <c r="C7834" s="3"/>
      <c r="D7834" s="3"/>
      <c r="E7834" s="3"/>
      <c r="F7834" s="3"/>
      <c r="G7834" s="3"/>
      <c r="H7834" s="3"/>
      <c r="I7834" s="3"/>
      <c r="J7834" s="3"/>
      <c r="K7834" s="3"/>
      <c r="L7834" s="3"/>
      <c r="M7834" s="3"/>
      <c r="N7834" s="3"/>
      <c r="O7834" s="3"/>
    </row>
    <row r="7835" spans="1:15" ht="15" customHeight="1" x14ac:dyDescent="0.25">
      <c r="A7835" s="2"/>
      <c r="B7835" s="2"/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</row>
    <row r="7836" spans="1:15" ht="15" customHeight="1" x14ac:dyDescent="0.25">
      <c r="A7836" s="3"/>
      <c r="B7836" s="3"/>
      <c r="C7836" s="3"/>
      <c r="D7836" s="3"/>
      <c r="E7836" s="3"/>
      <c r="F7836" s="3"/>
      <c r="G7836" s="3"/>
      <c r="H7836" s="3"/>
      <c r="I7836" s="3"/>
      <c r="J7836" s="3"/>
      <c r="K7836" s="3"/>
      <c r="L7836" s="3"/>
      <c r="M7836" s="3"/>
      <c r="N7836" s="3"/>
      <c r="O7836" s="3"/>
    </row>
    <row r="7837" spans="1:15" ht="15" customHeight="1" x14ac:dyDescent="0.25">
      <c r="A7837" s="2"/>
      <c r="B7837" s="2"/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</row>
    <row r="7838" spans="1:15" ht="15" customHeight="1" x14ac:dyDescent="0.25">
      <c r="A7838" s="3"/>
      <c r="B7838" s="3"/>
      <c r="C7838" s="3"/>
      <c r="D7838" s="3"/>
      <c r="E7838" s="3"/>
      <c r="F7838" s="3"/>
      <c r="G7838" s="3"/>
      <c r="H7838" s="3"/>
      <c r="I7838" s="3"/>
      <c r="J7838" s="3"/>
      <c r="K7838" s="3"/>
      <c r="L7838" s="3"/>
      <c r="M7838" s="3"/>
      <c r="N7838" s="3"/>
      <c r="O7838" s="3"/>
    </row>
    <row r="7839" spans="1:15" ht="15" customHeight="1" x14ac:dyDescent="0.25">
      <c r="A7839" s="2"/>
      <c r="B7839" s="2"/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</row>
    <row r="7840" spans="1:15" ht="15" customHeight="1" x14ac:dyDescent="0.25">
      <c r="A7840" s="3"/>
      <c r="B7840" s="3"/>
      <c r="C7840" s="3"/>
      <c r="D7840" s="3"/>
      <c r="E7840" s="3"/>
      <c r="F7840" s="3"/>
      <c r="G7840" s="3"/>
      <c r="H7840" s="3"/>
      <c r="I7840" s="3"/>
      <c r="J7840" s="3"/>
      <c r="K7840" s="3"/>
      <c r="L7840" s="3"/>
      <c r="M7840" s="3"/>
      <c r="N7840" s="3"/>
      <c r="O7840" s="3"/>
    </row>
    <row r="7841" spans="1:15" ht="15" customHeight="1" x14ac:dyDescent="0.25">
      <c r="A7841" s="2"/>
      <c r="B7841" s="2"/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</row>
    <row r="7842" spans="1:15" ht="15" customHeight="1" x14ac:dyDescent="0.25">
      <c r="A7842" s="3"/>
      <c r="B7842" s="3"/>
      <c r="C7842" s="3"/>
      <c r="D7842" s="3"/>
      <c r="E7842" s="3"/>
      <c r="F7842" s="3"/>
      <c r="G7842" s="3"/>
      <c r="H7842" s="3"/>
      <c r="I7842" s="3"/>
      <c r="J7842" s="3"/>
      <c r="K7842" s="3"/>
      <c r="L7842" s="3"/>
      <c r="M7842" s="3"/>
      <c r="N7842" s="3"/>
      <c r="O7842" s="3"/>
    </row>
    <row r="7843" spans="1:15" ht="15" customHeight="1" x14ac:dyDescent="0.25">
      <c r="A7843" s="2"/>
      <c r="B7843" s="2"/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</row>
    <row r="7844" spans="1:15" ht="15" customHeight="1" x14ac:dyDescent="0.25">
      <c r="A7844" s="3"/>
      <c r="B7844" s="3"/>
      <c r="C7844" s="3"/>
      <c r="D7844" s="3"/>
      <c r="E7844" s="3"/>
      <c r="F7844" s="3"/>
      <c r="G7844" s="3"/>
      <c r="H7844" s="3"/>
      <c r="I7844" s="3"/>
      <c r="J7844" s="3"/>
      <c r="K7844" s="3"/>
      <c r="L7844" s="3"/>
      <c r="M7844" s="3"/>
      <c r="N7844" s="3"/>
      <c r="O7844" s="3"/>
    </row>
    <row r="7845" spans="1:15" ht="15" customHeight="1" x14ac:dyDescent="0.25">
      <c r="A7845" s="2"/>
      <c r="B7845" s="2"/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</row>
    <row r="7846" spans="1:15" ht="15" customHeight="1" x14ac:dyDescent="0.25">
      <c r="A7846" s="3"/>
      <c r="B7846" s="3"/>
      <c r="C7846" s="3"/>
      <c r="D7846" s="3"/>
      <c r="E7846" s="3"/>
      <c r="F7846" s="3"/>
      <c r="G7846" s="3"/>
      <c r="H7846" s="3"/>
      <c r="I7846" s="3"/>
      <c r="J7846" s="3"/>
      <c r="K7846" s="3"/>
      <c r="L7846" s="3"/>
      <c r="M7846" s="3"/>
      <c r="N7846" s="3"/>
      <c r="O7846" s="3"/>
    </row>
    <row r="7847" spans="1:15" ht="15" customHeight="1" x14ac:dyDescent="0.25">
      <c r="A7847" s="2"/>
      <c r="B7847" s="2"/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</row>
    <row r="7848" spans="1:15" ht="15" customHeight="1" x14ac:dyDescent="0.25">
      <c r="A7848" s="3"/>
      <c r="B7848" s="3"/>
      <c r="C7848" s="3"/>
      <c r="D7848" s="3"/>
      <c r="E7848" s="3"/>
      <c r="F7848" s="3"/>
      <c r="G7848" s="3"/>
      <c r="H7848" s="3"/>
      <c r="I7848" s="3"/>
      <c r="J7848" s="3"/>
      <c r="K7848" s="3"/>
      <c r="L7848" s="3"/>
      <c r="M7848" s="3"/>
      <c r="N7848" s="3"/>
      <c r="O7848" s="3"/>
    </row>
    <row r="7849" spans="1:15" ht="15" customHeight="1" x14ac:dyDescent="0.25">
      <c r="A7849" s="2"/>
      <c r="B7849" s="2"/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</row>
    <row r="7850" spans="1:15" ht="15" customHeight="1" x14ac:dyDescent="0.25">
      <c r="A7850" s="3"/>
      <c r="B7850" s="3"/>
      <c r="C7850" s="3"/>
      <c r="D7850" s="3"/>
      <c r="E7850" s="3"/>
      <c r="F7850" s="3"/>
      <c r="G7850" s="3"/>
      <c r="H7850" s="3"/>
      <c r="I7850" s="3"/>
      <c r="J7850" s="3"/>
      <c r="K7850" s="3"/>
      <c r="L7850" s="3"/>
      <c r="M7850" s="3"/>
      <c r="N7850" s="3"/>
      <c r="O7850" s="3"/>
    </row>
    <row r="7851" spans="1:15" ht="15" customHeight="1" x14ac:dyDescent="0.25">
      <c r="A7851" s="2"/>
      <c r="B7851" s="2"/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</row>
    <row r="7852" spans="1:15" ht="15" customHeight="1" x14ac:dyDescent="0.25">
      <c r="A7852" s="3"/>
      <c r="B7852" s="3"/>
      <c r="C7852" s="3"/>
      <c r="D7852" s="3"/>
      <c r="E7852" s="3"/>
      <c r="F7852" s="3"/>
      <c r="G7852" s="3"/>
      <c r="H7852" s="3"/>
      <c r="I7852" s="3"/>
      <c r="J7852" s="3"/>
      <c r="K7852" s="3"/>
      <c r="L7852" s="3"/>
      <c r="M7852" s="3"/>
      <c r="N7852" s="3"/>
      <c r="O7852" s="3"/>
    </row>
    <row r="7853" spans="1:15" ht="15" customHeight="1" x14ac:dyDescent="0.25">
      <c r="A7853" s="2"/>
      <c r="B7853" s="2"/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</row>
    <row r="7854" spans="1:15" ht="15" customHeight="1" x14ac:dyDescent="0.25">
      <c r="A7854" s="3"/>
      <c r="B7854" s="3"/>
      <c r="C7854" s="3"/>
      <c r="D7854" s="3"/>
      <c r="E7854" s="3"/>
      <c r="F7854" s="3"/>
      <c r="G7854" s="3"/>
      <c r="H7854" s="3"/>
      <c r="I7854" s="3"/>
      <c r="J7854" s="3"/>
      <c r="K7854" s="3"/>
      <c r="L7854" s="3"/>
      <c r="M7854" s="3"/>
      <c r="N7854" s="3"/>
      <c r="O7854" s="3"/>
    </row>
    <row r="7855" spans="1:15" ht="15" customHeight="1" x14ac:dyDescent="0.25">
      <c r="A7855" s="2"/>
      <c r="B7855" s="2"/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</row>
    <row r="7856" spans="1:15" ht="15" customHeight="1" x14ac:dyDescent="0.25">
      <c r="A7856" s="3"/>
      <c r="B7856" s="3"/>
      <c r="C7856" s="3"/>
      <c r="D7856" s="3"/>
      <c r="E7856" s="3"/>
      <c r="F7856" s="3"/>
      <c r="G7856" s="3"/>
      <c r="H7856" s="3"/>
      <c r="I7856" s="3"/>
      <c r="J7856" s="3"/>
      <c r="K7856" s="3"/>
      <c r="L7856" s="3"/>
      <c r="M7856" s="3"/>
      <c r="N7856" s="3"/>
      <c r="O7856" s="3"/>
    </row>
    <row r="7857" spans="1:15" ht="15" customHeight="1" x14ac:dyDescent="0.25">
      <c r="A7857" s="2"/>
      <c r="B7857" s="2"/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</row>
    <row r="7858" spans="1:15" ht="15" customHeight="1" x14ac:dyDescent="0.25">
      <c r="A7858" s="3"/>
      <c r="B7858" s="3"/>
      <c r="C7858" s="3"/>
      <c r="D7858" s="3"/>
      <c r="E7858" s="3"/>
      <c r="F7858" s="3"/>
      <c r="G7858" s="3"/>
      <c r="H7858" s="3"/>
      <c r="I7858" s="3"/>
      <c r="J7858" s="3"/>
      <c r="K7858" s="3"/>
      <c r="L7858" s="3"/>
      <c r="M7858" s="3"/>
      <c r="N7858" s="3"/>
      <c r="O7858" s="3"/>
    </row>
    <row r="7859" spans="1:15" ht="15" customHeight="1" x14ac:dyDescent="0.25">
      <c r="A7859" s="2"/>
      <c r="B7859" s="2"/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</row>
    <row r="7860" spans="1:15" ht="15" customHeight="1" x14ac:dyDescent="0.25">
      <c r="A7860" s="3"/>
      <c r="B7860" s="3"/>
      <c r="C7860" s="3"/>
      <c r="D7860" s="3"/>
      <c r="E7860" s="3"/>
      <c r="F7860" s="3"/>
      <c r="G7860" s="3"/>
      <c r="H7860" s="3"/>
      <c r="I7860" s="3"/>
      <c r="J7860" s="3"/>
      <c r="K7860" s="3"/>
      <c r="L7860" s="3"/>
      <c r="M7860" s="3"/>
      <c r="N7860" s="3"/>
      <c r="O7860" s="3"/>
    </row>
    <row r="7861" spans="1:15" ht="15" customHeight="1" x14ac:dyDescent="0.25">
      <c r="A7861" s="2"/>
      <c r="B7861" s="2"/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</row>
    <row r="7862" spans="1:15" ht="15" customHeight="1" x14ac:dyDescent="0.25">
      <c r="A7862" s="3"/>
      <c r="B7862" s="3"/>
      <c r="C7862" s="3"/>
      <c r="D7862" s="3"/>
      <c r="E7862" s="3"/>
      <c r="F7862" s="3"/>
      <c r="G7862" s="3"/>
      <c r="H7862" s="3"/>
      <c r="I7862" s="3"/>
      <c r="J7862" s="3"/>
      <c r="K7862" s="3"/>
      <c r="L7862" s="3"/>
      <c r="M7862" s="3"/>
      <c r="N7862" s="3"/>
      <c r="O7862" s="3"/>
    </row>
    <row r="7863" spans="1:15" ht="15" customHeight="1" x14ac:dyDescent="0.25">
      <c r="A7863" s="2"/>
      <c r="B7863" s="2"/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</row>
    <row r="7864" spans="1:15" ht="15" customHeight="1" x14ac:dyDescent="0.25">
      <c r="A7864" s="3"/>
      <c r="B7864" s="3"/>
      <c r="C7864" s="3"/>
      <c r="D7864" s="3"/>
      <c r="E7864" s="3"/>
      <c r="F7864" s="3"/>
      <c r="G7864" s="3"/>
      <c r="H7864" s="3"/>
      <c r="I7864" s="3"/>
      <c r="J7864" s="3"/>
      <c r="K7864" s="3"/>
      <c r="L7864" s="3"/>
      <c r="M7864" s="3"/>
      <c r="N7864" s="3"/>
      <c r="O7864" s="3"/>
    </row>
    <row r="7865" spans="1:15" ht="15" customHeight="1" x14ac:dyDescent="0.25">
      <c r="A7865" s="2"/>
      <c r="B7865" s="2"/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</row>
    <row r="7866" spans="1:15" ht="15" customHeight="1" x14ac:dyDescent="0.25">
      <c r="A7866" s="3"/>
      <c r="B7866" s="3"/>
      <c r="C7866" s="3"/>
      <c r="D7866" s="3"/>
      <c r="E7866" s="3"/>
      <c r="F7866" s="3"/>
      <c r="G7866" s="3"/>
      <c r="H7866" s="3"/>
      <c r="I7866" s="3"/>
      <c r="J7866" s="3"/>
      <c r="K7866" s="3"/>
      <c r="L7866" s="3"/>
      <c r="M7866" s="3"/>
      <c r="N7866" s="3"/>
      <c r="O7866" s="3"/>
    </row>
    <row r="7867" spans="1:15" ht="15" customHeight="1" x14ac:dyDescent="0.25">
      <c r="A7867" s="2"/>
      <c r="B7867" s="2"/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</row>
    <row r="7868" spans="1:15" ht="15" customHeight="1" x14ac:dyDescent="0.25">
      <c r="A7868" s="3"/>
      <c r="B7868" s="3"/>
      <c r="C7868" s="3"/>
      <c r="D7868" s="3"/>
      <c r="E7868" s="3"/>
      <c r="F7868" s="3"/>
      <c r="G7868" s="3"/>
      <c r="H7868" s="3"/>
      <c r="I7868" s="3"/>
      <c r="J7868" s="3"/>
      <c r="K7868" s="3"/>
      <c r="L7868" s="3"/>
      <c r="M7868" s="3"/>
      <c r="N7868" s="3"/>
      <c r="O7868" s="3"/>
    </row>
    <row r="7869" spans="1:15" ht="15" customHeight="1" x14ac:dyDescent="0.25">
      <c r="A7869" s="2"/>
      <c r="B7869" s="2"/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</row>
    <row r="7870" spans="1:15" ht="15" customHeight="1" x14ac:dyDescent="0.25">
      <c r="A7870" s="3"/>
      <c r="B7870" s="3"/>
      <c r="C7870" s="3"/>
      <c r="D7870" s="3"/>
      <c r="E7870" s="3"/>
      <c r="F7870" s="3"/>
      <c r="G7870" s="3"/>
      <c r="H7870" s="3"/>
      <c r="I7870" s="3"/>
      <c r="J7870" s="3"/>
      <c r="K7870" s="3"/>
      <c r="L7870" s="3"/>
      <c r="M7870" s="3"/>
      <c r="N7870" s="3"/>
      <c r="O7870" s="3"/>
    </row>
    <row r="7871" spans="1:15" ht="15" customHeight="1" x14ac:dyDescent="0.25">
      <c r="A7871" s="2"/>
      <c r="B7871" s="2"/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</row>
    <row r="7872" spans="1:15" ht="15" customHeight="1" x14ac:dyDescent="0.25">
      <c r="A7872" s="3"/>
      <c r="B7872" s="3"/>
      <c r="C7872" s="3"/>
      <c r="D7872" s="3"/>
      <c r="E7872" s="3"/>
      <c r="F7872" s="3"/>
      <c r="G7872" s="3"/>
      <c r="H7872" s="3"/>
      <c r="I7872" s="3"/>
      <c r="J7872" s="3"/>
      <c r="K7872" s="3"/>
      <c r="L7872" s="3"/>
      <c r="M7872" s="3"/>
      <c r="N7872" s="3"/>
      <c r="O7872" s="3"/>
    </row>
    <row r="7873" spans="1:15" ht="15" customHeight="1" x14ac:dyDescent="0.25">
      <c r="A7873" s="2"/>
      <c r="B7873" s="2"/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</row>
    <row r="7874" spans="1:15" ht="15" customHeight="1" x14ac:dyDescent="0.25">
      <c r="A7874" s="3"/>
      <c r="B7874" s="3"/>
      <c r="C7874" s="3"/>
      <c r="D7874" s="3"/>
      <c r="E7874" s="3"/>
      <c r="F7874" s="3"/>
      <c r="G7874" s="3"/>
      <c r="H7874" s="3"/>
      <c r="I7874" s="3"/>
      <c r="J7874" s="3"/>
      <c r="K7874" s="3"/>
      <c r="L7874" s="3"/>
      <c r="M7874" s="3"/>
      <c r="N7874" s="3"/>
      <c r="O7874" s="3"/>
    </row>
    <row r="7875" spans="1:15" ht="15" customHeight="1" x14ac:dyDescent="0.25">
      <c r="A7875" s="2"/>
      <c r="B7875" s="2"/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</row>
    <row r="7876" spans="1:15" ht="15" customHeight="1" x14ac:dyDescent="0.25">
      <c r="A7876" s="3"/>
      <c r="B7876" s="3"/>
      <c r="C7876" s="3"/>
      <c r="D7876" s="3"/>
      <c r="E7876" s="3"/>
      <c r="F7876" s="3"/>
      <c r="G7876" s="3"/>
      <c r="H7876" s="3"/>
      <c r="I7876" s="3"/>
      <c r="J7876" s="3"/>
      <c r="K7876" s="3"/>
      <c r="L7876" s="3"/>
      <c r="M7876" s="3"/>
      <c r="N7876" s="3"/>
      <c r="O7876" s="3"/>
    </row>
    <row r="7877" spans="1:15" ht="15" customHeight="1" x14ac:dyDescent="0.25">
      <c r="A7877" s="2"/>
      <c r="B7877" s="2"/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</row>
    <row r="7878" spans="1:15" ht="15" customHeight="1" x14ac:dyDescent="0.25">
      <c r="A7878" s="3"/>
      <c r="B7878" s="3"/>
      <c r="C7878" s="3"/>
      <c r="D7878" s="3"/>
      <c r="E7878" s="3"/>
      <c r="F7878" s="3"/>
      <c r="G7878" s="3"/>
      <c r="H7878" s="3"/>
      <c r="I7878" s="3"/>
      <c r="J7878" s="3"/>
      <c r="K7878" s="3"/>
      <c r="L7878" s="3"/>
      <c r="M7878" s="3"/>
      <c r="N7878" s="3"/>
      <c r="O7878" s="3"/>
    </row>
    <row r="7879" spans="1:15" ht="15" customHeight="1" x14ac:dyDescent="0.25">
      <c r="A7879" s="2"/>
      <c r="B7879" s="2"/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</row>
    <row r="7880" spans="1:15" ht="15" customHeight="1" x14ac:dyDescent="0.25">
      <c r="A7880" s="3"/>
      <c r="B7880" s="3"/>
      <c r="C7880" s="3"/>
      <c r="D7880" s="3"/>
      <c r="E7880" s="3"/>
      <c r="F7880" s="3"/>
      <c r="G7880" s="3"/>
      <c r="H7880" s="3"/>
      <c r="I7880" s="3"/>
      <c r="J7880" s="3"/>
      <c r="K7880" s="3"/>
      <c r="L7880" s="3"/>
      <c r="M7880" s="3"/>
      <c r="N7880" s="3"/>
      <c r="O7880" s="3"/>
    </row>
    <row r="7881" spans="1:15" ht="15" customHeight="1" x14ac:dyDescent="0.25">
      <c r="A7881" s="2"/>
      <c r="B7881" s="2"/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</row>
    <row r="7882" spans="1:15" ht="15" customHeight="1" x14ac:dyDescent="0.25">
      <c r="A7882" s="3"/>
      <c r="B7882" s="3"/>
      <c r="C7882" s="3"/>
      <c r="D7882" s="3"/>
      <c r="E7882" s="3"/>
      <c r="F7882" s="3"/>
      <c r="G7882" s="3"/>
      <c r="H7882" s="3"/>
      <c r="I7882" s="3"/>
      <c r="J7882" s="3"/>
      <c r="K7882" s="3"/>
      <c r="L7882" s="3"/>
      <c r="M7882" s="3"/>
      <c r="N7882" s="3"/>
      <c r="O7882" s="3"/>
    </row>
    <row r="7883" spans="1:15" ht="15" customHeight="1" x14ac:dyDescent="0.25">
      <c r="A7883" s="2"/>
      <c r="B7883" s="2"/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</row>
    <row r="7884" spans="1:15" ht="15" customHeight="1" x14ac:dyDescent="0.25">
      <c r="A7884" s="3"/>
      <c r="B7884" s="3"/>
      <c r="C7884" s="3"/>
      <c r="D7884" s="3"/>
      <c r="E7884" s="3"/>
      <c r="F7884" s="3"/>
      <c r="G7884" s="3"/>
      <c r="H7884" s="3"/>
      <c r="I7884" s="3"/>
      <c r="J7884" s="3"/>
      <c r="K7884" s="3"/>
      <c r="L7884" s="3"/>
      <c r="M7884" s="3"/>
      <c r="N7884" s="3"/>
      <c r="O7884" s="3"/>
    </row>
    <row r="7885" spans="1:15" ht="15" customHeight="1" x14ac:dyDescent="0.25">
      <c r="A7885" s="2"/>
      <c r="B7885" s="2"/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</row>
    <row r="7886" spans="1:15" ht="15" customHeight="1" x14ac:dyDescent="0.25">
      <c r="A7886" s="3"/>
      <c r="B7886" s="3"/>
      <c r="C7886" s="3"/>
      <c r="D7886" s="3"/>
      <c r="E7886" s="3"/>
      <c r="F7886" s="3"/>
      <c r="G7886" s="3"/>
      <c r="H7886" s="3"/>
      <c r="I7886" s="3"/>
      <c r="J7886" s="3"/>
      <c r="K7886" s="3"/>
      <c r="L7886" s="3"/>
      <c r="M7886" s="3"/>
      <c r="N7886" s="3"/>
      <c r="O7886" s="3"/>
    </row>
    <row r="7887" spans="1:15" ht="15" customHeight="1" x14ac:dyDescent="0.25">
      <c r="A7887" s="2"/>
      <c r="B7887" s="2"/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</row>
    <row r="7888" spans="1:15" ht="15" customHeight="1" x14ac:dyDescent="0.25">
      <c r="A7888" s="3"/>
      <c r="B7888" s="3"/>
      <c r="C7888" s="3"/>
      <c r="D7888" s="3"/>
      <c r="E7888" s="3"/>
      <c r="F7888" s="3"/>
      <c r="G7888" s="3"/>
      <c r="H7888" s="3"/>
      <c r="I7888" s="3"/>
      <c r="J7888" s="3"/>
      <c r="K7888" s="3"/>
      <c r="L7888" s="3"/>
      <c r="M7888" s="3"/>
      <c r="N7888" s="3"/>
      <c r="O7888" s="3"/>
    </row>
    <row r="7889" spans="1:15" ht="15" customHeight="1" x14ac:dyDescent="0.25">
      <c r="A7889" s="2"/>
      <c r="B7889" s="2"/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</row>
    <row r="7890" spans="1:15" ht="15" customHeight="1" x14ac:dyDescent="0.25">
      <c r="A7890" s="3"/>
      <c r="B7890" s="3"/>
      <c r="C7890" s="3"/>
      <c r="D7890" s="3"/>
      <c r="E7890" s="3"/>
      <c r="F7890" s="3"/>
      <c r="G7890" s="3"/>
      <c r="H7890" s="3"/>
      <c r="I7890" s="3"/>
      <c r="J7890" s="3"/>
      <c r="K7890" s="3"/>
      <c r="L7890" s="3"/>
      <c r="M7890" s="3"/>
      <c r="N7890" s="3"/>
      <c r="O7890" s="3"/>
    </row>
    <row r="7891" spans="1:15" ht="15" customHeight="1" x14ac:dyDescent="0.25">
      <c r="A7891" s="2"/>
      <c r="B7891" s="2"/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</row>
    <row r="7892" spans="1:15" ht="15" customHeight="1" x14ac:dyDescent="0.25">
      <c r="A7892" s="3"/>
      <c r="B7892" s="3"/>
      <c r="C7892" s="3"/>
      <c r="D7892" s="3"/>
      <c r="E7892" s="3"/>
      <c r="F7892" s="3"/>
      <c r="G7892" s="3"/>
      <c r="H7892" s="3"/>
      <c r="I7892" s="3"/>
      <c r="J7892" s="3"/>
      <c r="K7892" s="3"/>
      <c r="L7892" s="3"/>
      <c r="M7892" s="3"/>
      <c r="N7892" s="3"/>
      <c r="O7892" s="3"/>
    </row>
    <row r="7893" spans="1:15" ht="15" customHeight="1" x14ac:dyDescent="0.25">
      <c r="A7893" s="2"/>
      <c r="B7893" s="2"/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</row>
    <row r="7894" spans="1:15" ht="15" customHeight="1" x14ac:dyDescent="0.25">
      <c r="A7894" s="3"/>
      <c r="B7894" s="3"/>
      <c r="C7894" s="3"/>
      <c r="D7894" s="3"/>
      <c r="E7894" s="3"/>
      <c r="F7894" s="3"/>
      <c r="G7894" s="3"/>
      <c r="H7894" s="3"/>
      <c r="I7894" s="3"/>
      <c r="J7894" s="3"/>
      <c r="K7894" s="3"/>
      <c r="L7894" s="3"/>
      <c r="M7894" s="3"/>
      <c r="N7894" s="3"/>
      <c r="O7894" s="3"/>
    </row>
    <row r="7895" spans="1:15" ht="15" customHeight="1" x14ac:dyDescent="0.25">
      <c r="A7895" s="2"/>
      <c r="B7895" s="2"/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</row>
    <row r="7896" spans="1:15" ht="15" customHeight="1" x14ac:dyDescent="0.25">
      <c r="A7896" s="3"/>
      <c r="B7896" s="3"/>
      <c r="C7896" s="3"/>
      <c r="D7896" s="3"/>
      <c r="E7896" s="3"/>
      <c r="F7896" s="3"/>
      <c r="G7896" s="3"/>
      <c r="H7896" s="3"/>
      <c r="I7896" s="3"/>
      <c r="J7896" s="3"/>
      <c r="K7896" s="3"/>
      <c r="L7896" s="3"/>
      <c r="M7896" s="3"/>
      <c r="N7896" s="3"/>
      <c r="O7896" s="3"/>
    </row>
    <row r="7897" spans="1:15" ht="15" customHeight="1" x14ac:dyDescent="0.25">
      <c r="A7897" s="2"/>
      <c r="B7897" s="2"/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</row>
    <row r="7898" spans="1:15" ht="15" customHeight="1" x14ac:dyDescent="0.25">
      <c r="A7898" s="3"/>
      <c r="B7898" s="3"/>
      <c r="C7898" s="3"/>
      <c r="D7898" s="3"/>
      <c r="E7898" s="3"/>
      <c r="F7898" s="3"/>
      <c r="G7898" s="3"/>
      <c r="H7898" s="3"/>
      <c r="I7898" s="3"/>
      <c r="J7898" s="3"/>
      <c r="K7898" s="3"/>
      <c r="L7898" s="3"/>
      <c r="M7898" s="3"/>
      <c r="N7898" s="3"/>
      <c r="O7898" s="3"/>
    </row>
    <row r="7899" spans="1:15" ht="15" customHeight="1" x14ac:dyDescent="0.25">
      <c r="A7899" s="2"/>
      <c r="B7899" s="2"/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</row>
    <row r="7900" spans="1:15" ht="15" customHeight="1" x14ac:dyDescent="0.25">
      <c r="A7900" s="3"/>
      <c r="B7900" s="3"/>
      <c r="C7900" s="3"/>
      <c r="D7900" s="3"/>
      <c r="E7900" s="3"/>
      <c r="F7900" s="3"/>
      <c r="G7900" s="3"/>
      <c r="H7900" s="3"/>
      <c r="I7900" s="3"/>
      <c r="J7900" s="3"/>
      <c r="K7900" s="3"/>
      <c r="L7900" s="3"/>
      <c r="M7900" s="3"/>
      <c r="N7900" s="3"/>
      <c r="O7900" s="3"/>
    </row>
    <row r="7901" spans="1:15" ht="15" customHeight="1" x14ac:dyDescent="0.25">
      <c r="A7901" s="2"/>
      <c r="B7901" s="2"/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</row>
    <row r="7902" spans="1:15" ht="15" customHeight="1" x14ac:dyDescent="0.25">
      <c r="A7902" s="3"/>
      <c r="B7902" s="3"/>
      <c r="C7902" s="3"/>
      <c r="D7902" s="3"/>
      <c r="E7902" s="3"/>
      <c r="F7902" s="3"/>
      <c r="G7902" s="3"/>
      <c r="H7902" s="3"/>
      <c r="I7902" s="3"/>
      <c r="J7902" s="3"/>
      <c r="K7902" s="3"/>
      <c r="L7902" s="3"/>
      <c r="M7902" s="3"/>
      <c r="N7902" s="3"/>
      <c r="O7902" s="3"/>
    </row>
    <row r="7903" spans="1:15" ht="15" customHeight="1" x14ac:dyDescent="0.25">
      <c r="A7903" s="2"/>
      <c r="B7903" s="2"/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</row>
    <row r="7904" spans="1:15" ht="15" customHeight="1" x14ac:dyDescent="0.25">
      <c r="A7904" s="3"/>
      <c r="B7904" s="3"/>
      <c r="C7904" s="3"/>
      <c r="D7904" s="3"/>
      <c r="E7904" s="3"/>
      <c r="F7904" s="3"/>
      <c r="G7904" s="3"/>
      <c r="H7904" s="3"/>
      <c r="I7904" s="3"/>
      <c r="J7904" s="3"/>
      <c r="K7904" s="3"/>
      <c r="L7904" s="3"/>
      <c r="M7904" s="3"/>
      <c r="N7904" s="3"/>
      <c r="O7904" s="3"/>
    </row>
    <row r="7905" spans="1:15" ht="15" customHeight="1" x14ac:dyDescent="0.25">
      <c r="A7905" s="2"/>
      <c r="B7905" s="2"/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</row>
    <row r="7906" spans="1:15" ht="15" customHeight="1" x14ac:dyDescent="0.25">
      <c r="A7906" s="3"/>
      <c r="B7906" s="3"/>
      <c r="C7906" s="3"/>
      <c r="D7906" s="3"/>
      <c r="E7906" s="3"/>
      <c r="F7906" s="3"/>
      <c r="G7906" s="3"/>
      <c r="H7906" s="3"/>
      <c r="I7906" s="3"/>
      <c r="J7906" s="3"/>
      <c r="K7906" s="3"/>
      <c r="L7906" s="3"/>
      <c r="M7906" s="3"/>
      <c r="N7906" s="3"/>
      <c r="O7906" s="3"/>
    </row>
    <row r="7907" spans="1:15" ht="15" customHeight="1" x14ac:dyDescent="0.25">
      <c r="A7907" s="2"/>
      <c r="B7907" s="2"/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</row>
    <row r="7908" spans="1:15" ht="15" customHeight="1" x14ac:dyDescent="0.25">
      <c r="A7908" s="3"/>
      <c r="B7908" s="3"/>
      <c r="C7908" s="3"/>
      <c r="D7908" s="3"/>
      <c r="E7908" s="3"/>
      <c r="F7908" s="3"/>
      <c r="G7908" s="3"/>
      <c r="H7908" s="3"/>
      <c r="I7908" s="3"/>
      <c r="J7908" s="3"/>
      <c r="K7908" s="3"/>
      <c r="L7908" s="3"/>
      <c r="M7908" s="3"/>
      <c r="N7908" s="3"/>
      <c r="O7908" s="3"/>
    </row>
    <row r="7909" spans="1:15" ht="15" customHeight="1" x14ac:dyDescent="0.25">
      <c r="A7909" s="2"/>
      <c r="B7909" s="2"/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</row>
    <row r="7910" spans="1:15" ht="15" customHeight="1" x14ac:dyDescent="0.25">
      <c r="A7910" s="3"/>
      <c r="B7910" s="3"/>
      <c r="C7910" s="3"/>
      <c r="D7910" s="3"/>
      <c r="E7910" s="3"/>
      <c r="F7910" s="3"/>
      <c r="G7910" s="3"/>
      <c r="H7910" s="3"/>
      <c r="I7910" s="3"/>
      <c r="J7910" s="3"/>
      <c r="K7910" s="3"/>
      <c r="L7910" s="3"/>
      <c r="M7910" s="3"/>
      <c r="N7910" s="3"/>
      <c r="O7910" s="3"/>
    </row>
    <row r="7911" spans="1:15" ht="15" customHeight="1" x14ac:dyDescent="0.25">
      <c r="A7911" s="2"/>
      <c r="B7911" s="2"/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</row>
    <row r="7912" spans="1:15" ht="15" customHeight="1" x14ac:dyDescent="0.25">
      <c r="A7912" s="3"/>
      <c r="B7912" s="3"/>
      <c r="C7912" s="3"/>
      <c r="D7912" s="3"/>
      <c r="E7912" s="3"/>
      <c r="F7912" s="3"/>
      <c r="G7912" s="3"/>
      <c r="H7912" s="3"/>
      <c r="I7912" s="3"/>
      <c r="J7912" s="3"/>
      <c r="K7912" s="3"/>
      <c r="L7912" s="3"/>
      <c r="M7912" s="3"/>
      <c r="N7912" s="3"/>
      <c r="O7912" s="3"/>
    </row>
    <row r="7913" spans="1:15" ht="15" customHeight="1" x14ac:dyDescent="0.25">
      <c r="A7913" s="2"/>
      <c r="B7913" s="2"/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</row>
    <row r="7914" spans="1:15" ht="15" customHeight="1" x14ac:dyDescent="0.25">
      <c r="A7914" s="3"/>
      <c r="B7914" s="3"/>
      <c r="C7914" s="3"/>
      <c r="D7914" s="3"/>
      <c r="E7914" s="3"/>
      <c r="F7914" s="3"/>
      <c r="G7914" s="3"/>
      <c r="H7914" s="3"/>
      <c r="I7914" s="3"/>
      <c r="J7914" s="3"/>
      <c r="K7914" s="3"/>
      <c r="L7914" s="3"/>
      <c r="M7914" s="3"/>
      <c r="N7914" s="3"/>
      <c r="O7914" s="3"/>
    </row>
    <row r="7915" spans="1:15" ht="15" customHeight="1" x14ac:dyDescent="0.25">
      <c r="A7915" s="2"/>
      <c r="B7915" s="2"/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</row>
    <row r="7916" spans="1:15" ht="15" customHeight="1" x14ac:dyDescent="0.25">
      <c r="A7916" s="3"/>
      <c r="B7916" s="3"/>
      <c r="C7916" s="3"/>
      <c r="D7916" s="3"/>
      <c r="E7916" s="3"/>
      <c r="F7916" s="3"/>
      <c r="G7916" s="3"/>
      <c r="H7916" s="3"/>
      <c r="I7916" s="3"/>
      <c r="J7916" s="3"/>
      <c r="K7916" s="3"/>
      <c r="L7916" s="3"/>
      <c r="M7916" s="3"/>
      <c r="N7916" s="3"/>
      <c r="O7916" s="3"/>
    </row>
    <row r="7917" spans="1:15" ht="15" customHeight="1" x14ac:dyDescent="0.25">
      <c r="A7917" s="2"/>
      <c r="B7917" s="2"/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</row>
    <row r="7918" spans="1:15" ht="15" customHeight="1" x14ac:dyDescent="0.25">
      <c r="A7918" s="3"/>
      <c r="B7918" s="3"/>
      <c r="C7918" s="3"/>
      <c r="D7918" s="3"/>
      <c r="E7918" s="3"/>
      <c r="F7918" s="3"/>
      <c r="G7918" s="3"/>
      <c r="H7918" s="3"/>
      <c r="I7918" s="3"/>
      <c r="J7918" s="3"/>
      <c r="K7918" s="3"/>
      <c r="L7918" s="3"/>
      <c r="M7918" s="3"/>
      <c r="N7918" s="3"/>
      <c r="O7918" s="3"/>
    </row>
    <row r="7919" spans="1:15" ht="15" customHeight="1" x14ac:dyDescent="0.25">
      <c r="A7919" s="2"/>
      <c r="B7919" s="2"/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</row>
    <row r="7920" spans="1:15" ht="15" customHeight="1" x14ac:dyDescent="0.25">
      <c r="A7920" s="3"/>
      <c r="B7920" s="3"/>
      <c r="C7920" s="3"/>
      <c r="D7920" s="3"/>
      <c r="E7920" s="3"/>
      <c r="F7920" s="3"/>
      <c r="G7920" s="3"/>
      <c r="H7920" s="3"/>
      <c r="I7920" s="3"/>
      <c r="J7920" s="3"/>
      <c r="K7920" s="3"/>
      <c r="L7920" s="3"/>
      <c r="M7920" s="3"/>
      <c r="N7920" s="3"/>
      <c r="O7920" s="3"/>
    </row>
    <row r="7921" spans="1:15" ht="15" customHeight="1" x14ac:dyDescent="0.25">
      <c r="A7921" s="2"/>
      <c r="B7921" s="2"/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</row>
    <row r="7922" spans="1:15" ht="15" customHeight="1" x14ac:dyDescent="0.25">
      <c r="A7922" s="3"/>
      <c r="B7922" s="3"/>
      <c r="C7922" s="3"/>
      <c r="D7922" s="3"/>
      <c r="E7922" s="3"/>
      <c r="F7922" s="3"/>
      <c r="G7922" s="3"/>
      <c r="H7922" s="3"/>
      <c r="I7922" s="3"/>
      <c r="J7922" s="3"/>
      <c r="K7922" s="3"/>
      <c r="L7922" s="3"/>
      <c r="M7922" s="3"/>
      <c r="N7922" s="3"/>
      <c r="O7922" s="3"/>
    </row>
    <row r="7923" spans="1:15" ht="15" customHeight="1" x14ac:dyDescent="0.25">
      <c r="A7923" s="2"/>
      <c r="B7923" s="2"/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</row>
    <row r="7924" spans="1:15" ht="15" customHeight="1" x14ac:dyDescent="0.25">
      <c r="A7924" s="3"/>
      <c r="B7924" s="3"/>
      <c r="C7924" s="3"/>
      <c r="D7924" s="3"/>
      <c r="E7924" s="3"/>
      <c r="F7924" s="3"/>
      <c r="G7924" s="3"/>
      <c r="H7924" s="3"/>
      <c r="I7924" s="3"/>
      <c r="J7924" s="3"/>
      <c r="K7924" s="3"/>
      <c r="L7924" s="3"/>
      <c r="M7924" s="3"/>
      <c r="N7924" s="3"/>
      <c r="O7924" s="3"/>
    </row>
    <row r="7925" spans="1:15" ht="15" customHeight="1" x14ac:dyDescent="0.25">
      <c r="A7925" s="2"/>
      <c r="B7925" s="2"/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</row>
    <row r="7926" spans="1:15" ht="15" customHeight="1" x14ac:dyDescent="0.25">
      <c r="A7926" s="3"/>
      <c r="B7926" s="3"/>
      <c r="C7926" s="3"/>
      <c r="D7926" s="3"/>
      <c r="E7926" s="3"/>
      <c r="F7926" s="3"/>
      <c r="G7926" s="3"/>
      <c r="H7926" s="3"/>
      <c r="I7926" s="3"/>
      <c r="J7926" s="3"/>
      <c r="K7926" s="3"/>
      <c r="L7926" s="3"/>
      <c r="M7926" s="3"/>
      <c r="N7926" s="3"/>
      <c r="O7926" s="3"/>
    </row>
    <row r="7927" spans="1:15" ht="15" customHeight="1" x14ac:dyDescent="0.25">
      <c r="A7927" s="2"/>
      <c r="B7927" s="2"/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</row>
    <row r="7928" spans="1:15" ht="15" customHeight="1" x14ac:dyDescent="0.25">
      <c r="A7928" s="3"/>
      <c r="B7928" s="3"/>
      <c r="C7928" s="3"/>
      <c r="D7928" s="3"/>
      <c r="E7928" s="3"/>
      <c r="F7928" s="3"/>
      <c r="G7928" s="3"/>
      <c r="H7928" s="3"/>
      <c r="I7928" s="3"/>
      <c r="J7928" s="3"/>
      <c r="K7928" s="3"/>
      <c r="L7928" s="3"/>
      <c r="M7928" s="3"/>
      <c r="N7928" s="3"/>
      <c r="O7928" s="3"/>
    </row>
    <row r="7929" spans="1:15" ht="15" customHeight="1" x14ac:dyDescent="0.25">
      <c r="A7929" s="2"/>
      <c r="B7929" s="2"/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</row>
    <row r="7930" spans="1:15" ht="15" customHeight="1" x14ac:dyDescent="0.25">
      <c r="A7930" s="3"/>
      <c r="B7930" s="3"/>
      <c r="C7930" s="3"/>
      <c r="D7930" s="3"/>
      <c r="E7930" s="3"/>
      <c r="F7930" s="3"/>
      <c r="G7930" s="3"/>
      <c r="H7930" s="3"/>
      <c r="I7930" s="3"/>
      <c r="J7930" s="3"/>
      <c r="K7930" s="3"/>
      <c r="L7930" s="3"/>
      <c r="M7930" s="3"/>
      <c r="N7930" s="3"/>
      <c r="O7930" s="3"/>
    </row>
    <row r="7931" spans="1:15" ht="15" customHeight="1" x14ac:dyDescent="0.25">
      <c r="A7931" s="2"/>
      <c r="B7931" s="2"/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</row>
    <row r="7932" spans="1:15" ht="15" customHeight="1" x14ac:dyDescent="0.25">
      <c r="A7932" s="3"/>
      <c r="B7932" s="3"/>
      <c r="C7932" s="3"/>
      <c r="D7932" s="3"/>
      <c r="E7932" s="3"/>
      <c r="F7932" s="3"/>
      <c r="G7932" s="3"/>
      <c r="H7932" s="3"/>
      <c r="I7932" s="3"/>
      <c r="J7932" s="3"/>
      <c r="K7932" s="3"/>
      <c r="L7932" s="3"/>
      <c r="M7932" s="3"/>
      <c r="N7932" s="3"/>
      <c r="O7932" s="3"/>
    </row>
    <row r="7933" spans="1:15" ht="15" customHeight="1" x14ac:dyDescent="0.25">
      <c r="A7933" s="2"/>
      <c r="B7933" s="2"/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</row>
    <row r="7934" spans="1:15" ht="15" customHeight="1" x14ac:dyDescent="0.25">
      <c r="A7934" s="3"/>
      <c r="B7934" s="3"/>
      <c r="C7934" s="3"/>
      <c r="D7934" s="3"/>
      <c r="E7934" s="3"/>
      <c r="F7934" s="3"/>
      <c r="G7934" s="3"/>
      <c r="H7934" s="3"/>
      <c r="I7934" s="3"/>
      <c r="J7934" s="3"/>
      <c r="K7934" s="3"/>
      <c r="L7934" s="3"/>
      <c r="M7934" s="3"/>
      <c r="N7934" s="3"/>
      <c r="O7934" s="3"/>
    </row>
    <row r="7935" spans="1:15" ht="15" customHeight="1" x14ac:dyDescent="0.25">
      <c r="A7935" s="2"/>
      <c r="B7935" s="2"/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</row>
    <row r="7936" spans="1:15" ht="15" customHeight="1" x14ac:dyDescent="0.25">
      <c r="A7936" s="3"/>
      <c r="B7936" s="3"/>
      <c r="C7936" s="3"/>
      <c r="D7936" s="3"/>
      <c r="E7936" s="3"/>
      <c r="F7936" s="3"/>
      <c r="G7936" s="3"/>
      <c r="H7936" s="3"/>
      <c r="I7936" s="3"/>
      <c r="J7936" s="3"/>
      <c r="K7936" s="3"/>
      <c r="L7936" s="3"/>
      <c r="M7936" s="3"/>
      <c r="N7936" s="3"/>
      <c r="O7936" s="3"/>
    </row>
    <row r="7937" spans="1:15" ht="15" customHeight="1" x14ac:dyDescent="0.25">
      <c r="A7937" s="2"/>
      <c r="B7937" s="2"/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</row>
    <row r="7938" spans="1:15" ht="15" customHeight="1" x14ac:dyDescent="0.25">
      <c r="A7938" s="3"/>
      <c r="B7938" s="3"/>
      <c r="C7938" s="3"/>
      <c r="D7938" s="3"/>
      <c r="E7938" s="3"/>
      <c r="F7938" s="3"/>
      <c r="G7938" s="3"/>
      <c r="H7938" s="3"/>
      <c r="I7938" s="3"/>
      <c r="J7938" s="3"/>
      <c r="K7938" s="3"/>
      <c r="L7938" s="3"/>
      <c r="M7938" s="3"/>
      <c r="N7938" s="3"/>
      <c r="O7938" s="3"/>
    </row>
    <row r="7939" spans="1:15" ht="15" customHeight="1" x14ac:dyDescent="0.25">
      <c r="A7939" s="2"/>
      <c r="B7939" s="2"/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</row>
    <row r="7940" spans="1:15" ht="15" customHeight="1" x14ac:dyDescent="0.25">
      <c r="A7940" s="3"/>
      <c r="B7940" s="3"/>
      <c r="C7940" s="3"/>
      <c r="D7940" s="3"/>
      <c r="E7940" s="3"/>
      <c r="F7940" s="3"/>
      <c r="G7940" s="3"/>
      <c r="H7940" s="3"/>
      <c r="I7940" s="3"/>
      <c r="J7940" s="3"/>
      <c r="K7940" s="3"/>
      <c r="L7940" s="3"/>
      <c r="M7940" s="3"/>
      <c r="N7940" s="3"/>
      <c r="O7940" s="3"/>
    </row>
    <row r="7941" spans="1:15" ht="15" customHeight="1" x14ac:dyDescent="0.25">
      <c r="A7941" s="2"/>
      <c r="B7941" s="2"/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</row>
    <row r="7942" spans="1:15" ht="15" customHeight="1" x14ac:dyDescent="0.25">
      <c r="A7942" s="3"/>
      <c r="B7942" s="3"/>
      <c r="C7942" s="3"/>
      <c r="D7942" s="3"/>
      <c r="E7942" s="3"/>
      <c r="F7942" s="3"/>
      <c r="G7942" s="3"/>
      <c r="H7942" s="3"/>
      <c r="I7942" s="3"/>
      <c r="J7942" s="3"/>
      <c r="K7942" s="3"/>
      <c r="L7942" s="3"/>
      <c r="M7942" s="3"/>
      <c r="N7942" s="3"/>
      <c r="O7942" s="3"/>
    </row>
    <row r="7943" spans="1:15" ht="15" customHeight="1" x14ac:dyDescent="0.25">
      <c r="A7943" s="2"/>
      <c r="B7943" s="2"/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</row>
    <row r="7944" spans="1:15" ht="15" customHeight="1" x14ac:dyDescent="0.25">
      <c r="A7944" s="3"/>
      <c r="B7944" s="3"/>
      <c r="C7944" s="3"/>
      <c r="D7944" s="3"/>
      <c r="E7944" s="3"/>
      <c r="F7944" s="3"/>
      <c r="G7944" s="3"/>
      <c r="H7944" s="3"/>
      <c r="I7944" s="3"/>
      <c r="J7944" s="3"/>
      <c r="K7944" s="3"/>
      <c r="L7944" s="3"/>
      <c r="M7944" s="3"/>
      <c r="N7944" s="3"/>
      <c r="O7944" s="3"/>
    </row>
    <row r="7945" spans="1:15" ht="15" customHeight="1" x14ac:dyDescent="0.25">
      <c r="A7945" s="2"/>
      <c r="B7945" s="2"/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</row>
    <row r="7946" spans="1:15" ht="15" customHeight="1" x14ac:dyDescent="0.25">
      <c r="A7946" s="3"/>
      <c r="B7946" s="3"/>
      <c r="C7946" s="3"/>
      <c r="D7946" s="3"/>
      <c r="E7946" s="3"/>
      <c r="F7946" s="3"/>
      <c r="G7946" s="3"/>
      <c r="H7946" s="3"/>
      <c r="I7946" s="3"/>
      <c r="J7946" s="3"/>
      <c r="K7946" s="3"/>
      <c r="L7946" s="3"/>
      <c r="M7946" s="3"/>
      <c r="N7946" s="3"/>
      <c r="O7946" s="3"/>
    </row>
    <row r="7947" spans="1:15" ht="15" customHeight="1" x14ac:dyDescent="0.25">
      <c r="A7947" s="2"/>
      <c r="B7947" s="2"/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</row>
    <row r="7948" spans="1:15" ht="15" customHeight="1" x14ac:dyDescent="0.25">
      <c r="A7948" s="3"/>
      <c r="B7948" s="3"/>
      <c r="C7948" s="3"/>
      <c r="D7948" s="3"/>
      <c r="E7948" s="3"/>
      <c r="F7948" s="3"/>
      <c r="G7948" s="3"/>
      <c r="H7948" s="3"/>
      <c r="I7948" s="3"/>
      <c r="J7948" s="3"/>
      <c r="K7948" s="3"/>
      <c r="L7948" s="3"/>
      <c r="M7948" s="3"/>
      <c r="N7948" s="3"/>
      <c r="O7948" s="3"/>
    </row>
    <row r="7949" spans="1:15" ht="15" customHeight="1" x14ac:dyDescent="0.25">
      <c r="A7949" s="2"/>
      <c r="B7949" s="2"/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</row>
    <row r="7950" spans="1:15" ht="15" customHeight="1" x14ac:dyDescent="0.25">
      <c r="A7950" s="3"/>
      <c r="B7950" s="3"/>
      <c r="C7950" s="3"/>
      <c r="D7950" s="3"/>
      <c r="E7950" s="3"/>
      <c r="F7950" s="3"/>
      <c r="G7950" s="3"/>
      <c r="H7950" s="3"/>
      <c r="I7950" s="3"/>
      <c r="J7950" s="3"/>
      <c r="K7950" s="3"/>
      <c r="L7950" s="3"/>
      <c r="M7950" s="3"/>
      <c r="N7950" s="3"/>
      <c r="O7950" s="3"/>
    </row>
    <row r="7951" spans="1:15" ht="15" customHeight="1" x14ac:dyDescent="0.25">
      <c r="A7951" s="2"/>
      <c r="B7951" s="2"/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</row>
    <row r="7952" spans="1:15" ht="15" customHeight="1" x14ac:dyDescent="0.25">
      <c r="A7952" s="3"/>
      <c r="B7952" s="3"/>
      <c r="C7952" s="3"/>
      <c r="D7952" s="3"/>
      <c r="E7952" s="3"/>
      <c r="F7952" s="3"/>
      <c r="G7952" s="3"/>
      <c r="H7952" s="3"/>
      <c r="I7952" s="3"/>
      <c r="J7952" s="3"/>
      <c r="K7952" s="3"/>
      <c r="L7952" s="3"/>
      <c r="M7952" s="3"/>
      <c r="N7952" s="3"/>
      <c r="O7952" s="3"/>
    </row>
    <row r="7953" spans="1:15" ht="15" customHeight="1" x14ac:dyDescent="0.25">
      <c r="A7953" s="2"/>
      <c r="B7953" s="2"/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</row>
    <row r="7954" spans="1:15" ht="15" customHeight="1" x14ac:dyDescent="0.25">
      <c r="A7954" s="3"/>
      <c r="B7954" s="3"/>
      <c r="C7954" s="3"/>
      <c r="D7954" s="3"/>
      <c r="E7954" s="3"/>
      <c r="F7954" s="3"/>
      <c r="G7954" s="3"/>
      <c r="H7954" s="3"/>
      <c r="I7954" s="3"/>
      <c r="J7954" s="3"/>
      <c r="K7954" s="3"/>
      <c r="L7954" s="3"/>
      <c r="M7954" s="3"/>
      <c r="N7954" s="3"/>
      <c r="O7954" s="3"/>
    </row>
    <row r="7955" spans="1:15" ht="15" customHeight="1" x14ac:dyDescent="0.25">
      <c r="A7955" s="2"/>
      <c r="B7955" s="2"/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</row>
    <row r="7956" spans="1:15" ht="15" customHeight="1" x14ac:dyDescent="0.25">
      <c r="A7956" s="3"/>
      <c r="B7956" s="3"/>
      <c r="C7956" s="3"/>
      <c r="D7956" s="3"/>
      <c r="E7956" s="3"/>
      <c r="F7956" s="3"/>
      <c r="G7956" s="3"/>
      <c r="H7956" s="3"/>
      <c r="I7956" s="3"/>
      <c r="J7956" s="3"/>
      <c r="K7956" s="3"/>
      <c r="L7956" s="3"/>
      <c r="M7956" s="3"/>
      <c r="N7956" s="3"/>
      <c r="O7956" s="3"/>
    </row>
    <row r="7957" spans="1:15" ht="15" customHeight="1" x14ac:dyDescent="0.25">
      <c r="A7957" s="2"/>
      <c r="B7957" s="2"/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</row>
    <row r="7958" spans="1:15" ht="15" customHeight="1" x14ac:dyDescent="0.25">
      <c r="A7958" s="3"/>
      <c r="B7958" s="3"/>
      <c r="C7958" s="3"/>
      <c r="D7958" s="3"/>
      <c r="E7958" s="3"/>
      <c r="F7958" s="3"/>
      <c r="G7958" s="3"/>
      <c r="H7958" s="3"/>
      <c r="I7958" s="3"/>
      <c r="J7958" s="3"/>
      <c r="K7958" s="3"/>
      <c r="L7958" s="3"/>
      <c r="M7958" s="3"/>
      <c r="N7958" s="3"/>
      <c r="O7958" s="3"/>
    </row>
    <row r="7959" spans="1:15" ht="15" customHeight="1" x14ac:dyDescent="0.25">
      <c r="A7959" s="2"/>
      <c r="B7959" s="2"/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</row>
    <row r="7960" spans="1:15" ht="15" customHeight="1" x14ac:dyDescent="0.25">
      <c r="A7960" s="3"/>
      <c r="B7960" s="3"/>
      <c r="C7960" s="3"/>
      <c r="D7960" s="3"/>
      <c r="E7960" s="3"/>
      <c r="F7960" s="3"/>
      <c r="G7960" s="3"/>
      <c r="H7960" s="3"/>
      <c r="I7960" s="3"/>
      <c r="J7960" s="3"/>
      <c r="K7960" s="3"/>
      <c r="L7960" s="3"/>
      <c r="M7960" s="3"/>
      <c r="N7960" s="3"/>
      <c r="O7960" s="3"/>
    </row>
    <row r="7961" spans="1:15" ht="15" customHeight="1" x14ac:dyDescent="0.25">
      <c r="A7961" s="2"/>
      <c r="B7961" s="2"/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</row>
    <row r="7962" spans="1:15" ht="15" customHeight="1" x14ac:dyDescent="0.25">
      <c r="A7962" s="3"/>
      <c r="B7962" s="3"/>
      <c r="C7962" s="3"/>
      <c r="D7962" s="3"/>
      <c r="E7962" s="3"/>
      <c r="F7962" s="3"/>
      <c r="G7962" s="3"/>
      <c r="H7962" s="3"/>
      <c r="I7962" s="3"/>
      <c r="J7962" s="3"/>
      <c r="K7962" s="3"/>
      <c r="L7962" s="3"/>
      <c r="M7962" s="3"/>
      <c r="N7962" s="3"/>
      <c r="O7962" s="3"/>
    </row>
    <row r="7963" spans="1:15" ht="15" customHeight="1" x14ac:dyDescent="0.25">
      <c r="A7963" s="2"/>
      <c r="B7963" s="2"/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</row>
    <row r="7964" spans="1:15" ht="15" customHeight="1" x14ac:dyDescent="0.25">
      <c r="A7964" s="3"/>
      <c r="B7964" s="3"/>
      <c r="C7964" s="3"/>
      <c r="D7964" s="3"/>
      <c r="E7964" s="3"/>
      <c r="F7964" s="3"/>
      <c r="G7964" s="3"/>
      <c r="H7964" s="3"/>
      <c r="I7964" s="3"/>
      <c r="J7964" s="3"/>
      <c r="K7964" s="3"/>
      <c r="L7964" s="3"/>
      <c r="M7964" s="3"/>
      <c r="N7964" s="3"/>
      <c r="O7964" s="3"/>
    </row>
    <row r="7965" spans="1:15" ht="15" customHeight="1" x14ac:dyDescent="0.25">
      <c r="A7965" s="2"/>
      <c r="B7965" s="2"/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</row>
    <row r="7966" spans="1:15" ht="15" customHeight="1" x14ac:dyDescent="0.25">
      <c r="A7966" s="3"/>
      <c r="B7966" s="3"/>
      <c r="C7966" s="3"/>
      <c r="D7966" s="3"/>
      <c r="E7966" s="3"/>
      <c r="F7966" s="3"/>
      <c r="G7966" s="3"/>
      <c r="H7966" s="3"/>
      <c r="I7966" s="3"/>
      <c r="J7966" s="3"/>
      <c r="K7966" s="3"/>
      <c r="L7966" s="3"/>
      <c r="M7966" s="3"/>
      <c r="N7966" s="3"/>
      <c r="O7966" s="3"/>
    </row>
    <row r="7967" spans="1:15" ht="15" customHeight="1" x14ac:dyDescent="0.25">
      <c r="A7967" s="2"/>
      <c r="B7967" s="2"/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</row>
    <row r="7968" spans="1:15" ht="15" customHeight="1" x14ac:dyDescent="0.25">
      <c r="A7968" s="3"/>
      <c r="B7968" s="3"/>
      <c r="C7968" s="3"/>
      <c r="D7968" s="3"/>
      <c r="E7968" s="3"/>
      <c r="F7968" s="3"/>
      <c r="G7968" s="3"/>
      <c r="H7968" s="3"/>
      <c r="I7968" s="3"/>
      <c r="J7968" s="3"/>
      <c r="K7968" s="3"/>
      <c r="L7968" s="3"/>
      <c r="M7968" s="3"/>
      <c r="N7968" s="3"/>
      <c r="O7968" s="3"/>
    </row>
    <row r="7969" spans="1:15" ht="15" customHeight="1" x14ac:dyDescent="0.25">
      <c r="A7969" s="2"/>
      <c r="B7969" s="2"/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</row>
    <row r="7970" spans="1:15" ht="15" customHeight="1" x14ac:dyDescent="0.25">
      <c r="A7970" s="3"/>
      <c r="B7970" s="3"/>
      <c r="C7970" s="3"/>
      <c r="D7970" s="3"/>
      <c r="E7970" s="3"/>
      <c r="F7970" s="3"/>
      <c r="G7970" s="3"/>
      <c r="H7970" s="3"/>
      <c r="I7970" s="3"/>
      <c r="J7970" s="3"/>
      <c r="K7970" s="3"/>
      <c r="L7970" s="3"/>
      <c r="M7970" s="3"/>
      <c r="N7970" s="3"/>
      <c r="O7970" s="3"/>
    </row>
    <row r="7971" spans="1:15" ht="15" customHeight="1" x14ac:dyDescent="0.25">
      <c r="A7971" s="2"/>
      <c r="B7971" s="2"/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</row>
    <row r="7972" spans="1:15" ht="15" customHeight="1" x14ac:dyDescent="0.25">
      <c r="A7972" s="3"/>
      <c r="B7972" s="3"/>
      <c r="C7972" s="3"/>
      <c r="D7972" s="3"/>
      <c r="E7972" s="3"/>
      <c r="F7972" s="3"/>
      <c r="G7972" s="3"/>
      <c r="H7972" s="3"/>
      <c r="I7972" s="3"/>
      <c r="J7972" s="3"/>
      <c r="K7972" s="3"/>
      <c r="L7972" s="3"/>
      <c r="M7972" s="3"/>
      <c r="N7972" s="3"/>
      <c r="O7972" s="3"/>
    </row>
    <row r="7973" spans="1:15" ht="15" customHeight="1" x14ac:dyDescent="0.25">
      <c r="A7973" s="2"/>
      <c r="B7973" s="2"/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</row>
    <row r="7974" spans="1:15" ht="15" customHeight="1" x14ac:dyDescent="0.25">
      <c r="A7974" s="3"/>
      <c r="B7974" s="3"/>
      <c r="C7974" s="3"/>
      <c r="D7974" s="3"/>
      <c r="E7974" s="3"/>
      <c r="F7974" s="3"/>
      <c r="G7974" s="3"/>
      <c r="H7974" s="3"/>
      <c r="I7974" s="3"/>
      <c r="J7974" s="3"/>
      <c r="K7974" s="3"/>
      <c r="L7974" s="3"/>
      <c r="M7974" s="3"/>
      <c r="N7974" s="3"/>
      <c r="O7974" s="3"/>
    </row>
    <row r="7975" spans="1:15" ht="15" customHeight="1" x14ac:dyDescent="0.25">
      <c r="A7975" s="2"/>
      <c r="B7975" s="2"/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</row>
    <row r="7976" spans="1:15" ht="15" customHeight="1" x14ac:dyDescent="0.25">
      <c r="A7976" s="3"/>
      <c r="B7976" s="3"/>
      <c r="C7976" s="3"/>
      <c r="D7976" s="3"/>
      <c r="E7976" s="3"/>
      <c r="F7976" s="3"/>
      <c r="G7976" s="3"/>
      <c r="H7976" s="3"/>
      <c r="I7976" s="3"/>
      <c r="J7976" s="3"/>
      <c r="K7976" s="3"/>
      <c r="L7976" s="3"/>
      <c r="M7976" s="3"/>
      <c r="N7976" s="3"/>
      <c r="O7976" s="3"/>
    </row>
    <row r="7977" spans="1:15" ht="15" customHeight="1" x14ac:dyDescent="0.25">
      <c r="A7977" s="2"/>
      <c r="B7977" s="2"/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</row>
    <row r="7978" spans="1:15" ht="15" customHeight="1" x14ac:dyDescent="0.25">
      <c r="A7978" s="3"/>
      <c r="B7978" s="3"/>
      <c r="C7978" s="3"/>
      <c r="D7978" s="3"/>
      <c r="E7978" s="3"/>
      <c r="F7978" s="3"/>
      <c r="G7978" s="3"/>
      <c r="H7978" s="3"/>
      <c r="I7978" s="3"/>
      <c r="J7978" s="3"/>
      <c r="K7978" s="3"/>
      <c r="L7978" s="3"/>
      <c r="M7978" s="3"/>
      <c r="N7978" s="3"/>
      <c r="O7978" s="3"/>
    </row>
    <row r="7979" spans="1:15" ht="15" customHeight="1" x14ac:dyDescent="0.25">
      <c r="A7979" s="2"/>
      <c r="B7979" s="2"/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</row>
    <row r="7980" spans="1:15" ht="15" customHeight="1" x14ac:dyDescent="0.25">
      <c r="A7980" s="3"/>
      <c r="B7980" s="3"/>
      <c r="C7980" s="3"/>
      <c r="D7980" s="3"/>
      <c r="E7980" s="3"/>
      <c r="F7980" s="3"/>
      <c r="G7980" s="3"/>
      <c r="H7980" s="3"/>
      <c r="I7980" s="3"/>
      <c r="J7980" s="3"/>
      <c r="K7980" s="3"/>
      <c r="L7980" s="3"/>
      <c r="M7980" s="3"/>
      <c r="N7980" s="3"/>
      <c r="O7980" s="3"/>
    </row>
    <row r="7981" spans="1:15" ht="15" customHeight="1" x14ac:dyDescent="0.25">
      <c r="A7981" s="2"/>
      <c r="B7981" s="2"/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</row>
    <row r="7982" spans="1:15" ht="15" customHeight="1" x14ac:dyDescent="0.25">
      <c r="A7982" s="3"/>
      <c r="B7982" s="3"/>
      <c r="C7982" s="3"/>
      <c r="D7982" s="3"/>
      <c r="E7982" s="3"/>
      <c r="F7982" s="3"/>
      <c r="G7982" s="3"/>
      <c r="H7982" s="3"/>
      <c r="I7982" s="3"/>
      <c r="J7982" s="3"/>
      <c r="K7982" s="3"/>
      <c r="L7982" s="3"/>
      <c r="M7982" s="3"/>
      <c r="N7982" s="3"/>
      <c r="O7982" s="3"/>
    </row>
    <row r="7983" spans="1:15" ht="15" customHeight="1" x14ac:dyDescent="0.25">
      <c r="A7983" s="2"/>
      <c r="B7983" s="2"/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</row>
    <row r="7984" spans="1:15" ht="15" customHeight="1" x14ac:dyDescent="0.25">
      <c r="A7984" s="3"/>
      <c r="B7984" s="3"/>
      <c r="C7984" s="3"/>
      <c r="D7984" s="3"/>
      <c r="E7984" s="3"/>
      <c r="F7984" s="3"/>
      <c r="G7984" s="3"/>
      <c r="H7984" s="3"/>
      <c r="I7984" s="3"/>
      <c r="J7984" s="3"/>
      <c r="K7984" s="3"/>
      <c r="L7984" s="3"/>
      <c r="M7984" s="3"/>
      <c r="N7984" s="3"/>
      <c r="O7984" s="3"/>
    </row>
    <row r="7985" spans="1:15" ht="15" customHeight="1" x14ac:dyDescent="0.25">
      <c r="A7985" s="2"/>
      <c r="B7985" s="2"/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</row>
    <row r="7986" spans="1:15" ht="15" customHeight="1" x14ac:dyDescent="0.25">
      <c r="A7986" s="3"/>
      <c r="B7986" s="3"/>
      <c r="C7986" s="3"/>
      <c r="D7986" s="3"/>
      <c r="E7986" s="3"/>
      <c r="F7986" s="3"/>
      <c r="G7986" s="3"/>
      <c r="H7986" s="3"/>
      <c r="I7986" s="3"/>
      <c r="J7986" s="3"/>
      <c r="K7986" s="3"/>
      <c r="L7986" s="3"/>
      <c r="M7986" s="3"/>
      <c r="N7986" s="3"/>
      <c r="O7986" s="3"/>
    </row>
    <row r="7987" spans="1:15" ht="15" customHeight="1" x14ac:dyDescent="0.25">
      <c r="A7987" s="2"/>
      <c r="B7987" s="2"/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</row>
    <row r="7988" spans="1:15" ht="15" customHeight="1" x14ac:dyDescent="0.25">
      <c r="A7988" s="3"/>
      <c r="B7988" s="3"/>
      <c r="C7988" s="3"/>
      <c r="D7988" s="3"/>
      <c r="E7988" s="3"/>
      <c r="F7988" s="3"/>
      <c r="G7988" s="3"/>
      <c r="H7988" s="3"/>
      <c r="I7988" s="3"/>
      <c r="J7988" s="3"/>
      <c r="K7988" s="3"/>
      <c r="L7988" s="3"/>
      <c r="M7988" s="3"/>
      <c r="N7988" s="3"/>
      <c r="O7988" s="3"/>
    </row>
    <row r="7989" spans="1:15" ht="15" customHeight="1" x14ac:dyDescent="0.25">
      <c r="A7989" s="2"/>
      <c r="B7989" s="2"/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</row>
    <row r="7990" spans="1:15" ht="15" customHeight="1" x14ac:dyDescent="0.25">
      <c r="A7990" s="3"/>
      <c r="B7990" s="3"/>
      <c r="C7990" s="3"/>
      <c r="D7990" s="3"/>
      <c r="E7990" s="3"/>
      <c r="F7990" s="3"/>
      <c r="G7990" s="3"/>
      <c r="H7990" s="3"/>
      <c r="I7990" s="3"/>
      <c r="J7990" s="3"/>
      <c r="K7990" s="3"/>
      <c r="L7990" s="3"/>
      <c r="M7990" s="3"/>
      <c r="N7990" s="3"/>
      <c r="O7990" s="3"/>
    </row>
    <row r="7991" spans="1:15" ht="15" customHeight="1" x14ac:dyDescent="0.25">
      <c r="A7991" s="2"/>
      <c r="B7991" s="2"/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</row>
    <row r="7992" spans="1:15" ht="15" customHeight="1" x14ac:dyDescent="0.25">
      <c r="A7992" s="3"/>
      <c r="B7992" s="3"/>
      <c r="C7992" s="3"/>
      <c r="D7992" s="3"/>
      <c r="E7992" s="3"/>
      <c r="F7992" s="3"/>
      <c r="G7992" s="3"/>
      <c r="H7992" s="3"/>
      <c r="I7992" s="3"/>
      <c r="J7992" s="3"/>
      <c r="K7992" s="3"/>
      <c r="L7992" s="3"/>
      <c r="M7992" s="3"/>
      <c r="N7992" s="3"/>
      <c r="O7992" s="3"/>
    </row>
    <row r="7993" spans="1:15" ht="15" customHeight="1" x14ac:dyDescent="0.25">
      <c r="A7993" s="2"/>
      <c r="B7993" s="2"/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</row>
    <row r="7994" spans="1:15" ht="15" customHeight="1" x14ac:dyDescent="0.25">
      <c r="A7994" s="3"/>
      <c r="B7994" s="3"/>
      <c r="C7994" s="3"/>
      <c r="D7994" s="3"/>
      <c r="E7994" s="3"/>
      <c r="F7994" s="3"/>
      <c r="G7994" s="3"/>
      <c r="H7994" s="3"/>
      <c r="I7994" s="3"/>
      <c r="J7994" s="3"/>
      <c r="K7994" s="3"/>
      <c r="L7994" s="3"/>
      <c r="M7994" s="3"/>
      <c r="N7994" s="3"/>
      <c r="O7994" s="3"/>
    </row>
    <row r="7995" spans="1:15" ht="15" customHeight="1" x14ac:dyDescent="0.25">
      <c r="A7995" s="2"/>
      <c r="B7995" s="2"/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</row>
    <row r="7996" spans="1:15" ht="15" customHeight="1" x14ac:dyDescent="0.25">
      <c r="A7996" s="3"/>
      <c r="B7996" s="3"/>
      <c r="C7996" s="3"/>
      <c r="D7996" s="3"/>
      <c r="E7996" s="3"/>
      <c r="F7996" s="3"/>
      <c r="G7996" s="3"/>
      <c r="H7996" s="3"/>
      <c r="I7996" s="3"/>
      <c r="J7996" s="3"/>
      <c r="K7996" s="3"/>
      <c r="L7996" s="3"/>
      <c r="M7996" s="3"/>
      <c r="N7996" s="3"/>
      <c r="O7996" s="3"/>
    </row>
    <row r="7997" spans="1:15" ht="15" customHeight="1" x14ac:dyDescent="0.25">
      <c r="A7997" s="2"/>
      <c r="B7997" s="2"/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</row>
    <row r="7998" spans="1:15" ht="15" customHeight="1" x14ac:dyDescent="0.25">
      <c r="A7998" s="3"/>
      <c r="B7998" s="3"/>
      <c r="C7998" s="3"/>
      <c r="D7998" s="3"/>
      <c r="E7998" s="3"/>
      <c r="F7998" s="3"/>
      <c r="G7998" s="3"/>
      <c r="H7998" s="3"/>
      <c r="I7998" s="3"/>
      <c r="J7998" s="3"/>
      <c r="K7998" s="3"/>
      <c r="L7998" s="3"/>
      <c r="M7998" s="3"/>
      <c r="N7998" s="3"/>
      <c r="O7998" s="3"/>
    </row>
    <row r="7999" spans="1:15" ht="15" customHeight="1" x14ac:dyDescent="0.25">
      <c r="A7999" s="2"/>
      <c r="B7999" s="2"/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</row>
    <row r="8000" spans="1:15" ht="15" customHeight="1" x14ac:dyDescent="0.25">
      <c r="A8000" s="3"/>
      <c r="B8000" s="3"/>
      <c r="C8000" s="3"/>
      <c r="D8000" s="3"/>
      <c r="E8000" s="3"/>
      <c r="F8000" s="3"/>
      <c r="G8000" s="3"/>
      <c r="H8000" s="3"/>
      <c r="I8000" s="3"/>
      <c r="J8000" s="3"/>
      <c r="K8000" s="3"/>
      <c r="L8000" s="3"/>
      <c r="M8000" s="3"/>
      <c r="N8000" s="3"/>
      <c r="O8000" s="3"/>
    </row>
    <row r="8001" spans="1:15" ht="15" customHeight="1" x14ac:dyDescent="0.25">
      <c r="A8001" s="2"/>
      <c r="B8001" s="2"/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</row>
    <row r="8002" spans="1:15" ht="15" customHeight="1" x14ac:dyDescent="0.25">
      <c r="A8002" s="3"/>
      <c r="B8002" s="3"/>
      <c r="C8002" s="3"/>
      <c r="D8002" s="3"/>
      <c r="E8002" s="3"/>
      <c r="F8002" s="3"/>
      <c r="G8002" s="3"/>
      <c r="H8002" s="3"/>
      <c r="I8002" s="3"/>
      <c r="J8002" s="3"/>
      <c r="K8002" s="3"/>
      <c r="L8002" s="3"/>
      <c r="M8002" s="3"/>
      <c r="N8002" s="3"/>
      <c r="O8002" s="3"/>
    </row>
    <row r="8003" spans="1:15" ht="15" customHeight="1" x14ac:dyDescent="0.25">
      <c r="A8003" s="2"/>
      <c r="B8003" s="2"/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</row>
    <row r="8004" spans="1:15" ht="15" customHeight="1" x14ac:dyDescent="0.25">
      <c r="A8004" s="3"/>
      <c r="B8004" s="3"/>
      <c r="C8004" s="3"/>
      <c r="D8004" s="3"/>
      <c r="E8004" s="3"/>
      <c r="F8004" s="3"/>
      <c r="G8004" s="3"/>
      <c r="H8004" s="3"/>
      <c r="I8004" s="3"/>
      <c r="J8004" s="3"/>
      <c r="K8004" s="3"/>
      <c r="L8004" s="3"/>
      <c r="M8004" s="3"/>
      <c r="N8004" s="3"/>
      <c r="O8004" s="3"/>
    </row>
    <row r="8005" spans="1:15" ht="15" customHeight="1" x14ac:dyDescent="0.25">
      <c r="A8005" s="2"/>
      <c r="B8005" s="2"/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</row>
    <row r="8006" spans="1:15" ht="15" customHeight="1" x14ac:dyDescent="0.25">
      <c r="A8006" s="3"/>
      <c r="B8006" s="3"/>
      <c r="C8006" s="3"/>
      <c r="D8006" s="3"/>
      <c r="E8006" s="3"/>
      <c r="F8006" s="3"/>
      <c r="G8006" s="3"/>
      <c r="H8006" s="3"/>
      <c r="I8006" s="3"/>
      <c r="J8006" s="3"/>
      <c r="K8006" s="3"/>
      <c r="L8006" s="3"/>
      <c r="M8006" s="3"/>
      <c r="N8006" s="3"/>
      <c r="O8006" s="3"/>
    </row>
    <row r="8007" spans="1:15" ht="15" customHeight="1" x14ac:dyDescent="0.25">
      <c r="A8007" s="2"/>
      <c r="B8007" s="2"/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</row>
    <row r="8008" spans="1:15" ht="15" customHeight="1" x14ac:dyDescent="0.25">
      <c r="A8008" s="3"/>
      <c r="B8008" s="3"/>
      <c r="C8008" s="3"/>
      <c r="D8008" s="3"/>
      <c r="E8008" s="3"/>
      <c r="F8008" s="3"/>
      <c r="G8008" s="3"/>
      <c r="H8008" s="3"/>
      <c r="I8008" s="3"/>
      <c r="J8008" s="3"/>
      <c r="K8008" s="3"/>
      <c r="L8008" s="3"/>
      <c r="M8008" s="3"/>
      <c r="N8008" s="3"/>
      <c r="O8008" s="3"/>
    </row>
    <row r="8009" spans="1:15" ht="15" customHeight="1" x14ac:dyDescent="0.25">
      <c r="A8009" s="2"/>
      <c r="B8009" s="2"/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</row>
    <row r="8010" spans="1:15" ht="15" customHeight="1" x14ac:dyDescent="0.25">
      <c r="A8010" s="3"/>
      <c r="B8010" s="3"/>
      <c r="C8010" s="3"/>
      <c r="D8010" s="3"/>
      <c r="E8010" s="3"/>
      <c r="F8010" s="3"/>
      <c r="G8010" s="3"/>
      <c r="H8010" s="3"/>
      <c r="I8010" s="3"/>
      <c r="J8010" s="3"/>
      <c r="K8010" s="3"/>
      <c r="L8010" s="3"/>
      <c r="M8010" s="3"/>
      <c r="N8010" s="3"/>
      <c r="O8010" s="3"/>
    </row>
    <row r="8011" spans="1:15" ht="15" customHeight="1" x14ac:dyDescent="0.25">
      <c r="A8011" s="2"/>
      <c r="B8011" s="2"/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</row>
    <row r="8012" spans="1:15" ht="15" customHeight="1" x14ac:dyDescent="0.25">
      <c r="A8012" s="3"/>
      <c r="B8012" s="3"/>
      <c r="C8012" s="3"/>
      <c r="D8012" s="3"/>
      <c r="E8012" s="3"/>
      <c r="F8012" s="3"/>
      <c r="G8012" s="3"/>
      <c r="H8012" s="3"/>
      <c r="I8012" s="3"/>
      <c r="J8012" s="3"/>
      <c r="K8012" s="3"/>
      <c r="L8012" s="3"/>
      <c r="M8012" s="3"/>
      <c r="N8012" s="3"/>
      <c r="O8012" s="3"/>
    </row>
    <row r="8013" spans="1:15" ht="15" customHeight="1" x14ac:dyDescent="0.25">
      <c r="A8013" s="2"/>
      <c r="B8013" s="2"/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</row>
    <row r="8014" spans="1:15" ht="15" customHeight="1" x14ac:dyDescent="0.25">
      <c r="A8014" s="3"/>
      <c r="B8014" s="3"/>
      <c r="C8014" s="3"/>
      <c r="D8014" s="3"/>
      <c r="E8014" s="3"/>
      <c r="F8014" s="3"/>
      <c r="G8014" s="3"/>
      <c r="H8014" s="3"/>
      <c r="I8014" s="3"/>
      <c r="J8014" s="3"/>
      <c r="K8014" s="3"/>
      <c r="L8014" s="3"/>
      <c r="M8014" s="3"/>
      <c r="N8014" s="3"/>
      <c r="O8014" s="3"/>
    </row>
    <row r="8015" spans="1:15" ht="15" customHeight="1" x14ac:dyDescent="0.25">
      <c r="A8015" s="2"/>
      <c r="B8015" s="2"/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</row>
    <row r="8016" spans="1:15" ht="15" customHeight="1" x14ac:dyDescent="0.25">
      <c r="A8016" s="3"/>
      <c r="B8016" s="3"/>
      <c r="C8016" s="3"/>
      <c r="D8016" s="3"/>
      <c r="E8016" s="3"/>
      <c r="F8016" s="3"/>
      <c r="G8016" s="3"/>
      <c r="H8016" s="3"/>
      <c r="I8016" s="3"/>
      <c r="J8016" s="3"/>
      <c r="K8016" s="3"/>
      <c r="L8016" s="3"/>
      <c r="M8016" s="3"/>
      <c r="N8016" s="3"/>
      <c r="O8016" s="3"/>
    </row>
    <row r="8017" spans="1:15" ht="15" customHeight="1" x14ac:dyDescent="0.25">
      <c r="A8017" s="2"/>
      <c r="B8017" s="2"/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</row>
    <row r="8018" spans="1:15" ht="15" customHeight="1" x14ac:dyDescent="0.25">
      <c r="A8018" s="3"/>
      <c r="B8018" s="3"/>
      <c r="C8018" s="3"/>
      <c r="D8018" s="3"/>
      <c r="E8018" s="3"/>
      <c r="F8018" s="3"/>
      <c r="G8018" s="3"/>
      <c r="H8018" s="3"/>
      <c r="I8018" s="3"/>
      <c r="J8018" s="3"/>
      <c r="K8018" s="3"/>
      <c r="L8018" s="3"/>
      <c r="M8018" s="3"/>
      <c r="N8018" s="3"/>
      <c r="O8018" s="3"/>
    </row>
    <row r="8019" spans="1:15" ht="15" customHeight="1" x14ac:dyDescent="0.25">
      <c r="A8019" s="2"/>
      <c r="B8019" s="2"/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</row>
    <row r="8020" spans="1:15" ht="15" customHeight="1" x14ac:dyDescent="0.25">
      <c r="A8020" s="3"/>
      <c r="B8020" s="3"/>
      <c r="C8020" s="3"/>
      <c r="D8020" s="3"/>
      <c r="E8020" s="3"/>
      <c r="F8020" s="3"/>
      <c r="G8020" s="3"/>
      <c r="H8020" s="3"/>
      <c r="I8020" s="3"/>
      <c r="J8020" s="3"/>
      <c r="K8020" s="3"/>
      <c r="L8020" s="3"/>
      <c r="M8020" s="3"/>
      <c r="N8020" s="3"/>
      <c r="O8020" s="3"/>
    </row>
    <row r="8021" spans="1:15" ht="15" customHeight="1" x14ac:dyDescent="0.25">
      <c r="A8021" s="2"/>
      <c r="B8021" s="2"/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</row>
    <row r="8022" spans="1:15" ht="15" customHeight="1" x14ac:dyDescent="0.25">
      <c r="A8022" s="3"/>
      <c r="B8022" s="3"/>
      <c r="C8022" s="3"/>
      <c r="D8022" s="3"/>
      <c r="E8022" s="3"/>
      <c r="F8022" s="3"/>
      <c r="G8022" s="3"/>
      <c r="H8022" s="3"/>
      <c r="I8022" s="3"/>
      <c r="J8022" s="3"/>
      <c r="K8022" s="3"/>
      <c r="L8022" s="3"/>
      <c r="M8022" s="3"/>
      <c r="N8022" s="3"/>
      <c r="O8022" s="3"/>
    </row>
    <row r="8023" spans="1:15" ht="15" customHeight="1" x14ac:dyDescent="0.25">
      <c r="A8023" s="2"/>
      <c r="B8023" s="2"/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</row>
    <row r="8024" spans="1:15" ht="15" customHeight="1" x14ac:dyDescent="0.25">
      <c r="A8024" s="3"/>
      <c r="B8024" s="3"/>
      <c r="C8024" s="3"/>
      <c r="D8024" s="3"/>
      <c r="E8024" s="3"/>
      <c r="F8024" s="3"/>
      <c r="G8024" s="3"/>
      <c r="H8024" s="3"/>
      <c r="I8024" s="3"/>
      <c r="J8024" s="3"/>
      <c r="K8024" s="3"/>
      <c r="L8024" s="3"/>
      <c r="M8024" s="3"/>
      <c r="N8024" s="3"/>
      <c r="O8024" s="3"/>
    </row>
    <row r="8025" spans="1:15" ht="15" customHeight="1" x14ac:dyDescent="0.25">
      <c r="A8025" s="2"/>
      <c r="B8025" s="2"/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</row>
    <row r="8026" spans="1:15" ht="15" customHeight="1" x14ac:dyDescent="0.25">
      <c r="A8026" s="3"/>
      <c r="B8026" s="3"/>
      <c r="C8026" s="3"/>
      <c r="D8026" s="3"/>
      <c r="E8026" s="3"/>
      <c r="F8026" s="3"/>
      <c r="G8026" s="3"/>
      <c r="H8026" s="3"/>
      <c r="I8026" s="3"/>
      <c r="J8026" s="3"/>
      <c r="K8026" s="3"/>
      <c r="L8026" s="3"/>
      <c r="M8026" s="3"/>
      <c r="N8026" s="3"/>
      <c r="O8026" s="3"/>
    </row>
    <row r="8027" spans="1:15" ht="15" customHeight="1" x14ac:dyDescent="0.25">
      <c r="A8027" s="2"/>
      <c r="B8027" s="2"/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</row>
    <row r="8028" spans="1:15" ht="15" customHeight="1" x14ac:dyDescent="0.25">
      <c r="A8028" s="3"/>
      <c r="B8028" s="3"/>
      <c r="C8028" s="3"/>
      <c r="D8028" s="3"/>
      <c r="E8028" s="3"/>
      <c r="F8028" s="3"/>
      <c r="G8028" s="3"/>
      <c r="H8028" s="3"/>
      <c r="I8028" s="3"/>
      <c r="J8028" s="3"/>
      <c r="K8028" s="3"/>
      <c r="L8028" s="3"/>
      <c r="M8028" s="3"/>
      <c r="N8028" s="3"/>
      <c r="O8028" s="3"/>
    </row>
    <row r="8029" spans="1:15" ht="15" customHeight="1" x14ac:dyDescent="0.25">
      <c r="A8029" s="2"/>
      <c r="B8029" s="2"/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</row>
    <row r="8030" spans="1:15" ht="15" customHeight="1" x14ac:dyDescent="0.25">
      <c r="A8030" s="3"/>
      <c r="B8030" s="3"/>
      <c r="C8030" s="3"/>
      <c r="D8030" s="3"/>
      <c r="E8030" s="3"/>
      <c r="F8030" s="3"/>
      <c r="G8030" s="3"/>
      <c r="H8030" s="3"/>
      <c r="I8030" s="3"/>
      <c r="J8030" s="3"/>
      <c r="K8030" s="3"/>
      <c r="L8030" s="3"/>
      <c r="M8030" s="3"/>
      <c r="N8030" s="3"/>
      <c r="O8030" s="3"/>
    </row>
    <row r="8031" spans="1:15" ht="15" customHeight="1" x14ac:dyDescent="0.25">
      <c r="A8031" s="2"/>
      <c r="B8031" s="2"/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</row>
    <row r="8032" spans="1:15" ht="15" customHeight="1" x14ac:dyDescent="0.25">
      <c r="A8032" s="3"/>
      <c r="B8032" s="3"/>
      <c r="C8032" s="3"/>
      <c r="D8032" s="3"/>
      <c r="E8032" s="3"/>
      <c r="F8032" s="3"/>
      <c r="G8032" s="3"/>
      <c r="H8032" s="3"/>
      <c r="I8032" s="3"/>
      <c r="J8032" s="3"/>
      <c r="K8032" s="3"/>
      <c r="L8032" s="3"/>
      <c r="M8032" s="3"/>
      <c r="N8032" s="3"/>
      <c r="O8032" s="3"/>
    </row>
    <row r="8033" spans="1:15" ht="15" customHeight="1" x14ac:dyDescent="0.25">
      <c r="A8033" s="2"/>
      <c r="B8033" s="2"/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</row>
    <row r="8034" spans="1:15" ht="15" customHeight="1" x14ac:dyDescent="0.25">
      <c r="A8034" s="3"/>
      <c r="B8034" s="3"/>
      <c r="C8034" s="3"/>
      <c r="D8034" s="3"/>
      <c r="E8034" s="3"/>
      <c r="F8034" s="3"/>
      <c r="G8034" s="3"/>
      <c r="H8034" s="3"/>
      <c r="I8034" s="3"/>
      <c r="J8034" s="3"/>
      <c r="K8034" s="3"/>
      <c r="L8034" s="3"/>
      <c r="M8034" s="3"/>
      <c r="N8034" s="3"/>
      <c r="O8034" s="3"/>
    </row>
    <row r="8035" spans="1:15" ht="15" customHeight="1" x14ac:dyDescent="0.25">
      <c r="A8035" s="2"/>
      <c r="B8035" s="2"/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</row>
    <row r="8036" spans="1:15" ht="15" customHeight="1" x14ac:dyDescent="0.25">
      <c r="A8036" s="3"/>
      <c r="B8036" s="3"/>
      <c r="C8036" s="3"/>
      <c r="D8036" s="3"/>
      <c r="E8036" s="3"/>
      <c r="F8036" s="3"/>
      <c r="G8036" s="3"/>
      <c r="H8036" s="3"/>
      <c r="I8036" s="3"/>
      <c r="J8036" s="3"/>
      <c r="K8036" s="3"/>
      <c r="L8036" s="3"/>
      <c r="M8036" s="3"/>
      <c r="N8036" s="3"/>
      <c r="O8036" s="3"/>
    </row>
    <row r="8037" spans="1:15" ht="15" customHeight="1" x14ac:dyDescent="0.25">
      <c r="A8037" s="2"/>
      <c r="B8037" s="2"/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</row>
    <row r="8038" spans="1:15" ht="15" customHeight="1" x14ac:dyDescent="0.25">
      <c r="A8038" s="3"/>
      <c r="B8038" s="3"/>
      <c r="C8038" s="3"/>
      <c r="D8038" s="3"/>
      <c r="E8038" s="3"/>
      <c r="F8038" s="3"/>
      <c r="G8038" s="3"/>
      <c r="H8038" s="3"/>
      <c r="I8038" s="3"/>
      <c r="J8038" s="3"/>
      <c r="K8038" s="3"/>
      <c r="L8038" s="3"/>
      <c r="M8038" s="3"/>
      <c r="N8038" s="3"/>
      <c r="O8038" s="3"/>
    </row>
    <row r="8039" spans="1:15" ht="15" customHeight="1" x14ac:dyDescent="0.25">
      <c r="A8039" s="2"/>
      <c r="B8039" s="2"/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</row>
    <row r="8040" spans="1:15" ht="15" customHeight="1" x14ac:dyDescent="0.25">
      <c r="A8040" s="3"/>
      <c r="B8040" s="3"/>
      <c r="C8040" s="3"/>
      <c r="D8040" s="3"/>
      <c r="E8040" s="3"/>
      <c r="F8040" s="3"/>
      <c r="G8040" s="3"/>
      <c r="H8040" s="3"/>
      <c r="I8040" s="3"/>
      <c r="J8040" s="3"/>
      <c r="K8040" s="3"/>
      <c r="L8040" s="3"/>
      <c r="M8040" s="3"/>
      <c r="N8040" s="3"/>
      <c r="O8040" s="3"/>
    </row>
    <row r="8041" spans="1:15" ht="15" customHeight="1" x14ac:dyDescent="0.25">
      <c r="A8041" s="2"/>
      <c r="B8041" s="2"/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</row>
    <row r="8042" spans="1:15" ht="15" customHeight="1" x14ac:dyDescent="0.25">
      <c r="A8042" s="3"/>
      <c r="B8042" s="3"/>
      <c r="C8042" s="3"/>
      <c r="D8042" s="3"/>
      <c r="E8042" s="3"/>
      <c r="F8042" s="3"/>
      <c r="G8042" s="3"/>
      <c r="H8042" s="3"/>
      <c r="I8042" s="3"/>
      <c r="J8042" s="3"/>
      <c r="K8042" s="3"/>
      <c r="L8042" s="3"/>
      <c r="M8042" s="3"/>
      <c r="N8042" s="3"/>
      <c r="O8042" s="3"/>
    </row>
    <row r="8043" spans="1:15" ht="15" customHeight="1" x14ac:dyDescent="0.25">
      <c r="A8043" s="2"/>
      <c r="B8043" s="2"/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</row>
    <row r="8044" spans="1:15" ht="15" customHeight="1" x14ac:dyDescent="0.25">
      <c r="A8044" s="3"/>
      <c r="B8044" s="3"/>
      <c r="C8044" s="3"/>
      <c r="D8044" s="3"/>
      <c r="E8044" s="3"/>
      <c r="F8044" s="3"/>
      <c r="G8044" s="3"/>
      <c r="H8044" s="3"/>
      <c r="I8044" s="3"/>
      <c r="J8044" s="3"/>
      <c r="K8044" s="3"/>
      <c r="L8044" s="3"/>
      <c r="M8044" s="3"/>
      <c r="N8044" s="3"/>
      <c r="O8044" s="3"/>
    </row>
    <row r="8045" spans="1:15" ht="15" customHeight="1" x14ac:dyDescent="0.25">
      <c r="A8045" s="2"/>
      <c r="B8045" s="2"/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</row>
    <row r="8046" spans="1:15" ht="15" customHeight="1" x14ac:dyDescent="0.25">
      <c r="A8046" s="3"/>
      <c r="B8046" s="3"/>
      <c r="C8046" s="3"/>
      <c r="D8046" s="3"/>
      <c r="E8046" s="3"/>
      <c r="F8046" s="3"/>
      <c r="G8046" s="3"/>
      <c r="H8046" s="3"/>
      <c r="I8046" s="3"/>
      <c r="J8046" s="3"/>
      <c r="K8046" s="3"/>
      <c r="L8046" s="3"/>
      <c r="M8046" s="3"/>
      <c r="N8046" s="3"/>
      <c r="O8046" s="3"/>
    </row>
    <row r="8047" spans="1:15" ht="15" customHeight="1" x14ac:dyDescent="0.25">
      <c r="A8047" s="2"/>
      <c r="B8047" s="2"/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</row>
    <row r="8048" spans="1:15" ht="15" customHeight="1" x14ac:dyDescent="0.25">
      <c r="A8048" s="3"/>
      <c r="B8048" s="3"/>
      <c r="C8048" s="3"/>
      <c r="D8048" s="3"/>
      <c r="E8048" s="3"/>
      <c r="F8048" s="3"/>
      <c r="G8048" s="3"/>
      <c r="H8048" s="3"/>
      <c r="I8048" s="3"/>
      <c r="J8048" s="3"/>
      <c r="K8048" s="3"/>
      <c r="L8048" s="3"/>
      <c r="M8048" s="3"/>
      <c r="N8048" s="3"/>
      <c r="O8048" s="3"/>
    </row>
    <row r="8049" spans="1:15" ht="15" customHeight="1" x14ac:dyDescent="0.25">
      <c r="A8049" s="2"/>
      <c r="B8049" s="2"/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</row>
    <row r="8050" spans="1:15" ht="15" customHeight="1" x14ac:dyDescent="0.25">
      <c r="A8050" s="3"/>
      <c r="B8050" s="3"/>
      <c r="C8050" s="3"/>
      <c r="D8050" s="3"/>
      <c r="E8050" s="3"/>
      <c r="F8050" s="3"/>
      <c r="G8050" s="3"/>
      <c r="H8050" s="3"/>
      <c r="I8050" s="3"/>
      <c r="J8050" s="3"/>
      <c r="K8050" s="3"/>
      <c r="L8050" s="3"/>
      <c r="M8050" s="3"/>
      <c r="N8050" s="3"/>
      <c r="O8050" s="3"/>
    </row>
    <row r="8051" spans="1:15" ht="15" customHeight="1" x14ac:dyDescent="0.25">
      <c r="A8051" s="2"/>
      <c r="B8051" s="2"/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</row>
    <row r="8052" spans="1:15" ht="15" customHeight="1" x14ac:dyDescent="0.25">
      <c r="A8052" s="3"/>
      <c r="B8052" s="3"/>
      <c r="C8052" s="3"/>
      <c r="D8052" s="3"/>
      <c r="E8052" s="3"/>
      <c r="F8052" s="3"/>
      <c r="G8052" s="3"/>
      <c r="H8052" s="3"/>
      <c r="I8052" s="3"/>
      <c r="J8052" s="3"/>
      <c r="K8052" s="3"/>
      <c r="L8052" s="3"/>
      <c r="M8052" s="3"/>
      <c r="N8052" s="3"/>
      <c r="O8052" s="3"/>
    </row>
    <row r="8053" spans="1:15" ht="15" customHeight="1" x14ac:dyDescent="0.25">
      <c r="A8053" s="2"/>
      <c r="B8053" s="2"/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</row>
    <row r="8054" spans="1:15" ht="15" customHeight="1" x14ac:dyDescent="0.25">
      <c r="A8054" s="3"/>
      <c r="B8054" s="3"/>
      <c r="C8054" s="3"/>
      <c r="D8054" s="3"/>
      <c r="E8054" s="3"/>
      <c r="F8054" s="3"/>
      <c r="G8054" s="3"/>
      <c r="H8054" s="3"/>
      <c r="I8054" s="3"/>
      <c r="J8054" s="3"/>
      <c r="K8054" s="3"/>
      <c r="L8054" s="3"/>
      <c r="M8054" s="3"/>
      <c r="N8054" s="3"/>
      <c r="O8054" s="3"/>
    </row>
    <row r="8055" spans="1:15" ht="15" customHeight="1" x14ac:dyDescent="0.25">
      <c r="A8055" s="2"/>
      <c r="B8055" s="2"/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</row>
    <row r="8056" spans="1:15" ht="15" customHeight="1" x14ac:dyDescent="0.25">
      <c r="A8056" s="3"/>
      <c r="B8056" s="3"/>
      <c r="C8056" s="3"/>
      <c r="D8056" s="3"/>
      <c r="E8056" s="3"/>
      <c r="F8056" s="3"/>
      <c r="G8056" s="3"/>
      <c r="H8056" s="3"/>
      <c r="I8056" s="3"/>
      <c r="J8056" s="3"/>
      <c r="K8056" s="3"/>
      <c r="L8056" s="3"/>
      <c r="M8056" s="3"/>
      <c r="N8056" s="3"/>
      <c r="O8056" s="3"/>
    </row>
    <row r="8057" spans="1:15" ht="15" customHeight="1" x14ac:dyDescent="0.25">
      <c r="A8057" s="2"/>
      <c r="B8057" s="2"/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</row>
    <row r="8058" spans="1:15" ht="15" customHeight="1" x14ac:dyDescent="0.25">
      <c r="A8058" s="3"/>
      <c r="B8058" s="3"/>
      <c r="C8058" s="3"/>
      <c r="D8058" s="3"/>
      <c r="E8058" s="3"/>
      <c r="F8058" s="3"/>
      <c r="G8058" s="3"/>
      <c r="H8058" s="3"/>
      <c r="I8058" s="3"/>
      <c r="J8058" s="3"/>
      <c r="K8058" s="3"/>
      <c r="L8058" s="3"/>
      <c r="M8058" s="3"/>
      <c r="N8058" s="3"/>
      <c r="O8058" s="3"/>
    </row>
    <row r="8059" spans="1:15" ht="15" customHeight="1" x14ac:dyDescent="0.25">
      <c r="A8059" s="2"/>
      <c r="B8059" s="2"/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</row>
    <row r="8060" spans="1:15" ht="15" customHeight="1" x14ac:dyDescent="0.25">
      <c r="A8060" s="3"/>
      <c r="B8060" s="3"/>
      <c r="C8060" s="3"/>
      <c r="D8060" s="3"/>
      <c r="E8060" s="3"/>
      <c r="F8060" s="3"/>
      <c r="G8060" s="3"/>
      <c r="H8060" s="3"/>
      <c r="I8060" s="3"/>
      <c r="J8060" s="3"/>
      <c r="K8060" s="3"/>
      <c r="L8060" s="3"/>
      <c r="M8060" s="3"/>
      <c r="N8060" s="3"/>
      <c r="O8060" s="3"/>
    </row>
    <row r="8061" spans="1:15" ht="15" customHeight="1" x14ac:dyDescent="0.25">
      <c r="A8061" s="2"/>
      <c r="B8061" s="2"/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</row>
    <row r="8062" spans="1:15" ht="15" customHeight="1" x14ac:dyDescent="0.25">
      <c r="A8062" s="3"/>
      <c r="B8062" s="3"/>
      <c r="C8062" s="3"/>
      <c r="D8062" s="3"/>
      <c r="E8062" s="3"/>
      <c r="F8062" s="3"/>
      <c r="G8062" s="3"/>
      <c r="H8062" s="3"/>
      <c r="I8062" s="3"/>
      <c r="J8062" s="3"/>
      <c r="K8062" s="3"/>
      <c r="L8062" s="3"/>
      <c r="M8062" s="3"/>
      <c r="N8062" s="3"/>
      <c r="O8062" s="3"/>
    </row>
    <row r="8063" spans="1:15" ht="15" customHeight="1" x14ac:dyDescent="0.25">
      <c r="A8063" s="2"/>
      <c r="B8063" s="2"/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</row>
    <row r="8064" spans="1:15" ht="15" customHeight="1" x14ac:dyDescent="0.25">
      <c r="A8064" s="3"/>
      <c r="B8064" s="3"/>
      <c r="C8064" s="3"/>
      <c r="D8064" s="3"/>
      <c r="E8064" s="3"/>
      <c r="F8064" s="3"/>
      <c r="G8064" s="3"/>
      <c r="H8064" s="3"/>
      <c r="I8064" s="3"/>
      <c r="J8064" s="3"/>
      <c r="K8064" s="3"/>
      <c r="L8064" s="3"/>
      <c r="M8064" s="3"/>
      <c r="N8064" s="3"/>
      <c r="O8064" s="3"/>
    </row>
    <row r="8065" spans="1:15" ht="15" customHeight="1" x14ac:dyDescent="0.25">
      <c r="A8065" s="2"/>
      <c r="B8065" s="2"/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</row>
    <row r="8066" spans="1:15" ht="15" customHeight="1" x14ac:dyDescent="0.25">
      <c r="A8066" s="3"/>
      <c r="B8066" s="3"/>
      <c r="C8066" s="3"/>
      <c r="D8066" s="3"/>
      <c r="E8066" s="3"/>
      <c r="F8066" s="3"/>
      <c r="G8066" s="3"/>
      <c r="H8066" s="3"/>
      <c r="I8066" s="3"/>
      <c r="J8066" s="3"/>
      <c r="K8066" s="3"/>
      <c r="L8066" s="3"/>
      <c r="M8066" s="3"/>
      <c r="N8066" s="3"/>
      <c r="O8066" s="3"/>
    </row>
    <row r="8067" spans="1:15" ht="15" customHeight="1" x14ac:dyDescent="0.25">
      <c r="A8067" s="2"/>
      <c r="B8067" s="2"/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</row>
    <row r="8068" spans="1:15" ht="15" customHeight="1" x14ac:dyDescent="0.25">
      <c r="A8068" s="3"/>
      <c r="B8068" s="3"/>
      <c r="C8068" s="3"/>
      <c r="D8068" s="3"/>
      <c r="E8068" s="3"/>
      <c r="F8068" s="3"/>
      <c r="G8068" s="3"/>
      <c r="H8068" s="3"/>
      <c r="I8068" s="3"/>
      <c r="J8068" s="3"/>
      <c r="K8068" s="3"/>
      <c r="L8068" s="3"/>
      <c r="M8068" s="3"/>
      <c r="N8068" s="3"/>
      <c r="O8068" s="3"/>
    </row>
    <row r="8069" spans="1:15" ht="15" customHeight="1" x14ac:dyDescent="0.25">
      <c r="A8069" s="2"/>
      <c r="B8069" s="2"/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</row>
    <row r="8070" spans="1:15" ht="15" customHeight="1" x14ac:dyDescent="0.25">
      <c r="A8070" s="3"/>
      <c r="B8070" s="3"/>
      <c r="C8070" s="3"/>
      <c r="D8070" s="3"/>
      <c r="E8070" s="3"/>
      <c r="F8070" s="3"/>
      <c r="G8070" s="3"/>
      <c r="H8070" s="3"/>
      <c r="I8070" s="3"/>
      <c r="J8070" s="3"/>
      <c r="K8070" s="3"/>
      <c r="L8070" s="3"/>
      <c r="M8070" s="3"/>
      <c r="N8070" s="3"/>
      <c r="O8070" s="3"/>
    </row>
    <row r="8071" spans="1:15" ht="15" customHeight="1" x14ac:dyDescent="0.25">
      <c r="A8071" s="2"/>
      <c r="B8071" s="2"/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</row>
    <row r="8072" spans="1:15" ht="15" customHeight="1" x14ac:dyDescent="0.25">
      <c r="A8072" s="3"/>
      <c r="B8072" s="3"/>
      <c r="C8072" s="3"/>
      <c r="D8072" s="3"/>
      <c r="E8072" s="3"/>
      <c r="F8072" s="3"/>
      <c r="G8072" s="3"/>
      <c r="H8072" s="3"/>
      <c r="I8072" s="3"/>
      <c r="J8072" s="3"/>
      <c r="K8072" s="3"/>
      <c r="L8072" s="3"/>
      <c r="M8072" s="3"/>
      <c r="N8072" s="3"/>
      <c r="O8072" s="3"/>
    </row>
    <row r="8073" spans="1:15" ht="15" customHeight="1" x14ac:dyDescent="0.25">
      <c r="A8073" s="2"/>
      <c r="B8073" s="2"/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</row>
    <row r="8074" spans="1:15" ht="15" customHeight="1" x14ac:dyDescent="0.25">
      <c r="A8074" s="3"/>
      <c r="B8074" s="3"/>
      <c r="C8074" s="3"/>
      <c r="D8074" s="3"/>
      <c r="E8074" s="3"/>
      <c r="F8074" s="3"/>
      <c r="G8074" s="3"/>
      <c r="H8074" s="3"/>
      <c r="I8074" s="3"/>
      <c r="J8074" s="3"/>
      <c r="K8074" s="3"/>
      <c r="L8074" s="3"/>
      <c r="M8074" s="3"/>
      <c r="N8074" s="3"/>
      <c r="O8074" s="3"/>
    </row>
    <row r="8075" spans="1:15" ht="15" customHeight="1" x14ac:dyDescent="0.25">
      <c r="A8075" s="2"/>
      <c r="B8075" s="2"/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</row>
    <row r="8076" spans="1:15" ht="15" customHeight="1" x14ac:dyDescent="0.25">
      <c r="A8076" s="3"/>
      <c r="B8076" s="3"/>
      <c r="C8076" s="3"/>
      <c r="D8076" s="3"/>
      <c r="E8076" s="3"/>
      <c r="F8076" s="3"/>
      <c r="G8076" s="3"/>
      <c r="H8076" s="3"/>
      <c r="I8076" s="3"/>
      <c r="J8076" s="3"/>
      <c r="K8076" s="3"/>
      <c r="L8076" s="3"/>
      <c r="M8076" s="3"/>
      <c r="N8076" s="3"/>
      <c r="O8076" s="3"/>
    </row>
    <row r="8077" spans="1:15" ht="15" customHeight="1" x14ac:dyDescent="0.25">
      <c r="A8077" s="2"/>
      <c r="B8077" s="2"/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</row>
    <row r="8078" spans="1:15" ht="15" customHeight="1" x14ac:dyDescent="0.25">
      <c r="A8078" s="3"/>
      <c r="B8078" s="3"/>
      <c r="C8078" s="3"/>
      <c r="D8078" s="3"/>
      <c r="E8078" s="3"/>
      <c r="F8078" s="3"/>
      <c r="G8078" s="3"/>
      <c r="H8078" s="3"/>
      <c r="I8078" s="3"/>
      <c r="J8078" s="3"/>
      <c r="K8078" s="3"/>
      <c r="L8078" s="3"/>
      <c r="M8078" s="3"/>
      <c r="N8078" s="3"/>
      <c r="O8078" s="3"/>
    </row>
    <row r="8079" spans="1:15" ht="15" customHeight="1" x14ac:dyDescent="0.25">
      <c r="A8079" s="2"/>
      <c r="B8079" s="2"/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</row>
    <row r="8080" spans="1:15" ht="15" customHeight="1" x14ac:dyDescent="0.25">
      <c r="A8080" s="3"/>
      <c r="B8080" s="3"/>
      <c r="C8080" s="3"/>
      <c r="D8080" s="3"/>
      <c r="E8080" s="3"/>
      <c r="F8080" s="3"/>
      <c r="G8080" s="3"/>
      <c r="H8080" s="3"/>
      <c r="I8080" s="3"/>
      <c r="J8080" s="3"/>
      <c r="K8080" s="3"/>
      <c r="L8080" s="3"/>
      <c r="M8080" s="3"/>
      <c r="N8080" s="3"/>
      <c r="O8080" s="3"/>
    </row>
    <row r="8081" spans="1:15" ht="15" customHeight="1" x14ac:dyDescent="0.25">
      <c r="A8081" s="2"/>
      <c r="B8081" s="2"/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</row>
    <row r="8082" spans="1:15" ht="15" customHeight="1" x14ac:dyDescent="0.25">
      <c r="A8082" s="3"/>
      <c r="B8082" s="3"/>
      <c r="C8082" s="3"/>
      <c r="D8082" s="3"/>
      <c r="E8082" s="3"/>
      <c r="F8082" s="3"/>
      <c r="G8082" s="3"/>
      <c r="H8082" s="3"/>
      <c r="I8082" s="3"/>
      <c r="J8082" s="3"/>
      <c r="K8082" s="3"/>
      <c r="L8082" s="3"/>
      <c r="M8082" s="3"/>
      <c r="N8082" s="3"/>
      <c r="O8082" s="3"/>
    </row>
    <row r="8083" spans="1:15" ht="15" customHeight="1" x14ac:dyDescent="0.25">
      <c r="A8083" s="2"/>
      <c r="B8083" s="2"/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</row>
    <row r="8084" spans="1:15" ht="15" customHeight="1" x14ac:dyDescent="0.25">
      <c r="A8084" s="3"/>
      <c r="B8084" s="3"/>
      <c r="C8084" s="3"/>
      <c r="D8084" s="3"/>
      <c r="E8084" s="3"/>
      <c r="F8084" s="3"/>
      <c r="G8084" s="3"/>
      <c r="H8084" s="3"/>
      <c r="I8084" s="3"/>
      <c r="J8084" s="3"/>
      <c r="K8084" s="3"/>
      <c r="L8084" s="3"/>
      <c r="M8084" s="3"/>
      <c r="N8084" s="3"/>
      <c r="O8084" s="3"/>
    </row>
    <row r="8085" spans="1:15" ht="15" customHeight="1" x14ac:dyDescent="0.25">
      <c r="A8085" s="2"/>
      <c r="B8085" s="2"/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</row>
    <row r="8086" spans="1:15" ht="15" customHeight="1" x14ac:dyDescent="0.25">
      <c r="A8086" s="3"/>
      <c r="B8086" s="3"/>
      <c r="C8086" s="3"/>
      <c r="D8086" s="3"/>
      <c r="E8086" s="3"/>
      <c r="F8086" s="3"/>
      <c r="G8086" s="3"/>
      <c r="H8086" s="3"/>
      <c r="I8086" s="3"/>
      <c r="J8086" s="3"/>
      <c r="K8086" s="3"/>
      <c r="L8086" s="3"/>
      <c r="M8086" s="3"/>
      <c r="N8086" s="3"/>
      <c r="O8086" s="3"/>
    </row>
    <row r="8087" spans="1:15" ht="15" customHeight="1" x14ac:dyDescent="0.25">
      <c r="A8087" s="2"/>
      <c r="B8087" s="2"/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</row>
    <row r="8088" spans="1:15" ht="15" customHeight="1" x14ac:dyDescent="0.25">
      <c r="A8088" s="3"/>
      <c r="B8088" s="3"/>
      <c r="C8088" s="3"/>
      <c r="D8088" s="3"/>
      <c r="E8088" s="3"/>
      <c r="F8088" s="3"/>
      <c r="G8088" s="3"/>
      <c r="H8088" s="3"/>
      <c r="I8088" s="3"/>
      <c r="J8088" s="3"/>
      <c r="K8088" s="3"/>
      <c r="L8088" s="3"/>
      <c r="M8088" s="3"/>
      <c r="N8088" s="3"/>
      <c r="O8088" s="3"/>
    </row>
    <row r="8089" spans="1:15" ht="15" customHeight="1" x14ac:dyDescent="0.25">
      <c r="A8089" s="2"/>
      <c r="B8089" s="2"/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</row>
    <row r="8090" spans="1:15" ht="15" customHeight="1" x14ac:dyDescent="0.25">
      <c r="A8090" s="3"/>
      <c r="B8090" s="3"/>
      <c r="C8090" s="3"/>
      <c r="D8090" s="3"/>
      <c r="E8090" s="3"/>
      <c r="F8090" s="3"/>
      <c r="G8090" s="3"/>
      <c r="H8090" s="3"/>
      <c r="I8090" s="3"/>
      <c r="J8090" s="3"/>
      <c r="K8090" s="3"/>
      <c r="L8090" s="3"/>
      <c r="M8090" s="3"/>
      <c r="N8090" s="3"/>
      <c r="O8090" s="3"/>
    </row>
    <row r="8091" spans="1:15" ht="15" customHeight="1" x14ac:dyDescent="0.25">
      <c r="A8091" s="2"/>
      <c r="B8091" s="2"/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</row>
    <row r="8092" spans="1:15" ht="15" customHeight="1" x14ac:dyDescent="0.25">
      <c r="A8092" s="3"/>
      <c r="B8092" s="3"/>
      <c r="C8092" s="3"/>
      <c r="D8092" s="3"/>
      <c r="E8092" s="3"/>
      <c r="F8092" s="3"/>
      <c r="G8092" s="3"/>
      <c r="H8092" s="3"/>
      <c r="I8092" s="3"/>
      <c r="J8092" s="3"/>
      <c r="K8092" s="3"/>
      <c r="L8092" s="3"/>
      <c r="M8092" s="3"/>
      <c r="N8092" s="3"/>
      <c r="O8092" s="3"/>
    </row>
    <row r="8093" spans="1:15" ht="15" customHeight="1" x14ac:dyDescent="0.25">
      <c r="A8093" s="2"/>
      <c r="B8093" s="2"/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</row>
    <row r="8094" spans="1:15" ht="15" customHeight="1" x14ac:dyDescent="0.25">
      <c r="A8094" s="3"/>
      <c r="B8094" s="3"/>
      <c r="C8094" s="3"/>
      <c r="D8094" s="3"/>
      <c r="E8094" s="3"/>
      <c r="F8094" s="3"/>
      <c r="G8094" s="3"/>
      <c r="H8094" s="3"/>
      <c r="I8094" s="3"/>
      <c r="J8094" s="3"/>
      <c r="K8094" s="3"/>
      <c r="L8094" s="3"/>
      <c r="M8094" s="3"/>
      <c r="N8094" s="3"/>
      <c r="O8094" s="3"/>
    </row>
    <row r="8095" spans="1:15" ht="15" customHeight="1" x14ac:dyDescent="0.25">
      <c r="A8095" s="2"/>
      <c r="B8095" s="2"/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</row>
    <row r="8096" spans="1:15" ht="15" customHeight="1" x14ac:dyDescent="0.25">
      <c r="A8096" s="3"/>
      <c r="B8096" s="3"/>
      <c r="C8096" s="3"/>
      <c r="D8096" s="3"/>
      <c r="E8096" s="3"/>
      <c r="F8096" s="3"/>
      <c r="G8096" s="3"/>
      <c r="H8096" s="3"/>
      <c r="I8096" s="3"/>
      <c r="J8096" s="3"/>
      <c r="K8096" s="3"/>
      <c r="L8096" s="3"/>
      <c r="M8096" s="3"/>
      <c r="N8096" s="3"/>
      <c r="O8096" s="3"/>
    </row>
    <row r="8097" spans="1:15" ht="15" customHeight="1" x14ac:dyDescent="0.25">
      <c r="A8097" s="2"/>
      <c r="B8097" s="2"/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</row>
    <row r="8098" spans="1:15" ht="15" customHeight="1" x14ac:dyDescent="0.25">
      <c r="A8098" s="3"/>
      <c r="B8098" s="3"/>
      <c r="C8098" s="3"/>
      <c r="D8098" s="3"/>
      <c r="E8098" s="3"/>
      <c r="F8098" s="3"/>
      <c r="G8098" s="3"/>
      <c r="H8098" s="3"/>
      <c r="I8098" s="3"/>
      <c r="J8098" s="3"/>
      <c r="K8098" s="3"/>
      <c r="L8098" s="3"/>
      <c r="M8098" s="3"/>
      <c r="N8098" s="3"/>
      <c r="O8098" s="3"/>
    </row>
    <row r="8099" spans="1:15" ht="15" customHeight="1" x14ac:dyDescent="0.25">
      <c r="A8099" s="2"/>
      <c r="B8099" s="2"/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</row>
    <row r="8100" spans="1:15" ht="15" customHeight="1" x14ac:dyDescent="0.25">
      <c r="A8100" s="3"/>
      <c r="B8100" s="3"/>
      <c r="C8100" s="3"/>
      <c r="D8100" s="3"/>
      <c r="E8100" s="3"/>
      <c r="F8100" s="3"/>
      <c r="G8100" s="3"/>
      <c r="H8100" s="3"/>
      <c r="I8100" s="3"/>
      <c r="J8100" s="3"/>
      <c r="K8100" s="3"/>
      <c r="L8100" s="3"/>
      <c r="M8100" s="3"/>
      <c r="N8100" s="3"/>
      <c r="O8100" s="3"/>
    </row>
    <row r="8101" spans="1:15" ht="15" customHeight="1" x14ac:dyDescent="0.25">
      <c r="A8101" s="2"/>
      <c r="B8101" s="2"/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</row>
    <row r="8102" spans="1:15" ht="15" customHeight="1" x14ac:dyDescent="0.25">
      <c r="A8102" s="3"/>
      <c r="B8102" s="3"/>
      <c r="C8102" s="3"/>
      <c r="D8102" s="3"/>
      <c r="E8102" s="3"/>
      <c r="F8102" s="3"/>
      <c r="G8102" s="3"/>
      <c r="H8102" s="3"/>
      <c r="I8102" s="3"/>
      <c r="J8102" s="3"/>
      <c r="K8102" s="3"/>
      <c r="L8102" s="3"/>
      <c r="M8102" s="3"/>
      <c r="N8102" s="3"/>
      <c r="O8102" s="3"/>
    </row>
    <row r="8103" spans="1:15" ht="15" customHeight="1" x14ac:dyDescent="0.25">
      <c r="A8103" s="2"/>
      <c r="B8103" s="2"/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</row>
    <row r="8104" spans="1:15" ht="15" customHeight="1" x14ac:dyDescent="0.25">
      <c r="A8104" s="3"/>
      <c r="B8104" s="3"/>
      <c r="C8104" s="3"/>
      <c r="D8104" s="3"/>
      <c r="E8104" s="3"/>
      <c r="F8104" s="3"/>
      <c r="G8104" s="3"/>
      <c r="H8104" s="3"/>
      <c r="I8104" s="3"/>
      <c r="J8104" s="3"/>
      <c r="K8104" s="3"/>
      <c r="L8104" s="3"/>
      <c r="M8104" s="3"/>
      <c r="N8104" s="3"/>
      <c r="O8104" s="3"/>
    </row>
    <row r="8105" spans="1:15" ht="15" customHeight="1" x14ac:dyDescent="0.25">
      <c r="A8105" s="2"/>
      <c r="B8105" s="2"/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</row>
    <row r="8106" spans="1:15" ht="15" customHeight="1" x14ac:dyDescent="0.25">
      <c r="A8106" s="3"/>
      <c r="B8106" s="3"/>
      <c r="C8106" s="3"/>
      <c r="D8106" s="3"/>
      <c r="E8106" s="3"/>
      <c r="F8106" s="3"/>
      <c r="G8106" s="3"/>
      <c r="H8106" s="3"/>
      <c r="I8106" s="3"/>
      <c r="J8106" s="3"/>
      <c r="K8106" s="3"/>
      <c r="L8106" s="3"/>
      <c r="M8106" s="3"/>
      <c r="N8106" s="3"/>
      <c r="O8106" s="3"/>
    </row>
    <row r="8107" spans="1:15" ht="15" customHeight="1" x14ac:dyDescent="0.25">
      <c r="A8107" s="2"/>
      <c r="B8107" s="2"/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</row>
    <row r="8108" spans="1:15" ht="15" customHeight="1" x14ac:dyDescent="0.25">
      <c r="A8108" s="3"/>
      <c r="B8108" s="3"/>
      <c r="C8108" s="3"/>
      <c r="D8108" s="3"/>
      <c r="E8108" s="3"/>
      <c r="F8108" s="3"/>
      <c r="G8108" s="3"/>
      <c r="H8108" s="3"/>
      <c r="I8108" s="3"/>
      <c r="J8108" s="3"/>
      <c r="K8108" s="3"/>
      <c r="L8108" s="3"/>
      <c r="M8108" s="3"/>
      <c r="N8108" s="3"/>
      <c r="O8108" s="3"/>
    </row>
    <row r="8109" spans="1:15" ht="15" customHeight="1" x14ac:dyDescent="0.25">
      <c r="A8109" s="2"/>
      <c r="B8109" s="2"/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</row>
    <row r="8110" spans="1:15" ht="15" customHeight="1" x14ac:dyDescent="0.25">
      <c r="A8110" s="3"/>
      <c r="B8110" s="3"/>
      <c r="C8110" s="3"/>
      <c r="D8110" s="3"/>
      <c r="E8110" s="3"/>
      <c r="F8110" s="3"/>
      <c r="G8110" s="3"/>
      <c r="H8110" s="3"/>
      <c r="I8110" s="3"/>
      <c r="J8110" s="3"/>
      <c r="K8110" s="3"/>
      <c r="L8110" s="3"/>
      <c r="M8110" s="3"/>
      <c r="N8110" s="3"/>
      <c r="O8110" s="3"/>
    </row>
    <row r="8111" spans="1:15" ht="15" customHeight="1" x14ac:dyDescent="0.25">
      <c r="A8111" s="2"/>
      <c r="B8111" s="2"/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</row>
    <row r="8112" spans="1:15" ht="15" customHeight="1" x14ac:dyDescent="0.25">
      <c r="A8112" s="3"/>
      <c r="B8112" s="3"/>
      <c r="C8112" s="3"/>
      <c r="D8112" s="3"/>
      <c r="E8112" s="3"/>
      <c r="F8112" s="3"/>
      <c r="G8112" s="3"/>
      <c r="H8112" s="3"/>
      <c r="I8112" s="3"/>
      <c r="J8112" s="3"/>
      <c r="K8112" s="3"/>
      <c r="L8112" s="3"/>
      <c r="M8112" s="3"/>
      <c r="N8112" s="3"/>
      <c r="O8112" s="3"/>
    </row>
    <row r="8113" spans="1:15" ht="15" customHeight="1" x14ac:dyDescent="0.25">
      <c r="A8113" s="2"/>
      <c r="B8113" s="2"/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</row>
    <row r="8114" spans="1:15" ht="15" customHeight="1" x14ac:dyDescent="0.25">
      <c r="A8114" s="3"/>
      <c r="B8114" s="3"/>
      <c r="C8114" s="3"/>
      <c r="D8114" s="3"/>
      <c r="E8114" s="3"/>
      <c r="F8114" s="3"/>
      <c r="G8114" s="3"/>
      <c r="H8114" s="3"/>
      <c r="I8114" s="3"/>
      <c r="J8114" s="3"/>
      <c r="K8114" s="3"/>
      <c r="L8114" s="3"/>
      <c r="M8114" s="3"/>
      <c r="N8114" s="3"/>
      <c r="O8114" s="3"/>
    </row>
    <row r="8115" spans="1:15" ht="15" customHeight="1" x14ac:dyDescent="0.25">
      <c r="A8115" s="2"/>
      <c r="B8115" s="2"/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</row>
    <row r="8116" spans="1:15" ht="15" customHeight="1" x14ac:dyDescent="0.25">
      <c r="A8116" s="3"/>
      <c r="B8116" s="3"/>
      <c r="C8116" s="3"/>
      <c r="D8116" s="3"/>
      <c r="E8116" s="3"/>
      <c r="F8116" s="3"/>
      <c r="G8116" s="3"/>
      <c r="H8116" s="3"/>
      <c r="I8116" s="3"/>
      <c r="J8116" s="3"/>
      <c r="K8116" s="3"/>
      <c r="L8116" s="3"/>
      <c r="M8116" s="3"/>
      <c r="N8116" s="3"/>
      <c r="O8116" s="3"/>
    </row>
    <row r="8117" spans="1:15" ht="15" customHeight="1" x14ac:dyDescent="0.25">
      <c r="A8117" s="2"/>
      <c r="B8117" s="2"/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</row>
    <row r="8118" spans="1:15" ht="15" customHeight="1" x14ac:dyDescent="0.25">
      <c r="A8118" s="3"/>
      <c r="B8118" s="3"/>
      <c r="C8118" s="3"/>
      <c r="D8118" s="3"/>
      <c r="E8118" s="3"/>
      <c r="F8118" s="3"/>
      <c r="G8118" s="3"/>
      <c r="H8118" s="3"/>
      <c r="I8118" s="3"/>
      <c r="J8118" s="3"/>
      <c r="K8118" s="3"/>
      <c r="L8118" s="3"/>
      <c r="M8118" s="3"/>
      <c r="N8118" s="3"/>
      <c r="O8118" s="3"/>
    </row>
    <row r="8119" spans="1:15" ht="15" customHeight="1" x14ac:dyDescent="0.25">
      <c r="A8119" s="2"/>
      <c r="B8119" s="2"/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</row>
    <row r="8120" spans="1:15" ht="15" customHeight="1" x14ac:dyDescent="0.25">
      <c r="A8120" s="3"/>
      <c r="B8120" s="3"/>
      <c r="C8120" s="3"/>
      <c r="D8120" s="3"/>
      <c r="E8120" s="3"/>
      <c r="F8120" s="3"/>
      <c r="G8120" s="3"/>
      <c r="H8120" s="3"/>
      <c r="I8120" s="3"/>
      <c r="J8120" s="3"/>
      <c r="K8120" s="3"/>
      <c r="L8120" s="3"/>
      <c r="M8120" s="3"/>
      <c r="N8120" s="3"/>
      <c r="O8120" s="3"/>
    </row>
    <row r="8121" spans="1:15" ht="15" customHeight="1" x14ac:dyDescent="0.25">
      <c r="A8121" s="2"/>
      <c r="B8121" s="2"/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</row>
    <row r="8122" spans="1:15" ht="15" customHeight="1" x14ac:dyDescent="0.25">
      <c r="A8122" s="3"/>
      <c r="B8122" s="3"/>
      <c r="C8122" s="3"/>
      <c r="D8122" s="3"/>
      <c r="E8122" s="3"/>
      <c r="F8122" s="3"/>
      <c r="G8122" s="3"/>
      <c r="H8122" s="3"/>
      <c r="I8122" s="3"/>
      <c r="J8122" s="3"/>
      <c r="K8122" s="3"/>
      <c r="L8122" s="3"/>
      <c r="M8122" s="3"/>
      <c r="N8122" s="3"/>
      <c r="O8122" s="3"/>
    </row>
    <row r="8123" spans="1:15" ht="15" customHeight="1" x14ac:dyDescent="0.25">
      <c r="A8123" s="2"/>
      <c r="B8123" s="2"/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</row>
    <row r="8124" spans="1:15" ht="15" customHeight="1" x14ac:dyDescent="0.25">
      <c r="A8124" s="3"/>
      <c r="B8124" s="3"/>
      <c r="C8124" s="3"/>
      <c r="D8124" s="3"/>
      <c r="E8124" s="3"/>
      <c r="F8124" s="3"/>
      <c r="G8124" s="3"/>
      <c r="H8124" s="3"/>
      <c r="I8124" s="3"/>
      <c r="J8124" s="3"/>
      <c r="K8124" s="3"/>
      <c r="L8124" s="3"/>
      <c r="M8124" s="3"/>
      <c r="N8124" s="3"/>
      <c r="O8124" s="3"/>
    </row>
    <row r="8125" spans="1:15" ht="15" customHeight="1" x14ac:dyDescent="0.25">
      <c r="A8125" s="2"/>
      <c r="B8125" s="2"/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</row>
    <row r="8126" spans="1:15" ht="15" customHeight="1" x14ac:dyDescent="0.25">
      <c r="A8126" s="3"/>
      <c r="B8126" s="3"/>
      <c r="C8126" s="3"/>
      <c r="D8126" s="3"/>
      <c r="E8126" s="3"/>
      <c r="F8126" s="3"/>
      <c r="G8126" s="3"/>
      <c r="H8126" s="3"/>
      <c r="I8126" s="3"/>
      <c r="J8126" s="3"/>
      <c r="K8126" s="3"/>
      <c r="L8126" s="3"/>
      <c r="M8126" s="3"/>
      <c r="N8126" s="3"/>
      <c r="O8126" s="3"/>
    </row>
    <row r="8127" spans="1:15" ht="15" customHeight="1" x14ac:dyDescent="0.25">
      <c r="A8127" s="2"/>
      <c r="B8127" s="2"/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</row>
    <row r="8128" spans="1:15" ht="15" customHeight="1" x14ac:dyDescent="0.25">
      <c r="A8128" s="3"/>
      <c r="B8128" s="3"/>
      <c r="C8128" s="3"/>
      <c r="D8128" s="3"/>
      <c r="E8128" s="3"/>
      <c r="F8128" s="3"/>
      <c r="G8128" s="3"/>
      <c r="H8128" s="3"/>
      <c r="I8128" s="3"/>
      <c r="J8128" s="3"/>
      <c r="K8128" s="3"/>
      <c r="L8128" s="3"/>
      <c r="M8128" s="3"/>
      <c r="N8128" s="3"/>
      <c r="O8128" s="3"/>
    </row>
    <row r="8129" spans="1:15" ht="15" customHeight="1" x14ac:dyDescent="0.25">
      <c r="A8129" s="2"/>
      <c r="B8129" s="2"/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</row>
    <row r="8130" spans="1:15" ht="15" customHeight="1" x14ac:dyDescent="0.25">
      <c r="A8130" s="3"/>
      <c r="B8130" s="3"/>
      <c r="C8130" s="3"/>
      <c r="D8130" s="3"/>
      <c r="E8130" s="3"/>
      <c r="F8130" s="3"/>
      <c r="G8130" s="3"/>
      <c r="H8130" s="3"/>
      <c r="I8130" s="3"/>
      <c r="J8130" s="3"/>
      <c r="K8130" s="3"/>
      <c r="L8130" s="3"/>
      <c r="M8130" s="3"/>
      <c r="N8130" s="3"/>
      <c r="O8130" s="3"/>
    </row>
    <row r="8131" spans="1:15" ht="15" customHeight="1" x14ac:dyDescent="0.25">
      <c r="A8131" s="2"/>
      <c r="B8131" s="2"/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</row>
    <row r="8132" spans="1:15" ht="15" customHeight="1" x14ac:dyDescent="0.25">
      <c r="A8132" s="3"/>
      <c r="B8132" s="3"/>
      <c r="C8132" s="3"/>
      <c r="D8132" s="3"/>
      <c r="E8132" s="3"/>
      <c r="F8132" s="3"/>
      <c r="G8132" s="3"/>
      <c r="H8132" s="3"/>
      <c r="I8132" s="3"/>
      <c r="J8132" s="3"/>
      <c r="K8132" s="3"/>
      <c r="L8132" s="3"/>
      <c r="M8132" s="3"/>
      <c r="N8132" s="3"/>
      <c r="O8132" s="3"/>
    </row>
    <row r="8133" spans="1:15" ht="15" customHeight="1" x14ac:dyDescent="0.25">
      <c r="A8133" s="2"/>
      <c r="B8133" s="2"/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</row>
    <row r="8134" spans="1:15" ht="15" customHeight="1" x14ac:dyDescent="0.25">
      <c r="A8134" s="3"/>
      <c r="B8134" s="3"/>
      <c r="C8134" s="3"/>
      <c r="D8134" s="3"/>
      <c r="E8134" s="3"/>
      <c r="F8134" s="3"/>
      <c r="G8134" s="3"/>
      <c r="H8134" s="3"/>
      <c r="I8134" s="3"/>
      <c r="J8134" s="3"/>
      <c r="K8134" s="3"/>
      <c r="L8134" s="3"/>
      <c r="M8134" s="3"/>
      <c r="N8134" s="3"/>
      <c r="O8134" s="3"/>
    </row>
    <row r="8135" spans="1:15" ht="15" customHeight="1" x14ac:dyDescent="0.25">
      <c r="A8135" s="2"/>
      <c r="B8135" s="2"/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</row>
    <row r="8136" spans="1:15" ht="15" customHeight="1" x14ac:dyDescent="0.25">
      <c r="A8136" s="3"/>
      <c r="B8136" s="3"/>
      <c r="C8136" s="3"/>
      <c r="D8136" s="3"/>
      <c r="E8136" s="3"/>
      <c r="F8136" s="3"/>
      <c r="G8136" s="3"/>
      <c r="H8136" s="3"/>
      <c r="I8136" s="3"/>
      <c r="J8136" s="3"/>
      <c r="K8136" s="3"/>
      <c r="L8136" s="3"/>
      <c r="M8136" s="3"/>
      <c r="N8136" s="3"/>
      <c r="O8136" s="3"/>
    </row>
    <row r="8137" spans="1:15" ht="15" customHeight="1" x14ac:dyDescent="0.25">
      <c r="A8137" s="2"/>
      <c r="B8137" s="2"/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</row>
    <row r="8138" spans="1:15" ht="15" customHeight="1" x14ac:dyDescent="0.25">
      <c r="A8138" s="3"/>
      <c r="B8138" s="3"/>
      <c r="C8138" s="3"/>
      <c r="D8138" s="3"/>
      <c r="E8138" s="3"/>
      <c r="F8138" s="3"/>
      <c r="G8138" s="3"/>
      <c r="H8138" s="3"/>
      <c r="I8138" s="3"/>
      <c r="J8138" s="3"/>
      <c r="K8138" s="3"/>
      <c r="L8138" s="3"/>
      <c r="M8138" s="3"/>
      <c r="N8138" s="3"/>
      <c r="O8138" s="3"/>
    </row>
    <row r="8139" spans="1:15" ht="15" customHeight="1" x14ac:dyDescent="0.25">
      <c r="A8139" s="2"/>
      <c r="B8139" s="2"/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</row>
    <row r="8140" spans="1:15" ht="15" customHeight="1" x14ac:dyDescent="0.25">
      <c r="A8140" s="3"/>
      <c r="B8140" s="3"/>
      <c r="C8140" s="3"/>
      <c r="D8140" s="3"/>
      <c r="E8140" s="3"/>
      <c r="F8140" s="3"/>
      <c r="G8140" s="3"/>
      <c r="H8140" s="3"/>
      <c r="I8140" s="3"/>
      <c r="J8140" s="3"/>
      <c r="K8140" s="3"/>
      <c r="L8140" s="3"/>
      <c r="M8140" s="3"/>
      <c r="N8140" s="3"/>
      <c r="O8140" s="3"/>
    </row>
    <row r="8141" spans="1:15" ht="15" customHeight="1" x14ac:dyDescent="0.25">
      <c r="A8141" s="2"/>
      <c r="B8141" s="2"/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</row>
    <row r="8142" spans="1:15" ht="15" customHeight="1" x14ac:dyDescent="0.25">
      <c r="A8142" s="3"/>
      <c r="B8142" s="3"/>
      <c r="C8142" s="3"/>
      <c r="D8142" s="3"/>
      <c r="E8142" s="3"/>
      <c r="F8142" s="3"/>
      <c r="G8142" s="3"/>
      <c r="H8142" s="3"/>
      <c r="I8142" s="3"/>
      <c r="J8142" s="3"/>
      <c r="K8142" s="3"/>
      <c r="L8142" s="3"/>
      <c r="M8142" s="3"/>
      <c r="N8142" s="3"/>
      <c r="O8142" s="3"/>
    </row>
    <row r="8143" spans="1:15" ht="15" customHeight="1" x14ac:dyDescent="0.25">
      <c r="A8143" s="2"/>
      <c r="B8143" s="2"/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</row>
    <row r="8144" spans="1:15" ht="15" customHeight="1" x14ac:dyDescent="0.25">
      <c r="A8144" s="3"/>
      <c r="B8144" s="3"/>
      <c r="C8144" s="3"/>
      <c r="D8144" s="3"/>
      <c r="E8144" s="3"/>
      <c r="F8144" s="3"/>
      <c r="G8144" s="3"/>
      <c r="H8144" s="3"/>
      <c r="I8144" s="3"/>
      <c r="J8144" s="3"/>
      <c r="K8144" s="3"/>
      <c r="L8144" s="3"/>
      <c r="M8144" s="3"/>
      <c r="N8144" s="3"/>
      <c r="O8144" s="3"/>
    </row>
    <row r="8145" spans="1:15" ht="15" customHeight="1" x14ac:dyDescent="0.25">
      <c r="A8145" s="2"/>
      <c r="B8145" s="2"/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</row>
    <row r="8146" spans="1:15" ht="15" customHeight="1" x14ac:dyDescent="0.25">
      <c r="A8146" s="3"/>
      <c r="B8146" s="3"/>
      <c r="C8146" s="3"/>
      <c r="D8146" s="3"/>
      <c r="E8146" s="3"/>
      <c r="F8146" s="3"/>
      <c r="G8146" s="3"/>
      <c r="H8146" s="3"/>
      <c r="I8146" s="3"/>
      <c r="J8146" s="3"/>
      <c r="K8146" s="3"/>
      <c r="L8146" s="3"/>
      <c r="M8146" s="3"/>
      <c r="N8146" s="3"/>
      <c r="O8146" s="3"/>
    </row>
    <row r="8147" spans="1:15" ht="15" customHeight="1" x14ac:dyDescent="0.25">
      <c r="A8147" s="2"/>
      <c r="B8147" s="2"/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</row>
    <row r="8148" spans="1:15" ht="15" customHeight="1" x14ac:dyDescent="0.25">
      <c r="A8148" s="3"/>
      <c r="B8148" s="3"/>
      <c r="C8148" s="3"/>
      <c r="D8148" s="3"/>
      <c r="E8148" s="3"/>
      <c r="F8148" s="3"/>
      <c r="G8148" s="3"/>
      <c r="H8148" s="3"/>
      <c r="I8148" s="3"/>
      <c r="J8148" s="3"/>
      <c r="K8148" s="3"/>
      <c r="L8148" s="3"/>
      <c r="M8148" s="3"/>
      <c r="N8148" s="3"/>
      <c r="O8148" s="3"/>
    </row>
    <row r="8149" spans="1:15" ht="15" customHeight="1" x14ac:dyDescent="0.25">
      <c r="A8149" s="2"/>
      <c r="B8149" s="2"/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</row>
    <row r="8150" spans="1:15" ht="15" customHeight="1" x14ac:dyDescent="0.25">
      <c r="A8150" s="3"/>
      <c r="B8150" s="3"/>
      <c r="C8150" s="3"/>
      <c r="D8150" s="3"/>
      <c r="E8150" s="3"/>
      <c r="F8150" s="3"/>
      <c r="G8150" s="3"/>
      <c r="H8150" s="3"/>
      <c r="I8150" s="3"/>
      <c r="J8150" s="3"/>
      <c r="K8150" s="3"/>
      <c r="L8150" s="3"/>
      <c r="M8150" s="3"/>
      <c r="N8150" s="3"/>
      <c r="O8150" s="3"/>
    </row>
    <row r="8151" spans="1:15" ht="15" customHeight="1" x14ac:dyDescent="0.25">
      <c r="A8151" s="2"/>
      <c r="B8151" s="2"/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</row>
    <row r="8152" spans="1:15" ht="15" customHeight="1" x14ac:dyDescent="0.25">
      <c r="A8152" s="3"/>
      <c r="B8152" s="3"/>
      <c r="C8152" s="3"/>
      <c r="D8152" s="3"/>
      <c r="E8152" s="3"/>
      <c r="F8152" s="3"/>
      <c r="G8152" s="3"/>
      <c r="H8152" s="3"/>
      <c r="I8152" s="3"/>
      <c r="J8152" s="3"/>
      <c r="K8152" s="3"/>
      <c r="L8152" s="3"/>
      <c r="M8152" s="3"/>
      <c r="N8152" s="3"/>
      <c r="O8152" s="3"/>
    </row>
    <row r="8153" spans="1:15" ht="15" customHeight="1" x14ac:dyDescent="0.25">
      <c r="A8153" s="2"/>
      <c r="B8153" s="2"/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</row>
    <row r="8154" spans="1:15" ht="15" customHeight="1" x14ac:dyDescent="0.25">
      <c r="A8154" s="3"/>
      <c r="B8154" s="3"/>
      <c r="C8154" s="3"/>
      <c r="D8154" s="3"/>
      <c r="E8154" s="3"/>
      <c r="F8154" s="3"/>
      <c r="G8154" s="3"/>
      <c r="H8154" s="3"/>
      <c r="I8154" s="3"/>
      <c r="J8154" s="3"/>
      <c r="K8154" s="3"/>
      <c r="L8154" s="3"/>
      <c r="M8154" s="3"/>
      <c r="N8154" s="3"/>
      <c r="O8154" s="3"/>
    </row>
    <row r="8155" spans="1:15" ht="15" customHeight="1" x14ac:dyDescent="0.25">
      <c r="A8155" s="2"/>
      <c r="B8155" s="2"/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</row>
    <row r="8156" spans="1:15" ht="15" customHeight="1" x14ac:dyDescent="0.25">
      <c r="A8156" s="3"/>
      <c r="B8156" s="3"/>
      <c r="C8156" s="3"/>
      <c r="D8156" s="3"/>
      <c r="E8156" s="3"/>
      <c r="F8156" s="3"/>
      <c r="G8156" s="3"/>
      <c r="H8156" s="3"/>
      <c r="I8156" s="3"/>
      <c r="J8156" s="3"/>
      <c r="K8156" s="3"/>
      <c r="L8156" s="3"/>
      <c r="M8156" s="3"/>
      <c r="N8156" s="3"/>
      <c r="O8156" s="3"/>
    </row>
    <row r="8157" spans="1:15" ht="15" customHeight="1" x14ac:dyDescent="0.25">
      <c r="A8157" s="2"/>
      <c r="B8157" s="2"/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</row>
    <row r="8158" spans="1:15" ht="15" customHeight="1" x14ac:dyDescent="0.25">
      <c r="A8158" s="3"/>
      <c r="B8158" s="3"/>
      <c r="C8158" s="3"/>
      <c r="D8158" s="3"/>
      <c r="E8158" s="3"/>
      <c r="F8158" s="3"/>
      <c r="G8158" s="3"/>
      <c r="H8158" s="3"/>
      <c r="I8158" s="3"/>
      <c r="J8158" s="3"/>
      <c r="K8158" s="3"/>
      <c r="L8158" s="3"/>
      <c r="M8158" s="3"/>
      <c r="N8158" s="3"/>
      <c r="O8158" s="3"/>
    </row>
    <row r="8159" spans="1:15" ht="15" customHeight="1" x14ac:dyDescent="0.25">
      <c r="A8159" s="2"/>
      <c r="B8159" s="2"/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</row>
    <row r="8160" spans="1:15" ht="15" customHeight="1" x14ac:dyDescent="0.25">
      <c r="A8160" s="3"/>
      <c r="B8160" s="3"/>
      <c r="C8160" s="3"/>
      <c r="D8160" s="3"/>
      <c r="E8160" s="3"/>
      <c r="F8160" s="3"/>
      <c r="G8160" s="3"/>
      <c r="H8160" s="3"/>
      <c r="I8160" s="3"/>
      <c r="J8160" s="3"/>
      <c r="K8160" s="3"/>
      <c r="L8160" s="3"/>
      <c r="M8160" s="3"/>
      <c r="N8160" s="3"/>
      <c r="O8160" s="3"/>
    </row>
    <row r="8161" spans="1:15" ht="15" customHeight="1" x14ac:dyDescent="0.25">
      <c r="A8161" s="2"/>
      <c r="B8161" s="2"/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</row>
    <row r="8162" spans="1:15" ht="15" customHeight="1" x14ac:dyDescent="0.25">
      <c r="A8162" s="3"/>
      <c r="B8162" s="3"/>
      <c r="C8162" s="3"/>
      <c r="D8162" s="3"/>
      <c r="E8162" s="3"/>
      <c r="F8162" s="3"/>
      <c r="G8162" s="3"/>
      <c r="H8162" s="3"/>
      <c r="I8162" s="3"/>
      <c r="J8162" s="3"/>
      <c r="K8162" s="3"/>
      <c r="L8162" s="3"/>
      <c r="M8162" s="3"/>
      <c r="N8162" s="3"/>
      <c r="O8162" s="3"/>
    </row>
    <row r="8163" spans="1:15" ht="15" customHeight="1" x14ac:dyDescent="0.25">
      <c r="A8163" s="2"/>
      <c r="B8163" s="2"/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</row>
    <row r="8164" spans="1:15" ht="15" customHeight="1" x14ac:dyDescent="0.25">
      <c r="A8164" s="3"/>
      <c r="B8164" s="3"/>
      <c r="C8164" s="3"/>
      <c r="D8164" s="3"/>
      <c r="E8164" s="3"/>
      <c r="F8164" s="3"/>
      <c r="G8164" s="3"/>
      <c r="H8164" s="3"/>
      <c r="I8164" s="3"/>
      <c r="J8164" s="3"/>
      <c r="K8164" s="3"/>
      <c r="L8164" s="3"/>
      <c r="M8164" s="3"/>
      <c r="N8164" s="3"/>
      <c r="O8164" s="3"/>
    </row>
    <row r="8165" spans="1:15" ht="15" customHeight="1" x14ac:dyDescent="0.25">
      <c r="A8165" s="2"/>
      <c r="B8165" s="2"/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</row>
    <row r="8166" spans="1:15" ht="15" customHeight="1" x14ac:dyDescent="0.25">
      <c r="A8166" s="3"/>
      <c r="B8166" s="3"/>
      <c r="C8166" s="3"/>
      <c r="D8166" s="3"/>
      <c r="E8166" s="3"/>
      <c r="F8166" s="3"/>
      <c r="G8166" s="3"/>
      <c r="H8166" s="3"/>
      <c r="I8166" s="3"/>
      <c r="J8166" s="3"/>
      <c r="K8166" s="3"/>
      <c r="L8166" s="3"/>
      <c r="M8166" s="3"/>
      <c r="N8166" s="3"/>
      <c r="O8166" s="3"/>
    </row>
    <row r="8167" spans="1:15" ht="15" customHeight="1" x14ac:dyDescent="0.25">
      <c r="A8167" s="2"/>
      <c r="B8167" s="2"/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</row>
    <row r="8168" spans="1:15" ht="15" customHeight="1" x14ac:dyDescent="0.25">
      <c r="A8168" s="3"/>
      <c r="B8168" s="3"/>
      <c r="C8168" s="3"/>
      <c r="D8168" s="3"/>
      <c r="E8168" s="3"/>
      <c r="F8168" s="3"/>
      <c r="G8168" s="3"/>
      <c r="H8168" s="3"/>
      <c r="I8168" s="3"/>
      <c r="J8168" s="3"/>
      <c r="K8168" s="3"/>
      <c r="L8168" s="3"/>
      <c r="M8168" s="3"/>
      <c r="N8168" s="3"/>
      <c r="O8168" s="3"/>
    </row>
    <row r="8169" spans="1:15" ht="15" customHeight="1" x14ac:dyDescent="0.25">
      <c r="A8169" s="2"/>
      <c r="B8169" s="2"/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</row>
    <row r="8170" spans="1:15" ht="15" customHeight="1" x14ac:dyDescent="0.25">
      <c r="A8170" s="3"/>
      <c r="B8170" s="3"/>
      <c r="C8170" s="3"/>
      <c r="D8170" s="3"/>
      <c r="E8170" s="3"/>
      <c r="F8170" s="3"/>
      <c r="G8170" s="3"/>
      <c r="H8170" s="3"/>
      <c r="I8170" s="3"/>
      <c r="J8170" s="3"/>
      <c r="K8170" s="3"/>
      <c r="L8170" s="3"/>
      <c r="M8170" s="3"/>
      <c r="N8170" s="3"/>
      <c r="O8170" s="3"/>
    </row>
    <row r="8171" spans="1:15" ht="15" customHeight="1" x14ac:dyDescent="0.25">
      <c r="A8171" s="2"/>
      <c r="B8171" s="2"/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</row>
    <row r="8172" spans="1:15" ht="15" customHeight="1" x14ac:dyDescent="0.25">
      <c r="A8172" s="3"/>
      <c r="B8172" s="3"/>
      <c r="C8172" s="3"/>
      <c r="D8172" s="3"/>
      <c r="E8172" s="3"/>
      <c r="F8172" s="3"/>
      <c r="G8172" s="3"/>
      <c r="H8172" s="3"/>
      <c r="I8172" s="3"/>
      <c r="J8172" s="3"/>
      <c r="K8172" s="3"/>
      <c r="L8172" s="3"/>
      <c r="M8172" s="3"/>
      <c r="N8172" s="3"/>
      <c r="O8172" s="3"/>
    </row>
    <row r="8173" spans="1:15" ht="15" customHeight="1" x14ac:dyDescent="0.25">
      <c r="A8173" s="2"/>
      <c r="B8173" s="2"/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</row>
    <row r="8174" spans="1:15" ht="15" customHeight="1" x14ac:dyDescent="0.25">
      <c r="A8174" s="3"/>
      <c r="B8174" s="3"/>
      <c r="C8174" s="3"/>
      <c r="D8174" s="3"/>
      <c r="E8174" s="3"/>
      <c r="F8174" s="3"/>
      <c r="G8174" s="3"/>
      <c r="H8174" s="3"/>
      <c r="I8174" s="3"/>
      <c r="J8174" s="3"/>
      <c r="K8174" s="3"/>
      <c r="L8174" s="3"/>
      <c r="M8174" s="3"/>
      <c r="N8174" s="3"/>
      <c r="O8174" s="3"/>
    </row>
    <row r="8175" spans="1:15" ht="15" customHeight="1" x14ac:dyDescent="0.25">
      <c r="A8175" s="2"/>
      <c r="B8175" s="2"/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</row>
    <row r="8176" spans="1:15" ht="15" customHeight="1" x14ac:dyDescent="0.25">
      <c r="A8176" s="3"/>
      <c r="B8176" s="3"/>
      <c r="C8176" s="3"/>
      <c r="D8176" s="3"/>
      <c r="E8176" s="3"/>
      <c r="F8176" s="3"/>
      <c r="G8176" s="3"/>
      <c r="H8176" s="3"/>
      <c r="I8176" s="3"/>
      <c r="J8176" s="3"/>
      <c r="K8176" s="3"/>
      <c r="L8176" s="3"/>
      <c r="M8176" s="3"/>
      <c r="N8176" s="3"/>
      <c r="O8176" s="3"/>
    </row>
    <row r="8177" spans="1:15" ht="15" customHeight="1" x14ac:dyDescent="0.25">
      <c r="A8177" s="2"/>
      <c r="B8177" s="2"/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</row>
    <row r="8178" spans="1:15" ht="15" customHeight="1" x14ac:dyDescent="0.25">
      <c r="A8178" s="3"/>
      <c r="B8178" s="3"/>
      <c r="C8178" s="3"/>
      <c r="D8178" s="3"/>
      <c r="E8178" s="3"/>
      <c r="F8178" s="3"/>
      <c r="G8178" s="3"/>
      <c r="H8178" s="3"/>
      <c r="I8178" s="3"/>
      <c r="J8178" s="3"/>
      <c r="K8178" s="3"/>
      <c r="L8178" s="3"/>
      <c r="M8178" s="3"/>
      <c r="N8178" s="3"/>
      <c r="O8178" s="3"/>
    </row>
    <row r="8179" spans="1:15" ht="15" customHeight="1" x14ac:dyDescent="0.25">
      <c r="A8179" s="2"/>
      <c r="B8179" s="2"/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</row>
    <row r="8180" spans="1:15" ht="15" customHeight="1" x14ac:dyDescent="0.25">
      <c r="A8180" s="3"/>
      <c r="B8180" s="3"/>
      <c r="C8180" s="3"/>
      <c r="D8180" s="3"/>
      <c r="E8180" s="3"/>
      <c r="F8180" s="3"/>
      <c r="G8180" s="3"/>
      <c r="H8180" s="3"/>
      <c r="I8180" s="3"/>
      <c r="J8180" s="3"/>
      <c r="K8180" s="3"/>
      <c r="L8180" s="3"/>
      <c r="M8180" s="3"/>
      <c r="N8180" s="3"/>
      <c r="O8180" s="3"/>
    </row>
    <row r="8181" spans="1:15" ht="15" customHeight="1" x14ac:dyDescent="0.25">
      <c r="A8181" s="2"/>
      <c r="B8181" s="2"/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</row>
    <row r="8182" spans="1:15" ht="15" customHeight="1" x14ac:dyDescent="0.25">
      <c r="A8182" s="3"/>
      <c r="B8182" s="3"/>
      <c r="C8182" s="3"/>
      <c r="D8182" s="3"/>
      <c r="E8182" s="3"/>
      <c r="F8182" s="3"/>
      <c r="G8182" s="3"/>
      <c r="H8182" s="3"/>
      <c r="I8182" s="3"/>
      <c r="J8182" s="3"/>
      <c r="K8182" s="3"/>
      <c r="L8182" s="3"/>
      <c r="M8182" s="3"/>
      <c r="N8182" s="3"/>
      <c r="O8182" s="3"/>
    </row>
    <row r="8183" spans="1:15" ht="15" customHeight="1" x14ac:dyDescent="0.25">
      <c r="A8183" s="2"/>
      <c r="B8183" s="2"/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</row>
    <row r="8184" spans="1:15" ht="15" customHeight="1" x14ac:dyDescent="0.25">
      <c r="A8184" s="3"/>
      <c r="B8184" s="3"/>
      <c r="C8184" s="3"/>
      <c r="D8184" s="3"/>
      <c r="E8184" s="3"/>
      <c r="F8184" s="3"/>
      <c r="G8184" s="3"/>
      <c r="H8184" s="3"/>
      <c r="I8184" s="3"/>
      <c r="J8184" s="3"/>
      <c r="K8184" s="3"/>
      <c r="L8184" s="3"/>
      <c r="M8184" s="3"/>
      <c r="N8184" s="3"/>
      <c r="O8184" s="3"/>
    </row>
    <row r="8185" spans="1:15" ht="15" customHeight="1" x14ac:dyDescent="0.25">
      <c r="A8185" s="2"/>
      <c r="B8185" s="2"/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</row>
    <row r="8186" spans="1:15" ht="15" customHeight="1" x14ac:dyDescent="0.25">
      <c r="A8186" s="3"/>
      <c r="B8186" s="3"/>
      <c r="C8186" s="3"/>
      <c r="D8186" s="3"/>
      <c r="E8186" s="3"/>
      <c r="F8186" s="3"/>
      <c r="G8186" s="3"/>
      <c r="H8186" s="3"/>
      <c r="I8186" s="3"/>
      <c r="J8186" s="3"/>
      <c r="K8186" s="3"/>
      <c r="L8186" s="3"/>
      <c r="M8186" s="3"/>
      <c r="N8186" s="3"/>
      <c r="O8186" s="3"/>
    </row>
    <row r="8187" spans="1:15" ht="15" customHeight="1" x14ac:dyDescent="0.25">
      <c r="A8187" s="2"/>
      <c r="B8187" s="2"/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</row>
    <row r="8188" spans="1:15" ht="15" customHeight="1" x14ac:dyDescent="0.25">
      <c r="A8188" s="3"/>
      <c r="B8188" s="3"/>
      <c r="C8188" s="3"/>
      <c r="D8188" s="3"/>
      <c r="E8188" s="3"/>
      <c r="F8188" s="3"/>
      <c r="G8188" s="3"/>
      <c r="H8188" s="3"/>
      <c r="I8188" s="3"/>
      <c r="J8188" s="3"/>
      <c r="K8188" s="3"/>
      <c r="L8188" s="3"/>
      <c r="M8188" s="3"/>
      <c r="N8188" s="3"/>
      <c r="O8188" s="3"/>
    </row>
    <row r="8189" spans="1:15" ht="15" customHeight="1" x14ac:dyDescent="0.25">
      <c r="A8189" s="2"/>
      <c r="B8189" s="2"/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</row>
    <row r="8190" spans="1:15" ht="15" customHeight="1" x14ac:dyDescent="0.25">
      <c r="A8190" s="3"/>
      <c r="B8190" s="3"/>
      <c r="C8190" s="3"/>
      <c r="D8190" s="3"/>
      <c r="E8190" s="3"/>
      <c r="F8190" s="3"/>
      <c r="G8190" s="3"/>
      <c r="H8190" s="3"/>
      <c r="I8190" s="3"/>
      <c r="J8190" s="3"/>
      <c r="K8190" s="3"/>
      <c r="L8190" s="3"/>
      <c r="M8190" s="3"/>
      <c r="N8190" s="3"/>
      <c r="O8190" s="3"/>
    </row>
    <row r="8191" spans="1:15" ht="15" customHeight="1" x14ac:dyDescent="0.25">
      <c r="A8191" s="2"/>
      <c r="B8191" s="2"/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</row>
    <row r="8192" spans="1:15" ht="15" customHeight="1" x14ac:dyDescent="0.25">
      <c r="A8192" s="3"/>
      <c r="B8192" s="3"/>
      <c r="C8192" s="3"/>
      <c r="D8192" s="3"/>
      <c r="E8192" s="3"/>
      <c r="F8192" s="3"/>
      <c r="G8192" s="3"/>
      <c r="H8192" s="3"/>
      <c r="I8192" s="3"/>
      <c r="J8192" s="3"/>
      <c r="K8192" s="3"/>
      <c r="L8192" s="3"/>
      <c r="M8192" s="3"/>
      <c r="N8192" s="3"/>
      <c r="O8192" s="3"/>
    </row>
    <row r="8193" spans="1:15" ht="15" customHeight="1" x14ac:dyDescent="0.25">
      <c r="A8193" s="2"/>
      <c r="B8193" s="2"/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</row>
    <row r="8194" spans="1:15" ht="15" customHeight="1" x14ac:dyDescent="0.25">
      <c r="A8194" s="3"/>
      <c r="B8194" s="3"/>
      <c r="C8194" s="3"/>
      <c r="D8194" s="3"/>
      <c r="E8194" s="3"/>
      <c r="F8194" s="3"/>
      <c r="G8194" s="3"/>
      <c r="H8194" s="3"/>
      <c r="I8194" s="3"/>
      <c r="J8194" s="3"/>
      <c r="K8194" s="3"/>
      <c r="L8194" s="3"/>
      <c r="M8194" s="3"/>
      <c r="N8194" s="3"/>
      <c r="O8194" s="3"/>
    </row>
    <row r="8195" spans="1:15" ht="15" customHeight="1" x14ac:dyDescent="0.25">
      <c r="A8195" s="2"/>
      <c r="B8195" s="2"/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</row>
    <row r="8196" spans="1:15" ht="15" customHeight="1" x14ac:dyDescent="0.25">
      <c r="A8196" s="3"/>
      <c r="B8196" s="3"/>
      <c r="C8196" s="3"/>
      <c r="D8196" s="3"/>
      <c r="E8196" s="3"/>
      <c r="F8196" s="3"/>
      <c r="G8196" s="3"/>
      <c r="H8196" s="3"/>
      <c r="I8196" s="3"/>
      <c r="J8196" s="3"/>
      <c r="K8196" s="3"/>
      <c r="L8196" s="3"/>
      <c r="M8196" s="3"/>
      <c r="N8196" s="3"/>
      <c r="O8196" s="3"/>
    </row>
    <row r="8197" spans="1:15" ht="15" customHeight="1" x14ac:dyDescent="0.25">
      <c r="A8197" s="2"/>
      <c r="B8197" s="2"/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</row>
    <row r="8198" spans="1:15" ht="15" customHeight="1" x14ac:dyDescent="0.25">
      <c r="A8198" s="3"/>
      <c r="B8198" s="3"/>
      <c r="C8198" s="3"/>
      <c r="D8198" s="3"/>
      <c r="E8198" s="3"/>
      <c r="F8198" s="3"/>
      <c r="G8198" s="3"/>
      <c r="H8198" s="3"/>
      <c r="I8198" s="3"/>
      <c r="J8198" s="3"/>
      <c r="K8198" s="3"/>
      <c r="L8198" s="3"/>
      <c r="M8198" s="3"/>
      <c r="N8198" s="3"/>
      <c r="O8198" s="3"/>
    </row>
    <row r="8199" spans="1:15" ht="15" customHeight="1" x14ac:dyDescent="0.25">
      <c r="A8199" s="2"/>
      <c r="B8199" s="2"/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</row>
    <row r="8200" spans="1:15" ht="15" customHeight="1" x14ac:dyDescent="0.25">
      <c r="A8200" s="3"/>
      <c r="B8200" s="3"/>
      <c r="C8200" s="3"/>
      <c r="D8200" s="3"/>
      <c r="E8200" s="3"/>
      <c r="F8200" s="3"/>
      <c r="G8200" s="3"/>
      <c r="H8200" s="3"/>
      <c r="I8200" s="3"/>
      <c r="J8200" s="3"/>
      <c r="K8200" s="3"/>
      <c r="L8200" s="3"/>
      <c r="M8200" s="3"/>
      <c r="N8200" s="3"/>
      <c r="O8200" s="3"/>
    </row>
    <row r="8201" spans="1:15" ht="15" customHeight="1" x14ac:dyDescent="0.25">
      <c r="A8201" s="2"/>
      <c r="B8201" s="2"/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</row>
    <row r="8202" spans="1:15" ht="15" customHeight="1" x14ac:dyDescent="0.25">
      <c r="A8202" s="3"/>
      <c r="B8202" s="3"/>
      <c r="C8202" s="3"/>
      <c r="D8202" s="3"/>
      <c r="E8202" s="3"/>
      <c r="F8202" s="3"/>
      <c r="G8202" s="3"/>
      <c r="H8202" s="3"/>
      <c r="I8202" s="3"/>
      <c r="J8202" s="3"/>
      <c r="K8202" s="3"/>
      <c r="L8202" s="3"/>
      <c r="M8202" s="3"/>
      <c r="N8202" s="3"/>
      <c r="O8202" s="3"/>
    </row>
    <row r="8203" spans="1:15" ht="15" customHeight="1" x14ac:dyDescent="0.25">
      <c r="A8203" s="2"/>
      <c r="B8203" s="2"/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</row>
    <row r="8204" spans="1:15" ht="15" customHeight="1" x14ac:dyDescent="0.25">
      <c r="A8204" s="3"/>
      <c r="B8204" s="3"/>
      <c r="C8204" s="3"/>
      <c r="D8204" s="3"/>
      <c r="E8204" s="3"/>
      <c r="F8204" s="3"/>
      <c r="G8204" s="3"/>
      <c r="H8204" s="3"/>
      <c r="I8204" s="3"/>
      <c r="J8204" s="3"/>
      <c r="K8204" s="3"/>
      <c r="L8204" s="3"/>
      <c r="M8204" s="3"/>
      <c r="N8204" s="3"/>
      <c r="O8204" s="3"/>
    </row>
    <row r="8205" spans="1:15" ht="15" customHeight="1" x14ac:dyDescent="0.25">
      <c r="A8205" s="2"/>
      <c r="B8205" s="2"/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</row>
    <row r="8206" spans="1:15" ht="15" customHeight="1" x14ac:dyDescent="0.25">
      <c r="A8206" s="3"/>
      <c r="B8206" s="3"/>
      <c r="C8206" s="3"/>
      <c r="D8206" s="3"/>
      <c r="E8206" s="3"/>
      <c r="F8206" s="3"/>
      <c r="G8206" s="3"/>
      <c r="H8206" s="3"/>
      <c r="I8206" s="3"/>
      <c r="J8206" s="3"/>
      <c r="K8206" s="3"/>
      <c r="L8206" s="3"/>
      <c r="M8206" s="3"/>
      <c r="N8206" s="3"/>
      <c r="O8206" s="3"/>
    </row>
    <row r="8207" spans="1:15" ht="15" customHeight="1" x14ac:dyDescent="0.25">
      <c r="A8207" s="2"/>
      <c r="B8207" s="2"/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</row>
    <row r="8208" spans="1:15" ht="15" customHeight="1" x14ac:dyDescent="0.25">
      <c r="A8208" s="3"/>
      <c r="B8208" s="3"/>
      <c r="C8208" s="3"/>
      <c r="D8208" s="3"/>
      <c r="E8208" s="3"/>
      <c r="F8208" s="3"/>
      <c r="G8208" s="3"/>
      <c r="H8208" s="3"/>
      <c r="I8208" s="3"/>
      <c r="J8208" s="3"/>
      <c r="K8208" s="3"/>
      <c r="L8208" s="3"/>
      <c r="M8208" s="3"/>
      <c r="N8208" s="3"/>
      <c r="O8208" s="3"/>
    </row>
    <row r="8209" spans="1:15" ht="15" customHeight="1" x14ac:dyDescent="0.25">
      <c r="A8209" s="2"/>
      <c r="B8209" s="2"/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</row>
    <row r="8210" spans="1:15" ht="15" customHeight="1" x14ac:dyDescent="0.25">
      <c r="A8210" s="3"/>
      <c r="B8210" s="3"/>
      <c r="C8210" s="3"/>
      <c r="D8210" s="3"/>
      <c r="E8210" s="3"/>
      <c r="F8210" s="3"/>
      <c r="G8210" s="3"/>
      <c r="H8210" s="3"/>
      <c r="I8210" s="3"/>
      <c r="J8210" s="3"/>
      <c r="K8210" s="3"/>
      <c r="L8210" s="3"/>
      <c r="M8210" s="3"/>
      <c r="N8210" s="3"/>
      <c r="O8210" s="3"/>
    </row>
    <row r="8211" spans="1:15" ht="15" customHeight="1" x14ac:dyDescent="0.25">
      <c r="A8211" s="2"/>
      <c r="B8211" s="2"/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</row>
    <row r="8212" spans="1:15" ht="15" customHeight="1" x14ac:dyDescent="0.25">
      <c r="A8212" s="3"/>
      <c r="B8212" s="3"/>
      <c r="C8212" s="3"/>
      <c r="D8212" s="3"/>
      <c r="E8212" s="3"/>
      <c r="F8212" s="3"/>
      <c r="G8212" s="3"/>
      <c r="H8212" s="3"/>
      <c r="I8212" s="3"/>
      <c r="J8212" s="3"/>
      <c r="K8212" s="3"/>
      <c r="L8212" s="3"/>
      <c r="M8212" s="3"/>
      <c r="N8212" s="3"/>
      <c r="O8212" s="3"/>
    </row>
    <row r="8213" spans="1:15" ht="15" customHeight="1" x14ac:dyDescent="0.25">
      <c r="A8213" s="2"/>
      <c r="B8213" s="2"/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</row>
    <row r="8214" spans="1:15" ht="15" customHeight="1" x14ac:dyDescent="0.25">
      <c r="A8214" s="3"/>
      <c r="B8214" s="3"/>
      <c r="C8214" s="3"/>
      <c r="D8214" s="3"/>
      <c r="E8214" s="3"/>
      <c r="F8214" s="3"/>
      <c r="G8214" s="3"/>
      <c r="H8214" s="3"/>
      <c r="I8214" s="3"/>
      <c r="J8214" s="3"/>
      <c r="K8214" s="3"/>
      <c r="L8214" s="3"/>
      <c r="M8214" s="3"/>
      <c r="N8214" s="3"/>
      <c r="O8214" s="3"/>
    </row>
    <row r="8215" spans="1:15" ht="15" customHeight="1" x14ac:dyDescent="0.25">
      <c r="A8215" s="2"/>
      <c r="B8215" s="2"/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</row>
    <row r="8216" spans="1:15" ht="15" customHeight="1" x14ac:dyDescent="0.25">
      <c r="A8216" s="3"/>
      <c r="B8216" s="3"/>
      <c r="C8216" s="3"/>
      <c r="D8216" s="3"/>
      <c r="E8216" s="3"/>
      <c r="F8216" s="3"/>
      <c r="G8216" s="3"/>
      <c r="H8216" s="3"/>
      <c r="I8216" s="3"/>
      <c r="J8216" s="3"/>
      <c r="K8216" s="3"/>
      <c r="L8216" s="3"/>
      <c r="M8216" s="3"/>
      <c r="N8216" s="3"/>
      <c r="O8216" s="3"/>
    </row>
    <row r="8217" spans="1:15" ht="15" customHeight="1" x14ac:dyDescent="0.25">
      <c r="A8217" s="2"/>
      <c r="B8217" s="2"/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</row>
    <row r="8218" spans="1:15" ht="15" customHeight="1" x14ac:dyDescent="0.25">
      <c r="A8218" s="3"/>
      <c r="B8218" s="3"/>
      <c r="C8218" s="3"/>
      <c r="D8218" s="3"/>
      <c r="E8218" s="3"/>
      <c r="F8218" s="3"/>
      <c r="G8218" s="3"/>
      <c r="H8218" s="3"/>
      <c r="I8218" s="3"/>
      <c r="J8218" s="3"/>
      <c r="K8218" s="3"/>
      <c r="L8218" s="3"/>
      <c r="M8218" s="3"/>
      <c r="N8218" s="3"/>
      <c r="O8218" s="3"/>
    </row>
    <row r="8219" spans="1:15" ht="15" customHeight="1" x14ac:dyDescent="0.25">
      <c r="A8219" s="2"/>
      <c r="B8219" s="2"/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</row>
    <row r="8220" spans="1:15" ht="15" customHeight="1" x14ac:dyDescent="0.25">
      <c r="A8220" s="3"/>
      <c r="B8220" s="3"/>
      <c r="C8220" s="3"/>
      <c r="D8220" s="3"/>
      <c r="E8220" s="3"/>
      <c r="F8220" s="3"/>
      <c r="G8220" s="3"/>
      <c r="H8220" s="3"/>
      <c r="I8220" s="3"/>
      <c r="J8220" s="3"/>
      <c r="K8220" s="3"/>
      <c r="L8220" s="3"/>
      <c r="M8220" s="3"/>
      <c r="N8220" s="3"/>
      <c r="O8220" s="3"/>
    </row>
    <row r="8221" spans="1:15" ht="15" customHeight="1" x14ac:dyDescent="0.25">
      <c r="A8221" s="2"/>
      <c r="B8221" s="2"/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</row>
    <row r="8222" spans="1:15" ht="15" customHeight="1" x14ac:dyDescent="0.25">
      <c r="A8222" s="3"/>
      <c r="B8222" s="3"/>
      <c r="C8222" s="3"/>
      <c r="D8222" s="3"/>
      <c r="E8222" s="3"/>
      <c r="F8222" s="3"/>
      <c r="G8222" s="3"/>
      <c r="H8222" s="3"/>
      <c r="I8222" s="3"/>
      <c r="J8222" s="3"/>
      <c r="K8222" s="3"/>
      <c r="L8222" s="3"/>
      <c r="M8222" s="3"/>
      <c r="N8222" s="3"/>
      <c r="O8222" s="3"/>
    </row>
    <row r="8223" spans="1:15" ht="15" customHeight="1" x14ac:dyDescent="0.25">
      <c r="A8223" s="2"/>
      <c r="B8223" s="2"/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</row>
    <row r="8224" spans="1:15" ht="15" customHeight="1" x14ac:dyDescent="0.25">
      <c r="A8224" s="3"/>
      <c r="B8224" s="3"/>
      <c r="C8224" s="3"/>
      <c r="D8224" s="3"/>
      <c r="E8224" s="3"/>
      <c r="F8224" s="3"/>
      <c r="G8224" s="3"/>
      <c r="H8224" s="3"/>
      <c r="I8224" s="3"/>
      <c r="J8224" s="3"/>
      <c r="K8224" s="3"/>
      <c r="L8224" s="3"/>
      <c r="M8224" s="3"/>
      <c r="N8224" s="3"/>
      <c r="O8224" s="3"/>
    </row>
    <row r="8225" spans="1:15" ht="15" customHeight="1" x14ac:dyDescent="0.25">
      <c r="A8225" s="2"/>
      <c r="B8225" s="2"/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</row>
    <row r="8226" spans="1:15" ht="15" customHeight="1" x14ac:dyDescent="0.25">
      <c r="A8226" s="3"/>
      <c r="B8226" s="3"/>
      <c r="C8226" s="3"/>
      <c r="D8226" s="3"/>
      <c r="E8226" s="3"/>
      <c r="F8226" s="3"/>
      <c r="G8226" s="3"/>
      <c r="H8226" s="3"/>
      <c r="I8226" s="3"/>
      <c r="J8226" s="3"/>
      <c r="K8226" s="3"/>
      <c r="L8226" s="3"/>
      <c r="M8226" s="3"/>
      <c r="N8226" s="3"/>
      <c r="O8226" s="3"/>
    </row>
    <row r="8227" spans="1:15" ht="15" customHeight="1" x14ac:dyDescent="0.25">
      <c r="A8227" s="2"/>
      <c r="B8227" s="2"/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</row>
    <row r="8228" spans="1:15" ht="15" customHeight="1" x14ac:dyDescent="0.25">
      <c r="A8228" s="3"/>
      <c r="B8228" s="3"/>
      <c r="C8228" s="3"/>
      <c r="D8228" s="3"/>
      <c r="E8228" s="3"/>
      <c r="F8228" s="3"/>
      <c r="G8228" s="3"/>
      <c r="H8228" s="3"/>
      <c r="I8228" s="3"/>
      <c r="J8228" s="3"/>
      <c r="K8228" s="3"/>
      <c r="L8228" s="3"/>
      <c r="M8228" s="3"/>
      <c r="N8228" s="3"/>
      <c r="O8228" s="3"/>
    </row>
    <row r="8229" spans="1:15" ht="15" customHeight="1" x14ac:dyDescent="0.25">
      <c r="A8229" s="2"/>
      <c r="B8229" s="2"/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</row>
    <row r="8230" spans="1:15" ht="15" customHeight="1" x14ac:dyDescent="0.25">
      <c r="A8230" s="3"/>
      <c r="B8230" s="3"/>
      <c r="C8230" s="3"/>
      <c r="D8230" s="3"/>
      <c r="E8230" s="3"/>
      <c r="F8230" s="3"/>
      <c r="G8230" s="3"/>
      <c r="H8230" s="3"/>
      <c r="I8230" s="3"/>
      <c r="J8230" s="3"/>
      <c r="K8230" s="3"/>
      <c r="L8230" s="3"/>
      <c r="M8230" s="3"/>
      <c r="N8230" s="3"/>
      <c r="O8230" s="3"/>
    </row>
    <row r="8231" spans="1:15" ht="15" customHeight="1" x14ac:dyDescent="0.25">
      <c r="A8231" s="2"/>
      <c r="B8231" s="2"/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</row>
    <row r="8232" spans="1:15" ht="15" customHeight="1" x14ac:dyDescent="0.25">
      <c r="A8232" s="3"/>
      <c r="B8232" s="3"/>
      <c r="C8232" s="3"/>
      <c r="D8232" s="3"/>
      <c r="E8232" s="3"/>
      <c r="F8232" s="3"/>
      <c r="G8232" s="3"/>
      <c r="H8232" s="3"/>
      <c r="I8232" s="3"/>
      <c r="J8232" s="3"/>
      <c r="K8232" s="3"/>
      <c r="L8232" s="3"/>
      <c r="M8232" s="3"/>
      <c r="N8232" s="3"/>
      <c r="O8232" s="3"/>
    </row>
    <row r="8233" spans="1:15" ht="15" customHeight="1" x14ac:dyDescent="0.25">
      <c r="A8233" s="2"/>
      <c r="B8233" s="2"/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</row>
    <row r="8234" spans="1:15" ht="15" customHeight="1" x14ac:dyDescent="0.25">
      <c r="A8234" s="3"/>
      <c r="B8234" s="3"/>
      <c r="C8234" s="3"/>
      <c r="D8234" s="3"/>
      <c r="E8234" s="3"/>
      <c r="F8234" s="3"/>
      <c r="G8234" s="3"/>
      <c r="H8234" s="3"/>
      <c r="I8234" s="3"/>
      <c r="J8234" s="3"/>
      <c r="K8234" s="3"/>
      <c r="L8234" s="3"/>
      <c r="M8234" s="3"/>
      <c r="N8234" s="3"/>
      <c r="O8234" s="3"/>
    </row>
    <row r="8235" spans="1:15" ht="15" customHeight="1" x14ac:dyDescent="0.25">
      <c r="A8235" s="2"/>
      <c r="B8235" s="2"/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</row>
    <row r="8236" spans="1:15" ht="15" customHeight="1" x14ac:dyDescent="0.25">
      <c r="A8236" s="3"/>
      <c r="B8236" s="3"/>
      <c r="C8236" s="3"/>
      <c r="D8236" s="3"/>
      <c r="E8236" s="3"/>
      <c r="F8236" s="3"/>
      <c r="G8236" s="3"/>
      <c r="H8236" s="3"/>
      <c r="I8236" s="3"/>
      <c r="J8236" s="3"/>
      <c r="K8236" s="3"/>
      <c r="L8236" s="3"/>
      <c r="M8236" s="3"/>
      <c r="N8236" s="3"/>
      <c r="O8236" s="3"/>
    </row>
    <row r="8237" spans="1:15" ht="15" customHeight="1" x14ac:dyDescent="0.25">
      <c r="A8237" s="2"/>
      <c r="B8237" s="2"/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</row>
    <row r="8238" spans="1:15" ht="15" customHeight="1" x14ac:dyDescent="0.25">
      <c r="A8238" s="3"/>
      <c r="B8238" s="3"/>
      <c r="C8238" s="3"/>
      <c r="D8238" s="3"/>
      <c r="E8238" s="3"/>
      <c r="F8238" s="3"/>
      <c r="G8238" s="3"/>
      <c r="H8238" s="3"/>
      <c r="I8238" s="3"/>
      <c r="J8238" s="3"/>
      <c r="K8238" s="3"/>
      <c r="L8238" s="3"/>
      <c r="M8238" s="3"/>
      <c r="N8238" s="3"/>
      <c r="O8238" s="3"/>
    </row>
    <row r="8239" spans="1:15" ht="15" customHeight="1" x14ac:dyDescent="0.25">
      <c r="A8239" s="2"/>
      <c r="B8239" s="2"/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</row>
    <row r="8240" spans="1:15" ht="15" customHeight="1" x14ac:dyDescent="0.25">
      <c r="A8240" s="3"/>
      <c r="B8240" s="3"/>
      <c r="C8240" s="3"/>
      <c r="D8240" s="3"/>
      <c r="E8240" s="3"/>
      <c r="F8240" s="3"/>
      <c r="G8240" s="3"/>
      <c r="H8240" s="3"/>
      <c r="I8240" s="3"/>
      <c r="J8240" s="3"/>
      <c r="K8240" s="3"/>
      <c r="L8240" s="3"/>
      <c r="M8240" s="3"/>
      <c r="N8240" s="3"/>
      <c r="O8240" s="3"/>
    </row>
    <row r="8241" spans="1:15" ht="15" customHeight="1" x14ac:dyDescent="0.25">
      <c r="A8241" s="2"/>
      <c r="B8241" s="2"/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</row>
    <row r="8242" spans="1:15" ht="15" customHeight="1" x14ac:dyDescent="0.25">
      <c r="A8242" s="3"/>
      <c r="B8242" s="3"/>
      <c r="C8242" s="3"/>
      <c r="D8242" s="3"/>
      <c r="E8242" s="3"/>
      <c r="F8242" s="3"/>
      <c r="G8242" s="3"/>
      <c r="H8242" s="3"/>
      <c r="I8242" s="3"/>
      <c r="J8242" s="3"/>
      <c r="K8242" s="3"/>
      <c r="L8242" s="3"/>
      <c r="M8242" s="3"/>
      <c r="N8242" s="3"/>
      <c r="O8242" s="3"/>
    </row>
    <row r="8243" spans="1:15" ht="15" customHeight="1" x14ac:dyDescent="0.25">
      <c r="A8243" s="2"/>
      <c r="B8243" s="2"/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</row>
    <row r="8244" spans="1:15" ht="15" customHeight="1" x14ac:dyDescent="0.25">
      <c r="A8244" s="3"/>
      <c r="B8244" s="3"/>
      <c r="C8244" s="3"/>
      <c r="D8244" s="3"/>
      <c r="E8244" s="3"/>
      <c r="F8244" s="3"/>
      <c r="G8244" s="3"/>
      <c r="H8244" s="3"/>
      <c r="I8244" s="3"/>
      <c r="J8244" s="3"/>
      <c r="K8244" s="3"/>
      <c r="L8244" s="3"/>
      <c r="M8244" s="3"/>
      <c r="N8244" s="3"/>
      <c r="O8244" s="3"/>
    </row>
    <row r="8245" spans="1:15" ht="15" customHeight="1" x14ac:dyDescent="0.25">
      <c r="A8245" s="2"/>
      <c r="B8245" s="2"/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</row>
    <row r="8246" spans="1:15" ht="15" customHeight="1" x14ac:dyDescent="0.25">
      <c r="A8246" s="3"/>
      <c r="B8246" s="3"/>
      <c r="C8246" s="3"/>
      <c r="D8246" s="3"/>
      <c r="E8246" s="3"/>
      <c r="F8246" s="3"/>
      <c r="G8246" s="3"/>
      <c r="H8246" s="3"/>
      <c r="I8246" s="3"/>
      <c r="J8246" s="3"/>
      <c r="K8246" s="3"/>
      <c r="L8246" s="3"/>
      <c r="M8246" s="3"/>
      <c r="N8246" s="3"/>
      <c r="O8246" s="3"/>
    </row>
    <row r="8247" spans="1:15" ht="15" customHeight="1" x14ac:dyDescent="0.25">
      <c r="A8247" s="2"/>
      <c r="B8247" s="2"/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</row>
    <row r="8248" spans="1:15" ht="15" customHeight="1" x14ac:dyDescent="0.25">
      <c r="A8248" s="3"/>
      <c r="B8248" s="3"/>
      <c r="C8248" s="3"/>
      <c r="D8248" s="3"/>
      <c r="E8248" s="3"/>
      <c r="F8248" s="3"/>
      <c r="G8248" s="3"/>
      <c r="H8248" s="3"/>
      <c r="I8248" s="3"/>
      <c r="J8248" s="3"/>
      <c r="K8248" s="3"/>
      <c r="L8248" s="3"/>
      <c r="M8248" s="3"/>
      <c r="N8248" s="3"/>
      <c r="O8248" s="3"/>
    </row>
    <row r="8249" spans="1:15" ht="15" customHeight="1" x14ac:dyDescent="0.25">
      <c r="A8249" s="2"/>
      <c r="B8249" s="2"/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</row>
    <row r="8250" spans="1:15" ht="15" customHeight="1" x14ac:dyDescent="0.25">
      <c r="A8250" s="3"/>
      <c r="B8250" s="3"/>
      <c r="C8250" s="3"/>
      <c r="D8250" s="3"/>
      <c r="E8250" s="3"/>
      <c r="F8250" s="3"/>
      <c r="G8250" s="3"/>
      <c r="H8250" s="3"/>
      <c r="I8250" s="3"/>
      <c r="J8250" s="3"/>
      <c r="K8250" s="3"/>
      <c r="L8250" s="3"/>
      <c r="M8250" s="3"/>
      <c r="N8250" s="3"/>
      <c r="O8250" s="3"/>
    </row>
    <row r="8251" spans="1:15" ht="15" customHeight="1" x14ac:dyDescent="0.25">
      <c r="A8251" s="2"/>
      <c r="B8251" s="2"/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</row>
    <row r="8252" spans="1:15" ht="15" customHeight="1" x14ac:dyDescent="0.25">
      <c r="A8252" s="3"/>
      <c r="B8252" s="3"/>
      <c r="C8252" s="3"/>
      <c r="D8252" s="3"/>
      <c r="E8252" s="3"/>
      <c r="F8252" s="3"/>
      <c r="G8252" s="3"/>
      <c r="H8252" s="3"/>
      <c r="I8252" s="3"/>
      <c r="J8252" s="3"/>
      <c r="K8252" s="3"/>
      <c r="L8252" s="3"/>
      <c r="M8252" s="3"/>
      <c r="N8252" s="3"/>
      <c r="O8252" s="3"/>
    </row>
    <row r="8253" spans="1:15" ht="15" customHeight="1" x14ac:dyDescent="0.25">
      <c r="A8253" s="2"/>
      <c r="B8253" s="2"/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</row>
    <row r="8254" spans="1:15" ht="15" customHeight="1" x14ac:dyDescent="0.25">
      <c r="A8254" s="3"/>
      <c r="B8254" s="3"/>
      <c r="C8254" s="3"/>
      <c r="D8254" s="3"/>
      <c r="E8254" s="3"/>
      <c r="F8254" s="3"/>
      <c r="G8254" s="3"/>
      <c r="H8254" s="3"/>
      <c r="I8254" s="3"/>
      <c r="J8254" s="3"/>
      <c r="K8254" s="3"/>
      <c r="L8254" s="3"/>
      <c r="M8254" s="3"/>
      <c r="N8254" s="3"/>
      <c r="O8254" s="3"/>
    </row>
    <row r="8255" spans="1:15" ht="15" customHeight="1" x14ac:dyDescent="0.25">
      <c r="A8255" s="2"/>
      <c r="B8255" s="2"/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</row>
    <row r="8256" spans="1:15" ht="15" customHeight="1" x14ac:dyDescent="0.25">
      <c r="A8256" s="3"/>
      <c r="B8256" s="3"/>
      <c r="C8256" s="3"/>
      <c r="D8256" s="3"/>
      <c r="E8256" s="3"/>
      <c r="F8256" s="3"/>
      <c r="G8256" s="3"/>
      <c r="H8256" s="3"/>
      <c r="I8256" s="3"/>
      <c r="J8256" s="3"/>
      <c r="K8256" s="3"/>
      <c r="L8256" s="3"/>
      <c r="M8256" s="3"/>
      <c r="N8256" s="3"/>
      <c r="O8256" s="3"/>
    </row>
    <row r="8257" spans="1:15" ht="15" customHeight="1" x14ac:dyDescent="0.25">
      <c r="A8257" s="2"/>
      <c r="B8257" s="2"/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</row>
    <row r="8258" spans="1:15" ht="15" customHeight="1" x14ac:dyDescent="0.25">
      <c r="A8258" s="3"/>
      <c r="B8258" s="3"/>
      <c r="C8258" s="3"/>
      <c r="D8258" s="3"/>
      <c r="E8258" s="3"/>
      <c r="F8258" s="3"/>
      <c r="G8258" s="3"/>
      <c r="H8258" s="3"/>
      <c r="I8258" s="3"/>
      <c r="J8258" s="3"/>
      <c r="K8258" s="3"/>
      <c r="L8258" s="3"/>
      <c r="M8258" s="3"/>
      <c r="N8258" s="3"/>
      <c r="O8258" s="3"/>
    </row>
    <row r="8259" spans="1:15" ht="15" customHeight="1" x14ac:dyDescent="0.25">
      <c r="A8259" s="2"/>
      <c r="B8259" s="2"/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</row>
    <row r="8260" spans="1:15" ht="15" customHeight="1" x14ac:dyDescent="0.25">
      <c r="A8260" s="3"/>
      <c r="B8260" s="3"/>
      <c r="C8260" s="3"/>
      <c r="D8260" s="3"/>
      <c r="E8260" s="3"/>
      <c r="F8260" s="3"/>
      <c r="G8260" s="3"/>
      <c r="H8260" s="3"/>
      <c r="I8260" s="3"/>
      <c r="J8260" s="3"/>
      <c r="K8260" s="3"/>
      <c r="L8260" s="3"/>
      <c r="M8260" s="3"/>
      <c r="N8260" s="3"/>
      <c r="O8260" s="3"/>
    </row>
    <row r="8261" spans="1:15" ht="15" customHeight="1" x14ac:dyDescent="0.25">
      <c r="A8261" s="2"/>
      <c r="B8261" s="2"/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</row>
    <row r="8262" spans="1:15" ht="15" customHeight="1" x14ac:dyDescent="0.25">
      <c r="A8262" s="3"/>
      <c r="B8262" s="3"/>
      <c r="C8262" s="3"/>
      <c r="D8262" s="3"/>
      <c r="E8262" s="3"/>
      <c r="F8262" s="3"/>
      <c r="G8262" s="3"/>
      <c r="H8262" s="3"/>
      <c r="I8262" s="3"/>
      <c r="J8262" s="3"/>
      <c r="K8262" s="3"/>
      <c r="L8262" s="3"/>
      <c r="M8262" s="3"/>
      <c r="N8262" s="3"/>
      <c r="O8262" s="3"/>
    </row>
    <row r="8263" spans="1:15" ht="15" customHeight="1" x14ac:dyDescent="0.25">
      <c r="A8263" s="2"/>
      <c r="B8263" s="2"/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</row>
    <row r="8264" spans="1:15" ht="15" customHeight="1" x14ac:dyDescent="0.25">
      <c r="A8264" s="3"/>
      <c r="B8264" s="3"/>
      <c r="C8264" s="3"/>
      <c r="D8264" s="3"/>
      <c r="E8264" s="3"/>
      <c r="F8264" s="3"/>
      <c r="G8264" s="3"/>
      <c r="H8264" s="3"/>
      <c r="I8264" s="3"/>
      <c r="J8264" s="3"/>
      <c r="K8264" s="3"/>
      <c r="L8264" s="3"/>
      <c r="M8264" s="3"/>
      <c r="N8264" s="3"/>
      <c r="O8264" s="3"/>
    </row>
    <row r="8265" spans="1:15" ht="15" customHeight="1" x14ac:dyDescent="0.25">
      <c r="A8265" s="2"/>
      <c r="B8265" s="2"/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</row>
    <row r="8266" spans="1:15" ht="15" customHeight="1" x14ac:dyDescent="0.25">
      <c r="A8266" s="3"/>
      <c r="B8266" s="3"/>
      <c r="C8266" s="3"/>
      <c r="D8266" s="3"/>
      <c r="E8266" s="3"/>
      <c r="F8266" s="3"/>
      <c r="G8266" s="3"/>
      <c r="H8266" s="3"/>
      <c r="I8266" s="3"/>
      <c r="J8266" s="3"/>
      <c r="K8266" s="3"/>
      <c r="L8266" s="3"/>
      <c r="M8266" s="3"/>
      <c r="N8266" s="3"/>
      <c r="O8266" s="3"/>
    </row>
    <row r="8267" spans="1:15" ht="15" customHeight="1" x14ac:dyDescent="0.25">
      <c r="A8267" s="2"/>
      <c r="B8267" s="2"/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</row>
    <row r="8268" spans="1:15" ht="15" customHeight="1" x14ac:dyDescent="0.25">
      <c r="A8268" s="3"/>
      <c r="B8268" s="3"/>
      <c r="C8268" s="3"/>
      <c r="D8268" s="3"/>
      <c r="E8268" s="3"/>
      <c r="F8268" s="3"/>
      <c r="G8268" s="3"/>
      <c r="H8268" s="3"/>
      <c r="I8268" s="3"/>
      <c r="J8268" s="3"/>
      <c r="K8268" s="3"/>
      <c r="L8268" s="3"/>
      <c r="M8268" s="3"/>
      <c r="N8268" s="3"/>
      <c r="O8268" s="3"/>
    </row>
    <row r="8269" spans="1:15" ht="15" customHeight="1" x14ac:dyDescent="0.25">
      <c r="A8269" s="2"/>
      <c r="B8269" s="2"/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</row>
    <row r="8270" spans="1:15" ht="15" customHeight="1" x14ac:dyDescent="0.25">
      <c r="A8270" s="3"/>
      <c r="B8270" s="3"/>
      <c r="C8270" s="3"/>
      <c r="D8270" s="3"/>
      <c r="E8270" s="3"/>
      <c r="F8270" s="3"/>
      <c r="G8270" s="3"/>
      <c r="H8270" s="3"/>
      <c r="I8270" s="3"/>
      <c r="J8270" s="3"/>
      <c r="K8270" s="3"/>
      <c r="L8270" s="3"/>
      <c r="M8270" s="3"/>
      <c r="N8270" s="3"/>
      <c r="O8270" s="3"/>
    </row>
    <row r="8271" spans="1:15" ht="15" customHeight="1" x14ac:dyDescent="0.25">
      <c r="A8271" s="2"/>
      <c r="B8271" s="2"/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</row>
    <row r="8272" spans="1:15" ht="15" customHeight="1" x14ac:dyDescent="0.25">
      <c r="A8272" s="3"/>
      <c r="B8272" s="3"/>
      <c r="C8272" s="3"/>
      <c r="D8272" s="3"/>
      <c r="E8272" s="3"/>
      <c r="F8272" s="3"/>
      <c r="G8272" s="3"/>
      <c r="H8272" s="3"/>
      <c r="I8272" s="3"/>
      <c r="J8272" s="3"/>
      <c r="K8272" s="3"/>
      <c r="L8272" s="3"/>
      <c r="M8272" s="3"/>
      <c r="N8272" s="3"/>
      <c r="O8272" s="3"/>
    </row>
    <row r="8273" spans="1:15" ht="15" customHeight="1" x14ac:dyDescent="0.25">
      <c r="A8273" s="2"/>
      <c r="B8273" s="2"/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</row>
    <row r="8274" spans="1:15" ht="15" customHeight="1" x14ac:dyDescent="0.25">
      <c r="A8274" s="3"/>
      <c r="B8274" s="3"/>
      <c r="C8274" s="3"/>
      <c r="D8274" s="3"/>
      <c r="E8274" s="3"/>
      <c r="F8274" s="3"/>
      <c r="G8274" s="3"/>
      <c r="H8274" s="3"/>
      <c r="I8274" s="3"/>
      <c r="J8274" s="3"/>
      <c r="K8274" s="3"/>
      <c r="L8274" s="3"/>
      <c r="M8274" s="3"/>
      <c r="N8274" s="3"/>
      <c r="O8274" s="3"/>
    </row>
    <row r="8275" spans="1:15" ht="15" customHeight="1" x14ac:dyDescent="0.25">
      <c r="A8275" s="2"/>
      <c r="B8275" s="2"/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</row>
    <row r="8276" spans="1:15" ht="15" customHeight="1" x14ac:dyDescent="0.25">
      <c r="A8276" s="3"/>
      <c r="B8276" s="3"/>
      <c r="C8276" s="3"/>
      <c r="D8276" s="3"/>
      <c r="E8276" s="3"/>
      <c r="F8276" s="3"/>
      <c r="G8276" s="3"/>
      <c r="H8276" s="3"/>
      <c r="I8276" s="3"/>
      <c r="J8276" s="3"/>
      <c r="K8276" s="3"/>
      <c r="L8276" s="3"/>
      <c r="M8276" s="3"/>
      <c r="N8276" s="3"/>
      <c r="O8276" s="3"/>
    </row>
    <row r="8277" spans="1:15" ht="15" customHeight="1" x14ac:dyDescent="0.25">
      <c r="A8277" s="2"/>
      <c r="B8277" s="2"/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</row>
    <row r="8278" spans="1:15" ht="15" customHeight="1" x14ac:dyDescent="0.25">
      <c r="A8278" s="3"/>
      <c r="B8278" s="3"/>
      <c r="C8278" s="3"/>
      <c r="D8278" s="3"/>
      <c r="E8278" s="3"/>
      <c r="F8278" s="3"/>
      <c r="G8278" s="3"/>
      <c r="H8278" s="3"/>
      <c r="I8278" s="3"/>
      <c r="J8278" s="3"/>
      <c r="K8278" s="3"/>
      <c r="L8278" s="3"/>
      <c r="M8278" s="3"/>
      <c r="N8278" s="3"/>
      <c r="O8278" s="3"/>
    </row>
    <row r="8279" spans="1:15" ht="15" customHeight="1" x14ac:dyDescent="0.25">
      <c r="A8279" s="2"/>
      <c r="B8279" s="2"/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</row>
    <row r="8280" spans="1:15" ht="15" customHeight="1" x14ac:dyDescent="0.25">
      <c r="A8280" s="3"/>
      <c r="B8280" s="3"/>
      <c r="C8280" s="3"/>
      <c r="D8280" s="3"/>
      <c r="E8280" s="3"/>
      <c r="F8280" s="3"/>
      <c r="G8280" s="3"/>
      <c r="H8280" s="3"/>
      <c r="I8280" s="3"/>
      <c r="J8280" s="3"/>
      <c r="K8280" s="3"/>
      <c r="L8280" s="3"/>
      <c r="M8280" s="3"/>
      <c r="N8280" s="3"/>
      <c r="O8280" s="3"/>
    </row>
    <row r="8281" spans="1:15" ht="15" customHeight="1" x14ac:dyDescent="0.25">
      <c r="A8281" s="2"/>
      <c r="B8281" s="2"/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</row>
    <row r="8282" spans="1:15" ht="15" customHeight="1" x14ac:dyDescent="0.25">
      <c r="A8282" s="3"/>
      <c r="B8282" s="3"/>
      <c r="C8282" s="3"/>
      <c r="D8282" s="3"/>
      <c r="E8282" s="3"/>
      <c r="F8282" s="3"/>
      <c r="G8282" s="3"/>
      <c r="H8282" s="3"/>
      <c r="I8282" s="3"/>
      <c r="J8282" s="3"/>
      <c r="K8282" s="3"/>
      <c r="L8282" s="3"/>
      <c r="M8282" s="3"/>
      <c r="N8282" s="3"/>
      <c r="O8282" s="3"/>
    </row>
    <row r="8283" spans="1:15" ht="15" customHeight="1" x14ac:dyDescent="0.25">
      <c r="A8283" s="2"/>
      <c r="B8283" s="2"/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</row>
    <row r="8284" spans="1:15" ht="15" customHeight="1" x14ac:dyDescent="0.25">
      <c r="A8284" s="3"/>
      <c r="B8284" s="3"/>
      <c r="C8284" s="3"/>
      <c r="D8284" s="3"/>
      <c r="E8284" s="3"/>
      <c r="F8284" s="3"/>
      <c r="G8284" s="3"/>
      <c r="H8284" s="3"/>
      <c r="I8284" s="3"/>
      <c r="J8284" s="3"/>
      <c r="K8284" s="3"/>
      <c r="L8284" s="3"/>
      <c r="M8284" s="3"/>
      <c r="N8284" s="3"/>
      <c r="O8284" s="3"/>
    </row>
    <row r="8285" spans="1:15" ht="15" customHeight="1" x14ac:dyDescent="0.25">
      <c r="A8285" s="2"/>
      <c r="B8285" s="2"/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</row>
    <row r="8286" spans="1:15" ht="15" customHeight="1" x14ac:dyDescent="0.25">
      <c r="A8286" s="3"/>
      <c r="B8286" s="3"/>
      <c r="C8286" s="3"/>
      <c r="D8286" s="3"/>
      <c r="E8286" s="3"/>
      <c r="F8286" s="3"/>
      <c r="G8286" s="3"/>
      <c r="H8286" s="3"/>
      <c r="I8286" s="3"/>
      <c r="J8286" s="3"/>
      <c r="K8286" s="3"/>
      <c r="L8286" s="3"/>
      <c r="M8286" s="3"/>
      <c r="N8286" s="3"/>
      <c r="O8286" s="3"/>
    </row>
    <row r="8287" spans="1:15" ht="15" customHeight="1" x14ac:dyDescent="0.25">
      <c r="A8287" s="2"/>
      <c r="B8287" s="2"/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</row>
    <row r="8288" spans="1:15" ht="15" customHeight="1" x14ac:dyDescent="0.25">
      <c r="A8288" s="3"/>
      <c r="B8288" s="3"/>
      <c r="C8288" s="3"/>
      <c r="D8288" s="3"/>
      <c r="E8288" s="3"/>
      <c r="F8288" s="3"/>
      <c r="G8288" s="3"/>
      <c r="H8288" s="3"/>
      <c r="I8288" s="3"/>
      <c r="J8288" s="3"/>
      <c r="K8288" s="3"/>
      <c r="L8288" s="3"/>
      <c r="M8288" s="3"/>
      <c r="N8288" s="3"/>
      <c r="O8288" s="3"/>
    </row>
    <row r="8289" spans="1:15" ht="15" customHeight="1" x14ac:dyDescent="0.25">
      <c r="A8289" s="2"/>
      <c r="B8289" s="2"/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</row>
    <row r="8290" spans="1:15" ht="15" customHeight="1" x14ac:dyDescent="0.25">
      <c r="A8290" s="3"/>
      <c r="B8290" s="3"/>
      <c r="C8290" s="3"/>
      <c r="D8290" s="3"/>
      <c r="E8290" s="3"/>
      <c r="F8290" s="3"/>
      <c r="G8290" s="3"/>
      <c r="H8290" s="3"/>
      <c r="I8290" s="3"/>
      <c r="J8290" s="3"/>
      <c r="K8290" s="3"/>
      <c r="L8290" s="3"/>
      <c r="M8290" s="3"/>
      <c r="N8290" s="3"/>
      <c r="O8290" s="3"/>
    </row>
    <row r="8291" spans="1:15" ht="15" customHeight="1" x14ac:dyDescent="0.25">
      <c r="A8291" s="2"/>
      <c r="B8291" s="2"/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</row>
    <row r="8292" spans="1:15" ht="15" customHeight="1" x14ac:dyDescent="0.25">
      <c r="A8292" s="3"/>
      <c r="B8292" s="3"/>
      <c r="C8292" s="3"/>
      <c r="D8292" s="3"/>
      <c r="E8292" s="3"/>
      <c r="F8292" s="3"/>
      <c r="G8292" s="3"/>
      <c r="H8292" s="3"/>
      <c r="I8292" s="3"/>
      <c r="J8292" s="3"/>
      <c r="K8292" s="3"/>
      <c r="L8292" s="3"/>
      <c r="M8292" s="3"/>
      <c r="N8292" s="3"/>
      <c r="O8292" s="3"/>
    </row>
    <row r="8293" spans="1:15" ht="15" customHeight="1" x14ac:dyDescent="0.25">
      <c r="A8293" s="2"/>
      <c r="B8293" s="2"/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</row>
    <row r="8294" spans="1:15" ht="15" customHeight="1" x14ac:dyDescent="0.25">
      <c r="A8294" s="3"/>
      <c r="B8294" s="3"/>
      <c r="C8294" s="3"/>
      <c r="D8294" s="3"/>
      <c r="E8294" s="3"/>
      <c r="F8294" s="3"/>
      <c r="G8294" s="3"/>
      <c r="H8294" s="3"/>
      <c r="I8294" s="3"/>
      <c r="J8294" s="3"/>
      <c r="K8294" s="3"/>
      <c r="L8294" s="3"/>
      <c r="M8294" s="3"/>
      <c r="N8294" s="3"/>
      <c r="O8294" s="3"/>
    </row>
    <row r="8295" spans="1:15" ht="15" customHeight="1" x14ac:dyDescent="0.25">
      <c r="A8295" s="2"/>
      <c r="B8295" s="2"/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</row>
    <row r="8296" spans="1:15" ht="15" customHeight="1" x14ac:dyDescent="0.25">
      <c r="A8296" s="3"/>
      <c r="B8296" s="3"/>
      <c r="C8296" s="3"/>
      <c r="D8296" s="3"/>
      <c r="E8296" s="3"/>
      <c r="F8296" s="3"/>
      <c r="G8296" s="3"/>
      <c r="H8296" s="3"/>
      <c r="I8296" s="3"/>
      <c r="J8296" s="3"/>
      <c r="K8296" s="3"/>
      <c r="L8296" s="3"/>
      <c r="M8296" s="3"/>
      <c r="N8296" s="3"/>
      <c r="O8296" s="3"/>
    </row>
    <row r="8297" spans="1:15" ht="15" customHeight="1" x14ac:dyDescent="0.25">
      <c r="A8297" s="2"/>
      <c r="B8297" s="2"/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</row>
    <row r="8298" spans="1:15" ht="15" customHeight="1" x14ac:dyDescent="0.25">
      <c r="A8298" s="3"/>
      <c r="B8298" s="3"/>
      <c r="C8298" s="3"/>
      <c r="D8298" s="3"/>
      <c r="E8298" s="3"/>
      <c r="F8298" s="3"/>
      <c r="G8298" s="3"/>
      <c r="H8298" s="3"/>
      <c r="I8298" s="3"/>
      <c r="J8298" s="3"/>
      <c r="K8298" s="3"/>
      <c r="L8298" s="3"/>
      <c r="M8298" s="3"/>
      <c r="N8298" s="3"/>
      <c r="O8298" s="3"/>
    </row>
    <row r="8299" spans="1:15" ht="15" customHeight="1" x14ac:dyDescent="0.25">
      <c r="A8299" s="2"/>
      <c r="B8299" s="2"/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</row>
    <row r="8300" spans="1:15" ht="15" customHeight="1" x14ac:dyDescent="0.25">
      <c r="A8300" s="3"/>
      <c r="B8300" s="3"/>
      <c r="C8300" s="3"/>
      <c r="D8300" s="3"/>
      <c r="E8300" s="3"/>
      <c r="F8300" s="3"/>
      <c r="G8300" s="3"/>
      <c r="H8300" s="3"/>
      <c r="I8300" s="3"/>
      <c r="J8300" s="3"/>
      <c r="K8300" s="3"/>
      <c r="L8300" s="3"/>
      <c r="M8300" s="3"/>
      <c r="N8300" s="3"/>
      <c r="O8300" s="3"/>
    </row>
    <row r="8301" spans="1:15" ht="15" customHeight="1" x14ac:dyDescent="0.25">
      <c r="A8301" s="2"/>
      <c r="B8301" s="2"/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</row>
    <row r="8302" spans="1:15" ht="15" customHeight="1" x14ac:dyDescent="0.25">
      <c r="A8302" s="3"/>
      <c r="B8302" s="3"/>
      <c r="C8302" s="3"/>
      <c r="D8302" s="3"/>
      <c r="E8302" s="3"/>
      <c r="F8302" s="3"/>
      <c r="G8302" s="3"/>
      <c r="H8302" s="3"/>
      <c r="I8302" s="3"/>
      <c r="J8302" s="3"/>
      <c r="K8302" s="3"/>
      <c r="L8302" s="3"/>
      <c r="M8302" s="3"/>
      <c r="N8302" s="3"/>
      <c r="O8302" s="3"/>
    </row>
    <row r="8303" spans="1:15" ht="15" customHeight="1" x14ac:dyDescent="0.25">
      <c r="A8303" s="2"/>
      <c r="B8303" s="2"/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</row>
    <row r="8304" spans="1:15" ht="15" customHeight="1" x14ac:dyDescent="0.25">
      <c r="A8304" s="3"/>
      <c r="B8304" s="3"/>
      <c r="C8304" s="3"/>
      <c r="D8304" s="3"/>
      <c r="E8304" s="3"/>
      <c r="F8304" s="3"/>
      <c r="G8304" s="3"/>
      <c r="H8304" s="3"/>
      <c r="I8304" s="3"/>
      <c r="J8304" s="3"/>
      <c r="K8304" s="3"/>
      <c r="L8304" s="3"/>
      <c r="M8304" s="3"/>
      <c r="N8304" s="3"/>
      <c r="O8304" s="3"/>
    </row>
    <row r="8305" spans="1:15" ht="15" customHeight="1" x14ac:dyDescent="0.25">
      <c r="A8305" s="2"/>
      <c r="B8305" s="2"/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</row>
    <row r="8306" spans="1:15" ht="15" customHeight="1" x14ac:dyDescent="0.25">
      <c r="A8306" s="3"/>
      <c r="B8306" s="3"/>
      <c r="C8306" s="3"/>
      <c r="D8306" s="3"/>
      <c r="E8306" s="3"/>
      <c r="F8306" s="3"/>
      <c r="G8306" s="3"/>
      <c r="H8306" s="3"/>
      <c r="I8306" s="3"/>
      <c r="J8306" s="3"/>
      <c r="K8306" s="3"/>
      <c r="L8306" s="3"/>
      <c r="M8306" s="3"/>
      <c r="N8306" s="3"/>
      <c r="O8306" s="3"/>
    </row>
    <row r="8307" spans="1:15" ht="15" customHeight="1" x14ac:dyDescent="0.25">
      <c r="A8307" s="2"/>
      <c r="B8307" s="2"/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</row>
    <row r="8308" spans="1:15" ht="15" customHeight="1" x14ac:dyDescent="0.25">
      <c r="A8308" s="3"/>
      <c r="B8308" s="3"/>
      <c r="C8308" s="3"/>
      <c r="D8308" s="3"/>
      <c r="E8308" s="3"/>
      <c r="F8308" s="3"/>
      <c r="G8308" s="3"/>
      <c r="H8308" s="3"/>
      <c r="I8308" s="3"/>
      <c r="J8308" s="3"/>
      <c r="K8308" s="3"/>
      <c r="L8308" s="3"/>
      <c r="M8308" s="3"/>
      <c r="N8308" s="3"/>
      <c r="O8308" s="3"/>
    </row>
    <row r="8309" spans="1:15" ht="15" customHeight="1" x14ac:dyDescent="0.25">
      <c r="A8309" s="2"/>
      <c r="B8309" s="2"/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</row>
    <row r="8310" spans="1:15" ht="15" customHeight="1" x14ac:dyDescent="0.25">
      <c r="A8310" s="3"/>
      <c r="B8310" s="3"/>
      <c r="C8310" s="3"/>
      <c r="D8310" s="3"/>
      <c r="E8310" s="3"/>
      <c r="F8310" s="3"/>
      <c r="G8310" s="3"/>
      <c r="H8310" s="3"/>
      <c r="I8310" s="3"/>
      <c r="J8310" s="3"/>
      <c r="K8310" s="3"/>
      <c r="L8310" s="3"/>
      <c r="M8310" s="3"/>
      <c r="N8310" s="3"/>
      <c r="O8310" s="3"/>
    </row>
    <row r="8311" spans="1:15" ht="15" customHeight="1" x14ac:dyDescent="0.25">
      <c r="A8311" s="2"/>
      <c r="B8311" s="2"/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</row>
    <row r="8312" spans="1:15" ht="15" customHeight="1" x14ac:dyDescent="0.25">
      <c r="A8312" s="3"/>
      <c r="B8312" s="3"/>
      <c r="C8312" s="3"/>
      <c r="D8312" s="3"/>
      <c r="E8312" s="3"/>
      <c r="F8312" s="3"/>
      <c r="G8312" s="3"/>
      <c r="H8312" s="3"/>
      <c r="I8312" s="3"/>
      <c r="J8312" s="3"/>
      <c r="K8312" s="3"/>
      <c r="L8312" s="3"/>
      <c r="M8312" s="3"/>
      <c r="N8312" s="3"/>
      <c r="O8312" s="3"/>
    </row>
    <row r="8313" spans="1:15" ht="15" customHeight="1" x14ac:dyDescent="0.25">
      <c r="A8313" s="2"/>
      <c r="B8313" s="2"/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</row>
    <row r="8314" spans="1:15" ht="15" customHeight="1" x14ac:dyDescent="0.25">
      <c r="A8314" s="3"/>
      <c r="B8314" s="3"/>
      <c r="C8314" s="3"/>
      <c r="D8314" s="3"/>
      <c r="E8314" s="3"/>
      <c r="F8314" s="3"/>
      <c r="G8314" s="3"/>
      <c r="H8314" s="3"/>
      <c r="I8314" s="3"/>
      <c r="J8314" s="3"/>
      <c r="K8314" s="3"/>
      <c r="L8314" s="3"/>
      <c r="M8314" s="3"/>
      <c r="N8314" s="3"/>
      <c r="O8314" s="3"/>
    </row>
    <row r="8315" spans="1:15" ht="15" customHeight="1" x14ac:dyDescent="0.25">
      <c r="A8315" s="2"/>
      <c r="B8315" s="2"/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</row>
    <row r="8316" spans="1:15" ht="15" customHeight="1" x14ac:dyDescent="0.25">
      <c r="A8316" s="3"/>
      <c r="B8316" s="3"/>
      <c r="C8316" s="3"/>
      <c r="D8316" s="3"/>
      <c r="E8316" s="3"/>
      <c r="F8316" s="3"/>
      <c r="G8316" s="3"/>
      <c r="H8316" s="3"/>
      <c r="I8316" s="3"/>
      <c r="J8316" s="3"/>
      <c r="K8316" s="3"/>
      <c r="L8316" s="3"/>
      <c r="M8316" s="3"/>
      <c r="N8316" s="3"/>
      <c r="O8316" s="3"/>
    </row>
    <row r="8317" spans="1:15" ht="15" customHeight="1" x14ac:dyDescent="0.25">
      <c r="A8317" s="2"/>
      <c r="B8317" s="2"/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</row>
    <row r="8318" spans="1:15" ht="15" customHeight="1" x14ac:dyDescent="0.25">
      <c r="A8318" s="3"/>
      <c r="B8318" s="3"/>
      <c r="C8318" s="3"/>
      <c r="D8318" s="3"/>
      <c r="E8318" s="3"/>
      <c r="F8318" s="3"/>
      <c r="G8318" s="3"/>
      <c r="H8318" s="3"/>
      <c r="I8318" s="3"/>
      <c r="J8318" s="3"/>
      <c r="K8318" s="3"/>
      <c r="L8318" s="3"/>
      <c r="M8318" s="3"/>
      <c r="N8318" s="3"/>
      <c r="O8318" s="3"/>
    </row>
    <row r="8319" spans="1:15" ht="15" customHeight="1" x14ac:dyDescent="0.25">
      <c r="A8319" s="2"/>
      <c r="B8319" s="2"/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</row>
    <row r="8320" spans="1:15" ht="15" customHeight="1" x14ac:dyDescent="0.25">
      <c r="A8320" s="3"/>
      <c r="B8320" s="3"/>
      <c r="C8320" s="3"/>
      <c r="D8320" s="3"/>
      <c r="E8320" s="3"/>
      <c r="F8320" s="3"/>
      <c r="G8320" s="3"/>
      <c r="H8320" s="3"/>
      <c r="I8320" s="3"/>
      <c r="J8320" s="3"/>
      <c r="K8320" s="3"/>
      <c r="L8320" s="3"/>
      <c r="M8320" s="3"/>
      <c r="N8320" s="3"/>
      <c r="O8320" s="3"/>
    </row>
    <row r="8321" spans="1:15" ht="15" customHeight="1" x14ac:dyDescent="0.25">
      <c r="A8321" s="2"/>
      <c r="B8321" s="2"/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</row>
    <row r="8322" spans="1:15" ht="15" customHeight="1" x14ac:dyDescent="0.25">
      <c r="A8322" s="3"/>
      <c r="B8322" s="3"/>
      <c r="C8322" s="3"/>
      <c r="D8322" s="3"/>
      <c r="E8322" s="3"/>
      <c r="F8322" s="3"/>
      <c r="G8322" s="3"/>
      <c r="H8322" s="3"/>
      <c r="I8322" s="3"/>
      <c r="J8322" s="3"/>
      <c r="K8322" s="3"/>
      <c r="L8322" s="3"/>
      <c r="M8322" s="3"/>
      <c r="N8322" s="3"/>
      <c r="O8322" s="3"/>
    </row>
    <row r="8323" spans="1:15" ht="15" customHeight="1" x14ac:dyDescent="0.25">
      <c r="A8323" s="2"/>
      <c r="B8323" s="2"/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</row>
    <row r="8324" spans="1:15" ht="15" customHeight="1" x14ac:dyDescent="0.25">
      <c r="A8324" s="3"/>
      <c r="B8324" s="3"/>
      <c r="C8324" s="3"/>
      <c r="D8324" s="3"/>
      <c r="E8324" s="3"/>
      <c r="F8324" s="3"/>
      <c r="G8324" s="3"/>
      <c r="H8324" s="3"/>
      <c r="I8324" s="3"/>
      <c r="J8324" s="3"/>
      <c r="K8324" s="3"/>
      <c r="L8324" s="3"/>
      <c r="M8324" s="3"/>
      <c r="N8324" s="3"/>
      <c r="O8324" s="3"/>
    </row>
    <row r="8325" spans="1:15" ht="15" customHeight="1" x14ac:dyDescent="0.25">
      <c r="A8325" s="2"/>
      <c r="B8325" s="2"/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</row>
    <row r="8326" spans="1:15" ht="15" customHeight="1" x14ac:dyDescent="0.25">
      <c r="A8326" s="3"/>
      <c r="B8326" s="3"/>
      <c r="C8326" s="3"/>
      <c r="D8326" s="3"/>
      <c r="E8326" s="3"/>
      <c r="F8326" s="3"/>
      <c r="G8326" s="3"/>
      <c r="H8326" s="3"/>
      <c r="I8326" s="3"/>
      <c r="J8326" s="3"/>
      <c r="K8326" s="3"/>
      <c r="L8326" s="3"/>
      <c r="M8326" s="3"/>
      <c r="N8326" s="3"/>
      <c r="O8326" s="3"/>
    </row>
    <row r="8327" spans="1:15" ht="15" customHeight="1" x14ac:dyDescent="0.25">
      <c r="A8327" s="2"/>
      <c r="B8327" s="2"/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</row>
    <row r="8328" spans="1:15" ht="15" customHeight="1" x14ac:dyDescent="0.25">
      <c r="A8328" s="3"/>
      <c r="B8328" s="3"/>
      <c r="C8328" s="3"/>
      <c r="D8328" s="3"/>
      <c r="E8328" s="3"/>
      <c r="F8328" s="3"/>
      <c r="G8328" s="3"/>
      <c r="H8328" s="3"/>
      <c r="I8328" s="3"/>
      <c r="J8328" s="3"/>
      <c r="K8328" s="3"/>
      <c r="L8328" s="3"/>
      <c r="M8328" s="3"/>
      <c r="N8328" s="3"/>
      <c r="O8328" s="3"/>
    </row>
    <row r="8329" spans="1:15" ht="15" customHeight="1" x14ac:dyDescent="0.25">
      <c r="A8329" s="2"/>
      <c r="B8329" s="2"/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</row>
    <row r="8330" spans="1:15" ht="15" customHeight="1" x14ac:dyDescent="0.25">
      <c r="A8330" s="3"/>
      <c r="B8330" s="3"/>
      <c r="C8330" s="3"/>
      <c r="D8330" s="3"/>
      <c r="E8330" s="3"/>
      <c r="F8330" s="3"/>
      <c r="G8330" s="3"/>
      <c r="H8330" s="3"/>
      <c r="I8330" s="3"/>
      <c r="J8330" s="3"/>
      <c r="K8330" s="3"/>
      <c r="L8330" s="3"/>
      <c r="M8330" s="3"/>
      <c r="N8330" s="3"/>
      <c r="O8330" s="3"/>
    </row>
    <row r="8331" spans="1:15" ht="15" customHeight="1" x14ac:dyDescent="0.25">
      <c r="A8331" s="2"/>
      <c r="B8331" s="2"/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</row>
    <row r="8332" spans="1:15" ht="15" customHeight="1" x14ac:dyDescent="0.25">
      <c r="A8332" s="3"/>
      <c r="B8332" s="3"/>
      <c r="C8332" s="3"/>
      <c r="D8332" s="3"/>
      <c r="E8332" s="3"/>
      <c r="F8332" s="3"/>
      <c r="G8332" s="3"/>
      <c r="H8332" s="3"/>
      <c r="I8332" s="3"/>
      <c r="J8332" s="3"/>
      <c r="K8332" s="3"/>
      <c r="L8332" s="3"/>
      <c r="M8332" s="3"/>
      <c r="N8332" s="3"/>
      <c r="O8332" s="3"/>
    </row>
    <row r="8333" spans="1:15" ht="15" customHeight="1" x14ac:dyDescent="0.25">
      <c r="A8333" s="2"/>
      <c r="B8333" s="2"/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</row>
    <row r="8334" spans="1:15" ht="15" customHeight="1" x14ac:dyDescent="0.25">
      <c r="A8334" s="3"/>
      <c r="B8334" s="3"/>
      <c r="C8334" s="3"/>
      <c r="D8334" s="3"/>
      <c r="E8334" s="3"/>
      <c r="F8334" s="3"/>
      <c r="G8334" s="3"/>
      <c r="H8334" s="3"/>
      <c r="I8334" s="3"/>
      <c r="J8334" s="3"/>
      <c r="K8334" s="3"/>
      <c r="L8334" s="3"/>
      <c r="M8334" s="3"/>
      <c r="N8334" s="3"/>
      <c r="O8334" s="3"/>
    </row>
    <row r="8335" spans="1:15" ht="15" customHeight="1" x14ac:dyDescent="0.25">
      <c r="A8335" s="2"/>
      <c r="B8335" s="2"/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</row>
    <row r="8336" spans="1:15" ht="15" customHeight="1" x14ac:dyDescent="0.25">
      <c r="A8336" s="3"/>
      <c r="B8336" s="3"/>
      <c r="C8336" s="3"/>
      <c r="D8336" s="3"/>
      <c r="E8336" s="3"/>
      <c r="F8336" s="3"/>
      <c r="G8336" s="3"/>
      <c r="H8336" s="3"/>
      <c r="I8336" s="3"/>
      <c r="J8336" s="3"/>
      <c r="K8336" s="3"/>
      <c r="L8336" s="3"/>
      <c r="M8336" s="3"/>
      <c r="N8336" s="3"/>
      <c r="O8336" s="3"/>
    </row>
    <row r="8337" spans="1:15" ht="15" customHeight="1" x14ac:dyDescent="0.25">
      <c r="A8337" s="2"/>
      <c r="B8337" s="2"/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</row>
    <row r="8338" spans="1:15" ht="15" customHeight="1" x14ac:dyDescent="0.25">
      <c r="A8338" s="3"/>
      <c r="B8338" s="3"/>
      <c r="C8338" s="3"/>
      <c r="D8338" s="3"/>
      <c r="E8338" s="3"/>
      <c r="F8338" s="3"/>
      <c r="G8338" s="3"/>
      <c r="H8338" s="3"/>
      <c r="I8338" s="3"/>
      <c r="J8338" s="3"/>
      <c r="K8338" s="3"/>
      <c r="L8338" s="3"/>
      <c r="M8338" s="3"/>
      <c r="N8338" s="3"/>
      <c r="O8338" s="3"/>
    </row>
    <row r="8339" spans="1:15" ht="15" customHeight="1" x14ac:dyDescent="0.25">
      <c r="A8339" s="2"/>
      <c r="B8339" s="2"/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</row>
    <row r="8340" spans="1:15" ht="15" customHeight="1" x14ac:dyDescent="0.25">
      <c r="A8340" s="3"/>
      <c r="B8340" s="3"/>
      <c r="C8340" s="3"/>
      <c r="D8340" s="3"/>
      <c r="E8340" s="3"/>
      <c r="F8340" s="3"/>
      <c r="G8340" s="3"/>
      <c r="H8340" s="3"/>
      <c r="I8340" s="3"/>
      <c r="J8340" s="3"/>
      <c r="K8340" s="3"/>
      <c r="L8340" s="3"/>
      <c r="M8340" s="3"/>
      <c r="N8340" s="3"/>
      <c r="O8340" s="3"/>
    </row>
    <row r="8341" spans="1:15" ht="15" customHeight="1" x14ac:dyDescent="0.25">
      <c r="A8341" s="2"/>
      <c r="B8341" s="2"/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</row>
    <row r="8342" spans="1:15" ht="15" customHeight="1" x14ac:dyDescent="0.25">
      <c r="A8342" s="3"/>
      <c r="B8342" s="3"/>
      <c r="C8342" s="3"/>
      <c r="D8342" s="3"/>
      <c r="E8342" s="3"/>
      <c r="F8342" s="3"/>
      <c r="G8342" s="3"/>
      <c r="H8342" s="3"/>
      <c r="I8342" s="3"/>
      <c r="J8342" s="3"/>
      <c r="K8342" s="3"/>
      <c r="L8342" s="3"/>
      <c r="M8342" s="3"/>
      <c r="N8342" s="3"/>
      <c r="O8342" s="3"/>
    </row>
    <row r="8343" spans="1:15" ht="15" customHeight="1" x14ac:dyDescent="0.25">
      <c r="A8343" s="2"/>
      <c r="B8343" s="2"/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</row>
    <row r="8344" spans="1:15" ht="15" customHeight="1" x14ac:dyDescent="0.25">
      <c r="A8344" s="3"/>
      <c r="B8344" s="3"/>
      <c r="C8344" s="3"/>
      <c r="D8344" s="3"/>
      <c r="E8344" s="3"/>
      <c r="F8344" s="3"/>
      <c r="G8344" s="3"/>
      <c r="H8344" s="3"/>
      <c r="I8344" s="3"/>
      <c r="J8344" s="3"/>
      <c r="K8344" s="3"/>
      <c r="L8344" s="3"/>
      <c r="M8344" s="3"/>
      <c r="N8344" s="3"/>
      <c r="O8344" s="3"/>
    </row>
    <row r="8345" spans="1:15" ht="15" customHeight="1" x14ac:dyDescent="0.25">
      <c r="A8345" s="2"/>
      <c r="B8345" s="2"/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</row>
    <row r="8346" spans="1:15" ht="15" customHeight="1" x14ac:dyDescent="0.25">
      <c r="A8346" s="3"/>
      <c r="B8346" s="3"/>
      <c r="C8346" s="3"/>
      <c r="D8346" s="3"/>
      <c r="E8346" s="3"/>
      <c r="F8346" s="3"/>
      <c r="G8346" s="3"/>
      <c r="H8346" s="3"/>
      <c r="I8346" s="3"/>
      <c r="J8346" s="3"/>
      <c r="K8346" s="3"/>
      <c r="L8346" s="3"/>
      <c r="M8346" s="3"/>
      <c r="N8346" s="3"/>
      <c r="O8346" s="3"/>
    </row>
    <row r="8347" spans="1:15" ht="15" customHeight="1" x14ac:dyDescent="0.25">
      <c r="A8347" s="2"/>
      <c r="B8347" s="2"/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</row>
    <row r="8348" spans="1:15" ht="15" customHeight="1" x14ac:dyDescent="0.25">
      <c r="A8348" s="3"/>
      <c r="B8348" s="3"/>
      <c r="C8348" s="3"/>
      <c r="D8348" s="3"/>
      <c r="E8348" s="3"/>
      <c r="F8348" s="3"/>
      <c r="G8348" s="3"/>
      <c r="H8348" s="3"/>
      <c r="I8348" s="3"/>
      <c r="J8348" s="3"/>
      <c r="K8348" s="3"/>
      <c r="L8348" s="3"/>
      <c r="M8348" s="3"/>
      <c r="N8348" s="3"/>
      <c r="O8348" s="3"/>
    </row>
    <row r="8349" spans="1:15" ht="15" customHeight="1" x14ac:dyDescent="0.25">
      <c r="A8349" s="2"/>
      <c r="B8349" s="2"/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</row>
    <row r="8350" spans="1:15" ht="15" customHeight="1" x14ac:dyDescent="0.25">
      <c r="A8350" s="3"/>
      <c r="B8350" s="3"/>
      <c r="C8350" s="3"/>
      <c r="D8350" s="3"/>
      <c r="E8350" s="3"/>
      <c r="F8350" s="3"/>
      <c r="G8350" s="3"/>
      <c r="H8350" s="3"/>
      <c r="I8350" s="3"/>
      <c r="J8350" s="3"/>
      <c r="K8350" s="3"/>
      <c r="L8350" s="3"/>
      <c r="M8350" s="3"/>
      <c r="N8350" s="3"/>
      <c r="O8350" s="3"/>
    </row>
    <row r="8351" spans="1:15" ht="15" customHeight="1" x14ac:dyDescent="0.25">
      <c r="A8351" s="2"/>
      <c r="B8351" s="2"/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</row>
    <row r="8352" spans="1:15" ht="15" customHeight="1" x14ac:dyDescent="0.25">
      <c r="A8352" s="3"/>
      <c r="B8352" s="3"/>
      <c r="C8352" s="3"/>
      <c r="D8352" s="3"/>
      <c r="E8352" s="3"/>
      <c r="F8352" s="3"/>
      <c r="G8352" s="3"/>
      <c r="H8352" s="3"/>
      <c r="I8352" s="3"/>
      <c r="J8352" s="3"/>
      <c r="K8352" s="3"/>
      <c r="L8352" s="3"/>
      <c r="M8352" s="3"/>
      <c r="N8352" s="3"/>
      <c r="O8352" s="3"/>
    </row>
    <row r="8353" spans="1:15" ht="15" customHeight="1" x14ac:dyDescent="0.25">
      <c r="A8353" s="2"/>
      <c r="B8353" s="2"/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</row>
    <row r="8354" spans="1:15" ht="15" customHeight="1" x14ac:dyDescent="0.25">
      <c r="A8354" s="3"/>
      <c r="B8354" s="3"/>
      <c r="C8354" s="3"/>
      <c r="D8354" s="3"/>
      <c r="E8354" s="3"/>
      <c r="F8354" s="3"/>
      <c r="G8354" s="3"/>
      <c r="H8354" s="3"/>
      <c r="I8354" s="3"/>
      <c r="J8354" s="3"/>
      <c r="K8354" s="3"/>
      <c r="L8354" s="3"/>
      <c r="M8354" s="3"/>
      <c r="N8354" s="3"/>
      <c r="O8354" s="3"/>
    </row>
    <row r="8355" spans="1:15" ht="15" customHeight="1" x14ac:dyDescent="0.25">
      <c r="A8355" s="2"/>
      <c r="B8355" s="2"/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</row>
    <row r="8356" spans="1:15" ht="15" customHeight="1" x14ac:dyDescent="0.25">
      <c r="A8356" s="3"/>
      <c r="B8356" s="3"/>
      <c r="C8356" s="3"/>
      <c r="D8356" s="3"/>
      <c r="E8356" s="3"/>
      <c r="F8356" s="3"/>
      <c r="G8356" s="3"/>
      <c r="H8356" s="3"/>
      <c r="I8356" s="3"/>
      <c r="J8356" s="3"/>
      <c r="K8356" s="3"/>
      <c r="L8356" s="3"/>
      <c r="M8356" s="3"/>
      <c r="N8356" s="3"/>
      <c r="O8356" s="3"/>
    </row>
    <row r="8357" spans="1:15" ht="15" customHeight="1" x14ac:dyDescent="0.25">
      <c r="A8357" s="2"/>
      <c r="B8357" s="2"/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</row>
    <row r="8358" spans="1:15" ht="15" customHeight="1" x14ac:dyDescent="0.25">
      <c r="A8358" s="3"/>
      <c r="B8358" s="3"/>
      <c r="C8358" s="3"/>
      <c r="D8358" s="3"/>
      <c r="E8358" s="3"/>
      <c r="F8358" s="3"/>
      <c r="G8358" s="3"/>
      <c r="H8358" s="3"/>
      <c r="I8358" s="3"/>
      <c r="J8358" s="3"/>
      <c r="K8358" s="3"/>
      <c r="L8358" s="3"/>
      <c r="M8358" s="3"/>
      <c r="N8358" s="3"/>
      <c r="O8358" s="3"/>
    </row>
    <row r="8359" spans="1:15" ht="15" customHeight="1" x14ac:dyDescent="0.25">
      <c r="A8359" s="2"/>
      <c r="B8359" s="2"/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</row>
    <row r="8360" spans="1:15" ht="15" customHeight="1" x14ac:dyDescent="0.25">
      <c r="A8360" s="3"/>
      <c r="B8360" s="3"/>
      <c r="C8360" s="3"/>
      <c r="D8360" s="3"/>
      <c r="E8360" s="3"/>
      <c r="F8360" s="3"/>
      <c r="G8360" s="3"/>
      <c r="H8360" s="3"/>
      <c r="I8360" s="3"/>
      <c r="J8360" s="3"/>
      <c r="K8360" s="3"/>
      <c r="L8360" s="3"/>
      <c r="M8360" s="3"/>
      <c r="N8360" s="3"/>
      <c r="O8360" s="3"/>
    </row>
    <row r="8361" spans="1:15" ht="15" customHeight="1" x14ac:dyDescent="0.25">
      <c r="A8361" s="2"/>
      <c r="B8361" s="2"/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</row>
    <row r="8362" spans="1:15" ht="15" customHeight="1" x14ac:dyDescent="0.25">
      <c r="A8362" s="3"/>
      <c r="B8362" s="3"/>
      <c r="C8362" s="3"/>
      <c r="D8362" s="3"/>
      <c r="E8362" s="3"/>
      <c r="F8362" s="3"/>
      <c r="G8362" s="3"/>
      <c r="H8362" s="3"/>
      <c r="I8362" s="3"/>
      <c r="J8362" s="3"/>
      <c r="K8362" s="3"/>
      <c r="L8362" s="3"/>
      <c r="M8362" s="3"/>
      <c r="N8362" s="3"/>
      <c r="O8362" s="3"/>
    </row>
    <row r="8363" spans="1:15" ht="15" customHeight="1" x14ac:dyDescent="0.25">
      <c r="A8363" s="2"/>
      <c r="B8363" s="2"/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</row>
    <row r="8364" spans="1:15" ht="15" customHeight="1" x14ac:dyDescent="0.25">
      <c r="A8364" s="3"/>
      <c r="B8364" s="3"/>
      <c r="C8364" s="3"/>
      <c r="D8364" s="3"/>
      <c r="E8364" s="3"/>
      <c r="F8364" s="3"/>
      <c r="G8364" s="3"/>
      <c r="H8364" s="3"/>
      <c r="I8364" s="3"/>
      <c r="J8364" s="3"/>
      <c r="K8364" s="3"/>
      <c r="L8364" s="3"/>
      <c r="M8364" s="3"/>
      <c r="N8364" s="3"/>
      <c r="O8364" s="3"/>
    </row>
    <row r="8365" spans="1:15" ht="15" customHeight="1" x14ac:dyDescent="0.25">
      <c r="A8365" s="2"/>
      <c r="B8365" s="2"/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</row>
    <row r="8366" spans="1:15" ht="15" customHeight="1" x14ac:dyDescent="0.25">
      <c r="A8366" s="3"/>
      <c r="B8366" s="3"/>
      <c r="C8366" s="3"/>
      <c r="D8366" s="3"/>
      <c r="E8366" s="3"/>
      <c r="F8366" s="3"/>
      <c r="G8366" s="3"/>
      <c r="H8366" s="3"/>
      <c r="I8366" s="3"/>
      <c r="J8366" s="3"/>
      <c r="K8366" s="3"/>
      <c r="L8366" s="3"/>
      <c r="M8366" s="3"/>
      <c r="N8366" s="3"/>
      <c r="O8366" s="3"/>
    </row>
    <row r="8367" spans="1:15" ht="15" customHeight="1" x14ac:dyDescent="0.25">
      <c r="A8367" s="2"/>
      <c r="B8367" s="2"/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</row>
    <row r="8368" spans="1:15" ht="15" customHeight="1" x14ac:dyDescent="0.25">
      <c r="A8368" s="3"/>
      <c r="B8368" s="3"/>
      <c r="C8368" s="3"/>
      <c r="D8368" s="3"/>
      <c r="E8368" s="3"/>
      <c r="F8368" s="3"/>
      <c r="G8368" s="3"/>
      <c r="H8368" s="3"/>
      <c r="I8368" s="3"/>
      <c r="J8368" s="3"/>
      <c r="K8368" s="3"/>
      <c r="L8368" s="3"/>
      <c r="M8368" s="3"/>
      <c r="N8368" s="3"/>
      <c r="O8368" s="3"/>
    </row>
    <row r="8369" spans="1:15" ht="15" customHeight="1" x14ac:dyDescent="0.25">
      <c r="A8369" s="2"/>
      <c r="B8369" s="2"/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</row>
    <row r="8370" spans="1:15" ht="15" customHeight="1" x14ac:dyDescent="0.25">
      <c r="A8370" s="3"/>
      <c r="B8370" s="3"/>
      <c r="C8370" s="3"/>
      <c r="D8370" s="3"/>
      <c r="E8370" s="3"/>
      <c r="F8370" s="3"/>
      <c r="G8370" s="3"/>
      <c r="H8370" s="3"/>
      <c r="I8370" s="3"/>
      <c r="J8370" s="3"/>
      <c r="K8370" s="3"/>
      <c r="L8370" s="3"/>
      <c r="M8370" s="3"/>
      <c r="N8370" s="3"/>
      <c r="O8370" s="3"/>
    </row>
    <row r="8371" spans="1:15" ht="15" customHeight="1" x14ac:dyDescent="0.25">
      <c r="A8371" s="2"/>
      <c r="B8371" s="2"/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</row>
    <row r="8372" spans="1:15" ht="15" customHeight="1" x14ac:dyDescent="0.25">
      <c r="A8372" s="3"/>
      <c r="B8372" s="3"/>
      <c r="C8372" s="3"/>
      <c r="D8372" s="3"/>
      <c r="E8372" s="3"/>
      <c r="F8372" s="3"/>
      <c r="G8372" s="3"/>
      <c r="H8372" s="3"/>
      <c r="I8372" s="3"/>
      <c r="J8372" s="3"/>
      <c r="K8372" s="3"/>
      <c r="L8372" s="3"/>
      <c r="M8372" s="3"/>
      <c r="N8372" s="3"/>
      <c r="O8372" s="3"/>
    </row>
    <row r="8373" spans="1:15" ht="15" customHeight="1" x14ac:dyDescent="0.25">
      <c r="A8373" s="2"/>
      <c r="B8373" s="2"/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</row>
    <row r="8374" spans="1:15" ht="15" customHeight="1" x14ac:dyDescent="0.25">
      <c r="A8374" s="3"/>
      <c r="B8374" s="3"/>
      <c r="C8374" s="3"/>
      <c r="D8374" s="3"/>
      <c r="E8374" s="3"/>
      <c r="F8374" s="3"/>
      <c r="G8374" s="3"/>
      <c r="H8374" s="3"/>
      <c r="I8374" s="3"/>
      <c r="J8374" s="3"/>
      <c r="K8374" s="3"/>
      <c r="L8374" s="3"/>
      <c r="M8374" s="3"/>
      <c r="N8374" s="3"/>
      <c r="O8374" s="3"/>
    </row>
    <row r="8375" spans="1:15" ht="15" customHeight="1" x14ac:dyDescent="0.25">
      <c r="A8375" s="2"/>
      <c r="B8375" s="2"/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</row>
    <row r="8376" spans="1:15" ht="15" customHeight="1" x14ac:dyDescent="0.25">
      <c r="A8376" s="3"/>
      <c r="B8376" s="3"/>
      <c r="C8376" s="3"/>
      <c r="D8376" s="3"/>
      <c r="E8376" s="3"/>
      <c r="F8376" s="3"/>
      <c r="G8376" s="3"/>
      <c r="H8376" s="3"/>
      <c r="I8376" s="3"/>
      <c r="J8376" s="3"/>
      <c r="K8376" s="3"/>
      <c r="L8376" s="3"/>
      <c r="M8376" s="3"/>
      <c r="N8376" s="3"/>
      <c r="O8376" s="3"/>
    </row>
    <row r="8377" spans="1:15" ht="15" customHeight="1" x14ac:dyDescent="0.25">
      <c r="A8377" s="2"/>
      <c r="B8377" s="2"/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</row>
    <row r="8378" spans="1:15" ht="15" customHeight="1" x14ac:dyDescent="0.25">
      <c r="A8378" s="3"/>
      <c r="B8378" s="3"/>
      <c r="C8378" s="3"/>
      <c r="D8378" s="3"/>
      <c r="E8378" s="3"/>
      <c r="F8378" s="3"/>
      <c r="G8378" s="3"/>
      <c r="H8378" s="3"/>
      <c r="I8378" s="3"/>
      <c r="J8378" s="3"/>
      <c r="K8378" s="3"/>
      <c r="L8378" s="3"/>
      <c r="M8378" s="3"/>
      <c r="N8378" s="3"/>
      <c r="O8378" s="3"/>
    </row>
    <row r="8379" spans="1:15" ht="15" customHeight="1" x14ac:dyDescent="0.25">
      <c r="A8379" s="2"/>
      <c r="B8379" s="2"/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</row>
    <row r="8380" spans="1:15" ht="15" customHeight="1" x14ac:dyDescent="0.25">
      <c r="A8380" s="3"/>
      <c r="B8380" s="3"/>
      <c r="C8380" s="3"/>
      <c r="D8380" s="3"/>
      <c r="E8380" s="3"/>
      <c r="F8380" s="3"/>
      <c r="G8380" s="3"/>
      <c r="H8380" s="3"/>
      <c r="I8380" s="3"/>
      <c r="J8380" s="3"/>
      <c r="K8380" s="3"/>
      <c r="L8380" s="3"/>
      <c r="M8380" s="3"/>
      <c r="N8380" s="3"/>
      <c r="O8380" s="3"/>
    </row>
    <row r="8381" spans="1:15" ht="15" customHeight="1" x14ac:dyDescent="0.25">
      <c r="A8381" s="2"/>
      <c r="B8381" s="2"/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</row>
    <row r="8382" spans="1:15" ht="15" customHeight="1" x14ac:dyDescent="0.25">
      <c r="A8382" s="3"/>
      <c r="B8382" s="3"/>
      <c r="C8382" s="3"/>
      <c r="D8382" s="3"/>
      <c r="E8382" s="3"/>
      <c r="F8382" s="3"/>
      <c r="G8382" s="3"/>
      <c r="H8382" s="3"/>
      <c r="I8382" s="3"/>
      <c r="J8382" s="3"/>
      <c r="K8382" s="3"/>
      <c r="L8382" s="3"/>
      <c r="M8382" s="3"/>
      <c r="N8382" s="3"/>
      <c r="O8382" s="3"/>
    </row>
    <row r="8383" spans="1:15" ht="15" customHeight="1" x14ac:dyDescent="0.25">
      <c r="A8383" s="2"/>
      <c r="B8383" s="2"/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</row>
    <row r="8384" spans="1:15" ht="15" customHeight="1" x14ac:dyDescent="0.25">
      <c r="A8384" s="3"/>
      <c r="B8384" s="3"/>
      <c r="C8384" s="3"/>
      <c r="D8384" s="3"/>
      <c r="E8384" s="3"/>
      <c r="F8384" s="3"/>
      <c r="G8384" s="3"/>
      <c r="H8384" s="3"/>
      <c r="I8384" s="3"/>
      <c r="J8384" s="3"/>
      <c r="K8384" s="3"/>
      <c r="L8384" s="3"/>
      <c r="M8384" s="3"/>
      <c r="N8384" s="3"/>
      <c r="O8384" s="3"/>
    </row>
    <row r="8385" spans="1:15" ht="15" customHeight="1" x14ac:dyDescent="0.25">
      <c r="A8385" s="2"/>
      <c r="B8385" s="2"/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</row>
    <row r="8386" spans="1:15" ht="15" customHeight="1" x14ac:dyDescent="0.25">
      <c r="A8386" s="3"/>
      <c r="B8386" s="3"/>
      <c r="C8386" s="3"/>
      <c r="D8386" s="3"/>
      <c r="E8386" s="3"/>
      <c r="F8386" s="3"/>
      <c r="G8386" s="3"/>
      <c r="H8386" s="3"/>
      <c r="I8386" s="3"/>
      <c r="J8386" s="3"/>
      <c r="K8386" s="3"/>
      <c r="L8386" s="3"/>
      <c r="M8386" s="3"/>
      <c r="N8386" s="3"/>
      <c r="O8386" s="3"/>
    </row>
    <row r="8387" spans="1:15" ht="15" customHeight="1" x14ac:dyDescent="0.25">
      <c r="A8387" s="2"/>
      <c r="B8387" s="2"/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</row>
    <row r="8388" spans="1:15" ht="15" customHeight="1" x14ac:dyDescent="0.25">
      <c r="A8388" s="3"/>
      <c r="B8388" s="3"/>
      <c r="C8388" s="3"/>
      <c r="D8388" s="3"/>
      <c r="E8388" s="3"/>
      <c r="F8388" s="3"/>
      <c r="G8388" s="3"/>
      <c r="H8388" s="3"/>
      <c r="I8388" s="3"/>
      <c r="J8388" s="3"/>
      <c r="K8388" s="3"/>
      <c r="L8388" s="3"/>
      <c r="M8388" s="3"/>
      <c r="N8388" s="3"/>
      <c r="O8388" s="3"/>
    </row>
    <row r="8389" spans="1:15" ht="15" customHeight="1" x14ac:dyDescent="0.25">
      <c r="A8389" s="2"/>
      <c r="B8389" s="2"/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</row>
    <row r="8390" spans="1:15" ht="15" customHeight="1" x14ac:dyDescent="0.25">
      <c r="A8390" s="3"/>
      <c r="B8390" s="3"/>
      <c r="C8390" s="3"/>
      <c r="D8390" s="3"/>
      <c r="E8390" s="3"/>
      <c r="F8390" s="3"/>
      <c r="G8390" s="3"/>
      <c r="H8390" s="3"/>
      <c r="I8390" s="3"/>
      <c r="J8390" s="3"/>
      <c r="K8390" s="3"/>
      <c r="L8390" s="3"/>
      <c r="M8390" s="3"/>
      <c r="N8390" s="3"/>
      <c r="O8390" s="3"/>
    </row>
    <row r="8391" spans="1:15" ht="15" customHeight="1" x14ac:dyDescent="0.25">
      <c r="A8391" s="2"/>
      <c r="B8391" s="2"/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</row>
    <row r="8392" spans="1:15" ht="15" customHeight="1" x14ac:dyDescent="0.25">
      <c r="A8392" s="3"/>
      <c r="B8392" s="3"/>
      <c r="C8392" s="3"/>
      <c r="D8392" s="3"/>
      <c r="E8392" s="3"/>
      <c r="F8392" s="3"/>
      <c r="G8392" s="3"/>
      <c r="H8392" s="3"/>
      <c r="I8392" s="3"/>
      <c r="J8392" s="3"/>
      <c r="K8392" s="3"/>
      <c r="L8392" s="3"/>
      <c r="M8392" s="3"/>
      <c r="N8392" s="3"/>
      <c r="O8392" s="3"/>
    </row>
    <row r="8393" spans="1:15" ht="15" customHeight="1" x14ac:dyDescent="0.25">
      <c r="A8393" s="2"/>
      <c r="B8393" s="2"/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</row>
    <row r="8394" spans="1:15" ht="15" customHeight="1" x14ac:dyDescent="0.25">
      <c r="A8394" s="3"/>
      <c r="B8394" s="3"/>
      <c r="C8394" s="3"/>
      <c r="D8394" s="3"/>
      <c r="E8394" s="3"/>
      <c r="F8394" s="3"/>
      <c r="G8394" s="3"/>
      <c r="H8394" s="3"/>
      <c r="I8394" s="3"/>
      <c r="J8394" s="3"/>
      <c r="K8394" s="3"/>
      <c r="L8394" s="3"/>
      <c r="M8394" s="3"/>
      <c r="N8394" s="3"/>
      <c r="O8394" s="3"/>
    </row>
    <row r="8395" spans="1:15" ht="15" customHeight="1" x14ac:dyDescent="0.25">
      <c r="A8395" s="2"/>
      <c r="B8395" s="2"/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</row>
    <row r="8396" spans="1:15" ht="15" customHeight="1" x14ac:dyDescent="0.25">
      <c r="A8396" s="3"/>
      <c r="B8396" s="3"/>
      <c r="C8396" s="3"/>
      <c r="D8396" s="3"/>
      <c r="E8396" s="3"/>
      <c r="F8396" s="3"/>
      <c r="G8396" s="3"/>
      <c r="H8396" s="3"/>
      <c r="I8396" s="3"/>
      <c r="J8396" s="3"/>
      <c r="K8396" s="3"/>
      <c r="L8396" s="3"/>
      <c r="M8396" s="3"/>
      <c r="N8396" s="3"/>
      <c r="O8396" s="3"/>
    </row>
    <row r="8397" spans="1:15" ht="15" customHeight="1" x14ac:dyDescent="0.25">
      <c r="A8397" s="2"/>
      <c r="B8397" s="2"/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</row>
    <row r="8398" spans="1:15" ht="15" customHeight="1" x14ac:dyDescent="0.25">
      <c r="A8398" s="3"/>
      <c r="B8398" s="3"/>
      <c r="C8398" s="3"/>
      <c r="D8398" s="3"/>
      <c r="E8398" s="3"/>
      <c r="F8398" s="3"/>
      <c r="G8398" s="3"/>
      <c r="H8398" s="3"/>
      <c r="I8398" s="3"/>
      <c r="J8398" s="3"/>
      <c r="K8398" s="3"/>
      <c r="L8398" s="3"/>
      <c r="M8398" s="3"/>
      <c r="N8398" s="3"/>
      <c r="O8398" s="3"/>
    </row>
    <row r="8399" spans="1:15" ht="15" customHeight="1" x14ac:dyDescent="0.25">
      <c r="A8399" s="2"/>
      <c r="B8399" s="2"/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</row>
    <row r="8400" spans="1:15" ht="15" customHeight="1" x14ac:dyDescent="0.25">
      <c r="A8400" s="3"/>
      <c r="B8400" s="3"/>
      <c r="C8400" s="3"/>
      <c r="D8400" s="3"/>
      <c r="E8400" s="3"/>
      <c r="F8400" s="3"/>
      <c r="G8400" s="3"/>
      <c r="H8400" s="3"/>
      <c r="I8400" s="3"/>
      <c r="J8400" s="3"/>
      <c r="K8400" s="3"/>
      <c r="L8400" s="3"/>
      <c r="M8400" s="3"/>
      <c r="N8400" s="3"/>
      <c r="O8400" s="3"/>
    </row>
    <row r="8401" spans="1:15" ht="15" customHeight="1" x14ac:dyDescent="0.25">
      <c r="A8401" s="2"/>
      <c r="B8401" s="2"/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</row>
    <row r="8402" spans="1:15" ht="15" customHeight="1" x14ac:dyDescent="0.25">
      <c r="A8402" s="3"/>
      <c r="B8402" s="3"/>
      <c r="C8402" s="3"/>
      <c r="D8402" s="3"/>
      <c r="E8402" s="3"/>
      <c r="F8402" s="3"/>
      <c r="G8402" s="3"/>
      <c r="H8402" s="3"/>
      <c r="I8402" s="3"/>
      <c r="J8402" s="3"/>
      <c r="K8402" s="3"/>
      <c r="L8402" s="3"/>
      <c r="M8402" s="3"/>
      <c r="N8402" s="3"/>
      <c r="O8402" s="3"/>
    </row>
    <row r="8403" spans="1:15" ht="15" customHeight="1" x14ac:dyDescent="0.25">
      <c r="A8403" s="2"/>
      <c r="B8403" s="2"/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</row>
    <row r="8404" spans="1:15" ht="15" customHeight="1" x14ac:dyDescent="0.25">
      <c r="A8404" s="3"/>
      <c r="B8404" s="3"/>
      <c r="C8404" s="3"/>
      <c r="D8404" s="3"/>
      <c r="E8404" s="3"/>
      <c r="F8404" s="3"/>
      <c r="G8404" s="3"/>
      <c r="H8404" s="3"/>
      <c r="I8404" s="3"/>
      <c r="J8404" s="3"/>
      <c r="K8404" s="3"/>
      <c r="L8404" s="3"/>
      <c r="M8404" s="3"/>
      <c r="N8404" s="3"/>
      <c r="O8404" s="3"/>
    </row>
    <row r="8405" spans="1:15" ht="15" customHeight="1" x14ac:dyDescent="0.25">
      <c r="A8405" s="2"/>
      <c r="B8405" s="2"/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</row>
    <row r="8406" spans="1:15" ht="15" customHeight="1" x14ac:dyDescent="0.25">
      <c r="A8406" s="3"/>
      <c r="B8406" s="3"/>
      <c r="C8406" s="3"/>
      <c r="D8406" s="3"/>
      <c r="E8406" s="3"/>
      <c r="F8406" s="3"/>
      <c r="G8406" s="3"/>
      <c r="H8406" s="3"/>
      <c r="I8406" s="3"/>
      <c r="J8406" s="3"/>
      <c r="K8406" s="3"/>
      <c r="L8406" s="3"/>
      <c r="M8406" s="3"/>
      <c r="N8406" s="3"/>
      <c r="O8406" s="3"/>
    </row>
    <row r="8407" spans="1:15" ht="15" customHeight="1" x14ac:dyDescent="0.25">
      <c r="A8407" s="2"/>
      <c r="B8407" s="2"/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</row>
    <row r="8408" spans="1:15" ht="15" customHeight="1" x14ac:dyDescent="0.25">
      <c r="A8408" s="3"/>
      <c r="B8408" s="3"/>
      <c r="C8408" s="3"/>
      <c r="D8408" s="3"/>
      <c r="E8408" s="3"/>
      <c r="F8408" s="3"/>
      <c r="G8408" s="3"/>
      <c r="H8408" s="3"/>
      <c r="I8408" s="3"/>
      <c r="J8408" s="3"/>
      <c r="K8408" s="3"/>
      <c r="L8408" s="3"/>
      <c r="M8408" s="3"/>
      <c r="N8408" s="3"/>
      <c r="O8408" s="3"/>
    </row>
    <row r="8409" spans="1:15" ht="15" customHeight="1" x14ac:dyDescent="0.25">
      <c r="A8409" s="2"/>
      <c r="B8409" s="2"/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</row>
    <row r="8410" spans="1:15" ht="15" customHeight="1" x14ac:dyDescent="0.25">
      <c r="A8410" s="3"/>
      <c r="B8410" s="3"/>
      <c r="C8410" s="3"/>
      <c r="D8410" s="3"/>
      <c r="E8410" s="3"/>
      <c r="F8410" s="3"/>
      <c r="G8410" s="3"/>
      <c r="H8410" s="3"/>
      <c r="I8410" s="3"/>
      <c r="J8410" s="3"/>
      <c r="K8410" s="3"/>
      <c r="L8410" s="3"/>
      <c r="M8410" s="3"/>
      <c r="N8410" s="3"/>
      <c r="O8410" s="3"/>
    </row>
    <row r="8411" spans="1:15" ht="15" customHeight="1" x14ac:dyDescent="0.25">
      <c r="A8411" s="2"/>
      <c r="B8411" s="2"/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</row>
    <row r="8412" spans="1:15" ht="15" customHeight="1" x14ac:dyDescent="0.25">
      <c r="A8412" s="3"/>
      <c r="B8412" s="3"/>
      <c r="C8412" s="3"/>
      <c r="D8412" s="3"/>
      <c r="E8412" s="3"/>
      <c r="F8412" s="3"/>
      <c r="G8412" s="3"/>
      <c r="H8412" s="3"/>
      <c r="I8412" s="3"/>
      <c r="J8412" s="3"/>
      <c r="K8412" s="3"/>
      <c r="L8412" s="3"/>
      <c r="M8412" s="3"/>
      <c r="N8412" s="3"/>
      <c r="O8412" s="3"/>
    </row>
    <row r="8413" spans="1:15" ht="15" customHeight="1" x14ac:dyDescent="0.25">
      <c r="A8413" s="2"/>
      <c r="B8413" s="2"/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</row>
    <row r="8414" spans="1:15" ht="15" customHeight="1" x14ac:dyDescent="0.25">
      <c r="A8414" s="3"/>
      <c r="B8414" s="3"/>
      <c r="C8414" s="3"/>
      <c r="D8414" s="3"/>
      <c r="E8414" s="3"/>
      <c r="F8414" s="3"/>
      <c r="G8414" s="3"/>
      <c r="H8414" s="3"/>
      <c r="I8414" s="3"/>
      <c r="J8414" s="3"/>
      <c r="K8414" s="3"/>
      <c r="L8414" s="3"/>
      <c r="M8414" s="3"/>
      <c r="N8414" s="3"/>
      <c r="O8414" s="3"/>
    </row>
    <row r="8415" spans="1:15" ht="15" customHeight="1" x14ac:dyDescent="0.25">
      <c r="A8415" s="2"/>
      <c r="B8415" s="2"/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</row>
    <row r="8416" spans="1:15" ht="15" customHeight="1" x14ac:dyDescent="0.25">
      <c r="A8416" s="3"/>
      <c r="B8416" s="3"/>
      <c r="C8416" s="3"/>
      <c r="D8416" s="3"/>
      <c r="E8416" s="3"/>
      <c r="F8416" s="3"/>
      <c r="G8416" s="3"/>
      <c r="H8416" s="3"/>
      <c r="I8416" s="3"/>
      <c r="J8416" s="3"/>
      <c r="K8416" s="3"/>
      <c r="L8416" s="3"/>
      <c r="M8416" s="3"/>
      <c r="N8416" s="3"/>
      <c r="O8416" s="3"/>
    </row>
    <row r="8417" spans="1:15" ht="15" customHeight="1" x14ac:dyDescent="0.25">
      <c r="A8417" s="2"/>
      <c r="B8417" s="2"/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</row>
    <row r="8418" spans="1:15" ht="15" customHeight="1" x14ac:dyDescent="0.25">
      <c r="A8418" s="3"/>
      <c r="B8418" s="3"/>
      <c r="C8418" s="3"/>
      <c r="D8418" s="3"/>
      <c r="E8418" s="3"/>
      <c r="F8418" s="3"/>
      <c r="G8418" s="3"/>
      <c r="H8418" s="3"/>
      <c r="I8418" s="3"/>
      <c r="J8418" s="3"/>
      <c r="K8418" s="3"/>
      <c r="L8418" s="3"/>
      <c r="M8418" s="3"/>
      <c r="N8418" s="3"/>
      <c r="O8418" s="3"/>
    </row>
    <row r="8419" spans="1:15" ht="15" customHeight="1" x14ac:dyDescent="0.25">
      <c r="A8419" s="2"/>
      <c r="B8419" s="2"/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</row>
    <row r="8420" spans="1:15" ht="15" customHeight="1" x14ac:dyDescent="0.25">
      <c r="A8420" s="3"/>
      <c r="B8420" s="3"/>
      <c r="C8420" s="3"/>
      <c r="D8420" s="3"/>
      <c r="E8420" s="3"/>
      <c r="F8420" s="3"/>
      <c r="G8420" s="3"/>
      <c r="H8420" s="3"/>
      <c r="I8420" s="3"/>
      <c r="J8420" s="3"/>
      <c r="K8420" s="3"/>
      <c r="L8420" s="3"/>
      <c r="M8420" s="3"/>
      <c r="N8420" s="3"/>
      <c r="O8420" s="3"/>
    </row>
    <row r="8421" spans="1:15" ht="15" customHeight="1" x14ac:dyDescent="0.25">
      <c r="A8421" s="2"/>
      <c r="B8421" s="2"/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</row>
    <row r="8422" spans="1:15" ht="15" customHeight="1" x14ac:dyDescent="0.25">
      <c r="A8422" s="3"/>
      <c r="B8422" s="3"/>
      <c r="C8422" s="3"/>
      <c r="D8422" s="3"/>
      <c r="E8422" s="3"/>
      <c r="F8422" s="3"/>
      <c r="G8422" s="3"/>
      <c r="H8422" s="3"/>
      <c r="I8422" s="3"/>
      <c r="J8422" s="3"/>
      <c r="K8422" s="3"/>
      <c r="L8422" s="3"/>
      <c r="M8422" s="3"/>
      <c r="N8422" s="3"/>
      <c r="O8422" s="3"/>
    </row>
    <row r="8423" spans="1:15" ht="15" customHeight="1" x14ac:dyDescent="0.25">
      <c r="A8423" s="2"/>
      <c r="B8423" s="2"/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</row>
    <row r="8424" spans="1:15" ht="15" customHeight="1" x14ac:dyDescent="0.25">
      <c r="A8424" s="3"/>
      <c r="B8424" s="3"/>
      <c r="C8424" s="3"/>
      <c r="D8424" s="3"/>
      <c r="E8424" s="3"/>
      <c r="F8424" s="3"/>
      <c r="G8424" s="3"/>
      <c r="H8424" s="3"/>
      <c r="I8424" s="3"/>
      <c r="J8424" s="3"/>
      <c r="K8424" s="3"/>
      <c r="L8424" s="3"/>
      <c r="M8424" s="3"/>
      <c r="N8424" s="3"/>
      <c r="O8424" s="3"/>
    </row>
    <row r="8425" spans="1:15" ht="15" customHeight="1" x14ac:dyDescent="0.25">
      <c r="A8425" s="2"/>
      <c r="B8425" s="2"/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</row>
    <row r="8426" spans="1:15" ht="15" customHeight="1" x14ac:dyDescent="0.25">
      <c r="A8426" s="3"/>
      <c r="B8426" s="3"/>
      <c r="C8426" s="3"/>
      <c r="D8426" s="3"/>
      <c r="E8426" s="3"/>
      <c r="F8426" s="3"/>
      <c r="G8426" s="3"/>
      <c r="H8426" s="3"/>
      <c r="I8426" s="3"/>
      <c r="J8426" s="3"/>
      <c r="K8426" s="3"/>
      <c r="L8426" s="3"/>
      <c r="M8426" s="3"/>
      <c r="N8426" s="3"/>
      <c r="O8426" s="3"/>
    </row>
    <row r="8427" spans="1:15" ht="15" customHeight="1" x14ac:dyDescent="0.25">
      <c r="A8427" s="2"/>
      <c r="B8427" s="2"/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</row>
    <row r="8428" spans="1:15" ht="15" customHeight="1" x14ac:dyDescent="0.25">
      <c r="A8428" s="3"/>
      <c r="B8428" s="3"/>
      <c r="C8428" s="3"/>
      <c r="D8428" s="3"/>
      <c r="E8428" s="3"/>
      <c r="F8428" s="3"/>
      <c r="G8428" s="3"/>
      <c r="H8428" s="3"/>
      <c r="I8428" s="3"/>
      <c r="J8428" s="3"/>
      <c r="K8428" s="3"/>
      <c r="L8428" s="3"/>
      <c r="M8428" s="3"/>
      <c r="N8428" s="3"/>
      <c r="O8428" s="3"/>
    </row>
    <row r="8429" spans="1:15" ht="15" customHeight="1" x14ac:dyDescent="0.25">
      <c r="A8429" s="2"/>
      <c r="B8429" s="2"/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</row>
    <row r="8430" spans="1:15" ht="15" customHeight="1" x14ac:dyDescent="0.25">
      <c r="A8430" s="3"/>
      <c r="B8430" s="3"/>
      <c r="C8430" s="3"/>
      <c r="D8430" s="3"/>
      <c r="E8430" s="3"/>
      <c r="F8430" s="3"/>
      <c r="G8430" s="3"/>
      <c r="H8430" s="3"/>
      <c r="I8430" s="3"/>
      <c r="J8430" s="3"/>
      <c r="K8430" s="3"/>
      <c r="L8430" s="3"/>
      <c r="M8430" s="3"/>
      <c r="N8430" s="3"/>
      <c r="O8430" s="3"/>
    </row>
    <row r="8431" spans="1:15" ht="15" customHeight="1" x14ac:dyDescent="0.25">
      <c r="A8431" s="2"/>
      <c r="B8431" s="2"/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</row>
    <row r="8432" spans="1:15" ht="15" customHeight="1" x14ac:dyDescent="0.25">
      <c r="A8432" s="3"/>
      <c r="B8432" s="3"/>
      <c r="C8432" s="3"/>
      <c r="D8432" s="3"/>
      <c r="E8432" s="3"/>
      <c r="F8432" s="3"/>
      <c r="G8432" s="3"/>
      <c r="H8432" s="3"/>
      <c r="I8432" s="3"/>
      <c r="J8432" s="3"/>
      <c r="K8432" s="3"/>
      <c r="L8432" s="3"/>
      <c r="M8432" s="3"/>
      <c r="N8432" s="3"/>
      <c r="O8432" s="3"/>
    </row>
    <row r="8433" spans="1:15" ht="15" customHeight="1" x14ac:dyDescent="0.25">
      <c r="A8433" s="2"/>
      <c r="B8433" s="2"/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</row>
    <row r="8434" spans="1:15" ht="15" customHeight="1" x14ac:dyDescent="0.25">
      <c r="A8434" s="3"/>
      <c r="B8434" s="3"/>
      <c r="C8434" s="3"/>
      <c r="D8434" s="3"/>
      <c r="E8434" s="3"/>
      <c r="F8434" s="3"/>
      <c r="G8434" s="3"/>
      <c r="H8434" s="3"/>
      <c r="I8434" s="3"/>
      <c r="J8434" s="3"/>
      <c r="K8434" s="3"/>
      <c r="L8434" s="3"/>
      <c r="M8434" s="3"/>
      <c r="N8434" s="3"/>
      <c r="O8434" s="3"/>
    </row>
    <row r="8435" spans="1:15" ht="15" customHeight="1" x14ac:dyDescent="0.25">
      <c r="A8435" s="2"/>
      <c r="B8435" s="2"/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</row>
    <row r="8436" spans="1:15" ht="15" customHeight="1" x14ac:dyDescent="0.25">
      <c r="A8436" s="3"/>
      <c r="B8436" s="3"/>
      <c r="C8436" s="3"/>
      <c r="D8436" s="3"/>
      <c r="E8436" s="3"/>
      <c r="F8436" s="3"/>
      <c r="G8436" s="3"/>
      <c r="H8436" s="3"/>
      <c r="I8436" s="3"/>
      <c r="J8436" s="3"/>
      <c r="K8436" s="3"/>
      <c r="L8436" s="3"/>
      <c r="M8436" s="3"/>
      <c r="N8436" s="3"/>
      <c r="O8436" s="3"/>
    </row>
    <row r="8437" spans="1:15" ht="15" customHeight="1" x14ac:dyDescent="0.25">
      <c r="A8437" s="2"/>
      <c r="B8437" s="2"/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</row>
    <row r="8438" spans="1:15" ht="15" customHeight="1" x14ac:dyDescent="0.25">
      <c r="A8438" s="3"/>
      <c r="B8438" s="3"/>
      <c r="C8438" s="3"/>
      <c r="D8438" s="3"/>
      <c r="E8438" s="3"/>
      <c r="F8438" s="3"/>
      <c r="G8438" s="3"/>
      <c r="H8438" s="3"/>
      <c r="I8438" s="3"/>
      <c r="J8438" s="3"/>
      <c r="K8438" s="3"/>
      <c r="L8438" s="3"/>
      <c r="M8438" s="3"/>
      <c r="N8438" s="3"/>
      <c r="O8438" s="3"/>
    </row>
    <row r="8439" spans="1:15" ht="15" customHeight="1" x14ac:dyDescent="0.25">
      <c r="A8439" s="2"/>
      <c r="B8439" s="2"/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</row>
    <row r="8440" spans="1:15" ht="15" customHeight="1" x14ac:dyDescent="0.25">
      <c r="A8440" s="3"/>
      <c r="B8440" s="3"/>
      <c r="C8440" s="3"/>
      <c r="D8440" s="3"/>
      <c r="E8440" s="3"/>
      <c r="F8440" s="3"/>
      <c r="G8440" s="3"/>
      <c r="H8440" s="3"/>
      <c r="I8440" s="3"/>
      <c r="J8440" s="3"/>
      <c r="K8440" s="3"/>
      <c r="L8440" s="3"/>
      <c r="M8440" s="3"/>
      <c r="N8440" s="3"/>
      <c r="O8440" s="3"/>
    </row>
    <row r="8441" spans="1:15" ht="15" customHeight="1" x14ac:dyDescent="0.25">
      <c r="A8441" s="2"/>
      <c r="B8441" s="2"/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</row>
    <row r="8442" spans="1:15" ht="15" customHeight="1" x14ac:dyDescent="0.25">
      <c r="A8442" s="3"/>
      <c r="B8442" s="3"/>
      <c r="C8442" s="3"/>
      <c r="D8442" s="3"/>
      <c r="E8442" s="3"/>
      <c r="F8442" s="3"/>
      <c r="G8442" s="3"/>
      <c r="H8442" s="3"/>
      <c r="I8442" s="3"/>
      <c r="J8442" s="3"/>
      <c r="K8442" s="3"/>
      <c r="L8442" s="3"/>
      <c r="M8442" s="3"/>
      <c r="N8442" s="3"/>
      <c r="O8442" s="3"/>
    </row>
    <row r="8443" spans="1:15" ht="15" customHeight="1" x14ac:dyDescent="0.25">
      <c r="A8443" s="2"/>
      <c r="B8443" s="2"/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</row>
    <row r="8444" spans="1:15" ht="15" customHeight="1" x14ac:dyDescent="0.25">
      <c r="A8444" s="3"/>
      <c r="B8444" s="3"/>
      <c r="C8444" s="3"/>
      <c r="D8444" s="3"/>
      <c r="E8444" s="3"/>
      <c r="F8444" s="3"/>
      <c r="G8444" s="3"/>
      <c r="H8444" s="3"/>
      <c r="I8444" s="3"/>
      <c r="J8444" s="3"/>
      <c r="K8444" s="3"/>
      <c r="L8444" s="3"/>
      <c r="M8444" s="3"/>
      <c r="N8444" s="3"/>
      <c r="O8444" s="3"/>
    </row>
    <row r="8445" spans="1:15" ht="15" customHeight="1" x14ac:dyDescent="0.25">
      <c r="A8445" s="2"/>
      <c r="B8445" s="2"/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</row>
    <row r="8446" spans="1:15" ht="15" customHeight="1" x14ac:dyDescent="0.25">
      <c r="A8446" s="3"/>
      <c r="B8446" s="3"/>
      <c r="C8446" s="3"/>
      <c r="D8446" s="3"/>
      <c r="E8446" s="3"/>
      <c r="F8446" s="3"/>
      <c r="G8446" s="3"/>
      <c r="H8446" s="3"/>
      <c r="I8446" s="3"/>
      <c r="J8446" s="3"/>
      <c r="K8446" s="3"/>
      <c r="L8446" s="3"/>
      <c r="M8446" s="3"/>
      <c r="N8446" s="3"/>
      <c r="O8446" s="3"/>
    </row>
    <row r="8447" spans="1:15" ht="15" customHeight="1" x14ac:dyDescent="0.25">
      <c r="A8447" s="2"/>
      <c r="B8447" s="2"/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</row>
    <row r="8448" spans="1:15" ht="15" customHeight="1" x14ac:dyDescent="0.25">
      <c r="A8448" s="3"/>
      <c r="B8448" s="3"/>
      <c r="C8448" s="3"/>
      <c r="D8448" s="3"/>
      <c r="E8448" s="3"/>
      <c r="F8448" s="3"/>
      <c r="G8448" s="3"/>
      <c r="H8448" s="3"/>
      <c r="I8448" s="3"/>
      <c r="J8448" s="3"/>
      <c r="K8448" s="3"/>
      <c r="L8448" s="3"/>
      <c r="M8448" s="3"/>
      <c r="N8448" s="3"/>
      <c r="O8448" s="3"/>
    </row>
    <row r="8449" spans="1:15" ht="15" customHeight="1" x14ac:dyDescent="0.25">
      <c r="A8449" s="2"/>
      <c r="B8449" s="2"/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</row>
    <row r="8450" spans="1:15" ht="15" customHeight="1" x14ac:dyDescent="0.25">
      <c r="A8450" s="3"/>
      <c r="B8450" s="3"/>
      <c r="C8450" s="3"/>
      <c r="D8450" s="3"/>
      <c r="E8450" s="3"/>
      <c r="F8450" s="3"/>
      <c r="G8450" s="3"/>
      <c r="H8450" s="3"/>
      <c r="I8450" s="3"/>
      <c r="J8450" s="3"/>
      <c r="K8450" s="3"/>
      <c r="L8450" s="3"/>
      <c r="M8450" s="3"/>
      <c r="N8450" s="3"/>
      <c r="O8450" s="3"/>
    </row>
    <row r="8451" spans="1:15" ht="15" customHeight="1" x14ac:dyDescent="0.25">
      <c r="A8451" s="2"/>
      <c r="B8451" s="2"/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</row>
    <row r="8452" spans="1:15" ht="15" customHeight="1" x14ac:dyDescent="0.25">
      <c r="A8452" s="3"/>
      <c r="B8452" s="3"/>
      <c r="C8452" s="3"/>
      <c r="D8452" s="3"/>
      <c r="E8452" s="3"/>
      <c r="F8452" s="3"/>
      <c r="G8452" s="3"/>
      <c r="H8452" s="3"/>
      <c r="I8452" s="3"/>
      <c r="J8452" s="3"/>
      <c r="K8452" s="3"/>
      <c r="L8452" s="3"/>
      <c r="M8452" s="3"/>
      <c r="N8452" s="3"/>
      <c r="O8452" s="3"/>
    </row>
    <row r="8453" spans="1:15" ht="15" customHeight="1" x14ac:dyDescent="0.25">
      <c r="A8453" s="2"/>
      <c r="B8453" s="2"/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</row>
    <row r="8454" spans="1:15" ht="15" customHeight="1" x14ac:dyDescent="0.25">
      <c r="A8454" s="3"/>
      <c r="B8454" s="3"/>
      <c r="C8454" s="3"/>
      <c r="D8454" s="3"/>
      <c r="E8454" s="3"/>
      <c r="F8454" s="3"/>
      <c r="G8454" s="3"/>
      <c r="H8454" s="3"/>
      <c r="I8454" s="3"/>
      <c r="J8454" s="3"/>
      <c r="K8454" s="3"/>
      <c r="L8454" s="3"/>
      <c r="M8454" s="3"/>
      <c r="N8454" s="3"/>
      <c r="O8454" s="3"/>
    </row>
    <row r="8455" spans="1:15" ht="15" customHeight="1" x14ac:dyDescent="0.25">
      <c r="A8455" s="2"/>
      <c r="B8455" s="2"/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</row>
    <row r="8456" spans="1:15" ht="15" customHeight="1" x14ac:dyDescent="0.25">
      <c r="A8456" s="3"/>
      <c r="B8456" s="3"/>
      <c r="C8456" s="3"/>
      <c r="D8456" s="3"/>
      <c r="E8456" s="3"/>
      <c r="F8456" s="3"/>
      <c r="G8456" s="3"/>
      <c r="H8456" s="3"/>
      <c r="I8456" s="3"/>
      <c r="J8456" s="3"/>
      <c r="K8456" s="3"/>
      <c r="L8456" s="3"/>
      <c r="M8456" s="3"/>
      <c r="N8456" s="3"/>
      <c r="O8456" s="3"/>
    </row>
    <row r="8457" spans="1:15" ht="15" customHeight="1" x14ac:dyDescent="0.25">
      <c r="A8457" s="2"/>
      <c r="B8457" s="2"/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</row>
    <row r="8458" spans="1:15" ht="15" customHeight="1" x14ac:dyDescent="0.25">
      <c r="A8458" s="3"/>
      <c r="B8458" s="3"/>
      <c r="C8458" s="3"/>
      <c r="D8458" s="3"/>
      <c r="E8458" s="3"/>
      <c r="F8458" s="3"/>
      <c r="G8458" s="3"/>
      <c r="H8458" s="3"/>
      <c r="I8458" s="3"/>
      <c r="J8458" s="3"/>
      <c r="K8458" s="3"/>
      <c r="L8458" s="3"/>
      <c r="M8458" s="3"/>
      <c r="N8458" s="3"/>
      <c r="O8458" s="3"/>
    </row>
    <row r="8459" spans="1:15" ht="15" customHeight="1" x14ac:dyDescent="0.25">
      <c r="A8459" s="2"/>
      <c r="B8459" s="2"/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</row>
    <row r="8460" spans="1:15" ht="15" customHeight="1" x14ac:dyDescent="0.25">
      <c r="A8460" s="3"/>
      <c r="B8460" s="3"/>
      <c r="C8460" s="3"/>
      <c r="D8460" s="3"/>
      <c r="E8460" s="3"/>
      <c r="F8460" s="3"/>
      <c r="G8460" s="3"/>
      <c r="H8460" s="3"/>
      <c r="I8460" s="3"/>
      <c r="J8460" s="3"/>
      <c r="K8460" s="3"/>
      <c r="L8460" s="3"/>
      <c r="M8460" s="3"/>
      <c r="N8460" s="3"/>
      <c r="O8460" s="3"/>
    </row>
    <row r="8461" spans="1:15" ht="15" customHeight="1" x14ac:dyDescent="0.25">
      <c r="A8461" s="2"/>
      <c r="B8461" s="2"/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</row>
    <row r="8462" spans="1:15" ht="15" customHeight="1" x14ac:dyDescent="0.25">
      <c r="A8462" s="3"/>
      <c r="B8462" s="3"/>
      <c r="C8462" s="3"/>
      <c r="D8462" s="3"/>
      <c r="E8462" s="3"/>
      <c r="F8462" s="3"/>
      <c r="G8462" s="3"/>
      <c r="H8462" s="3"/>
      <c r="I8462" s="3"/>
      <c r="J8462" s="3"/>
      <c r="K8462" s="3"/>
      <c r="L8462" s="3"/>
      <c r="M8462" s="3"/>
      <c r="N8462" s="3"/>
      <c r="O8462" s="3"/>
    </row>
    <row r="8463" spans="1:15" ht="15" customHeight="1" x14ac:dyDescent="0.25">
      <c r="A8463" s="2"/>
      <c r="B8463" s="2"/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</row>
    <row r="8464" spans="1:15" ht="15" customHeight="1" x14ac:dyDescent="0.25">
      <c r="A8464" s="3"/>
      <c r="B8464" s="3"/>
      <c r="C8464" s="3"/>
      <c r="D8464" s="3"/>
      <c r="E8464" s="3"/>
      <c r="F8464" s="3"/>
      <c r="G8464" s="3"/>
      <c r="H8464" s="3"/>
      <c r="I8464" s="3"/>
      <c r="J8464" s="3"/>
      <c r="K8464" s="3"/>
      <c r="L8464" s="3"/>
      <c r="M8464" s="3"/>
      <c r="N8464" s="3"/>
      <c r="O8464" s="3"/>
    </row>
    <row r="8465" spans="1:15" ht="15" customHeight="1" x14ac:dyDescent="0.25">
      <c r="A8465" s="2"/>
      <c r="B8465" s="2"/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</row>
    <row r="8466" spans="1:15" ht="15" customHeight="1" x14ac:dyDescent="0.25">
      <c r="A8466" s="3"/>
      <c r="B8466" s="3"/>
      <c r="C8466" s="3"/>
      <c r="D8466" s="3"/>
      <c r="E8466" s="3"/>
      <c r="F8466" s="3"/>
      <c r="G8466" s="3"/>
      <c r="H8466" s="3"/>
      <c r="I8466" s="3"/>
      <c r="J8466" s="3"/>
      <c r="K8466" s="3"/>
      <c r="L8466" s="3"/>
      <c r="M8466" s="3"/>
      <c r="N8466" s="3"/>
      <c r="O8466" s="3"/>
    </row>
    <row r="8467" spans="1:15" ht="15" customHeight="1" x14ac:dyDescent="0.25">
      <c r="A8467" s="2"/>
      <c r="B8467" s="2"/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</row>
    <row r="8468" spans="1:15" ht="15" customHeight="1" x14ac:dyDescent="0.25">
      <c r="A8468" s="3"/>
      <c r="B8468" s="3"/>
      <c r="C8468" s="3"/>
      <c r="D8468" s="3"/>
      <c r="E8468" s="3"/>
      <c r="F8468" s="3"/>
      <c r="G8468" s="3"/>
      <c r="H8468" s="3"/>
      <c r="I8468" s="3"/>
      <c r="J8468" s="3"/>
      <c r="K8468" s="3"/>
      <c r="L8468" s="3"/>
      <c r="M8468" s="3"/>
      <c r="N8468" s="3"/>
      <c r="O8468" s="3"/>
    </row>
    <row r="8469" spans="1:15" ht="15" customHeight="1" x14ac:dyDescent="0.25">
      <c r="A8469" s="2"/>
      <c r="B8469" s="2"/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</row>
    <row r="8470" spans="1:15" ht="15" customHeight="1" x14ac:dyDescent="0.25">
      <c r="A8470" s="3"/>
      <c r="B8470" s="3"/>
      <c r="C8470" s="3"/>
      <c r="D8470" s="3"/>
      <c r="E8470" s="3"/>
      <c r="F8470" s="3"/>
      <c r="G8470" s="3"/>
      <c r="H8470" s="3"/>
      <c r="I8470" s="3"/>
      <c r="J8470" s="3"/>
      <c r="K8470" s="3"/>
      <c r="L8470" s="3"/>
      <c r="M8470" s="3"/>
      <c r="N8470" s="3"/>
      <c r="O8470" s="3"/>
    </row>
    <row r="8471" spans="1:15" ht="15" customHeight="1" x14ac:dyDescent="0.25">
      <c r="A8471" s="2"/>
      <c r="B8471" s="2"/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</row>
    <row r="8472" spans="1:15" ht="15" customHeight="1" x14ac:dyDescent="0.25">
      <c r="A8472" s="3"/>
      <c r="B8472" s="3"/>
      <c r="C8472" s="3"/>
      <c r="D8472" s="3"/>
      <c r="E8472" s="3"/>
      <c r="F8472" s="3"/>
      <c r="G8472" s="3"/>
      <c r="H8472" s="3"/>
      <c r="I8472" s="3"/>
      <c r="J8472" s="3"/>
      <c r="K8472" s="3"/>
      <c r="L8472" s="3"/>
      <c r="M8472" s="3"/>
      <c r="N8472" s="3"/>
      <c r="O8472" s="3"/>
    </row>
    <row r="8473" spans="1:15" ht="15" customHeight="1" x14ac:dyDescent="0.25">
      <c r="A8473" s="2"/>
      <c r="B8473" s="2"/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</row>
    <row r="8474" spans="1:15" ht="15" customHeight="1" x14ac:dyDescent="0.25">
      <c r="A8474" s="3"/>
      <c r="B8474" s="3"/>
      <c r="C8474" s="3"/>
      <c r="D8474" s="3"/>
      <c r="E8474" s="3"/>
      <c r="F8474" s="3"/>
      <c r="G8474" s="3"/>
      <c r="H8474" s="3"/>
      <c r="I8474" s="3"/>
      <c r="J8474" s="3"/>
      <c r="K8474" s="3"/>
      <c r="L8474" s="3"/>
      <c r="M8474" s="3"/>
      <c r="N8474" s="3"/>
      <c r="O8474" s="3"/>
    </row>
    <row r="8475" spans="1:15" ht="15" customHeight="1" x14ac:dyDescent="0.25">
      <c r="A8475" s="2"/>
      <c r="B8475" s="2"/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</row>
    <row r="8476" spans="1:15" ht="15" customHeight="1" x14ac:dyDescent="0.25">
      <c r="A8476" s="3"/>
      <c r="B8476" s="3"/>
      <c r="C8476" s="3"/>
      <c r="D8476" s="3"/>
      <c r="E8476" s="3"/>
      <c r="F8476" s="3"/>
      <c r="G8476" s="3"/>
      <c r="H8476" s="3"/>
      <c r="I8476" s="3"/>
      <c r="J8476" s="3"/>
      <c r="K8476" s="3"/>
      <c r="L8476" s="3"/>
      <c r="M8476" s="3"/>
      <c r="N8476" s="3"/>
      <c r="O8476" s="3"/>
    </row>
    <row r="8477" spans="1:15" ht="15" customHeight="1" x14ac:dyDescent="0.25">
      <c r="A8477" s="2"/>
      <c r="B8477" s="2"/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</row>
    <row r="8478" spans="1:15" ht="15" customHeight="1" x14ac:dyDescent="0.25">
      <c r="A8478" s="3"/>
      <c r="B8478" s="3"/>
      <c r="C8478" s="3"/>
      <c r="D8478" s="3"/>
      <c r="E8478" s="3"/>
      <c r="F8478" s="3"/>
      <c r="G8478" s="3"/>
      <c r="H8478" s="3"/>
      <c r="I8478" s="3"/>
      <c r="J8478" s="3"/>
      <c r="K8478" s="3"/>
      <c r="L8478" s="3"/>
      <c r="M8478" s="3"/>
      <c r="N8478" s="3"/>
      <c r="O8478" s="3"/>
    </row>
    <row r="8479" spans="1:15" ht="15" customHeight="1" x14ac:dyDescent="0.25">
      <c r="A8479" s="2"/>
      <c r="B8479" s="2"/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</row>
    <row r="8480" spans="1:15" ht="15" customHeight="1" x14ac:dyDescent="0.25">
      <c r="A8480" s="3"/>
      <c r="B8480" s="3"/>
      <c r="C8480" s="3"/>
      <c r="D8480" s="3"/>
      <c r="E8480" s="3"/>
      <c r="F8480" s="3"/>
      <c r="G8480" s="3"/>
      <c r="H8480" s="3"/>
      <c r="I8480" s="3"/>
      <c r="J8480" s="3"/>
      <c r="K8480" s="3"/>
      <c r="L8480" s="3"/>
      <c r="M8480" s="3"/>
      <c r="N8480" s="3"/>
      <c r="O8480" s="3"/>
    </row>
    <row r="8481" spans="1:15" ht="15" customHeight="1" x14ac:dyDescent="0.25">
      <c r="A8481" s="2"/>
      <c r="B8481" s="2"/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</row>
    <row r="8482" spans="1:15" ht="15" customHeight="1" x14ac:dyDescent="0.25">
      <c r="A8482" s="3"/>
      <c r="B8482" s="3"/>
      <c r="C8482" s="3"/>
      <c r="D8482" s="3"/>
      <c r="E8482" s="3"/>
      <c r="F8482" s="3"/>
      <c r="G8482" s="3"/>
      <c r="H8482" s="3"/>
      <c r="I8482" s="3"/>
      <c r="J8482" s="3"/>
      <c r="K8482" s="3"/>
      <c r="L8482" s="3"/>
      <c r="M8482" s="3"/>
      <c r="N8482" s="3"/>
      <c r="O8482" s="3"/>
    </row>
    <row r="8483" spans="1:15" ht="15" customHeight="1" x14ac:dyDescent="0.25">
      <c r="A8483" s="2"/>
      <c r="B8483" s="2"/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</row>
    <row r="8484" spans="1:15" ht="15" customHeight="1" x14ac:dyDescent="0.25">
      <c r="A8484" s="3"/>
      <c r="B8484" s="3"/>
      <c r="C8484" s="3"/>
      <c r="D8484" s="3"/>
      <c r="E8484" s="3"/>
      <c r="F8484" s="3"/>
      <c r="G8484" s="3"/>
      <c r="H8484" s="3"/>
      <c r="I8484" s="3"/>
      <c r="J8484" s="3"/>
      <c r="K8484" s="3"/>
      <c r="L8484" s="3"/>
      <c r="M8484" s="3"/>
      <c r="N8484" s="3"/>
      <c r="O8484" s="3"/>
    </row>
    <row r="8485" spans="1:15" ht="15" customHeight="1" x14ac:dyDescent="0.25">
      <c r="A8485" s="2"/>
      <c r="B8485" s="2"/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</row>
    <row r="8486" spans="1:15" ht="15" customHeight="1" x14ac:dyDescent="0.25">
      <c r="A8486" s="3"/>
      <c r="B8486" s="3"/>
      <c r="C8486" s="3"/>
      <c r="D8486" s="3"/>
      <c r="E8486" s="3"/>
      <c r="F8486" s="3"/>
      <c r="G8486" s="3"/>
      <c r="H8486" s="3"/>
      <c r="I8486" s="3"/>
      <c r="J8486" s="3"/>
      <c r="K8486" s="3"/>
      <c r="L8486" s="3"/>
      <c r="M8486" s="3"/>
      <c r="N8486" s="3"/>
      <c r="O8486" s="3"/>
    </row>
    <row r="8487" spans="1:15" ht="15" customHeight="1" x14ac:dyDescent="0.25">
      <c r="A8487" s="2"/>
      <c r="B8487" s="2"/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</row>
    <row r="8488" spans="1:15" ht="15" customHeight="1" x14ac:dyDescent="0.25">
      <c r="A8488" s="3"/>
      <c r="B8488" s="3"/>
      <c r="C8488" s="3"/>
      <c r="D8488" s="3"/>
      <c r="E8488" s="3"/>
      <c r="F8488" s="3"/>
      <c r="G8488" s="3"/>
      <c r="H8488" s="3"/>
      <c r="I8488" s="3"/>
      <c r="J8488" s="3"/>
      <c r="K8488" s="3"/>
      <c r="L8488" s="3"/>
      <c r="M8488" s="3"/>
      <c r="N8488" s="3"/>
      <c r="O8488" s="3"/>
    </row>
    <row r="8489" spans="1:15" ht="15" customHeight="1" x14ac:dyDescent="0.25">
      <c r="A8489" s="2"/>
      <c r="B8489" s="2"/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</row>
    <row r="8490" spans="1:15" ht="15" customHeight="1" x14ac:dyDescent="0.25">
      <c r="A8490" s="3"/>
      <c r="B8490" s="3"/>
      <c r="C8490" s="3"/>
      <c r="D8490" s="3"/>
      <c r="E8490" s="3"/>
      <c r="F8490" s="3"/>
      <c r="G8490" s="3"/>
      <c r="H8490" s="3"/>
      <c r="I8490" s="3"/>
      <c r="J8490" s="3"/>
      <c r="K8490" s="3"/>
      <c r="L8490" s="3"/>
      <c r="M8490" s="3"/>
      <c r="N8490" s="3"/>
      <c r="O8490" s="3"/>
    </row>
    <row r="8491" spans="1:15" ht="15" customHeight="1" x14ac:dyDescent="0.25">
      <c r="A8491" s="2"/>
      <c r="B8491" s="2"/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</row>
    <row r="8492" spans="1:15" ht="15" customHeight="1" x14ac:dyDescent="0.25">
      <c r="A8492" s="3"/>
      <c r="B8492" s="3"/>
      <c r="C8492" s="3"/>
      <c r="D8492" s="3"/>
      <c r="E8492" s="3"/>
      <c r="F8492" s="3"/>
      <c r="G8492" s="3"/>
      <c r="H8492" s="3"/>
      <c r="I8492" s="3"/>
      <c r="J8492" s="3"/>
      <c r="K8492" s="3"/>
      <c r="L8492" s="3"/>
      <c r="M8492" s="3"/>
      <c r="N8492" s="3"/>
      <c r="O8492" s="3"/>
    </row>
    <row r="8493" spans="1:15" ht="15" customHeight="1" x14ac:dyDescent="0.25">
      <c r="A8493" s="2"/>
      <c r="B8493" s="2"/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</row>
    <row r="8494" spans="1:15" ht="15" customHeight="1" x14ac:dyDescent="0.25">
      <c r="A8494" s="3"/>
      <c r="B8494" s="3"/>
      <c r="C8494" s="3"/>
      <c r="D8494" s="3"/>
      <c r="E8494" s="3"/>
      <c r="F8494" s="3"/>
      <c r="G8494" s="3"/>
      <c r="H8494" s="3"/>
      <c r="I8494" s="3"/>
      <c r="J8494" s="3"/>
      <c r="K8494" s="3"/>
      <c r="L8494" s="3"/>
      <c r="M8494" s="3"/>
      <c r="N8494" s="3"/>
      <c r="O8494" s="3"/>
    </row>
    <row r="8495" spans="1:15" ht="15" customHeight="1" x14ac:dyDescent="0.25">
      <c r="A8495" s="2"/>
      <c r="B8495" s="2"/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</row>
    <row r="8496" spans="1:15" ht="15" customHeight="1" x14ac:dyDescent="0.25">
      <c r="A8496" s="3"/>
      <c r="B8496" s="3"/>
      <c r="C8496" s="3"/>
      <c r="D8496" s="3"/>
      <c r="E8496" s="3"/>
      <c r="F8496" s="3"/>
      <c r="G8496" s="3"/>
      <c r="H8496" s="3"/>
      <c r="I8496" s="3"/>
      <c r="J8496" s="3"/>
      <c r="K8496" s="3"/>
      <c r="L8496" s="3"/>
      <c r="M8496" s="3"/>
      <c r="N8496" s="3"/>
      <c r="O8496" s="3"/>
    </row>
    <row r="8497" spans="1:15" ht="15" customHeight="1" x14ac:dyDescent="0.25">
      <c r="A8497" s="2"/>
      <c r="B8497" s="2"/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</row>
    <row r="8498" spans="1:15" ht="15" customHeight="1" x14ac:dyDescent="0.25">
      <c r="A8498" s="3"/>
      <c r="B8498" s="3"/>
      <c r="C8498" s="3"/>
      <c r="D8498" s="3"/>
      <c r="E8498" s="3"/>
      <c r="F8498" s="3"/>
      <c r="G8498" s="3"/>
      <c r="H8498" s="3"/>
      <c r="I8498" s="3"/>
      <c r="J8498" s="3"/>
      <c r="K8498" s="3"/>
      <c r="L8498" s="3"/>
      <c r="M8498" s="3"/>
      <c r="N8498" s="3"/>
      <c r="O8498" s="3"/>
    </row>
    <row r="8499" spans="1:15" ht="15" customHeight="1" x14ac:dyDescent="0.25">
      <c r="A8499" s="2"/>
      <c r="B8499" s="2"/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</row>
    <row r="8500" spans="1:15" ht="15" customHeight="1" x14ac:dyDescent="0.25">
      <c r="A8500" s="3"/>
      <c r="B8500" s="3"/>
      <c r="C8500" s="3"/>
      <c r="D8500" s="3"/>
      <c r="E8500" s="3"/>
      <c r="F8500" s="3"/>
      <c r="G8500" s="3"/>
      <c r="H8500" s="3"/>
      <c r="I8500" s="3"/>
      <c r="J8500" s="3"/>
      <c r="K8500" s="3"/>
      <c r="L8500" s="3"/>
      <c r="M8500" s="3"/>
      <c r="N8500" s="3"/>
      <c r="O8500" s="3"/>
    </row>
    <row r="8501" spans="1:15" ht="15" customHeight="1" x14ac:dyDescent="0.25">
      <c r="A8501" s="2"/>
      <c r="B8501" s="2"/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</row>
    <row r="8502" spans="1:15" ht="15" customHeight="1" x14ac:dyDescent="0.25">
      <c r="A8502" s="3"/>
      <c r="B8502" s="3"/>
      <c r="C8502" s="3"/>
      <c r="D8502" s="3"/>
      <c r="E8502" s="3"/>
      <c r="F8502" s="3"/>
      <c r="G8502" s="3"/>
      <c r="H8502" s="3"/>
      <c r="I8502" s="3"/>
      <c r="J8502" s="3"/>
      <c r="K8502" s="3"/>
      <c r="L8502" s="3"/>
      <c r="M8502" s="3"/>
      <c r="N8502" s="3"/>
      <c r="O8502" s="3"/>
    </row>
    <row r="8503" spans="1:15" ht="15" customHeight="1" x14ac:dyDescent="0.25">
      <c r="A8503" s="2"/>
      <c r="B8503" s="2"/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</row>
    <row r="8504" spans="1:15" ht="15" customHeight="1" x14ac:dyDescent="0.25">
      <c r="A8504" s="3"/>
      <c r="B8504" s="3"/>
      <c r="C8504" s="3"/>
      <c r="D8504" s="3"/>
      <c r="E8504" s="3"/>
      <c r="F8504" s="3"/>
      <c r="G8504" s="3"/>
      <c r="H8504" s="3"/>
      <c r="I8504" s="3"/>
      <c r="J8504" s="3"/>
      <c r="K8504" s="3"/>
      <c r="L8504" s="3"/>
      <c r="M8504" s="3"/>
      <c r="N8504" s="3"/>
      <c r="O8504" s="3"/>
    </row>
    <row r="8505" spans="1:15" ht="15" customHeight="1" x14ac:dyDescent="0.25">
      <c r="A8505" s="2"/>
      <c r="B8505" s="2"/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</row>
    <row r="8506" spans="1:15" ht="15" customHeight="1" x14ac:dyDescent="0.25">
      <c r="A8506" s="3"/>
      <c r="B8506" s="3"/>
      <c r="C8506" s="3"/>
      <c r="D8506" s="3"/>
      <c r="E8506" s="3"/>
      <c r="F8506" s="3"/>
      <c r="G8506" s="3"/>
      <c r="H8506" s="3"/>
      <c r="I8506" s="3"/>
      <c r="J8506" s="3"/>
      <c r="K8506" s="3"/>
      <c r="L8506" s="3"/>
      <c r="M8506" s="3"/>
      <c r="N8506" s="3"/>
      <c r="O8506" s="3"/>
    </row>
    <row r="8507" spans="1:15" ht="15" customHeight="1" x14ac:dyDescent="0.25">
      <c r="A8507" s="2"/>
      <c r="B8507" s="2"/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</row>
    <row r="8508" spans="1:15" ht="15" customHeight="1" x14ac:dyDescent="0.25">
      <c r="A8508" s="3"/>
      <c r="B8508" s="3"/>
      <c r="C8508" s="3"/>
      <c r="D8508" s="3"/>
      <c r="E8508" s="3"/>
      <c r="F8508" s="3"/>
      <c r="G8508" s="3"/>
      <c r="H8508" s="3"/>
      <c r="I8508" s="3"/>
      <c r="J8508" s="3"/>
      <c r="K8508" s="3"/>
      <c r="L8508" s="3"/>
      <c r="M8508" s="3"/>
      <c r="N8508" s="3"/>
      <c r="O8508" s="3"/>
    </row>
    <row r="8509" spans="1:15" ht="15" customHeight="1" x14ac:dyDescent="0.25">
      <c r="A8509" s="2"/>
      <c r="B8509" s="2"/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</row>
    <row r="8510" spans="1:15" ht="15" customHeight="1" x14ac:dyDescent="0.25">
      <c r="A8510" s="3"/>
      <c r="B8510" s="3"/>
      <c r="C8510" s="3"/>
      <c r="D8510" s="3"/>
      <c r="E8510" s="3"/>
      <c r="F8510" s="3"/>
      <c r="G8510" s="3"/>
      <c r="H8510" s="3"/>
      <c r="I8510" s="3"/>
      <c r="J8510" s="3"/>
      <c r="K8510" s="3"/>
      <c r="L8510" s="3"/>
      <c r="M8510" s="3"/>
      <c r="N8510" s="3"/>
      <c r="O8510" s="3"/>
    </row>
    <row r="8511" spans="1:15" ht="15" customHeight="1" x14ac:dyDescent="0.25">
      <c r="A8511" s="2"/>
      <c r="B8511" s="2"/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</row>
    <row r="8512" spans="1:15" ht="15" customHeight="1" x14ac:dyDescent="0.25">
      <c r="A8512" s="3"/>
      <c r="B8512" s="3"/>
      <c r="C8512" s="3"/>
      <c r="D8512" s="3"/>
      <c r="E8512" s="3"/>
      <c r="F8512" s="3"/>
      <c r="G8512" s="3"/>
      <c r="H8512" s="3"/>
      <c r="I8512" s="3"/>
      <c r="J8512" s="3"/>
      <c r="K8512" s="3"/>
      <c r="L8512" s="3"/>
      <c r="M8512" s="3"/>
      <c r="N8512" s="3"/>
      <c r="O8512" s="3"/>
    </row>
    <row r="8513" spans="1:15" ht="15" customHeight="1" x14ac:dyDescent="0.25">
      <c r="A8513" s="2"/>
      <c r="B8513" s="2"/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</row>
    <row r="8514" spans="1:15" ht="15" customHeight="1" x14ac:dyDescent="0.25">
      <c r="A8514" s="3"/>
      <c r="B8514" s="3"/>
      <c r="C8514" s="3"/>
      <c r="D8514" s="3"/>
      <c r="E8514" s="3"/>
      <c r="F8514" s="3"/>
      <c r="G8514" s="3"/>
      <c r="H8514" s="3"/>
      <c r="I8514" s="3"/>
      <c r="J8514" s="3"/>
      <c r="K8514" s="3"/>
      <c r="L8514" s="3"/>
      <c r="M8514" s="3"/>
      <c r="N8514" s="3"/>
      <c r="O8514" s="3"/>
    </row>
    <row r="8515" spans="1:15" ht="15" customHeight="1" x14ac:dyDescent="0.25">
      <c r="A8515" s="2"/>
      <c r="B8515" s="2"/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</row>
    <row r="8516" spans="1:15" ht="15" customHeight="1" x14ac:dyDescent="0.25">
      <c r="A8516" s="3"/>
      <c r="B8516" s="3"/>
      <c r="C8516" s="3"/>
      <c r="D8516" s="3"/>
      <c r="E8516" s="3"/>
      <c r="F8516" s="3"/>
      <c r="G8516" s="3"/>
      <c r="H8516" s="3"/>
      <c r="I8516" s="3"/>
      <c r="J8516" s="3"/>
      <c r="K8516" s="3"/>
      <c r="L8516" s="3"/>
      <c r="M8516" s="3"/>
      <c r="N8516" s="3"/>
      <c r="O8516" s="3"/>
    </row>
    <row r="8517" spans="1:15" ht="15" customHeight="1" x14ac:dyDescent="0.25">
      <c r="A8517" s="2"/>
      <c r="B8517" s="2"/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</row>
    <row r="8518" spans="1:15" ht="15" customHeight="1" x14ac:dyDescent="0.25">
      <c r="A8518" s="3"/>
      <c r="B8518" s="3"/>
      <c r="C8518" s="3"/>
      <c r="D8518" s="3"/>
      <c r="E8518" s="3"/>
      <c r="F8518" s="3"/>
      <c r="G8518" s="3"/>
      <c r="H8518" s="3"/>
      <c r="I8518" s="3"/>
      <c r="J8518" s="3"/>
      <c r="K8518" s="3"/>
      <c r="L8518" s="3"/>
      <c r="M8518" s="3"/>
      <c r="N8518" s="3"/>
      <c r="O8518" s="3"/>
    </row>
    <row r="8519" spans="1:15" ht="15" customHeight="1" x14ac:dyDescent="0.25">
      <c r="A8519" s="2"/>
      <c r="B8519" s="2"/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</row>
    <row r="8520" spans="1:15" ht="15" customHeight="1" x14ac:dyDescent="0.25">
      <c r="A8520" s="3"/>
      <c r="B8520" s="3"/>
      <c r="C8520" s="3"/>
      <c r="D8520" s="3"/>
      <c r="E8520" s="3"/>
      <c r="F8520" s="3"/>
      <c r="G8520" s="3"/>
      <c r="H8520" s="3"/>
      <c r="I8520" s="3"/>
      <c r="J8520" s="3"/>
      <c r="K8520" s="3"/>
      <c r="L8520" s="3"/>
      <c r="M8520" s="3"/>
      <c r="N8520" s="3"/>
      <c r="O8520" s="3"/>
    </row>
    <row r="8521" spans="1:15" ht="15" customHeight="1" x14ac:dyDescent="0.25">
      <c r="A8521" s="2"/>
      <c r="B8521" s="2"/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</row>
    <row r="8522" spans="1:15" ht="15" customHeight="1" x14ac:dyDescent="0.25">
      <c r="A8522" s="3"/>
      <c r="B8522" s="3"/>
      <c r="C8522" s="3"/>
      <c r="D8522" s="3"/>
      <c r="E8522" s="3"/>
      <c r="F8522" s="3"/>
      <c r="G8522" s="3"/>
      <c r="H8522" s="3"/>
      <c r="I8522" s="3"/>
      <c r="J8522" s="3"/>
      <c r="K8522" s="3"/>
      <c r="L8522" s="3"/>
      <c r="M8522" s="3"/>
      <c r="N8522" s="3"/>
      <c r="O8522" s="3"/>
    </row>
    <row r="8523" spans="1:15" ht="15" customHeight="1" x14ac:dyDescent="0.25">
      <c r="A8523" s="2"/>
      <c r="B8523" s="2"/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</row>
    <row r="8524" spans="1:15" ht="15" customHeight="1" x14ac:dyDescent="0.25">
      <c r="A8524" s="3"/>
      <c r="B8524" s="3"/>
      <c r="C8524" s="3"/>
      <c r="D8524" s="3"/>
      <c r="E8524" s="3"/>
      <c r="F8524" s="3"/>
      <c r="G8524" s="3"/>
      <c r="H8524" s="3"/>
      <c r="I8524" s="3"/>
      <c r="J8524" s="3"/>
      <c r="K8524" s="3"/>
      <c r="L8524" s="3"/>
      <c r="M8524" s="3"/>
      <c r="N8524" s="3"/>
      <c r="O8524" s="3"/>
    </row>
    <row r="8525" spans="1:15" ht="15" customHeight="1" x14ac:dyDescent="0.25">
      <c r="A8525" s="2"/>
      <c r="B8525" s="2"/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</row>
    <row r="8526" spans="1:15" ht="15" customHeight="1" x14ac:dyDescent="0.25">
      <c r="A8526" s="3"/>
      <c r="B8526" s="3"/>
      <c r="C8526" s="3"/>
      <c r="D8526" s="3"/>
      <c r="E8526" s="3"/>
      <c r="F8526" s="3"/>
      <c r="G8526" s="3"/>
      <c r="H8526" s="3"/>
      <c r="I8526" s="3"/>
      <c r="J8526" s="3"/>
      <c r="K8526" s="3"/>
      <c r="L8526" s="3"/>
      <c r="M8526" s="3"/>
      <c r="N8526" s="3"/>
      <c r="O8526" s="3"/>
    </row>
    <row r="8527" spans="1:15" ht="15" customHeight="1" x14ac:dyDescent="0.25">
      <c r="A8527" s="2"/>
      <c r="B8527" s="2"/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</row>
    <row r="8528" spans="1:15" ht="15" customHeight="1" x14ac:dyDescent="0.25">
      <c r="A8528" s="3"/>
      <c r="B8528" s="3"/>
      <c r="C8528" s="3"/>
      <c r="D8528" s="3"/>
      <c r="E8528" s="3"/>
      <c r="F8528" s="3"/>
      <c r="G8528" s="3"/>
      <c r="H8528" s="3"/>
      <c r="I8528" s="3"/>
      <c r="J8528" s="3"/>
      <c r="K8528" s="3"/>
      <c r="L8528" s="3"/>
      <c r="M8528" s="3"/>
      <c r="N8528" s="3"/>
      <c r="O8528" s="3"/>
    </row>
    <row r="8529" spans="1:15" ht="15" customHeight="1" x14ac:dyDescent="0.25">
      <c r="A8529" s="2"/>
      <c r="B8529" s="2"/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</row>
    <row r="8530" spans="1:15" ht="15" customHeight="1" x14ac:dyDescent="0.25">
      <c r="A8530" s="3"/>
      <c r="B8530" s="3"/>
      <c r="C8530" s="3"/>
      <c r="D8530" s="3"/>
      <c r="E8530" s="3"/>
      <c r="F8530" s="3"/>
      <c r="G8530" s="3"/>
      <c r="H8530" s="3"/>
      <c r="I8530" s="3"/>
      <c r="J8530" s="3"/>
      <c r="K8530" s="3"/>
      <c r="L8530" s="3"/>
      <c r="M8530" s="3"/>
      <c r="N8530" s="3"/>
      <c r="O8530" s="3"/>
    </row>
    <row r="8531" spans="1:15" ht="15" customHeight="1" x14ac:dyDescent="0.25">
      <c r="A8531" s="2"/>
      <c r="B8531" s="2"/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</row>
    <row r="8532" spans="1:15" ht="15" customHeight="1" x14ac:dyDescent="0.25">
      <c r="A8532" s="3"/>
      <c r="B8532" s="3"/>
      <c r="C8532" s="3"/>
      <c r="D8532" s="3"/>
      <c r="E8532" s="3"/>
      <c r="F8532" s="3"/>
      <c r="G8532" s="3"/>
      <c r="H8532" s="3"/>
      <c r="I8532" s="3"/>
      <c r="J8532" s="3"/>
      <c r="K8532" s="3"/>
      <c r="L8532" s="3"/>
      <c r="M8532" s="3"/>
      <c r="N8532" s="3"/>
      <c r="O8532" s="3"/>
    </row>
    <row r="8533" spans="1:15" ht="15" customHeight="1" x14ac:dyDescent="0.25">
      <c r="A8533" s="2"/>
      <c r="B8533" s="2"/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</row>
    <row r="8534" spans="1:15" ht="15" customHeight="1" x14ac:dyDescent="0.25">
      <c r="A8534" s="3"/>
      <c r="B8534" s="3"/>
      <c r="C8534" s="3"/>
      <c r="D8534" s="3"/>
      <c r="E8534" s="3"/>
      <c r="F8534" s="3"/>
      <c r="G8534" s="3"/>
      <c r="H8534" s="3"/>
      <c r="I8534" s="3"/>
      <c r="J8534" s="3"/>
      <c r="K8534" s="3"/>
      <c r="L8534" s="3"/>
      <c r="M8534" s="3"/>
      <c r="N8534" s="3"/>
      <c r="O8534" s="3"/>
    </row>
    <row r="8535" spans="1:15" ht="15" customHeight="1" x14ac:dyDescent="0.25">
      <c r="A8535" s="2"/>
      <c r="B8535" s="2"/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</row>
    <row r="8536" spans="1:15" ht="15" customHeight="1" x14ac:dyDescent="0.25">
      <c r="A8536" s="3"/>
      <c r="B8536" s="3"/>
      <c r="C8536" s="3"/>
      <c r="D8536" s="3"/>
      <c r="E8536" s="3"/>
      <c r="F8536" s="3"/>
      <c r="G8536" s="3"/>
      <c r="H8536" s="3"/>
      <c r="I8536" s="3"/>
      <c r="J8536" s="3"/>
      <c r="K8536" s="3"/>
      <c r="L8536" s="3"/>
      <c r="M8536" s="3"/>
      <c r="N8536" s="3"/>
      <c r="O8536" s="3"/>
    </row>
    <row r="8537" spans="1:15" ht="15" customHeight="1" x14ac:dyDescent="0.25">
      <c r="A8537" s="2"/>
      <c r="B8537" s="2"/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</row>
    <row r="8538" spans="1:15" ht="15" customHeight="1" x14ac:dyDescent="0.25">
      <c r="A8538" s="3"/>
      <c r="B8538" s="3"/>
      <c r="C8538" s="3"/>
      <c r="D8538" s="3"/>
      <c r="E8538" s="3"/>
      <c r="F8538" s="3"/>
      <c r="G8538" s="3"/>
      <c r="H8538" s="3"/>
      <c r="I8538" s="3"/>
      <c r="J8538" s="3"/>
      <c r="K8538" s="3"/>
      <c r="L8538" s="3"/>
      <c r="M8538" s="3"/>
      <c r="N8538" s="3"/>
      <c r="O8538" s="3"/>
    </row>
    <row r="8539" spans="1:15" ht="15" customHeight="1" x14ac:dyDescent="0.25">
      <c r="A8539" s="2"/>
      <c r="B8539" s="2"/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</row>
    <row r="8540" spans="1:15" ht="15" customHeight="1" x14ac:dyDescent="0.25">
      <c r="A8540" s="3"/>
      <c r="B8540" s="3"/>
      <c r="C8540" s="3"/>
      <c r="D8540" s="3"/>
      <c r="E8540" s="3"/>
      <c r="F8540" s="3"/>
      <c r="G8540" s="3"/>
      <c r="H8540" s="3"/>
      <c r="I8540" s="3"/>
      <c r="J8540" s="3"/>
      <c r="K8540" s="3"/>
      <c r="L8540" s="3"/>
      <c r="M8540" s="3"/>
      <c r="N8540" s="3"/>
      <c r="O8540" s="3"/>
    </row>
    <row r="8541" spans="1:15" ht="15" customHeight="1" x14ac:dyDescent="0.25">
      <c r="A8541" s="2"/>
      <c r="B8541" s="2"/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</row>
    <row r="8542" spans="1:15" ht="15" customHeight="1" x14ac:dyDescent="0.25">
      <c r="A8542" s="3"/>
      <c r="B8542" s="3"/>
      <c r="C8542" s="3"/>
      <c r="D8542" s="3"/>
      <c r="E8542" s="3"/>
      <c r="F8542" s="3"/>
      <c r="G8542" s="3"/>
      <c r="H8542" s="3"/>
      <c r="I8542" s="3"/>
      <c r="J8542" s="3"/>
      <c r="K8542" s="3"/>
      <c r="L8542" s="3"/>
      <c r="M8542" s="3"/>
      <c r="N8542" s="3"/>
      <c r="O8542" s="3"/>
    </row>
    <row r="8543" spans="1:15" ht="15" customHeight="1" x14ac:dyDescent="0.25">
      <c r="A8543" s="2"/>
      <c r="B8543" s="2"/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</row>
    <row r="8544" spans="1:15" ht="15" customHeight="1" x14ac:dyDescent="0.25">
      <c r="A8544" s="3"/>
      <c r="B8544" s="3"/>
      <c r="C8544" s="3"/>
      <c r="D8544" s="3"/>
      <c r="E8544" s="3"/>
      <c r="F8544" s="3"/>
      <c r="G8544" s="3"/>
      <c r="H8544" s="3"/>
      <c r="I8544" s="3"/>
      <c r="J8544" s="3"/>
      <c r="K8544" s="3"/>
      <c r="L8544" s="3"/>
      <c r="M8544" s="3"/>
      <c r="N8544" s="3"/>
      <c r="O8544" s="3"/>
    </row>
    <row r="8545" spans="1:15" ht="15" customHeight="1" x14ac:dyDescent="0.25">
      <c r="A8545" s="2"/>
      <c r="B8545" s="2"/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</row>
    <row r="8546" spans="1:15" ht="15" customHeight="1" x14ac:dyDescent="0.25">
      <c r="A8546" s="3"/>
      <c r="B8546" s="3"/>
      <c r="C8546" s="3"/>
      <c r="D8546" s="3"/>
      <c r="E8546" s="3"/>
      <c r="F8546" s="3"/>
      <c r="G8546" s="3"/>
      <c r="H8546" s="3"/>
      <c r="I8546" s="3"/>
      <c r="J8546" s="3"/>
      <c r="K8546" s="3"/>
      <c r="L8546" s="3"/>
      <c r="M8546" s="3"/>
      <c r="N8546" s="3"/>
      <c r="O8546" s="3"/>
    </row>
    <row r="8547" spans="1:15" ht="15" customHeight="1" x14ac:dyDescent="0.25">
      <c r="A8547" s="2"/>
      <c r="B8547" s="2"/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</row>
    <row r="8548" spans="1:15" ht="15" customHeight="1" x14ac:dyDescent="0.25">
      <c r="A8548" s="3"/>
      <c r="B8548" s="3"/>
      <c r="C8548" s="3"/>
      <c r="D8548" s="3"/>
      <c r="E8548" s="3"/>
      <c r="F8548" s="3"/>
      <c r="G8548" s="3"/>
      <c r="H8548" s="3"/>
      <c r="I8548" s="3"/>
      <c r="J8548" s="3"/>
      <c r="K8548" s="3"/>
      <c r="L8548" s="3"/>
      <c r="M8548" s="3"/>
      <c r="N8548" s="3"/>
      <c r="O8548" s="3"/>
    </row>
    <row r="8549" spans="1:15" ht="15" customHeight="1" x14ac:dyDescent="0.25">
      <c r="A8549" s="2"/>
      <c r="B8549" s="2"/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</row>
    <row r="8550" spans="1:15" ht="15" customHeight="1" x14ac:dyDescent="0.25">
      <c r="A8550" s="3"/>
      <c r="B8550" s="3"/>
      <c r="C8550" s="3"/>
      <c r="D8550" s="3"/>
      <c r="E8550" s="3"/>
      <c r="F8550" s="3"/>
      <c r="G8550" s="3"/>
      <c r="H8550" s="3"/>
      <c r="I8550" s="3"/>
      <c r="J8550" s="3"/>
      <c r="K8550" s="3"/>
      <c r="L8550" s="3"/>
      <c r="M8550" s="3"/>
      <c r="N8550" s="3"/>
      <c r="O8550" s="3"/>
    </row>
    <row r="8551" spans="1:15" ht="15" customHeight="1" x14ac:dyDescent="0.25">
      <c r="A8551" s="2"/>
      <c r="B8551" s="2"/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</row>
    <row r="8552" spans="1:15" ht="15" customHeight="1" x14ac:dyDescent="0.25">
      <c r="A8552" s="3"/>
      <c r="B8552" s="3"/>
      <c r="C8552" s="3"/>
      <c r="D8552" s="3"/>
      <c r="E8552" s="3"/>
      <c r="F8552" s="3"/>
      <c r="G8552" s="3"/>
      <c r="H8552" s="3"/>
      <c r="I8552" s="3"/>
      <c r="J8552" s="3"/>
      <c r="K8552" s="3"/>
      <c r="L8552" s="3"/>
      <c r="M8552" s="3"/>
      <c r="N8552" s="3"/>
      <c r="O8552" s="3"/>
    </row>
    <row r="8553" spans="1:15" ht="15" customHeight="1" x14ac:dyDescent="0.25">
      <c r="A8553" s="2"/>
      <c r="B8553" s="2"/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</row>
    <row r="8554" spans="1:15" ht="15" customHeight="1" x14ac:dyDescent="0.25">
      <c r="A8554" s="3"/>
      <c r="B8554" s="3"/>
      <c r="C8554" s="3"/>
      <c r="D8554" s="3"/>
      <c r="E8554" s="3"/>
      <c r="F8554" s="3"/>
      <c r="G8554" s="3"/>
      <c r="H8554" s="3"/>
      <c r="I8554" s="3"/>
      <c r="J8554" s="3"/>
      <c r="K8554" s="3"/>
      <c r="L8554" s="3"/>
      <c r="M8554" s="3"/>
      <c r="N8554" s="3"/>
      <c r="O8554" s="3"/>
    </row>
    <row r="8555" spans="1:15" ht="15" customHeight="1" x14ac:dyDescent="0.25">
      <c r="A8555" s="2"/>
      <c r="B8555" s="2"/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</row>
    <row r="8556" spans="1:15" ht="15" customHeight="1" x14ac:dyDescent="0.25">
      <c r="A8556" s="3"/>
      <c r="B8556" s="3"/>
      <c r="C8556" s="3"/>
      <c r="D8556" s="3"/>
      <c r="E8556" s="3"/>
      <c r="F8556" s="3"/>
      <c r="G8556" s="3"/>
      <c r="H8556" s="3"/>
      <c r="I8556" s="3"/>
      <c r="J8556" s="3"/>
      <c r="K8556" s="3"/>
      <c r="L8556" s="3"/>
      <c r="M8556" s="3"/>
      <c r="N8556" s="3"/>
      <c r="O8556" s="3"/>
    </row>
    <row r="8557" spans="1:15" ht="15" customHeight="1" x14ac:dyDescent="0.25">
      <c r="A8557" s="2"/>
      <c r="B8557" s="2"/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</row>
    <row r="8558" spans="1:15" ht="15" customHeight="1" x14ac:dyDescent="0.25">
      <c r="A8558" s="3"/>
      <c r="B8558" s="3"/>
      <c r="C8558" s="3"/>
      <c r="D8558" s="3"/>
      <c r="E8558" s="3"/>
      <c r="F8558" s="3"/>
      <c r="G8558" s="3"/>
      <c r="H8558" s="3"/>
      <c r="I8558" s="3"/>
      <c r="J8558" s="3"/>
      <c r="K8558" s="3"/>
      <c r="L8558" s="3"/>
      <c r="M8558" s="3"/>
      <c r="N8558" s="3"/>
      <c r="O8558" s="3"/>
    </row>
    <row r="8559" spans="1:15" ht="15" customHeight="1" x14ac:dyDescent="0.25">
      <c r="A8559" s="2"/>
      <c r="B8559" s="2"/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</row>
    <row r="8560" spans="1:15" ht="15" customHeight="1" x14ac:dyDescent="0.25">
      <c r="A8560" s="3"/>
      <c r="B8560" s="3"/>
      <c r="C8560" s="3"/>
      <c r="D8560" s="3"/>
      <c r="E8560" s="3"/>
      <c r="F8560" s="3"/>
      <c r="G8560" s="3"/>
      <c r="H8560" s="3"/>
      <c r="I8560" s="3"/>
      <c r="J8560" s="3"/>
      <c r="K8560" s="3"/>
      <c r="L8560" s="3"/>
      <c r="M8560" s="3"/>
      <c r="N8560" s="3"/>
      <c r="O8560" s="3"/>
    </row>
    <row r="8561" spans="1:15" ht="15" customHeight="1" x14ac:dyDescent="0.25">
      <c r="A8561" s="2"/>
      <c r="B8561" s="2"/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</row>
    <row r="8562" spans="1:15" ht="15" customHeight="1" x14ac:dyDescent="0.25">
      <c r="A8562" s="3"/>
      <c r="B8562" s="3"/>
      <c r="C8562" s="3"/>
      <c r="D8562" s="3"/>
      <c r="E8562" s="3"/>
      <c r="F8562" s="3"/>
      <c r="G8562" s="3"/>
      <c r="H8562" s="3"/>
      <c r="I8562" s="3"/>
      <c r="J8562" s="3"/>
      <c r="K8562" s="3"/>
      <c r="L8562" s="3"/>
      <c r="M8562" s="3"/>
      <c r="N8562" s="3"/>
      <c r="O8562" s="3"/>
    </row>
    <row r="8563" spans="1:15" ht="15" customHeight="1" x14ac:dyDescent="0.25">
      <c r="A8563" s="2"/>
      <c r="B8563" s="2"/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</row>
    <row r="8564" spans="1:15" ht="15" customHeight="1" x14ac:dyDescent="0.25">
      <c r="A8564" s="3"/>
      <c r="B8564" s="3"/>
      <c r="C8564" s="3"/>
      <c r="D8564" s="3"/>
      <c r="E8564" s="3"/>
      <c r="F8564" s="3"/>
      <c r="G8564" s="3"/>
      <c r="H8564" s="3"/>
      <c r="I8564" s="3"/>
      <c r="J8564" s="3"/>
      <c r="K8564" s="3"/>
      <c r="L8564" s="3"/>
      <c r="M8564" s="3"/>
      <c r="N8564" s="3"/>
      <c r="O8564" s="3"/>
    </row>
    <row r="8565" spans="1:15" ht="15" customHeight="1" x14ac:dyDescent="0.25">
      <c r="A8565" s="2"/>
      <c r="B8565" s="2"/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</row>
    <row r="8566" spans="1:15" ht="15" customHeight="1" x14ac:dyDescent="0.25">
      <c r="A8566" s="3"/>
      <c r="B8566" s="3"/>
      <c r="C8566" s="3"/>
      <c r="D8566" s="3"/>
      <c r="E8566" s="3"/>
      <c r="F8566" s="3"/>
      <c r="G8566" s="3"/>
      <c r="H8566" s="3"/>
      <c r="I8566" s="3"/>
      <c r="J8566" s="3"/>
      <c r="K8566" s="3"/>
      <c r="L8566" s="3"/>
      <c r="M8566" s="3"/>
      <c r="N8566" s="3"/>
      <c r="O8566" s="3"/>
    </row>
    <row r="8567" spans="1:15" ht="15" customHeight="1" x14ac:dyDescent="0.25">
      <c r="A8567" s="2"/>
      <c r="B8567" s="2"/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</row>
    <row r="8568" spans="1:15" ht="15" customHeight="1" x14ac:dyDescent="0.25">
      <c r="A8568" s="3"/>
      <c r="B8568" s="3"/>
      <c r="C8568" s="3"/>
      <c r="D8568" s="3"/>
      <c r="E8568" s="3"/>
      <c r="F8568" s="3"/>
      <c r="G8568" s="3"/>
      <c r="H8568" s="3"/>
      <c r="I8568" s="3"/>
      <c r="J8568" s="3"/>
      <c r="K8568" s="3"/>
      <c r="L8568" s="3"/>
      <c r="M8568" s="3"/>
      <c r="N8568" s="3"/>
      <c r="O8568" s="3"/>
    </row>
    <row r="8569" spans="1:15" ht="15" customHeight="1" x14ac:dyDescent="0.25">
      <c r="A8569" s="2"/>
      <c r="B8569" s="2"/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</row>
    <row r="8570" spans="1:15" ht="15" customHeight="1" x14ac:dyDescent="0.25">
      <c r="A8570" s="3"/>
      <c r="B8570" s="3"/>
      <c r="C8570" s="3"/>
      <c r="D8570" s="3"/>
      <c r="E8570" s="3"/>
      <c r="F8570" s="3"/>
      <c r="G8570" s="3"/>
      <c r="H8570" s="3"/>
      <c r="I8570" s="3"/>
      <c r="J8570" s="3"/>
      <c r="K8570" s="3"/>
      <c r="L8570" s="3"/>
      <c r="M8570" s="3"/>
      <c r="N8570" s="3"/>
      <c r="O8570" s="3"/>
    </row>
    <row r="8571" spans="1:15" ht="15" customHeight="1" x14ac:dyDescent="0.25">
      <c r="A8571" s="2"/>
      <c r="B8571" s="2"/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</row>
    <row r="8572" spans="1:15" ht="15" customHeight="1" x14ac:dyDescent="0.25">
      <c r="A8572" s="3"/>
      <c r="B8572" s="3"/>
      <c r="C8572" s="3"/>
      <c r="D8572" s="3"/>
      <c r="E8572" s="3"/>
      <c r="F8572" s="3"/>
      <c r="G8572" s="3"/>
      <c r="H8572" s="3"/>
      <c r="I8572" s="3"/>
      <c r="J8572" s="3"/>
      <c r="K8572" s="3"/>
      <c r="L8572" s="3"/>
      <c r="M8572" s="3"/>
      <c r="N8572" s="3"/>
      <c r="O8572" s="3"/>
    </row>
    <row r="8573" spans="1:15" ht="15" customHeight="1" x14ac:dyDescent="0.25">
      <c r="A8573" s="2"/>
      <c r="B8573" s="2"/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</row>
    <row r="8574" spans="1:15" ht="15" customHeight="1" x14ac:dyDescent="0.25">
      <c r="A8574" s="3"/>
      <c r="B8574" s="3"/>
      <c r="C8574" s="3"/>
      <c r="D8574" s="3"/>
      <c r="E8574" s="3"/>
      <c r="F8574" s="3"/>
      <c r="G8574" s="3"/>
      <c r="H8574" s="3"/>
      <c r="I8574" s="3"/>
      <c r="J8574" s="3"/>
      <c r="K8574" s="3"/>
      <c r="L8574" s="3"/>
      <c r="M8574" s="3"/>
      <c r="N8574" s="3"/>
      <c r="O8574" s="3"/>
    </row>
    <row r="8575" spans="1:15" ht="15" customHeight="1" x14ac:dyDescent="0.25">
      <c r="A8575" s="2"/>
      <c r="B8575" s="2"/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</row>
    <row r="8576" spans="1:15" ht="15" customHeight="1" x14ac:dyDescent="0.25">
      <c r="A8576" s="3"/>
      <c r="B8576" s="3"/>
      <c r="C8576" s="3"/>
      <c r="D8576" s="3"/>
      <c r="E8576" s="3"/>
      <c r="F8576" s="3"/>
      <c r="G8576" s="3"/>
      <c r="H8576" s="3"/>
      <c r="I8576" s="3"/>
      <c r="J8576" s="3"/>
      <c r="K8576" s="3"/>
      <c r="L8576" s="3"/>
      <c r="M8576" s="3"/>
      <c r="N8576" s="3"/>
      <c r="O8576" s="3"/>
    </row>
    <row r="8577" spans="1:15" ht="15" customHeight="1" x14ac:dyDescent="0.25">
      <c r="A8577" s="2"/>
      <c r="B8577" s="2"/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</row>
    <row r="8578" spans="1:15" ht="15" customHeight="1" x14ac:dyDescent="0.25">
      <c r="A8578" s="3"/>
      <c r="B8578" s="3"/>
      <c r="C8578" s="3"/>
      <c r="D8578" s="3"/>
      <c r="E8578" s="3"/>
      <c r="F8578" s="3"/>
      <c r="G8578" s="3"/>
      <c r="H8578" s="3"/>
      <c r="I8578" s="3"/>
      <c r="J8578" s="3"/>
      <c r="K8578" s="3"/>
      <c r="L8578" s="3"/>
      <c r="M8578" s="3"/>
      <c r="N8578" s="3"/>
      <c r="O8578" s="3"/>
    </row>
    <row r="8579" spans="1:15" ht="15" customHeight="1" x14ac:dyDescent="0.25">
      <c r="A8579" s="2"/>
      <c r="B8579" s="2"/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</row>
    <row r="8580" spans="1:15" ht="15" customHeight="1" x14ac:dyDescent="0.25">
      <c r="A8580" s="3"/>
      <c r="B8580" s="3"/>
      <c r="C8580" s="3"/>
      <c r="D8580" s="3"/>
      <c r="E8580" s="3"/>
      <c r="F8580" s="3"/>
      <c r="G8580" s="3"/>
      <c r="H8580" s="3"/>
      <c r="I8580" s="3"/>
      <c r="J8580" s="3"/>
      <c r="K8580" s="3"/>
      <c r="L8580" s="3"/>
      <c r="M8580" s="3"/>
      <c r="N8580" s="3"/>
      <c r="O8580" s="3"/>
    </row>
    <row r="8581" spans="1:15" ht="15" customHeight="1" x14ac:dyDescent="0.25">
      <c r="A8581" s="2"/>
      <c r="B8581" s="2"/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</row>
    <row r="8582" spans="1:15" ht="15" customHeight="1" x14ac:dyDescent="0.25">
      <c r="A8582" s="3"/>
      <c r="B8582" s="3"/>
      <c r="C8582" s="3"/>
      <c r="D8582" s="3"/>
      <c r="E8582" s="3"/>
      <c r="F8582" s="3"/>
      <c r="G8582" s="3"/>
      <c r="H8582" s="3"/>
      <c r="I8582" s="3"/>
      <c r="J8582" s="3"/>
      <c r="K8582" s="3"/>
      <c r="L8582" s="3"/>
      <c r="M8582" s="3"/>
      <c r="N8582" s="3"/>
      <c r="O8582" s="3"/>
    </row>
    <row r="8583" spans="1:15" ht="15" customHeight="1" x14ac:dyDescent="0.25">
      <c r="A8583" s="2"/>
      <c r="B8583" s="2"/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</row>
    <row r="8584" spans="1:15" ht="15" customHeight="1" x14ac:dyDescent="0.25">
      <c r="A8584" s="3"/>
      <c r="B8584" s="3"/>
      <c r="C8584" s="3"/>
      <c r="D8584" s="3"/>
      <c r="E8584" s="3"/>
      <c r="F8584" s="3"/>
      <c r="G8584" s="3"/>
      <c r="H8584" s="3"/>
      <c r="I8584" s="3"/>
      <c r="J8584" s="3"/>
      <c r="K8584" s="3"/>
      <c r="L8584" s="3"/>
      <c r="M8584" s="3"/>
      <c r="N8584" s="3"/>
      <c r="O8584" s="3"/>
    </row>
    <row r="8585" spans="1:15" ht="15" customHeight="1" x14ac:dyDescent="0.25">
      <c r="A8585" s="2"/>
      <c r="B8585" s="2"/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</row>
    <row r="8586" spans="1:15" ht="15" customHeight="1" x14ac:dyDescent="0.25">
      <c r="A8586" s="3"/>
      <c r="B8586" s="3"/>
      <c r="C8586" s="3"/>
      <c r="D8586" s="3"/>
      <c r="E8586" s="3"/>
      <c r="F8586" s="3"/>
      <c r="G8586" s="3"/>
      <c r="H8586" s="3"/>
      <c r="I8586" s="3"/>
      <c r="J8586" s="3"/>
      <c r="K8586" s="3"/>
      <c r="L8586" s="3"/>
      <c r="M8586" s="3"/>
      <c r="N8586" s="3"/>
      <c r="O8586" s="3"/>
    </row>
    <row r="8587" spans="1:15" ht="15" customHeight="1" x14ac:dyDescent="0.25">
      <c r="A8587" s="2"/>
      <c r="B8587" s="2"/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</row>
    <row r="8588" spans="1:15" ht="15" customHeight="1" x14ac:dyDescent="0.25">
      <c r="A8588" s="3"/>
      <c r="B8588" s="3"/>
      <c r="C8588" s="3"/>
      <c r="D8588" s="3"/>
      <c r="E8588" s="3"/>
      <c r="F8588" s="3"/>
      <c r="G8588" s="3"/>
      <c r="H8588" s="3"/>
      <c r="I8588" s="3"/>
      <c r="J8588" s="3"/>
      <c r="K8588" s="3"/>
      <c r="L8588" s="3"/>
      <c r="M8588" s="3"/>
      <c r="N8588" s="3"/>
      <c r="O8588" s="3"/>
    </row>
    <row r="8589" spans="1:15" ht="15" customHeight="1" x14ac:dyDescent="0.25">
      <c r="A8589" s="2"/>
      <c r="B8589" s="2"/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</row>
    <row r="8590" spans="1:15" ht="15" customHeight="1" x14ac:dyDescent="0.25">
      <c r="A8590" s="3"/>
      <c r="B8590" s="3"/>
      <c r="C8590" s="3"/>
      <c r="D8590" s="3"/>
      <c r="E8590" s="3"/>
      <c r="F8590" s="3"/>
      <c r="G8590" s="3"/>
      <c r="H8590" s="3"/>
      <c r="I8590" s="3"/>
      <c r="J8590" s="3"/>
      <c r="K8590" s="3"/>
      <c r="L8590" s="3"/>
      <c r="M8590" s="3"/>
      <c r="N8590" s="3"/>
      <c r="O8590" s="3"/>
    </row>
    <row r="8591" spans="1:15" ht="15" customHeight="1" x14ac:dyDescent="0.25">
      <c r="A8591" s="2"/>
      <c r="B8591" s="2"/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</row>
    <row r="8592" spans="1:15" ht="15" customHeight="1" x14ac:dyDescent="0.25">
      <c r="A8592" s="3"/>
      <c r="B8592" s="3"/>
      <c r="C8592" s="3"/>
      <c r="D8592" s="3"/>
      <c r="E8592" s="3"/>
      <c r="F8592" s="3"/>
      <c r="G8592" s="3"/>
      <c r="H8592" s="3"/>
      <c r="I8592" s="3"/>
      <c r="J8592" s="3"/>
      <c r="K8592" s="3"/>
      <c r="L8592" s="3"/>
      <c r="M8592" s="3"/>
      <c r="N8592" s="3"/>
      <c r="O8592" s="3"/>
    </row>
    <row r="8593" spans="1:15" ht="15" customHeight="1" x14ac:dyDescent="0.25">
      <c r="A8593" s="2"/>
      <c r="B8593" s="2"/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</row>
    <row r="8594" spans="1:15" ht="15" customHeight="1" x14ac:dyDescent="0.25">
      <c r="A8594" s="3"/>
      <c r="B8594" s="3"/>
      <c r="C8594" s="3"/>
      <c r="D8594" s="3"/>
      <c r="E8594" s="3"/>
      <c r="F8594" s="3"/>
      <c r="G8594" s="3"/>
      <c r="H8594" s="3"/>
      <c r="I8594" s="3"/>
      <c r="J8594" s="3"/>
      <c r="K8594" s="3"/>
      <c r="L8594" s="3"/>
      <c r="M8594" s="3"/>
      <c r="N8594" s="3"/>
      <c r="O8594" s="3"/>
    </row>
    <row r="8595" spans="1:15" ht="15" customHeight="1" x14ac:dyDescent="0.25">
      <c r="A8595" s="2"/>
      <c r="B8595" s="2"/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</row>
    <row r="8596" spans="1:15" ht="15" customHeight="1" x14ac:dyDescent="0.25">
      <c r="A8596" s="3"/>
      <c r="B8596" s="3"/>
      <c r="C8596" s="3"/>
      <c r="D8596" s="3"/>
      <c r="E8596" s="3"/>
      <c r="F8596" s="3"/>
      <c r="G8596" s="3"/>
      <c r="H8596" s="3"/>
      <c r="I8596" s="3"/>
      <c r="J8596" s="3"/>
      <c r="K8596" s="3"/>
      <c r="L8596" s="3"/>
      <c r="M8596" s="3"/>
      <c r="N8596" s="3"/>
      <c r="O8596" s="3"/>
    </row>
    <row r="8597" spans="1:15" ht="15" customHeight="1" x14ac:dyDescent="0.25">
      <c r="A8597" s="2"/>
      <c r="B8597" s="2"/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</row>
    <row r="8598" spans="1:15" ht="15" customHeight="1" x14ac:dyDescent="0.25">
      <c r="A8598" s="3"/>
      <c r="B8598" s="3"/>
      <c r="C8598" s="3"/>
      <c r="D8598" s="3"/>
      <c r="E8598" s="3"/>
      <c r="F8598" s="3"/>
      <c r="G8598" s="3"/>
      <c r="H8598" s="3"/>
      <c r="I8598" s="3"/>
      <c r="J8598" s="3"/>
      <c r="K8598" s="3"/>
      <c r="L8598" s="3"/>
      <c r="M8598" s="3"/>
      <c r="N8598" s="3"/>
      <c r="O8598" s="3"/>
    </row>
    <row r="8599" spans="1:15" ht="15" customHeight="1" x14ac:dyDescent="0.25">
      <c r="A8599" s="2"/>
      <c r="B8599" s="2"/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</row>
    <row r="8600" spans="1:15" ht="15" customHeight="1" x14ac:dyDescent="0.25">
      <c r="A8600" s="3"/>
      <c r="B8600" s="3"/>
      <c r="C8600" s="3"/>
      <c r="D8600" s="3"/>
      <c r="E8600" s="3"/>
      <c r="F8600" s="3"/>
      <c r="G8600" s="3"/>
      <c r="H8600" s="3"/>
      <c r="I8600" s="3"/>
      <c r="J8600" s="3"/>
      <c r="K8600" s="3"/>
      <c r="L8600" s="3"/>
      <c r="M8600" s="3"/>
      <c r="N8600" s="3"/>
      <c r="O8600" s="3"/>
    </row>
    <row r="8601" spans="1:15" ht="15" customHeight="1" x14ac:dyDescent="0.25">
      <c r="A8601" s="2"/>
      <c r="B8601" s="2"/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</row>
    <row r="8602" spans="1:15" ht="15" customHeight="1" x14ac:dyDescent="0.25">
      <c r="A8602" s="3"/>
      <c r="B8602" s="3"/>
      <c r="C8602" s="3"/>
      <c r="D8602" s="3"/>
      <c r="E8602" s="3"/>
      <c r="F8602" s="3"/>
      <c r="G8602" s="3"/>
      <c r="H8602" s="3"/>
      <c r="I8602" s="3"/>
      <c r="J8602" s="3"/>
      <c r="K8602" s="3"/>
      <c r="L8602" s="3"/>
      <c r="M8602" s="3"/>
      <c r="N8602" s="3"/>
      <c r="O8602" s="3"/>
    </row>
    <row r="8603" spans="1:15" ht="15" customHeight="1" x14ac:dyDescent="0.25">
      <c r="A8603" s="2"/>
      <c r="B8603" s="2"/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</row>
    <row r="8604" spans="1:15" ht="15" customHeight="1" x14ac:dyDescent="0.25">
      <c r="A8604" s="3"/>
      <c r="B8604" s="3"/>
      <c r="C8604" s="3"/>
      <c r="D8604" s="3"/>
      <c r="E8604" s="3"/>
      <c r="F8604" s="3"/>
      <c r="G8604" s="3"/>
      <c r="H8604" s="3"/>
      <c r="I8604" s="3"/>
      <c r="J8604" s="3"/>
      <c r="K8604" s="3"/>
      <c r="L8604" s="3"/>
      <c r="M8604" s="3"/>
      <c r="N8604" s="3"/>
      <c r="O8604" s="3"/>
    </row>
    <row r="8605" spans="1:15" ht="15" customHeight="1" x14ac:dyDescent="0.25">
      <c r="A8605" s="2"/>
      <c r="B8605" s="2"/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</row>
    <row r="8606" spans="1:15" ht="15" customHeight="1" x14ac:dyDescent="0.25">
      <c r="A8606" s="3"/>
      <c r="B8606" s="3"/>
      <c r="C8606" s="3"/>
      <c r="D8606" s="3"/>
      <c r="E8606" s="3"/>
      <c r="F8606" s="3"/>
      <c r="G8606" s="3"/>
      <c r="H8606" s="3"/>
      <c r="I8606" s="3"/>
      <c r="J8606" s="3"/>
      <c r="K8606" s="3"/>
      <c r="L8606" s="3"/>
      <c r="M8606" s="3"/>
      <c r="N8606" s="3"/>
      <c r="O8606" s="3"/>
    </row>
    <row r="8607" spans="1:15" ht="15" customHeight="1" x14ac:dyDescent="0.25">
      <c r="A8607" s="2"/>
      <c r="B8607" s="2"/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</row>
    <row r="8608" spans="1:15" ht="15" customHeight="1" x14ac:dyDescent="0.25">
      <c r="A8608" s="3"/>
      <c r="B8608" s="3"/>
      <c r="C8608" s="3"/>
      <c r="D8608" s="3"/>
      <c r="E8608" s="3"/>
      <c r="F8608" s="3"/>
      <c r="G8608" s="3"/>
      <c r="H8608" s="3"/>
      <c r="I8608" s="3"/>
      <c r="J8608" s="3"/>
      <c r="K8608" s="3"/>
      <c r="L8608" s="3"/>
      <c r="M8608" s="3"/>
      <c r="N8608" s="3"/>
      <c r="O8608" s="3"/>
    </row>
    <row r="8609" spans="1:15" ht="15" customHeight="1" x14ac:dyDescent="0.25">
      <c r="A8609" s="2"/>
      <c r="B8609" s="2"/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</row>
    <row r="8610" spans="1:15" ht="15" customHeight="1" x14ac:dyDescent="0.25">
      <c r="A8610" s="3"/>
      <c r="B8610" s="3"/>
      <c r="C8610" s="3"/>
      <c r="D8610" s="3"/>
      <c r="E8610" s="3"/>
      <c r="F8610" s="3"/>
      <c r="G8610" s="3"/>
      <c r="H8610" s="3"/>
      <c r="I8610" s="3"/>
      <c r="J8610" s="3"/>
      <c r="K8610" s="3"/>
      <c r="L8610" s="3"/>
      <c r="M8610" s="3"/>
      <c r="N8610" s="3"/>
      <c r="O8610" s="3"/>
    </row>
    <row r="8611" spans="1:15" ht="15" customHeight="1" x14ac:dyDescent="0.25">
      <c r="A8611" s="2"/>
      <c r="B8611" s="2"/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</row>
    <row r="8612" spans="1:15" ht="15" customHeight="1" x14ac:dyDescent="0.25">
      <c r="A8612" s="3"/>
      <c r="B8612" s="3"/>
      <c r="C8612" s="3"/>
      <c r="D8612" s="3"/>
      <c r="E8612" s="3"/>
      <c r="F8612" s="3"/>
      <c r="G8612" s="3"/>
      <c r="H8612" s="3"/>
      <c r="I8612" s="3"/>
      <c r="J8612" s="3"/>
      <c r="K8612" s="3"/>
      <c r="L8612" s="3"/>
      <c r="M8612" s="3"/>
      <c r="N8612" s="3"/>
      <c r="O8612" s="3"/>
    </row>
    <row r="8613" spans="1:15" ht="15" customHeight="1" x14ac:dyDescent="0.25">
      <c r="A8613" s="2"/>
      <c r="B8613" s="2"/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</row>
    <row r="8614" spans="1:15" ht="15" customHeight="1" x14ac:dyDescent="0.25">
      <c r="A8614" s="3"/>
      <c r="B8614" s="3"/>
      <c r="C8614" s="3"/>
      <c r="D8614" s="3"/>
      <c r="E8614" s="3"/>
      <c r="F8614" s="3"/>
      <c r="G8614" s="3"/>
      <c r="H8614" s="3"/>
      <c r="I8614" s="3"/>
      <c r="J8614" s="3"/>
      <c r="K8614" s="3"/>
      <c r="L8614" s="3"/>
      <c r="M8614" s="3"/>
      <c r="N8614" s="3"/>
      <c r="O8614" s="3"/>
    </row>
    <row r="8615" spans="1:15" ht="15" customHeight="1" x14ac:dyDescent="0.25">
      <c r="A8615" s="2"/>
      <c r="B8615" s="2"/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</row>
    <row r="8616" spans="1:15" ht="15" customHeight="1" x14ac:dyDescent="0.25">
      <c r="A8616" s="3"/>
      <c r="B8616" s="3"/>
      <c r="C8616" s="3"/>
      <c r="D8616" s="3"/>
      <c r="E8616" s="3"/>
      <c r="F8616" s="3"/>
      <c r="G8616" s="3"/>
      <c r="H8616" s="3"/>
      <c r="I8616" s="3"/>
      <c r="J8616" s="3"/>
      <c r="K8616" s="3"/>
      <c r="L8616" s="3"/>
      <c r="M8616" s="3"/>
      <c r="N8616" s="3"/>
      <c r="O8616" s="3"/>
    </row>
    <row r="8617" spans="1:15" ht="15" customHeight="1" x14ac:dyDescent="0.25">
      <c r="A8617" s="2"/>
      <c r="B8617" s="2"/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</row>
    <row r="8618" spans="1:15" ht="15" customHeight="1" x14ac:dyDescent="0.25">
      <c r="A8618" s="3"/>
      <c r="B8618" s="3"/>
      <c r="C8618" s="3"/>
      <c r="D8618" s="3"/>
      <c r="E8618" s="3"/>
      <c r="F8618" s="3"/>
      <c r="G8618" s="3"/>
      <c r="H8618" s="3"/>
      <c r="I8618" s="3"/>
      <c r="J8618" s="3"/>
      <c r="K8618" s="3"/>
      <c r="L8618" s="3"/>
      <c r="M8618" s="3"/>
      <c r="N8618" s="3"/>
      <c r="O8618" s="3"/>
    </row>
    <row r="8619" spans="1:15" ht="15" customHeight="1" x14ac:dyDescent="0.25">
      <c r="A8619" s="2"/>
      <c r="B8619" s="2"/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</row>
    <row r="8620" spans="1:15" ht="15" customHeight="1" x14ac:dyDescent="0.25">
      <c r="A8620" s="3"/>
      <c r="B8620" s="3"/>
      <c r="C8620" s="3"/>
      <c r="D8620" s="3"/>
      <c r="E8620" s="3"/>
      <c r="F8620" s="3"/>
      <c r="G8620" s="3"/>
      <c r="H8620" s="3"/>
      <c r="I8620" s="3"/>
      <c r="J8620" s="3"/>
      <c r="K8620" s="3"/>
      <c r="L8620" s="3"/>
      <c r="M8620" s="3"/>
      <c r="N8620" s="3"/>
      <c r="O8620" s="3"/>
    </row>
    <row r="8621" spans="1:15" ht="15" customHeight="1" x14ac:dyDescent="0.25">
      <c r="A8621" s="2"/>
      <c r="B8621" s="2"/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</row>
    <row r="8622" spans="1:15" ht="15" customHeight="1" x14ac:dyDescent="0.25">
      <c r="A8622" s="3"/>
      <c r="B8622" s="3"/>
      <c r="C8622" s="3"/>
      <c r="D8622" s="3"/>
      <c r="E8622" s="3"/>
      <c r="F8622" s="3"/>
      <c r="G8622" s="3"/>
      <c r="H8622" s="3"/>
      <c r="I8622" s="3"/>
      <c r="J8622" s="3"/>
      <c r="K8622" s="3"/>
      <c r="L8622" s="3"/>
      <c r="M8622" s="3"/>
      <c r="N8622" s="3"/>
      <c r="O8622" s="3"/>
    </row>
    <row r="8623" spans="1:15" ht="15" customHeight="1" x14ac:dyDescent="0.25">
      <c r="A8623" s="2"/>
      <c r="B8623" s="2"/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</row>
    <row r="8624" spans="1:15" ht="15" customHeight="1" x14ac:dyDescent="0.25">
      <c r="A8624" s="3"/>
      <c r="B8624" s="3"/>
      <c r="C8624" s="3"/>
      <c r="D8624" s="3"/>
      <c r="E8624" s="3"/>
      <c r="F8624" s="3"/>
      <c r="G8624" s="3"/>
      <c r="H8624" s="3"/>
      <c r="I8624" s="3"/>
      <c r="J8624" s="3"/>
      <c r="K8624" s="3"/>
      <c r="L8624" s="3"/>
      <c r="M8624" s="3"/>
      <c r="N8624" s="3"/>
      <c r="O8624" s="3"/>
    </row>
    <row r="8625" spans="1:15" ht="15" customHeight="1" x14ac:dyDescent="0.25">
      <c r="A8625" s="2"/>
      <c r="B8625" s="2"/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</row>
    <row r="8626" spans="1:15" ht="15" customHeight="1" x14ac:dyDescent="0.25">
      <c r="A8626" s="3"/>
      <c r="B8626" s="3"/>
      <c r="C8626" s="3"/>
      <c r="D8626" s="3"/>
      <c r="E8626" s="3"/>
      <c r="F8626" s="3"/>
      <c r="G8626" s="3"/>
      <c r="H8626" s="3"/>
      <c r="I8626" s="3"/>
      <c r="J8626" s="3"/>
      <c r="K8626" s="3"/>
      <c r="L8626" s="3"/>
      <c r="M8626" s="3"/>
      <c r="N8626" s="3"/>
      <c r="O8626" s="3"/>
    </row>
    <row r="8627" spans="1:15" ht="15" customHeight="1" x14ac:dyDescent="0.25">
      <c r="A8627" s="2"/>
      <c r="B8627" s="2"/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</row>
    <row r="8628" spans="1:15" ht="15" customHeight="1" x14ac:dyDescent="0.25">
      <c r="A8628" s="3"/>
      <c r="B8628" s="3"/>
      <c r="C8628" s="3"/>
      <c r="D8628" s="3"/>
      <c r="E8628" s="3"/>
      <c r="F8628" s="3"/>
      <c r="G8628" s="3"/>
      <c r="H8628" s="3"/>
      <c r="I8628" s="3"/>
      <c r="J8628" s="3"/>
      <c r="K8628" s="3"/>
      <c r="L8628" s="3"/>
      <c r="M8628" s="3"/>
      <c r="N8628" s="3"/>
      <c r="O8628" s="3"/>
    </row>
    <row r="8629" spans="1:15" ht="15" customHeight="1" x14ac:dyDescent="0.25">
      <c r="A8629" s="2"/>
      <c r="B8629" s="2"/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</row>
    <row r="8630" spans="1:15" ht="15" customHeight="1" x14ac:dyDescent="0.25">
      <c r="A8630" s="3"/>
      <c r="B8630" s="3"/>
      <c r="C8630" s="3"/>
      <c r="D8630" s="3"/>
      <c r="E8630" s="3"/>
      <c r="F8630" s="3"/>
      <c r="G8630" s="3"/>
      <c r="H8630" s="3"/>
      <c r="I8630" s="3"/>
      <c r="J8630" s="3"/>
      <c r="K8630" s="3"/>
      <c r="L8630" s="3"/>
      <c r="M8630" s="3"/>
      <c r="N8630" s="3"/>
      <c r="O8630" s="3"/>
    </row>
    <row r="8631" spans="1:15" ht="15" customHeight="1" x14ac:dyDescent="0.25">
      <c r="A8631" s="2"/>
      <c r="B8631" s="2"/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</row>
    <row r="8632" spans="1:15" ht="15" customHeight="1" x14ac:dyDescent="0.25">
      <c r="A8632" s="3"/>
      <c r="B8632" s="3"/>
      <c r="C8632" s="3"/>
      <c r="D8632" s="3"/>
      <c r="E8632" s="3"/>
      <c r="F8632" s="3"/>
      <c r="G8632" s="3"/>
      <c r="H8632" s="3"/>
      <c r="I8632" s="3"/>
      <c r="J8632" s="3"/>
      <c r="K8632" s="3"/>
      <c r="L8632" s="3"/>
      <c r="M8632" s="3"/>
      <c r="N8632" s="3"/>
      <c r="O8632" s="3"/>
    </row>
    <row r="8633" spans="1:15" ht="15" customHeight="1" x14ac:dyDescent="0.25">
      <c r="A8633" s="2"/>
      <c r="B8633" s="2"/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</row>
    <row r="8634" spans="1:15" ht="15" customHeight="1" x14ac:dyDescent="0.25">
      <c r="A8634" s="3"/>
      <c r="B8634" s="3"/>
      <c r="C8634" s="3"/>
      <c r="D8634" s="3"/>
      <c r="E8634" s="3"/>
      <c r="F8634" s="3"/>
      <c r="G8634" s="3"/>
      <c r="H8634" s="3"/>
      <c r="I8634" s="3"/>
      <c r="J8634" s="3"/>
      <c r="K8634" s="3"/>
      <c r="L8634" s="3"/>
      <c r="M8634" s="3"/>
      <c r="N8634" s="3"/>
      <c r="O8634" s="3"/>
    </row>
    <row r="8635" spans="1:15" ht="15" customHeight="1" x14ac:dyDescent="0.25">
      <c r="A8635" s="2"/>
      <c r="B8635" s="2"/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</row>
    <row r="8636" spans="1:15" ht="15" customHeight="1" x14ac:dyDescent="0.25">
      <c r="A8636" s="3"/>
      <c r="B8636" s="3"/>
      <c r="C8636" s="3"/>
      <c r="D8636" s="3"/>
      <c r="E8636" s="3"/>
      <c r="F8636" s="3"/>
      <c r="G8636" s="3"/>
      <c r="H8636" s="3"/>
      <c r="I8636" s="3"/>
      <c r="J8636" s="3"/>
      <c r="K8636" s="3"/>
      <c r="L8636" s="3"/>
      <c r="M8636" s="3"/>
      <c r="N8636" s="3"/>
      <c r="O8636" s="3"/>
    </row>
    <row r="8637" spans="1:15" ht="15" customHeight="1" x14ac:dyDescent="0.25">
      <c r="A8637" s="2"/>
      <c r="B8637" s="2"/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</row>
    <row r="8638" spans="1:15" ht="15" customHeight="1" x14ac:dyDescent="0.25">
      <c r="A8638" s="3"/>
      <c r="B8638" s="3"/>
      <c r="C8638" s="3"/>
      <c r="D8638" s="3"/>
      <c r="E8638" s="3"/>
      <c r="F8638" s="3"/>
      <c r="G8638" s="3"/>
      <c r="H8638" s="3"/>
      <c r="I8638" s="3"/>
      <c r="J8638" s="3"/>
      <c r="K8638" s="3"/>
      <c r="L8638" s="3"/>
      <c r="M8638" s="3"/>
      <c r="N8638" s="3"/>
      <c r="O8638" s="3"/>
    </row>
    <row r="8639" spans="1:15" ht="15" customHeight="1" x14ac:dyDescent="0.25">
      <c r="A8639" s="2"/>
      <c r="B8639" s="2"/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</row>
    <row r="8640" spans="1:15" ht="15" customHeight="1" x14ac:dyDescent="0.25">
      <c r="A8640" s="3"/>
      <c r="B8640" s="3"/>
      <c r="C8640" s="3"/>
      <c r="D8640" s="3"/>
      <c r="E8640" s="3"/>
      <c r="F8640" s="3"/>
      <c r="G8640" s="3"/>
      <c r="H8640" s="3"/>
      <c r="I8640" s="3"/>
      <c r="J8640" s="3"/>
      <c r="K8640" s="3"/>
      <c r="L8640" s="3"/>
      <c r="M8640" s="3"/>
      <c r="N8640" s="3"/>
      <c r="O8640" s="3"/>
    </row>
    <row r="8641" spans="1:15" ht="15" customHeight="1" x14ac:dyDescent="0.25">
      <c r="A8641" s="2"/>
      <c r="B8641" s="2"/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</row>
    <row r="8642" spans="1:15" ht="15" customHeight="1" x14ac:dyDescent="0.25">
      <c r="A8642" s="3"/>
      <c r="B8642" s="3"/>
      <c r="C8642" s="3"/>
      <c r="D8642" s="3"/>
      <c r="E8642" s="3"/>
      <c r="F8642" s="3"/>
      <c r="G8642" s="3"/>
      <c r="H8642" s="3"/>
      <c r="I8642" s="3"/>
      <c r="J8642" s="3"/>
      <c r="K8642" s="3"/>
      <c r="L8642" s="3"/>
      <c r="M8642" s="3"/>
      <c r="N8642" s="3"/>
      <c r="O8642" s="3"/>
    </row>
    <row r="8643" spans="1:15" ht="15" customHeight="1" x14ac:dyDescent="0.25">
      <c r="A8643" s="2"/>
      <c r="B8643" s="2"/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</row>
    <row r="8644" spans="1:15" ht="15" customHeight="1" x14ac:dyDescent="0.25">
      <c r="A8644" s="3"/>
      <c r="B8644" s="3"/>
      <c r="C8644" s="3"/>
      <c r="D8644" s="3"/>
      <c r="E8644" s="3"/>
      <c r="F8644" s="3"/>
      <c r="G8644" s="3"/>
      <c r="H8644" s="3"/>
      <c r="I8644" s="3"/>
      <c r="J8644" s="3"/>
      <c r="K8644" s="3"/>
      <c r="L8644" s="3"/>
      <c r="M8644" s="3"/>
      <c r="N8644" s="3"/>
      <c r="O8644" s="3"/>
    </row>
    <row r="8645" spans="1:15" ht="15" customHeight="1" x14ac:dyDescent="0.25">
      <c r="A8645" s="2"/>
      <c r="B8645" s="2"/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</row>
    <row r="8646" spans="1:15" ht="15" customHeight="1" x14ac:dyDescent="0.25">
      <c r="A8646" s="3"/>
      <c r="B8646" s="3"/>
      <c r="C8646" s="3"/>
      <c r="D8646" s="3"/>
      <c r="E8646" s="3"/>
      <c r="F8646" s="3"/>
      <c r="G8646" s="3"/>
      <c r="H8646" s="3"/>
      <c r="I8646" s="3"/>
      <c r="J8646" s="3"/>
      <c r="K8646" s="3"/>
      <c r="L8646" s="3"/>
      <c r="M8646" s="3"/>
      <c r="N8646" s="3"/>
      <c r="O8646" s="3"/>
    </row>
    <row r="8647" spans="1:15" ht="15" customHeight="1" x14ac:dyDescent="0.25">
      <c r="A8647" s="2"/>
      <c r="B8647" s="2"/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</row>
    <row r="8648" spans="1:15" ht="15" customHeight="1" x14ac:dyDescent="0.25">
      <c r="A8648" s="3"/>
      <c r="B8648" s="3"/>
      <c r="C8648" s="3"/>
      <c r="D8648" s="3"/>
      <c r="E8648" s="3"/>
      <c r="F8648" s="3"/>
      <c r="G8648" s="3"/>
      <c r="H8648" s="3"/>
      <c r="I8648" s="3"/>
      <c r="J8648" s="3"/>
      <c r="K8648" s="3"/>
      <c r="L8648" s="3"/>
      <c r="M8648" s="3"/>
      <c r="N8648" s="3"/>
      <c r="O8648" s="3"/>
    </row>
    <row r="8649" spans="1:15" ht="15" customHeight="1" x14ac:dyDescent="0.25">
      <c r="A8649" s="2"/>
      <c r="B8649" s="2"/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</row>
    <row r="8650" spans="1:15" ht="15" customHeight="1" x14ac:dyDescent="0.25">
      <c r="A8650" s="3"/>
      <c r="B8650" s="3"/>
      <c r="C8650" s="3"/>
      <c r="D8650" s="3"/>
      <c r="E8650" s="3"/>
      <c r="F8650" s="3"/>
      <c r="G8650" s="3"/>
      <c r="H8650" s="3"/>
      <c r="I8650" s="3"/>
      <c r="J8650" s="3"/>
      <c r="K8650" s="3"/>
      <c r="L8650" s="3"/>
      <c r="M8650" s="3"/>
      <c r="N8650" s="3"/>
      <c r="O8650" s="3"/>
    </row>
    <row r="8651" spans="1:15" ht="15" customHeight="1" x14ac:dyDescent="0.25">
      <c r="A8651" s="2"/>
      <c r="B8651" s="2"/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</row>
    <row r="8652" spans="1:15" ht="15" customHeight="1" x14ac:dyDescent="0.25">
      <c r="A8652" s="3"/>
      <c r="B8652" s="3"/>
      <c r="C8652" s="3"/>
      <c r="D8652" s="3"/>
      <c r="E8652" s="3"/>
      <c r="F8652" s="3"/>
      <c r="G8652" s="3"/>
      <c r="H8652" s="3"/>
      <c r="I8652" s="3"/>
      <c r="J8652" s="3"/>
      <c r="K8652" s="3"/>
      <c r="L8652" s="3"/>
      <c r="M8652" s="3"/>
      <c r="N8652" s="3"/>
      <c r="O8652" s="3"/>
    </row>
    <row r="8653" spans="1:15" ht="15" customHeight="1" x14ac:dyDescent="0.25">
      <c r="A8653" s="2"/>
      <c r="B8653" s="2"/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</row>
    <row r="8654" spans="1:15" ht="15" customHeight="1" x14ac:dyDescent="0.25">
      <c r="A8654" s="3"/>
      <c r="B8654" s="3"/>
      <c r="C8654" s="3"/>
      <c r="D8654" s="3"/>
      <c r="E8654" s="3"/>
      <c r="F8654" s="3"/>
      <c r="G8654" s="3"/>
      <c r="H8654" s="3"/>
      <c r="I8654" s="3"/>
      <c r="J8654" s="3"/>
      <c r="K8654" s="3"/>
      <c r="L8654" s="3"/>
      <c r="M8654" s="3"/>
      <c r="N8654" s="3"/>
      <c r="O8654" s="3"/>
    </row>
    <row r="8655" spans="1:15" ht="15" customHeight="1" x14ac:dyDescent="0.25">
      <c r="A8655" s="2"/>
      <c r="B8655" s="2"/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</row>
    <row r="8656" spans="1:15" ht="15" customHeight="1" x14ac:dyDescent="0.25">
      <c r="A8656" s="3"/>
      <c r="B8656" s="3"/>
      <c r="C8656" s="3"/>
      <c r="D8656" s="3"/>
      <c r="E8656" s="3"/>
      <c r="F8656" s="3"/>
      <c r="G8656" s="3"/>
      <c r="H8656" s="3"/>
      <c r="I8656" s="3"/>
      <c r="J8656" s="3"/>
      <c r="K8656" s="3"/>
      <c r="L8656" s="3"/>
      <c r="M8656" s="3"/>
      <c r="N8656" s="3"/>
      <c r="O8656" s="3"/>
    </row>
    <row r="8657" spans="1:15" ht="15" customHeight="1" x14ac:dyDescent="0.25">
      <c r="A8657" s="2"/>
      <c r="B8657" s="2"/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</row>
    <row r="8658" spans="1:15" ht="15" customHeight="1" x14ac:dyDescent="0.25">
      <c r="A8658" s="3"/>
      <c r="B8658" s="3"/>
      <c r="C8658" s="3"/>
      <c r="D8658" s="3"/>
      <c r="E8658" s="3"/>
      <c r="F8658" s="3"/>
      <c r="G8658" s="3"/>
      <c r="H8658" s="3"/>
      <c r="I8658" s="3"/>
      <c r="J8658" s="3"/>
      <c r="K8658" s="3"/>
      <c r="L8658" s="3"/>
      <c r="M8658" s="3"/>
      <c r="N8658" s="3"/>
      <c r="O8658" s="3"/>
    </row>
    <row r="8659" spans="1:15" ht="15" customHeight="1" x14ac:dyDescent="0.25">
      <c r="A8659" s="2"/>
      <c r="B8659" s="2"/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</row>
    <row r="8660" spans="1:15" ht="15" customHeight="1" x14ac:dyDescent="0.25">
      <c r="A8660" s="3"/>
      <c r="B8660" s="3"/>
      <c r="C8660" s="3"/>
      <c r="D8660" s="3"/>
      <c r="E8660" s="3"/>
      <c r="F8660" s="3"/>
      <c r="G8660" s="3"/>
      <c r="H8660" s="3"/>
      <c r="I8660" s="3"/>
      <c r="J8660" s="3"/>
      <c r="K8660" s="3"/>
      <c r="L8660" s="3"/>
      <c r="M8660" s="3"/>
      <c r="N8660" s="3"/>
      <c r="O8660" s="3"/>
    </row>
    <row r="8661" spans="1:15" ht="15" customHeight="1" x14ac:dyDescent="0.25">
      <c r="A8661" s="2"/>
      <c r="B8661" s="2"/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</row>
    <row r="8662" spans="1:15" ht="15" customHeight="1" x14ac:dyDescent="0.25">
      <c r="A8662" s="3"/>
      <c r="B8662" s="3"/>
      <c r="C8662" s="3"/>
      <c r="D8662" s="3"/>
      <c r="E8662" s="3"/>
      <c r="F8662" s="3"/>
      <c r="G8662" s="3"/>
      <c r="H8662" s="3"/>
      <c r="I8662" s="3"/>
      <c r="J8662" s="3"/>
      <c r="K8662" s="3"/>
      <c r="L8662" s="3"/>
      <c r="M8662" s="3"/>
      <c r="N8662" s="3"/>
      <c r="O8662" s="3"/>
    </row>
    <row r="8663" spans="1:15" ht="15" customHeight="1" x14ac:dyDescent="0.25">
      <c r="A8663" s="2"/>
      <c r="B8663" s="2"/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</row>
    <row r="8664" spans="1:15" ht="15" customHeight="1" x14ac:dyDescent="0.25">
      <c r="A8664" s="3"/>
      <c r="B8664" s="3"/>
      <c r="C8664" s="3"/>
      <c r="D8664" s="3"/>
      <c r="E8664" s="3"/>
      <c r="F8664" s="3"/>
      <c r="G8664" s="3"/>
      <c r="H8664" s="3"/>
      <c r="I8664" s="3"/>
      <c r="J8664" s="3"/>
      <c r="K8664" s="3"/>
      <c r="L8664" s="3"/>
      <c r="M8664" s="3"/>
      <c r="N8664" s="3"/>
      <c r="O8664" s="3"/>
    </row>
    <row r="8665" spans="1:15" ht="15" customHeight="1" x14ac:dyDescent="0.25">
      <c r="A8665" s="2"/>
      <c r="B8665" s="2"/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</row>
    <row r="8666" spans="1:15" ht="15" customHeight="1" x14ac:dyDescent="0.25">
      <c r="A8666" s="3"/>
      <c r="B8666" s="3"/>
      <c r="C8666" s="3"/>
      <c r="D8666" s="3"/>
      <c r="E8666" s="3"/>
      <c r="F8666" s="3"/>
      <c r="G8666" s="3"/>
      <c r="H8666" s="3"/>
      <c r="I8666" s="3"/>
      <c r="J8666" s="3"/>
      <c r="K8666" s="3"/>
      <c r="L8666" s="3"/>
      <c r="M8666" s="3"/>
      <c r="N8666" s="3"/>
      <c r="O8666" s="3"/>
    </row>
    <row r="8667" spans="1:15" ht="15" customHeight="1" x14ac:dyDescent="0.25">
      <c r="A8667" s="2"/>
      <c r="B8667" s="2"/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</row>
    <row r="8668" spans="1:15" ht="15" customHeight="1" x14ac:dyDescent="0.25">
      <c r="A8668" s="3"/>
      <c r="B8668" s="3"/>
      <c r="C8668" s="3"/>
      <c r="D8668" s="3"/>
      <c r="E8668" s="3"/>
      <c r="F8668" s="3"/>
      <c r="G8668" s="3"/>
      <c r="H8668" s="3"/>
      <c r="I8668" s="3"/>
      <c r="J8668" s="3"/>
      <c r="K8668" s="3"/>
      <c r="L8668" s="3"/>
      <c r="M8668" s="3"/>
      <c r="N8668" s="3"/>
      <c r="O8668" s="3"/>
    </row>
    <row r="8669" spans="1:15" ht="15" customHeight="1" x14ac:dyDescent="0.25">
      <c r="A8669" s="2"/>
      <c r="B8669" s="2"/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</row>
    <row r="8670" spans="1:15" ht="15" customHeight="1" x14ac:dyDescent="0.25">
      <c r="A8670" s="3"/>
      <c r="B8670" s="3"/>
      <c r="C8670" s="3"/>
      <c r="D8670" s="3"/>
      <c r="E8670" s="3"/>
      <c r="F8670" s="3"/>
      <c r="G8670" s="3"/>
      <c r="H8670" s="3"/>
      <c r="I8670" s="3"/>
      <c r="J8670" s="3"/>
      <c r="K8670" s="3"/>
      <c r="L8670" s="3"/>
      <c r="M8670" s="3"/>
      <c r="N8670" s="3"/>
      <c r="O8670" s="3"/>
    </row>
    <row r="8671" spans="1:15" ht="15" customHeight="1" x14ac:dyDescent="0.25">
      <c r="A8671" s="2"/>
      <c r="B8671" s="2"/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</row>
    <row r="8672" spans="1:15" ht="15" customHeight="1" x14ac:dyDescent="0.25">
      <c r="A8672" s="3"/>
      <c r="B8672" s="3"/>
      <c r="C8672" s="3"/>
      <c r="D8672" s="3"/>
      <c r="E8672" s="3"/>
      <c r="F8672" s="3"/>
      <c r="G8672" s="3"/>
      <c r="H8672" s="3"/>
      <c r="I8672" s="3"/>
      <c r="J8672" s="3"/>
      <c r="K8672" s="3"/>
      <c r="L8672" s="3"/>
      <c r="M8672" s="3"/>
      <c r="N8672" s="3"/>
      <c r="O8672" s="3"/>
    </row>
    <row r="8673" spans="1:15" ht="15" customHeight="1" x14ac:dyDescent="0.25">
      <c r="A8673" s="2"/>
      <c r="B8673" s="2"/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</row>
    <row r="8674" spans="1:15" ht="15" customHeight="1" x14ac:dyDescent="0.25">
      <c r="A8674" s="3"/>
      <c r="B8674" s="3"/>
      <c r="C8674" s="3"/>
      <c r="D8674" s="3"/>
      <c r="E8674" s="3"/>
      <c r="F8674" s="3"/>
      <c r="G8674" s="3"/>
      <c r="H8674" s="3"/>
      <c r="I8674" s="3"/>
      <c r="J8674" s="3"/>
      <c r="K8674" s="3"/>
      <c r="L8674" s="3"/>
      <c r="M8674" s="3"/>
      <c r="N8674" s="3"/>
      <c r="O8674" s="3"/>
    </row>
    <row r="8675" spans="1:15" ht="15" customHeight="1" x14ac:dyDescent="0.25">
      <c r="A8675" s="2"/>
      <c r="B8675" s="2"/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</row>
    <row r="8676" spans="1:15" ht="15" customHeight="1" x14ac:dyDescent="0.25">
      <c r="A8676" s="3"/>
      <c r="B8676" s="3"/>
      <c r="C8676" s="3"/>
      <c r="D8676" s="3"/>
      <c r="E8676" s="3"/>
      <c r="F8676" s="3"/>
      <c r="G8676" s="3"/>
      <c r="H8676" s="3"/>
      <c r="I8676" s="3"/>
      <c r="J8676" s="3"/>
      <c r="K8676" s="3"/>
      <c r="L8676" s="3"/>
      <c r="M8676" s="3"/>
      <c r="N8676" s="3"/>
      <c r="O8676" s="3"/>
    </row>
    <row r="8677" spans="1:15" ht="15" customHeight="1" x14ac:dyDescent="0.25">
      <c r="A8677" s="2"/>
      <c r="B8677" s="2"/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</row>
    <row r="8678" spans="1:15" ht="15" customHeight="1" x14ac:dyDescent="0.25">
      <c r="A8678" s="3"/>
      <c r="B8678" s="3"/>
      <c r="C8678" s="3"/>
      <c r="D8678" s="3"/>
      <c r="E8678" s="3"/>
      <c r="F8678" s="3"/>
      <c r="G8678" s="3"/>
      <c r="H8678" s="3"/>
      <c r="I8678" s="3"/>
      <c r="J8678" s="3"/>
      <c r="K8678" s="3"/>
      <c r="L8678" s="3"/>
      <c r="M8678" s="3"/>
      <c r="N8678" s="3"/>
      <c r="O8678" s="3"/>
    </row>
    <row r="8679" spans="1:15" ht="15" customHeight="1" x14ac:dyDescent="0.25">
      <c r="A8679" s="2"/>
      <c r="B8679" s="2"/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</row>
    <row r="8680" spans="1:15" ht="15" customHeight="1" x14ac:dyDescent="0.25">
      <c r="A8680" s="3"/>
      <c r="B8680" s="3"/>
      <c r="C8680" s="3"/>
      <c r="D8680" s="3"/>
      <c r="E8680" s="3"/>
      <c r="F8680" s="3"/>
      <c r="G8680" s="3"/>
      <c r="H8680" s="3"/>
      <c r="I8680" s="3"/>
      <c r="J8680" s="3"/>
      <c r="K8680" s="3"/>
      <c r="L8680" s="3"/>
      <c r="M8680" s="3"/>
      <c r="N8680" s="3"/>
      <c r="O8680" s="3"/>
    </row>
    <row r="8681" spans="1:15" ht="15" customHeight="1" x14ac:dyDescent="0.25">
      <c r="A8681" s="2"/>
      <c r="B8681" s="2"/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</row>
    <row r="8682" spans="1:15" ht="15" customHeight="1" x14ac:dyDescent="0.25">
      <c r="A8682" s="3"/>
      <c r="B8682" s="3"/>
      <c r="C8682" s="3"/>
      <c r="D8682" s="3"/>
      <c r="E8682" s="3"/>
      <c r="F8682" s="3"/>
      <c r="G8682" s="3"/>
      <c r="H8682" s="3"/>
      <c r="I8682" s="3"/>
      <c r="J8682" s="3"/>
      <c r="K8682" s="3"/>
      <c r="L8682" s="3"/>
      <c r="M8682" s="3"/>
      <c r="N8682" s="3"/>
      <c r="O8682" s="3"/>
    </row>
    <row r="8683" spans="1:15" ht="15" customHeight="1" x14ac:dyDescent="0.25">
      <c r="A8683" s="2"/>
      <c r="B8683" s="2"/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</row>
    <row r="8684" spans="1:15" ht="15" customHeight="1" x14ac:dyDescent="0.25">
      <c r="A8684" s="3"/>
      <c r="B8684" s="3"/>
      <c r="C8684" s="3"/>
      <c r="D8684" s="3"/>
      <c r="E8684" s="3"/>
      <c r="F8684" s="3"/>
      <c r="G8684" s="3"/>
      <c r="H8684" s="3"/>
      <c r="I8684" s="3"/>
      <c r="J8684" s="3"/>
      <c r="K8684" s="3"/>
      <c r="L8684" s="3"/>
      <c r="M8684" s="3"/>
      <c r="N8684" s="3"/>
      <c r="O8684" s="3"/>
    </row>
    <row r="8685" spans="1:15" ht="15" customHeight="1" x14ac:dyDescent="0.25">
      <c r="A8685" s="2"/>
      <c r="B8685" s="2"/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</row>
    <row r="8686" spans="1:15" ht="15" customHeight="1" x14ac:dyDescent="0.25">
      <c r="A8686" s="3"/>
      <c r="B8686" s="3"/>
      <c r="C8686" s="3"/>
      <c r="D8686" s="3"/>
      <c r="E8686" s="3"/>
      <c r="F8686" s="3"/>
      <c r="G8686" s="3"/>
      <c r="H8686" s="3"/>
      <c r="I8686" s="3"/>
      <c r="J8686" s="3"/>
      <c r="K8686" s="3"/>
      <c r="L8686" s="3"/>
      <c r="M8686" s="3"/>
      <c r="N8686" s="3"/>
      <c r="O8686" s="3"/>
    </row>
    <row r="8687" spans="1:15" ht="15" customHeight="1" x14ac:dyDescent="0.25">
      <c r="A8687" s="2"/>
      <c r="B8687" s="2"/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</row>
    <row r="8688" spans="1:15" ht="15" customHeight="1" x14ac:dyDescent="0.25">
      <c r="A8688" s="3"/>
      <c r="B8688" s="3"/>
      <c r="C8688" s="3"/>
      <c r="D8688" s="3"/>
      <c r="E8688" s="3"/>
      <c r="F8688" s="3"/>
      <c r="G8688" s="3"/>
      <c r="H8688" s="3"/>
      <c r="I8688" s="3"/>
      <c r="J8688" s="3"/>
      <c r="K8688" s="3"/>
      <c r="L8688" s="3"/>
      <c r="M8688" s="3"/>
      <c r="N8688" s="3"/>
      <c r="O8688" s="3"/>
    </row>
    <row r="8689" spans="1:15" ht="15" customHeight="1" x14ac:dyDescent="0.25">
      <c r="A8689" s="2"/>
      <c r="B8689" s="2"/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</row>
    <row r="8690" spans="1:15" ht="15" customHeight="1" x14ac:dyDescent="0.25">
      <c r="A8690" s="3"/>
      <c r="B8690" s="3"/>
      <c r="C8690" s="3"/>
      <c r="D8690" s="3"/>
      <c r="E8690" s="3"/>
      <c r="F8690" s="3"/>
      <c r="G8690" s="3"/>
      <c r="H8690" s="3"/>
      <c r="I8690" s="3"/>
      <c r="J8690" s="3"/>
      <c r="K8690" s="3"/>
      <c r="L8690" s="3"/>
      <c r="M8690" s="3"/>
      <c r="N8690" s="3"/>
      <c r="O8690" s="3"/>
    </row>
    <row r="8691" spans="1:15" ht="15" customHeight="1" x14ac:dyDescent="0.25">
      <c r="A8691" s="2"/>
      <c r="B8691" s="2"/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</row>
    <row r="8692" spans="1:15" ht="15" customHeight="1" x14ac:dyDescent="0.25">
      <c r="A8692" s="3"/>
      <c r="B8692" s="3"/>
      <c r="C8692" s="3"/>
      <c r="D8692" s="3"/>
      <c r="E8692" s="3"/>
      <c r="F8692" s="3"/>
      <c r="G8692" s="3"/>
      <c r="H8692" s="3"/>
      <c r="I8692" s="3"/>
      <c r="J8692" s="3"/>
      <c r="K8692" s="3"/>
      <c r="L8692" s="3"/>
      <c r="M8692" s="3"/>
      <c r="N8692" s="3"/>
      <c r="O8692" s="3"/>
    </row>
    <row r="8693" spans="1:15" ht="15" customHeight="1" x14ac:dyDescent="0.25">
      <c r="A8693" s="2"/>
      <c r="B8693" s="2"/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</row>
    <row r="8694" spans="1:15" ht="15" customHeight="1" x14ac:dyDescent="0.25">
      <c r="A8694" s="3"/>
      <c r="B8694" s="3"/>
      <c r="C8694" s="3"/>
      <c r="D8694" s="3"/>
      <c r="E8694" s="3"/>
      <c r="F8694" s="3"/>
      <c r="G8694" s="3"/>
      <c r="H8694" s="3"/>
      <c r="I8694" s="3"/>
      <c r="J8694" s="3"/>
      <c r="K8694" s="3"/>
      <c r="L8694" s="3"/>
      <c r="M8694" s="3"/>
      <c r="N8694" s="3"/>
      <c r="O8694" s="3"/>
    </row>
    <row r="8695" spans="1:15" ht="15" customHeight="1" x14ac:dyDescent="0.25">
      <c r="A8695" s="2"/>
      <c r="B8695" s="2"/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</row>
    <row r="8696" spans="1:15" ht="15" customHeight="1" x14ac:dyDescent="0.25">
      <c r="A8696" s="3"/>
      <c r="B8696" s="3"/>
      <c r="C8696" s="3"/>
      <c r="D8696" s="3"/>
      <c r="E8696" s="3"/>
      <c r="F8696" s="3"/>
      <c r="G8696" s="3"/>
      <c r="H8696" s="3"/>
      <c r="I8696" s="3"/>
      <c r="J8696" s="3"/>
      <c r="K8696" s="3"/>
      <c r="L8696" s="3"/>
      <c r="M8696" s="3"/>
      <c r="N8696" s="3"/>
      <c r="O8696" s="3"/>
    </row>
    <row r="8697" spans="1:15" ht="15" customHeight="1" x14ac:dyDescent="0.25">
      <c r="A8697" s="2"/>
      <c r="B8697" s="2"/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</row>
    <row r="8698" spans="1:15" ht="15" customHeight="1" x14ac:dyDescent="0.25">
      <c r="A8698" s="3"/>
      <c r="B8698" s="3"/>
      <c r="C8698" s="3"/>
      <c r="D8698" s="3"/>
      <c r="E8698" s="3"/>
      <c r="F8698" s="3"/>
      <c r="G8698" s="3"/>
      <c r="H8698" s="3"/>
      <c r="I8698" s="3"/>
      <c r="J8698" s="3"/>
      <c r="K8698" s="3"/>
      <c r="L8698" s="3"/>
      <c r="M8698" s="3"/>
      <c r="N8698" s="3"/>
      <c r="O8698" s="3"/>
    </row>
    <row r="8699" spans="1:15" ht="15" customHeight="1" x14ac:dyDescent="0.25">
      <c r="A8699" s="2"/>
      <c r="B8699" s="2"/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</row>
    <row r="8700" spans="1:15" ht="15" customHeight="1" x14ac:dyDescent="0.25">
      <c r="A8700" s="3"/>
      <c r="B8700" s="3"/>
      <c r="C8700" s="3"/>
      <c r="D8700" s="3"/>
      <c r="E8700" s="3"/>
      <c r="F8700" s="3"/>
      <c r="G8700" s="3"/>
      <c r="H8700" s="3"/>
      <c r="I8700" s="3"/>
      <c r="J8700" s="3"/>
      <c r="K8700" s="3"/>
      <c r="L8700" s="3"/>
      <c r="M8700" s="3"/>
      <c r="N8700" s="3"/>
      <c r="O8700" s="3"/>
    </row>
    <row r="8701" spans="1:15" ht="15" customHeight="1" x14ac:dyDescent="0.25">
      <c r="A8701" s="2"/>
      <c r="B8701" s="2"/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</row>
    <row r="8702" spans="1:15" ht="15" customHeight="1" x14ac:dyDescent="0.25">
      <c r="A8702" s="3"/>
      <c r="B8702" s="3"/>
      <c r="C8702" s="3"/>
      <c r="D8702" s="3"/>
      <c r="E8702" s="3"/>
      <c r="F8702" s="3"/>
      <c r="G8702" s="3"/>
      <c r="H8702" s="3"/>
      <c r="I8702" s="3"/>
      <c r="J8702" s="3"/>
      <c r="K8702" s="3"/>
      <c r="L8702" s="3"/>
      <c r="M8702" s="3"/>
      <c r="N8702" s="3"/>
      <c r="O8702" s="3"/>
    </row>
    <row r="8703" spans="1:15" ht="15" customHeight="1" x14ac:dyDescent="0.25">
      <c r="A8703" s="2"/>
      <c r="B8703" s="2"/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</row>
    <row r="8704" spans="1:15" ht="15" customHeight="1" x14ac:dyDescent="0.25">
      <c r="A8704" s="3"/>
      <c r="B8704" s="3"/>
      <c r="C8704" s="3"/>
      <c r="D8704" s="3"/>
      <c r="E8704" s="3"/>
      <c r="F8704" s="3"/>
      <c r="G8704" s="3"/>
      <c r="H8704" s="3"/>
      <c r="I8704" s="3"/>
      <c r="J8704" s="3"/>
      <c r="K8704" s="3"/>
      <c r="L8704" s="3"/>
      <c r="M8704" s="3"/>
      <c r="N8704" s="3"/>
      <c r="O8704" s="3"/>
    </row>
    <row r="8705" spans="1:15" ht="15" customHeight="1" x14ac:dyDescent="0.25">
      <c r="A8705" s="2"/>
      <c r="B8705" s="2"/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</row>
    <row r="8706" spans="1:15" ht="15" customHeight="1" x14ac:dyDescent="0.25">
      <c r="A8706" s="3"/>
      <c r="B8706" s="3"/>
      <c r="C8706" s="3"/>
      <c r="D8706" s="3"/>
      <c r="E8706" s="3"/>
      <c r="F8706" s="3"/>
      <c r="G8706" s="3"/>
      <c r="H8706" s="3"/>
      <c r="I8706" s="3"/>
      <c r="J8706" s="3"/>
      <c r="K8706" s="3"/>
      <c r="L8706" s="3"/>
      <c r="M8706" s="3"/>
      <c r="N8706" s="3"/>
      <c r="O8706" s="3"/>
    </row>
    <row r="8707" spans="1:15" ht="15" customHeight="1" x14ac:dyDescent="0.25">
      <c r="A8707" s="2"/>
      <c r="B8707" s="2"/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</row>
    <row r="8708" spans="1:15" ht="15" customHeight="1" x14ac:dyDescent="0.25">
      <c r="A8708" s="3"/>
      <c r="B8708" s="3"/>
      <c r="C8708" s="3"/>
      <c r="D8708" s="3"/>
      <c r="E8708" s="3"/>
      <c r="F8708" s="3"/>
      <c r="G8708" s="3"/>
      <c r="H8708" s="3"/>
      <c r="I8708" s="3"/>
      <c r="J8708" s="3"/>
      <c r="K8708" s="3"/>
      <c r="L8708" s="3"/>
      <c r="M8708" s="3"/>
      <c r="N8708" s="3"/>
      <c r="O8708" s="3"/>
    </row>
    <row r="8709" spans="1:15" ht="15" customHeight="1" x14ac:dyDescent="0.25">
      <c r="A8709" s="2"/>
      <c r="B8709" s="2"/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</row>
    <row r="8710" spans="1:15" ht="15" customHeight="1" x14ac:dyDescent="0.25">
      <c r="A8710" s="3"/>
      <c r="B8710" s="3"/>
      <c r="C8710" s="3"/>
      <c r="D8710" s="3"/>
      <c r="E8710" s="3"/>
      <c r="F8710" s="3"/>
      <c r="G8710" s="3"/>
      <c r="H8710" s="3"/>
      <c r="I8710" s="3"/>
      <c r="J8710" s="3"/>
      <c r="K8710" s="3"/>
      <c r="L8710" s="3"/>
      <c r="M8710" s="3"/>
      <c r="N8710" s="3"/>
      <c r="O8710" s="3"/>
    </row>
    <row r="8711" spans="1:15" ht="15" customHeight="1" x14ac:dyDescent="0.25">
      <c r="A8711" s="2"/>
      <c r="B8711" s="2"/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</row>
    <row r="8712" spans="1:15" ht="15" customHeight="1" x14ac:dyDescent="0.25">
      <c r="A8712" s="3"/>
      <c r="B8712" s="3"/>
      <c r="C8712" s="3"/>
      <c r="D8712" s="3"/>
      <c r="E8712" s="3"/>
      <c r="F8712" s="3"/>
      <c r="G8712" s="3"/>
      <c r="H8712" s="3"/>
      <c r="I8712" s="3"/>
      <c r="J8712" s="3"/>
      <c r="K8712" s="3"/>
      <c r="L8712" s="3"/>
      <c r="M8712" s="3"/>
      <c r="N8712" s="3"/>
      <c r="O8712" s="3"/>
    </row>
    <row r="8713" spans="1:15" ht="15" customHeight="1" x14ac:dyDescent="0.25">
      <c r="A8713" s="2"/>
      <c r="B8713" s="2"/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</row>
    <row r="8714" spans="1:15" ht="15" customHeight="1" x14ac:dyDescent="0.25">
      <c r="A8714" s="3"/>
      <c r="B8714" s="3"/>
      <c r="C8714" s="3"/>
      <c r="D8714" s="3"/>
      <c r="E8714" s="3"/>
      <c r="F8714" s="3"/>
      <c r="G8714" s="3"/>
      <c r="H8714" s="3"/>
      <c r="I8714" s="3"/>
      <c r="J8714" s="3"/>
      <c r="K8714" s="3"/>
      <c r="L8714" s="3"/>
      <c r="M8714" s="3"/>
      <c r="N8714" s="3"/>
      <c r="O8714" s="3"/>
    </row>
    <row r="8715" spans="1:15" ht="15" customHeight="1" x14ac:dyDescent="0.25">
      <c r="A8715" s="2"/>
      <c r="B8715" s="2"/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</row>
    <row r="8716" spans="1:15" ht="15" customHeight="1" x14ac:dyDescent="0.25">
      <c r="A8716" s="3"/>
      <c r="B8716" s="3"/>
      <c r="C8716" s="3"/>
      <c r="D8716" s="3"/>
      <c r="E8716" s="3"/>
      <c r="F8716" s="3"/>
      <c r="G8716" s="3"/>
      <c r="H8716" s="3"/>
      <c r="I8716" s="3"/>
      <c r="J8716" s="3"/>
      <c r="K8716" s="3"/>
      <c r="L8716" s="3"/>
      <c r="M8716" s="3"/>
      <c r="N8716" s="3"/>
      <c r="O8716" s="3"/>
    </row>
    <row r="8717" spans="1:15" ht="15" customHeight="1" x14ac:dyDescent="0.25">
      <c r="A8717" s="2"/>
      <c r="B8717" s="2"/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</row>
    <row r="8718" spans="1:15" ht="15" customHeight="1" x14ac:dyDescent="0.25">
      <c r="A8718" s="3"/>
      <c r="B8718" s="3"/>
      <c r="C8718" s="3"/>
      <c r="D8718" s="3"/>
      <c r="E8718" s="3"/>
      <c r="F8718" s="3"/>
      <c r="G8718" s="3"/>
      <c r="H8718" s="3"/>
      <c r="I8718" s="3"/>
      <c r="J8718" s="3"/>
      <c r="K8718" s="3"/>
      <c r="L8718" s="3"/>
      <c r="M8718" s="3"/>
      <c r="N8718" s="3"/>
      <c r="O8718" s="3"/>
    </row>
    <row r="8719" spans="1:15" ht="15" customHeight="1" x14ac:dyDescent="0.25">
      <c r="A8719" s="2"/>
      <c r="B8719" s="2"/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</row>
    <row r="8720" spans="1:15" ht="15" customHeight="1" x14ac:dyDescent="0.25">
      <c r="A8720" s="3"/>
      <c r="B8720" s="3"/>
      <c r="C8720" s="3"/>
      <c r="D8720" s="3"/>
      <c r="E8720" s="3"/>
      <c r="F8720" s="3"/>
      <c r="G8720" s="3"/>
      <c r="H8720" s="3"/>
      <c r="I8720" s="3"/>
      <c r="J8720" s="3"/>
      <c r="K8720" s="3"/>
      <c r="L8720" s="3"/>
      <c r="M8720" s="3"/>
      <c r="N8720" s="3"/>
      <c r="O8720" s="3"/>
    </row>
    <row r="8721" spans="1:15" ht="15" customHeight="1" x14ac:dyDescent="0.25">
      <c r="A8721" s="2"/>
      <c r="B8721" s="2"/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</row>
    <row r="8722" spans="1:15" ht="15" customHeight="1" x14ac:dyDescent="0.25">
      <c r="A8722" s="3"/>
      <c r="B8722" s="3"/>
      <c r="C8722" s="3"/>
      <c r="D8722" s="3"/>
      <c r="E8722" s="3"/>
      <c r="F8722" s="3"/>
      <c r="G8722" s="3"/>
      <c r="H8722" s="3"/>
      <c r="I8722" s="3"/>
      <c r="J8722" s="3"/>
      <c r="K8722" s="3"/>
      <c r="L8722" s="3"/>
      <c r="M8722" s="3"/>
      <c r="N8722" s="3"/>
      <c r="O8722" s="3"/>
    </row>
    <row r="8723" spans="1:15" ht="15" customHeight="1" x14ac:dyDescent="0.25">
      <c r="A8723" s="2"/>
      <c r="B8723" s="2"/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</row>
    <row r="8724" spans="1:15" ht="15" customHeight="1" x14ac:dyDescent="0.25">
      <c r="A8724" s="3"/>
      <c r="B8724" s="3"/>
      <c r="C8724" s="3"/>
      <c r="D8724" s="3"/>
      <c r="E8724" s="3"/>
      <c r="F8724" s="3"/>
      <c r="G8724" s="3"/>
      <c r="H8724" s="3"/>
      <c r="I8724" s="3"/>
      <c r="J8724" s="3"/>
      <c r="K8724" s="3"/>
      <c r="L8724" s="3"/>
      <c r="M8724" s="3"/>
      <c r="N8724" s="3"/>
      <c r="O8724" s="3"/>
    </row>
    <row r="8725" spans="1:15" ht="15" customHeight="1" x14ac:dyDescent="0.25">
      <c r="A8725" s="2"/>
      <c r="B8725" s="2"/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</row>
    <row r="8726" spans="1:15" ht="15" customHeight="1" x14ac:dyDescent="0.25">
      <c r="A8726" s="3"/>
      <c r="B8726" s="3"/>
      <c r="C8726" s="3"/>
      <c r="D8726" s="3"/>
      <c r="E8726" s="3"/>
      <c r="F8726" s="3"/>
      <c r="G8726" s="3"/>
      <c r="H8726" s="3"/>
      <c r="I8726" s="3"/>
      <c r="J8726" s="3"/>
      <c r="K8726" s="3"/>
      <c r="L8726" s="3"/>
      <c r="M8726" s="3"/>
      <c r="N8726" s="3"/>
      <c r="O8726" s="3"/>
    </row>
    <row r="8727" spans="1:15" ht="15" customHeight="1" x14ac:dyDescent="0.25">
      <c r="A8727" s="2"/>
      <c r="B8727" s="2"/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</row>
    <row r="8728" spans="1:15" ht="15" customHeight="1" x14ac:dyDescent="0.25">
      <c r="A8728" s="3"/>
      <c r="B8728" s="3"/>
      <c r="C8728" s="3"/>
      <c r="D8728" s="3"/>
      <c r="E8728" s="3"/>
      <c r="F8728" s="3"/>
      <c r="G8728" s="3"/>
      <c r="H8728" s="3"/>
      <c r="I8728" s="3"/>
      <c r="J8728" s="3"/>
      <c r="K8728" s="3"/>
      <c r="L8728" s="3"/>
      <c r="M8728" s="3"/>
      <c r="N8728" s="3"/>
      <c r="O8728" s="3"/>
    </row>
    <row r="8729" spans="1:15" ht="15" customHeight="1" x14ac:dyDescent="0.25">
      <c r="A8729" s="2"/>
      <c r="B8729" s="2"/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</row>
    <row r="8730" spans="1:15" ht="15" customHeight="1" x14ac:dyDescent="0.25">
      <c r="A8730" s="3"/>
      <c r="B8730" s="3"/>
      <c r="C8730" s="3"/>
      <c r="D8730" s="3"/>
      <c r="E8730" s="3"/>
      <c r="F8730" s="3"/>
      <c r="G8730" s="3"/>
      <c r="H8730" s="3"/>
      <c r="I8730" s="3"/>
      <c r="J8730" s="3"/>
      <c r="K8730" s="3"/>
      <c r="L8730" s="3"/>
      <c r="M8730" s="3"/>
      <c r="N8730" s="3"/>
      <c r="O8730" s="3"/>
    </row>
    <row r="8731" spans="1:15" ht="15" customHeight="1" x14ac:dyDescent="0.25">
      <c r="A8731" s="2"/>
      <c r="B8731" s="2"/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</row>
    <row r="8732" spans="1:15" ht="15" customHeight="1" x14ac:dyDescent="0.25">
      <c r="A8732" s="3"/>
      <c r="B8732" s="3"/>
      <c r="C8732" s="3"/>
      <c r="D8732" s="3"/>
      <c r="E8732" s="3"/>
      <c r="F8732" s="3"/>
      <c r="G8732" s="3"/>
      <c r="H8732" s="3"/>
      <c r="I8732" s="3"/>
      <c r="J8732" s="3"/>
      <c r="K8732" s="3"/>
      <c r="L8732" s="3"/>
      <c r="M8732" s="3"/>
      <c r="N8732" s="3"/>
      <c r="O8732" s="3"/>
    </row>
    <row r="8733" spans="1:15" ht="15" customHeight="1" x14ac:dyDescent="0.25">
      <c r="A8733" s="2"/>
      <c r="B8733" s="2"/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</row>
    <row r="8734" spans="1:15" ht="15" customHeight="1" x14ac:dyDescent="0.25">
      <c r="A8734" s="3"/>
      <c r="B8734" s="3"/>
      <c r="C8734" s="3"/>
      <c r="D8734" s="3"/>
      <c r="E8734" s="3"/>
      <c r="F8734" s="3"/>
      <c r="G8734" s="3"/>
      <c r="H8734" s="3"/>
      <c r="I8734" s="3"/>
      <c r="J8734" s="3"/>
      <c r="K8734" s="3"/>
      <c r="L8734" s="3"/>
      <c r="M8734" s="3"/>
      <c r="N8734" s="3"/>
      <c r="O8734" s="3"/>
    </row>
    <row r="8735" spans="1:15" ht="15" customHeight="1" x14ac:dyDescent="0.25">
      <c r="A8735" s="2"/>
      <c r="B8735" s="2"/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</row>
    <row r="8736" spans="1:15" ht="15" customHeight="1" x14ac:dyDescent="0.25">
      <c r="A8736" s="3"/>
      <c r="B8736" s="3"/>
      <c r="C8736" s="3"/>
      <c r="D8736" s="3"/>
      <c r="E8736" s="3"/>
      <c r="F8736" s="3"/>
      <c r="G8736" s="3"/>
      <c r="H8736" s="3"/>
      <c r="I8736" s="3"/>
      <c r="J8736" s="3"/>
      <c r="K8736" s="3"/>
      <c r="L8736" s="3"/>
      <c r="M8736" s="3"/>
      <c r="N8736" s="3"/>
      <c r="O8736" s="3"/>
    </row>
    <row r="8737" spans="1:15" ht="15" customHeight="1" x14ac:dyDescent="0.25">
      <c r="A8737" s="2"/>
      <c r="B8737" s="2"/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</row>
    <row r="8738" spans="1:15" ht="15" customHeight="1" x14ac:dyDescent="0.25">
      <c r="A8738" s="3"/>
      <c r="B8738" s="3"/>
      <c r="C8738" s="3"/>
      <c r="D8738" s="3"/>
      <c r="E8738" s="3"/>
      <c r="F8738" s="3"/>
      <c r="G8738" s="3"/>
      <c r="H8738" s="3"/>
      <c r="I8738" s="3"/>
      <c r="J8738" s="3"/>
      <c r="K8738" s="3"/>
      <c r="L8738" s="3"/>
      <c r="M8738" s="3"/>
      <c r="N8738" s="3"/>
      <c r="O8738" s="3"/>
    </row>
    <row r="8739" spans="1:15" ht="15" customHeight="1" x14ac:dyDescent="0.25">
      <c r="A8739" s="2"/>
      <c r="B8739" s="2"/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</row>
    <row r="8740" spans="1:15" ht="15" customHeight="1" x14ac:dyDescent="0.25">
      <c r="A8740" s="3"/>
      <c r="B8740" s="3"/>
      <c r="C8740" s="3"/>
      <c r="D8740" s="3"/>
      <c r="E8740" s="3"/>
      <c r="F8740" s="3"/>
      <c r="G8740" s="3"/>
      <c r="H8740" s="3"/>
      <c r="I8740" s="3"/>
      <c r="J8740" s="3"/>
      <c r="K8740" s="3"/>
      <c r="L8740" s="3"/>
      <c r="M8740" s="3"/>
      <c r="N8740" s="3"/>
      <c r="O8740" s="3"/>
    </row>
    <row r="8741" spans="1:15" ht="15" customHeight="1" x14ac:dyDescent="0.25">
      <c r="A8741" s="2"/>
      <c r="B8741" s="2"/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</row>
    <row r="8742" spans="1:15" ht="15" customHeight="1" x14ac:dyDescent="0.25">
      <c r="A8742" s="3"/>
      <c r="B8742" s="3"/>
      <c r="C8742" s="3"/>
      <c r="D8742" s="3"/>
      <c r="E8742" s="3"/>
      <c r="F8742" s="3"/>
      <c r="G8742" s="3"/>
      <c r="H8742" s="3"/>
      <c r="I8742" s="3"/>
      <c r="J8742" s="3"/>
      <c r="K8742" s="3"/>
      <c r="L8742" s="3"/>
      <c r="M8742" s="3"/>
      <c r="N8742" s="3"/>
      <c r="O8742" s="3"/>
    </row>
    <row r="8743" spans="1:15" ht="15" customHeight="1" x14ac:dyDescent="0.25">
      <c r="A8743" s="2"/>
      <c r="B8743" s="2"/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</row>
    <row r="8744" spans="1:15" ht="15" customHeight="1" x14ac:dyDescent="0.25">
      <c r="A8744" s="3"/>
      <c r="B8744" s="3"/>
      <c r="C8744" s="3"/>
      <c r="D8744" s="3"/>
      <c r="E8744" s="3"/>
      <c r="F8744" s="3"/>
      <c r="G8744" s="3"/>
      <c r="H8744" s="3"/>
      <c r="I8744" s="3"/>
      <c r="J8744" s="3"/>
      <c r="K8744" s="3"/>
      <c r="L8744" s="3"/>
      <c r="M8744" s="3"/>
      <c r="N8744" s="3"/>
      <c r="O8744" s="3"/>
    </row>
    <row r="8745" spans="1:15" ht="15" customHeight="1" x14ac:dyDescent="0.25">
      <c r="A8745" s="2"/>
      <c r="B8745" s="2"/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</row>
    <row r="8746" spans="1:15" ht="15" customHeight="1" x14ac:dyDescent="0.25">
      <c r="A8746" s="3"/>
      <c r="B8746" s="3"/>
      <c r="C8746" s="3"/>
      <c r="D8746" s="3"/>
      <c r="E8746" s="3"/>
      <c r="F8746" s="3"/>
      <c r="G8746" s="3"/>
      <c r="H8746" s="3"/>
      <c r="I8746" s="3"/>
      <c r="J8746" s="3"/>
      <c r="K8746" s="3"/>
      <c r="L8746" s="3"/>
      <c r="M8746" s="3"/>
      <c r="N8746" s="3"/>
      <c r="O8746" s="3"/>
    </row>
    <row r="8747" spans="1:15" ht="15" customHeight="1" x14ac:dyDescent="0.25">
      <c r="A8747" s="2"/>
      <c r="B8747" s="2"/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</row>
    <row r="8748" spans="1:15" ht="15" customHeight="1" x14ac:dyDescent="0.25">
      <c r="A8748" s="3"/>
      <c r="B8748" s="3"/>
      <c r="C8748" s="3"/>
      <c r="D8748" s="3"/>
      <c r="E8748" s="3"/>
      <c r="F8748" s="3"/>
      <c r="G8748" s="3"/>
      <c r="H8748" s="3"/>
      <c r="I8748" s="3"/>
      <c r="J8748" s="3"/>
      <c r="K8748" s="3"/>
      <c r="L8748" s="3"/>
      <c r="M8748" s="3"/>
      <c r="N8748" s="3"/>
      <c r="O8748" s="3"/>
    </row>
    <row r="8749" spans="1:15" ht="15" customHeight="1" x14ac:dyDescent="0.25">
      <c r="A8749" s="2"/>
      <c r="B8749" s="2"/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</row>
    <row r="8750" spans="1:15" ht="15" customHeight="1" x14ac:dyDescent="0.25">
      <c r="A8750" s="3"/>
      <c r="B8750" s="3"/>
      <c r="C8750" s="3"/>
      <c r="D8750" s="3"/>
      <c r="E8750" s="3"/>
      <c r="F8750" s="3"/>
      <c r="G8750" s="3"/>
      <c r="H8750" s="3"/>
      <c r="I8750" s="3"/>
      <c r="J8750" s="3"/>
      <c r="K8750" s="3"/>
      <c r="L8750" s="3"/>
      <c r="M8750" s="3"/>
      <c r="N8750" s="3"/>
      <c r="O8750" s="3"/>
    </row>
    <row r="8751" spans="1:15" ht="15" customHeight="1" x14ac:dyDescent="0.25">
      <c r="A8751" s="2"/>
      <c r="B8751" s="2"/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</row>
    <row r="8752" spans="1:15" ht="15" customHeight="1" x14ac:dyDescent="0.25">
      <c r="A8752" s="3"/>
      <c r="B8752" s="3"/>
      <c r="C8752" s="3"/>
      <c r="D8752" s="3"/>
      <c r="E8752" s="3"/>
      <c r="F8752" s="3"/>
      <c r="G8752" s="3"/>
      <c r="H8752" s="3"/>
      <c r="I8752" s="3"/>
      <c r="J8752" s="3"/>
      <c r="K8752" s="3"/>
      <c r="L8752" s="3"/>
      <c r="M8752" s="3"/>
      <c r="N8752" s="3"/>
      <c r="O8752" s="3"/>
    </row>
    <row r="8753" spans="1:15" ht="15" customHeight="1" x14ac:dyDescent="0.25">
      <c r="A8753" s="2"/>
      <c r="B8753" s="2"/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</row>
    <row r="8754" spans="1:15" ht="15" customHeight="1" x14ac:dyDescent="0.25">
      <c r="A8754" s="3"/>
      <c r="B8754" s="3"/>
      <c r="C8754" s="3"/>
      <c r="D8754" s="3"/>
      <c r="E8754" s="3"/>
      <c r="F8754" s="3"/>
      <c r="G8754" s="3"/>
      <c r="H8754" s="3"/>
      <c r="I8754" s="3"/>
      <c r="J8754" s="3"/>
      <c r="K8754" s="3"/>
      <c r="L8754" s="3"/>
      <c r="M8754" s="3"/>
      <c r="N8754" s="3"/>
      <c r="O8754" s="3"/>
    </row>
    <row r="8755" spans="1:15" ht="15" customHeight="1" x14ac:dyDescent="0.25">
      <c r="A8755" s="2"/>
      <c r="B8755" s="2"/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</row>
    <row r="8756" spans="1:15" ht="15" customHeight="1" x14ac:dyDescent="0.25">
      <c r="A8756" s="3"/>
      <c r="B8756" s="3"/>
      <c r="C8756" s="3"/>
      <c r="D8756" s="3"/>
      <c r="E8756" s="3"/>
      <c r="F8756" s="3"/>
      <c r="G8756" s="3"/>
      <c r="H8756" s="3"/>
      <c r="I8756" s="3"/>
      <c r="J8756" s="3"/>
      <c r="K8756" s="3"/>
      <c r="L8756" s="3"/>
      <c r="M8756" s="3"/>
      <c r="N8756" s="3"/>
      <c r="O8756" s="3"/>
    </row>
    <row r="8757" spans="1:15" ht="15" customHeight="1" x14ac:dyDescent="0.25">
      <c r="A8757" s="2"/>
      <c r="B8757" s="2"/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</row>
    <row r="8758" spans="1:15" ht="15" customHeight="1" x14ac:dyDescent="0.25">
      <c r="A8758" s="3"/>
      <c r="B8758" s="3"/>
      <c r="C8758" s="3"/>
      <c r="D8758" s="3"/>
      <c r="E8758" s="3"/>
      <c r="F8758" s="3"/>
      <c r="G8758" s="3"/>
      <c r="H8758" s="3"/>
      <c r="I8758" s="3"/>
      <c r="J8758" s="3"/>
      <c r="K8758" s="3"/>
      <c r="L8758" s="3"/>
      <c r="M8758" s="3"/>
      <c r="N8758" s="3"/>
      <c r="O8758" s="3"/>
    </row>
    <row r="8759" spans="1:15" ht="15" customHeight="1" x14ac:dyDescent="0.25">
      <c r="A8759" s="2"/>
      <c r="B8759" s="2"/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</row>
    <row r="8760" spans="1:15" ht="15" customHeight="1" x14ac:dyDescent="0.25">
      <c r="A8760" s="3"/>
      <c r="B8760" s="3"/>
      <c r="C8760" s="3"/>
      <c r="D8760" s="3"/>
      <c r="E8760" s="3"/>
      <c r="F8760" s="3"/>
      <c r="G8760" s="3"/>
      <c r="H8760" s="3"/>
      <c r="I8760" s="3"/>
      <c r="J8760" s="3"/>
      <c r="K8760" s="3"/>
      <c r="L8760" s="3"/>
      <c r="M8760" s="3"/>
      <c r="N8760" s="3"/>
      <c r="O8760" s="3"/>
    </row>
    <row r="8761" spans="1:15" ht="15" customHeight="1" x14ac:dyDescent="0.25">
      <c r="A8761" s="2"/>
      <c r="B8761" s="2"/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</row>
    <row r="8762" spans="1:15" ht="15" customHeight="1" x14ac:dyDescent="0.25">
      <c r="A8762" s="3"/>
      <c r="B8762" s="3"/>
      <c r="C8762" s="3"/>
      <c r="D8762" s="3"/>
      <c r="E8762" s="3"/>
      <c r="F8762" s="3"/>
      <c r="G8762" s="3"/>
      <c r="H8762" s="3"/>
      <c r="I8762" s="3"/>
      <c r="J8762" s="3"/>
      <c r="K8762" s="3"/>
      <c r="L8762" s="3"/>
      <c r="M8762" s="3"/>
      <c r="N8762" s="3"/>
      <c r="O8762" s="3"/>
    </row>
    <row r="8763" spans="1:15" ht="15" customHeight="1" x14ac:dyDescent="0.25">
      <c r="A8763" s="2"/>
      <c r="B8763" s="2"/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</row>
    <row r="8764" spans="1:15" ht="15" customHeight="1" x14ac:dyDescent="0.25">
      <c r="A8764" s="3"/>
      <c r="B8764" s="3"/>
      <c r="C8764" s="3"/>
      <c r="D8764" s="3"/>
      <c r="E8764" s="3"/>
      <c r="F8764" s="3"/>
      <c r="G8764" s="3"/>
      <c r="H8764" s="3"/>
      <c r="I8764" s="3"/>
      <c r="J8764" s="3"/>
      <c r="K8764" s="3"/>
      <c r="L8764" s="3"/>
      <c r="M8764" s="3"/>
      <c r="N8764" s="3"/>
      <c r="O8764" s="3"/>
    </row>
    <row r="8765" spans="1:15" ht="15" customHeight="1" x14ac:dyDescent="0.25">
      <c r="A8765" s="2"/>
      <c r="B8765" s="2"/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</row>
    <row r="8766" spans="1:15" ht="15" customHeight="1" x14ac:dyDescent="0.25">
      <c r="A8766" s="3"/>
      <c r="B8766" s="3"/>
      <c r="C8766" s="3"/>
      <c r="D8766" s="3"/>
      <c r="E8766" s="3"/>
      <c r="F8766" s="3"/>
      <c r="G8766" s="3"/>
      <c r="H8766" s="3"/>
      <c r="I8766" s="3"/>
      <c r="J8766" s="3"/>
      <c r="K8766" s="3"/>
      <c r="L8766" s="3"/>
      <c r="M8766" s="3"/>
      <c r="N8766" s="3"/>
      <c r="O8766" s="3"/>
    </row>
    <row r="8767" spans="1:15" ht="15" customHeight="1" x14ac:dyDescent="0.25">
      <c r="A8767" s="2"/>
      <c r="B8767" s="2"/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</row>
    <row r="8768" spans="1:15" ht="15" customHeight="1" x14ac:dyDescent="0.25">
      <c r="A8768" s="3"/>
      <c r="B8768" s="3"/>
      <c r="C8768" s="3"/>
      <c r="D8768" s="3"/>
      <c r="E8768" s="3"/>
      <c r="F8768" s="3"/>
      <c r="G8768" s="3"/>
      <c r="H8768" s="3"/>
      <c r="I8768" s="3"/>
      <c r="J8768" s="3"/>
      <c r="K8768" s="3"/>
      <c r="L8768" s="3"/>
      <c r="M8768" s="3"/>
      <c r="N8768" s="3"/>
      <c r="O8768" s="3"/>
    </row>
    <row r="8769" spans="1:15" ht="15" customHeight="1" x14ac:dyDescent="0.25">
      <c r="A8769" s="2"/>
      <c r="B8769" s="2"/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</row>
    <row r="8770" spans="1:15" ht="15" customHeight="1" x14ac:dyDescent="0.25">
      <c r="A8770" s="3"/>
      <c r="B8770" s="3"/>
      <c r="C8770" s="3"/>
      <c r="D8770" s="3"/>
      <c r="E8770" s="3"/>
      <c r="F8770" s="3"/>
      <c r="G8770" s="3"/>
      <c r="H8770" s="3"/>
      <c r="I8770" s="3"/>
      <c r="J8770" s="3"/>
      <c r="K8770" s="3"/>
      <c r="L8770" s="3"/>
      <c r="M8770" s="3"/>
      <c r="N8770" s="3"/>
      <c r="O8770" s="3"/>
    </row>
    <row r="8771" spans="1:15" ht="15" customHeight="1" x14ac:dyDescent="0.25">
      <c r="A8771" s="2"/>
      <c r="B8771" s="2"/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</row>
    <row r="8772" spans="1:15" ht="15" customHeight="1" x14ac:dyDescent="0.25">
      <c r="A8772" s="3"/>
      <c r="B8772" s="3"/>
      <c r="C8772" s="3"/>
      <c r="D8772" s="3"/>
      <c r="E8772" s="3"/>
      <c r="F8772" s="3"/>
      <c r="G8772" s="3"/>
      <c r="H8772" s="3"/>
      <c r="I8772" s="3"/>
      <c r="J8772" s="3"/>
      <c r="K8772" s="3"/>
      <c r="L8772" s="3"/>
      <c r="M8772" s="3"/>
      <c r="N8772" s="3"/>
      <c r="O8772" s="3"/>
    </row>
    <row r="8773" spans="1:15" ht="15" customHeight="1" x14ac:dyDescent="0.25">
      <c r="A8773" s="2"/>
      <c r="B8773" s="2"/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</row>
    <row r="8774" spans="1:15" ht="15" customHeight="1" x14ac:dyDescent="0.25">
      <c r="A8774" s="3"/>
      <c r="B8774" s="3"/>
      <c r="C8774" s="3"/>
      <c r="D8774" s="3"/>
      <c r="E8774" s="3"/>
      <c r="F8774" s="3"/>
      <c r="G8774" s="3"/>
      <c r="H8774" s="3"/>
      <c r="I8774" s="3"/>
      <c r="J8774" s="3"/>
      <c r="K8774" s="3"/>
      <c r="L8774" s="3"/>
      <c r="M8774" s="3"/>
      <c r="N8774" s="3"/>
      <c r="O8774" s="3"/>
    </row>
    <row r="8775" spans="1:15" ht="15" customHeight="1" x14ac:dyDescent="0.25">
      <c r="A8775" s="2"/>
      <c r="B8775" s="2"/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</row>
    <row r="8776" spans="1:15" ht="15" customHeight="1" x14ac:dyDescent="0.25">
      <c r="A8776" s="3"/>
      <c r="B8776" s="3"/>
      <c r="C8776" s="3"/>
      <c r="D8776" s="3"/>
      <c r="E8776" s="3"/>
      <c r="F8776" s="3"/>
      <c r="G8776" s="3"/>
      <c r="H8776" s="3"/>
      <c r="I8776" s="3"/>
      <c r="J8776" s="3"/>
      <c r="K8776" s="3"/>
      <c r="L8776" s="3"/>
      <c r="M8776" s="3"/>
      <c r="N8776" s="3"/>
      <c r="O8776" s="3"/>
    </row>
    <row r="8777" spans="1:15" ht="15" customHeight="1" x14ac:dyDescent="0.25">
      <c r="A8777" s="2"/>
      <c r="B8777" s="2"/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</row>
    <row r="8778" spans="1:15" ht="15" customHeight="1" x14ac:dyDescent="0.25">
      <c r="A8778" s="3"/>
      <c r="B8778" s="3"/>
      <c r="C8778" s="3"/>
      <c r="D8778" s="3"/>
      <c r="E8778" s="3"/>
      <c r="F8778" s="3"/>
      <c r="G8778" s="3"/>
      <c r="H8778" s="3"/>
      <c r="I8778" s="3"/>
      <c r="J8778" s="3"/>
      <c r="K8778" s="3"/>
      <c r="L8778" s="3"/>
      <c r="M8778" s="3"/>
      <c r="N8778" s="3"/>
      <c r="O8778" s="3"/>
    </row>
    <row r="8779" spans="1:15" ht="15" customHeight="1" x14ac:dyDescent="0.25">
      <c r="A8779" s="2"/>
      <c r="B8779" s="2"/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</row>
    <row r="8780" spans="1:15" ht="15" customHeight="1" x14ac:dyDescent="0.25">
      <c r="A8780" s="3"/>
      <c r="B8780" s="3"/>
      <c r="C8780" s="3"/>
      <c r="D8780" s="3"/>
      <c r="E8780" s="3"/>
      <c r="F8780" s="3"/>
      <c r="G8780" s="3"/>
      <c r="H8780" s="3"/>
      <c r="I8780" s="3"/>
      <c r="J8780" s="3"/>
      <c r="K8780" s="3"/>
      <c r="L8780" s="3"/>
      <c r="M8780" s="3"/>
      <c r="N8780" s="3"/>
      <c r="O8780" s="3"/>
    </row>
    <row r="8781" spans="1:15" ht="15" customHeight="1" x14ac:dyDescent="0.25">
      <c r="A8781" s="2"/>
      <c r="B8781" s="2"/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</row>
    <row r="8782" spans="1:15" ht="15" customHeight="1" x14ac:dyDescent="0.25">
      <c r="A8782" s="3"/>
      <c r="B8782" s="3"/>
      <c r="C8782" s="3"/>
      <c r="D8782" s="3"/>
      <c r="E8782" s="3"/>
      <c r="F8782" s="3"/>
      <c r="G8782" s="3"/>
      <c r="H8782" s="3"/>
      <c r="I8782" s="3"/>
      <c r="J8782" s="3"/>
      <c r="K8782" s="3"/>
      <c r="L8782" s="3"/>
      <c r="M8782" s="3"/>
      <c r="N8782" s="3"/>
      <c r="O8782" s="3"/>
    </row>
    <row r="8783" spans="1:15" ht="15" customHeight="1" x14ac:dyDescent="0.25">
      <c r="A8783" s="2"/>
      <c r="B8783" s="2"/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</row>
    <row r="8784" spans="1:15" ht="15" customHeight="1" x14ac:dyDescent="0.25">
      <c r="A8784" s="3"/>
      <c r="B8784" s="3"/>
      <c r="C8784" s="3"/>
      <c r="D8784" s="3"/>
      <c r="E8784" s="3"/>
      <c r="F8784" s="3"/>
      <c r="G8784" s="3"/>
      <c r="H8784" s="3"/>
      <c r="I8784" s="3"/>
      <c r="J8784" s="3"/>
      <c r="K8784" s="3"/>
      <c r="L8784" s="3"/>
      <c r="M8784" s="3"/>
      <c r="N8784" s="3"/>
      <c r="O8784" s="3"/>
    </row>
    <row r="8785" spans="1:15" ht="15" customHeight="1" x14ac:dyDescent="0.25">
      <c r="A8785" s="2"/>
      <c r="B8785" s="2"/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</row>
    <row r="8786" spans="1:15" ht="15" customHeight="1" x14ac:dyDescent="0.25">
      <c r="A8786" s="3"/>
      <c r="B8786" s="3"/>
      <c r="C8786" s="3"/>
      <c r="D8786" s="3"/>
      <c r="E8786" s="3"/>
      <c r="F8786" s="3"/>
      <c r="G8786" s="3"/>
      <c r="H8786" s="3"/>
      <c r="I8786" s="3"/>
      <c r="J8786" s="3"/>
      <c r="K8786" s="3"/>
      <c r="L8786" s="3"/>
      <c r="M8786" s="3"/>
      <c r="N8786" s="3"/>
      <c r="O8786" s="3"/>
    </row>
    <row r="8787" spans="1:15" ht="15" customHeight="1" x14ac:dyDescent="0.25">
      <c r="A8787" s="2"/>
      <c r="B8787" s="2"/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</row>
    <row r="8788" spans="1:15" ht="15" customHeight="1" x14ac:dyDescent="0.25">
      <c r="A8788" s="3"/>
      <c r="B8788" s="3"/>
      <c r="C8788" s="3"/>
      <c r="D8788" s="3"/>
      <c r="E8788" s="3"/>
      <c r="F8788" s="3"/>
      <c r="G8788" s="3"/>
      <c r="H8788" s="3"/>
      <c r="I8788" s="3"/>
      <c r="J8788" s="3"/>
      <c r="K8788" s="3"/>
      <c r="L8788" s="3"/>
      <c r="M8788" s="3"/>
      <c r="N8788" s="3"/>
      <c r="O8788" s="3"/>
    </row>
    <row r="8789" spans="1:15" ht="15" customHeight="1" x14ac:dyDescent="0.25">
      <c r="A8789" s="2"/>
      <c r="B8789" s="2"/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</row>
    <row r="8790" spans="1:15" ht="15" customHeight="1" x14ac:dyDescent="0.25">
      <c r="A8790" s="3"/>
      <c r="B8790" s="3"/>
      <c r="C8790" s="3"/>
      <c r="D8790" s="3"/>
      <c r="E8790" s="3"/>
      <c r="F8790" s="3"/>
      <c r="G8790" s="3"/>
      <c r="H8790" s="3"/>
      <c r="I8790" s="3"/>
      <c r="J8790" s="3"/>
      <c r="K8790" s="3"/>
      <c r="L8790" s="3"/>
      <c r="M8790" s="3"/>
      <c r="N8790" s="3"/>
      <c r="O8790" s="3"/>
    </row>
    <row r="8791" spans="1:15" ht="15" customHeight="1" x14ac:dyDescent="0.25">
      <c r="A8791" s="2"/>
      <c r="B8791" s="2"/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</row>
    <row r="8792" spans="1:15" ht="15" customHeight="1" x14ac:dyDescent="0.25">
      <c r="A8792" s="3"/>
      <c r="B8792" s="3"/>
      <c r="C8792" s="3"/>
      <c r="D8792" s="3"/>
      <c r="E8792" s="3"/>
      <c r="F8792" s="3"/>
      <c r="G8792" s="3"/>
      <c r="H8792" s="3"/>
      <c r="I8792" s="3"/>
      <c r="J8792" s="3"/>
      <c r="K8792" s="3"/>
      <c r="L8792" s="3"/>
      <c r="M8792" s="3"/>
      <c r="N8792" s="3"/>
      <c r="O8792" s="3"/>
    </row>
    <row r="8793" spans="1:15" ht="15" customHeight="1" x14ac:dyDescent="0.25">
      <c r="A8793" s="2"/>
      <c r="B8793" s="2"/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</row>
    <row r="8794" spans="1:15" ht="15" customHeight="1" x14ac:dyDescent="0.25">
      <c r="A8794" s="3"/>
      <c r="B8794" s="3"/>
      <c r="C8794" s="3"/>
      <c r="D8794" s="3"/>
      <c r="E8794" s="3"/>
      <c r="F8794" s="3"/>
      <c r="G8794" s="3"/>
      <c r="H8794" s="3"/>
      <c r="I8794" s="3"/>
      <c r="J8794" s="3"/>
      <c r="K8794" s="3"/>
      <c r="L8794" s="3"/>
      <c r="M8794" s="3"/>
      <c r="N8794" s="3"/>
      <c r="O8794" s="3"/>
    </row>
    <row r="8795" spans="1:15" ht="15" customHeight="1" x14ac:dyDescent="0.25">
      <c r="A8795" s="2"/>
      <c r="B8795" s="2"/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</row>
    <row r="8796" spans="1:15" ht="15" customHeight="1" x14ac:dyDescent="0.25">
      <c r="A8796" s="3"/>
      <c r="B8796" s="3"/>
      <c r="C8796" s="3"/>
      <c r="D8796" s="3"/>
      <c r="E8796" s="3"/>
      <c r="F8796" s="3"/>
      <c r="G8796" s="3"/>
      <c r="H8796" s="3"/>
      <c r="I8796" s="3"/>
      <c r="J8796" s="3"/>
      <c r="K8796" s="3"/>
      <c r="L8796" s="3"/>
      <c r="M8796" s="3"/>
      <c r="N8796" s="3"/>
      <c r="O8796" s="3"/>
    </row>
    <row r="8797" spans="1:15" ht="15" customHeight="1" x14ac:dyDescent="0.25">
      <c r="A8797" s="2"/>
      <c r="B8797" s="2"/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</row>
    <row r="8798" spans="1:15" ht="15" customHeight="1" x14ac:dyDescent="0.25">
      <c r="A8798" s="3"/>
      <c r="B8798" s="3"/>
      <c r="C8798" s="3"/>
      <c r="D8798" s="3"/>
      <c r="E8798" s="3"/>
      <c r="F8798" s="3"/>
      <c r="G8798" s="3"/>
      <c r="H8798" s="3"/>
      <c r="I8798" s="3"/>
      <c r="J8798" s="3"/>
      <c r="K8798" s="3"/>
      <c r="L8798" s="3"/>
      <c r="M8798" s="3"/>
      <c r="N8798" s="3"/>
      <c r="O8798" s="3"/>
    </row>
    <row r="8799" spans="1:15" ht="15" customHeight="1" x14ac:dyDescent="0.25">
      <c r="A8799" s="2"/>
      <c r="B8799" s="2"/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</row>
    <row r="8800" spans="1:15" ht="15" customHeight="1" x14ac:dyDescent="0.25">
      <c r="A8800" s="3"/>
      <c r="B8800" s="3"/>
      <c r="C8800" s="3"/>
      <c r="D8800" s="3"/>
      <c r="E8800" s="3"/>
      <c r="F8800" s="3"/>
      <c r="G8800" s="3"/>
      <c r="H8800" s="3"/>
      <c r="I8800" s="3"/>
      <c r="J8800" s="3"/>
      <c r="K8800" s="3"/>
      <c r="L8800" s="3"/>
      <c r="M8800" s="3"/>
      <c r="N8800" s="3"/>
      <c r="O8800" s="3"/>
    </row>
    <row r="8801" spans="1:15" ht="15" customHeight="1" x14ac:dyDescent="0.25">
      <c r="A8801" s="2"/>
      <c r="B8801" s="2"/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</row>
    <row r="8802" spans="1:15" ht="15" customHeight="1" x14ac:dyDescent="0.25">
      <c r="A8802" s="3"/>
      <c r="B8802" s="3"/>
      <c r="C8802" s="3"/>
      <c r="D8802" s="3"/>
      <c r="E8802" s="3"/>
      <c r="F8802" s="3"/>
      <c r="G8802" s="3"/>
      <c r="H8802" s="3"/>
      <c r="I8802" s="3"/>
      <c r="J8802" s="3"/>
      <c r="K8802" s="3"/>
      <c r="L8802" s="3"/>
      <c r="M8802" s="3"/>
      <c r="N8802" s="3"/>
      <c r="O8802" s="3"/>
    </row>
    <row r="8803" spans="1:15" ht="15" customHeight="1" x14ac:dyDescent="0.25">
      <c r="A8803" s="2"/>
      <c r="B8803" s="2"/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</row>
    <row r="8804" spans="1:15" ht="15" customHeight="1" x14ac:dyDescent="0.25">
      <c r="A8804" s="3"/>
      <c r="B8804" s="3"/>
      <c r="C8804" s="3"/>
      <c r="D8804" s="3"/>
      <c r="E8804" s="3"/>
      <c r="F8804" s="3"/>
      <c r="G8804" s="3"/>
      <c r="H8804" s="3"/>
      <c r="I8804" s="3"/>
      <c r="J8804" s="3"/>
      <c r="K8804" s="3"/>
      <c r="L8804" s="3"/>
      <c r="M8804" s="3"/>
      <c r="N8804" s="3"/>
      <c r="O8804" s="3"/>
    </row>
    <row r="8805" spans="1:15" ht="15" customHeight="1" x14ac:dyDescent="0.25">
      <c r="A8805" s="2"/>
      <c r="B8805" s="2"/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</row>
    <row r="8806" spans="1:15" ht="15" customHeight="1" x14ac:dyDescent="0.25">
      <c r="A8806" s="3"/>
      <c r="B8806" s="3"/>
      <c r="C8806" s="3"/>
      <c r="D8806" s="3"/>
      <c r="E8806" s="3"/>
      <c r="F8806" s="3"/>
      <c r="G8806" s="3"/>
      <c r="H8806" s="3"/>
      <c r="I8806" s="3"/>
      <c r="J8806" s="3"/>
      <c r="K8806" s="3"/>
      <c r="L8806" s="3"/>
      <c r="M8806" s="3"/>
      <c r="N8806" s="3"/>
      <c r="O8806" s="3"/>
    </row>
    <row r="8807" spans="1:15" ht="15" customHeight="1" x14ac:dyDescent="0.25">
      <c r="A8807" s="2"/>
      <c r="B8807" s="2"/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</row>
    <row r="8808" spans="1:15" ht="15" customHeight="1" x14ac:dyDescent="0.25">
      <c r="A8808" s="3"/>
      <c r="B8808" s="3"/>
      <c r="C8808" s="3"/>
      <c r="D8808" s="3"/>
      <c r="E8808" s="3"/>
      <c r="F8808" s="3"/>
      <c r="G8808" s="3"/>
      <c r="H8808" s="3"/>
      <c r="I8808" s="3"/>
      <c r="J8808" s="3"/>
      <c r="K8808" s="3"/>
      <c r="L8808" s="3"/>
      <c r="M8808" s="3"/>
      <c r="N8808" s="3"/>
      <c r="O8808" s="3"/>
    </row>
    <row r="8809" spans="1:15" ht="15" customHeight="1" x14ac:dyDescent="0.25">
      <c r="A8809" s="2"/>
      <c r="B8809" s="2"/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</row>
    <row r="8810" spans="1:15" ht="15" customHeight="1" x14ac:dyDescent="0.25">
      <c r="A8810" s="3"/>
      <c r="B8810" s="3"/>
      <c r="C8810" s="3"/>
      <c r="D8810" s="3"/>
      <c r="E8810" s="3"/>
      <c r="F8810" s="3"/>
      <c r="G8810" s="3"/>
      <c r="H8810" s="3"/>
      <c r="I8810" s="3"/>
      <c r="J8810" s="3"/>
      <c r="K8810" s="3"/>
      <c r="L8810" s="3"/>
      <c r="M8810" s="3"/>
      <c r="N8810" s="3"/>
      <c r="O8810" s="3"/>
    </row>
    <row r="8811" spans="1:15" ht="15" customHeight="1" x14ac:dyDescent="0.25">
      <c r="A8811" s="2"/>
      <c r="B8811" s="2"/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</row>
    <row r="8812" spans="1:15" ht="15" customHeight="1" x14ac:dyDescent="0.25">
      <c r="A8812" s="3"/>
      <c r="B8812" s="3"/>
      <c r="C8812" s="3"/>
      <c r="D8812" s="3"/>
      <c r="E8812" s="3"/>
      <c r="F8812" s="3"/>
      <c r="G8812" s="3"/>
      <c r="H8812" s="3"/>
      <c r="I8812" s="3"/>
      <c r="J8812" s="3"/>
      <c r="K8812" s="3"/>
      <c r="L8812" s="3"/>
      <c r="M8812" s="3"/>
      <c r="N8812" s="3"/>
      <c r="O8812" s="3"/>
    </row>
    <row r="8813" spans="1:15" ht="15" customHeight="1" x14ac:dyDescent="0.25">
      <c r="A8813" s="2"/>
      <c r="B8813" s="2"/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</row>
    <row r="8814" spans="1:15" ht="15" customHeight="1" x14ac:dyDescent="0.25">
      <c r="A8814" s="3"/>
      <c r="B8814" s="3"/>
      <c r="C8814" s="3"/>
      <c r="D8814" s="3"/>
      <c r="E8814" s="3"/>
      <c r="F8814" s="3"/>
      <c r="G8814" s="3"/>
      <c r="H8814" s="3"/>
      <c r="I8814" s="3"/>
      <c r="J8814" s="3"/>
      <c r="K8814" s="3"/>
      <c r="L8814" s="3"/>
      <c r="M8814" s="3"/>
      <c r="N8814" s="3"/>
      <c r="O8814" s="3"/>
    </row>
    <row r="8815" spans="1:15" ht="15" customHeight="1" x14ac:dyDescent="0.25">
      <c r="A8815" s="2"/>
      <c r="B8815" s="2"/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</row>
    <row r="8816" spans="1:15" ht="15" customHeight="1" x14ac:dyDescent="0.25">
      <c r="A8816" s="3"/>
      <c r="B8816" s="3"/>
      <c r="C8816" s="3"/>
      <c r="D8816" s="3"/>
      <c r="E8816" s="3"/>
      <c r="F8816" s="3"/>
      <c r="G8816" s="3"/>
      <c r="H8816" s="3"/>
      <c r="I8816" s="3"/>
      <c r="J8816" s="3"/>
      <c r="K8816" s="3"/>
      <c r="L8816" s="3"/>
      <c r="M8816" s="3"/>
      <c r="N8816" s="3"/>
      <c r="O8816" s="3"/>
    </row>
    <row r="8817" spans="1:15" ht="15" customHeight="1" x14ac:dyDescent="0.25">
      <c r="A8817" s="2"/>
      <c r="B8817" s="2"/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</row>
    <row r="8818" spans="1:15" ht="15" customHeight="1" x14ac:dyDescent="0.25">
      <c r="A8818" s="3"/>
      <c r="B8818" s="3"/>
      <c r="C8818" s="3"/>
      <c r="D8818" s="3"/>
      <c r="E8818" s="3"/>
      <c r="F8818" s="3"/>
      <c r="G8818" s="3"/>
      <c r="H8818" s="3"/>
      <c r="I8818" s="3"/>
      <c r="J8818" s="3"/>
      <c r="K8818" s="3"/>
      <c r="L8818" s="3"/>
      <c r="M8818" s="3"/>
      <c r="N8818" s="3"/>
      <c r="O8818" s="3"/>
    </row>
    <row r="8819" spans="1:15" ht="15" customHeight="1" x14ac:dyDescent="0.25">
      <c r="A8819" s="2"/>
      <c r="B8819" s="2"/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</row>
    <row r="8820" spans="1:15" ht="15" customHeight="1" x14ac:dyDescent="0.25">
      <c r="A8820" s="3"/>
      <c r="B8820" s="3"/>
      <c r="C8820" s="3"/>
      <c r="D8820" s="3"/>
      <c r="E8820" s="3"/>
      <c r="F8820" s="3"/>
      <c r="G8820" s="3"/>
      <c r="H8820" s="3"/>
      <c r="I8820" s="3"/>
      <c r="J8820" s="3"/>
      <c r="K8820" s="3"/>
      <c r="L8820" s="3"/>
      <c r="M8820" s="3"/>
      <c r="N8820" s="3"/>
      <c r="O8820" s="3"/>
    </row>
    <row r="8821" spans="1:15" ht="15" customHeight="1" x14ac:dyDescent="0.25">
      <c r="A8821" s="2"/>
      <c r="B8821" s="2"/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</row>
    <row r="8822" spans="1:15" ht="15" customHeight="1" x14ac:dyDescent="0.25">
      <c r="A8822" s="3"/>
      <c r="B8822" s="3"/>
      <c r="C8822" s="3"/>
      <c r="D8822" s="3"/>
      <c r="E8822" s="3"/>
      <c r="F8822" s="3"/>
      <c r="G8822" s="3"/>
      <c r="H8822" s="3"/>
      <c r="I8822" s="3"/>
      <c r="J8822" s="3"/>
      <c r="K8822" s="3"/>
      <c r="L8822" s="3"/>
      <c r="M8822" s="3"/>
      <c r="N8822" s="3"/>
      <c r="O8822" s="3"/>
    </row>
    <row r="8823" spans="1:15" ht="15" customHeight="1" x14ac:dyDescent="0.25">
      <c r="A8823" s="2"/>
      <c r="B8823" s="2"/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</row>
    <row r="8824" spans="1:15" ht="15" customHeight="1" x14ac:dyDescent="0.25">
      <c r="A8824" s="3"/>
      <c r="B8824" s="3"/>
      <c r="C8824" s="3"/>
      <c r="D8824" s="3"/>
      <c r="E8824" s="3"/>
      <c r="F8824" s="3"/>
      <c r="G8824" s="3"/>
      <c r="H8824" s="3"/>
      <c r="I8824" s="3"/>
      <c r="J8824" s="3"/>
      <c r="K8824" s="3"/>
      <c r="L8824" s="3"/>
      <c r="M8824" s="3"/>
      <c r="N8824" s="3"/>
      <c r="O8824" s="3"/>
    </row>
    <row r="8825" spans="1:15" ht="15" customHeight="1" x14ac:dyDescent="0.25">
      <c r="A8825" s="2"/>
      <c r="B8825" s="2"/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</row>
    <row r="8826" spans="1:15" ht="15" customHeight="1" x14ac:dyDescent="0.25">
      <c r="A8826" s="3"/>
      <c r="B8826" s="3"/>
      <c r="C8826" s="3"/>
      <c r="D8826" s="3"/>
      <c r="E8826" s="3"/>
      <c r="F8826" s="3"/>
      <c r="G8826" s="3"/>
      <c r="H8826" s="3"/>
      <c r="I8826" s="3"/>
      <c r="J8826" s="3"/>
      <c r="K8826" s="3"/>
      <c r="L8826" s="3"/>
      <c r="M8826" s="3"/>
      <c r="N8826" s="3"/>
      <c r="O8826" s="3"/>
    </row>
    <row r="8827" spans="1:15" ht="15" customHeight="1" x14ac:dyDescent="0.25">
      <c r="A8827" s="2"/>
      <c r="B8827" s="2"/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</row>
    <row r="8828" spans="1:15" ht="15" customHeight="1" x14ac:dyDescent="0.25">
      <c r="A8828" s="3"/>
      <c r="B8828" s="3"/>
      <c r="C8828" s="3"/>
      <c r="D8828" s="3"/>
      <c r="E8828" s="3"/>
      <c r="F8828" s="3"/>
      <c r="G8828" s="3"/>
      <c r="H8828" s="3"/>
      <c r="I8828" s="3"/>
      <c r="J8828" s="3"/>
      <c r="K8828" s="3"/>
      <c r="L8828" s="3"/>
      <c r="M8828" s="3"/>
      <c r="N8828" s="3"/>
      <c r="O8828" s="3"/>
    </row>
    <row r="8829" spans="1:15" ht="15" customHeight="1" x14ac:dyDescent="0.25">
      <c r="A8829" s="2"/>
      <c r="B8829" s="2"/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</row>
    <row r="8830" spans="1:15" ht="15" customHeight="1" x14ac:dyDescent="0.25">
      <c r="A8830" s="3"/>
      <c r="B8830" s="3"/>
      <c r="C8830" s="3"/>
      <c r="D8830" s="3"/>
      <c r="E8830" s="3"/>
      <c r="F8830" s="3"/>
      <c r="G8830" s="3"/>
      <c r="H8830" s="3"/>
      <c r="I8830" s="3"/>
      <c r="J8830" s="3"/>
      <c r="K8830" s="3"/>
      <c r="L8830" s="3"/>
      <c r="M8830" s="3"/>
      <c r="N8830" s="3"/>
      <c r="O8830" s="3"/>
    </row>
    <row r="8831" spans="1:15" ht="15" customHeight="1" x14ac:dyDescent="0.25">
      <c r="A8831" s="2"/>
      <c r="B8831" s="2"/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</row>
    <row r="8832" spans="1:15" ht="15" customHeight="1" x14ac:dyDescent="0.25">
      <c r="A8832" s="3"/>
      <c r="B8832" s="3"/>
      <c r="C8832" s="3"/>
      <c r="D8832" s="3"/>
      <c r="E8832" s="3"/>
      <c r="F8832" s="3"/>
      <c r="G8832" s="3"/>
      <c r="H8832" s="3"/>
      <c r="I8832" s="3"/>
      <c r="J8832" s="3"/>
      <c r="K8832" s="3"/>
      <c r="L8832" s="3"/>
      <c r="M8832" s="3"/>
      <c r="N8832" s="3"/>
      <c r="O8832" s="3"/>
    </row>
    <row r="8833" spans="1:15" ht="15" customHeight="1" x14ac:dyDescent="0.25">
      <c r="A8833" s="2"/>
      <c r="B8833" s="2"/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</row>
    <row r="8834" spans="1:15" ht="15" customHeight="1" x14ac:dyDescent="0.25">
      <c r="A8834" s="3"/>
      <c r="B8834" s="3"/>
      <c r="C8834" s="3"/>
      <c r="D8834" s="3"/>
      <c r="E8834" s="3"/>
      <c r="F8834" s="3"/>
      <c r="G8834" s="3"/>
      <c r="H8834" s="3"/>
      <c r="I8834" s="3"/>
      <c r="J8834" s="3"/>
      <c r="K8834" s="3"/>
      <c r="L8834" s="3"/>
      <c r="M8834" s="3"/>
      <c r="N8834" s="3"/>
      <c r="O8834" s="3"/>
    </row>
    <row r="8835" spans="1:15" ht="15" customHeight="1" x14ac:dyDescent="0.25">
      <c r="A8835" s="2"/>
      <c r="B8835" s="2"/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</row>
    <row r="8836" spans="1:15" ht="15" customHeight="1" x14ac:dyDescent="0.25">
      <c r="A8836" s="3"/>
      <c r="B8836" s="3"/>
      <c r="C8836" s="3"/>
      <c r="D8836" s="3"/>
      <c r="E8836" s="3"/>
      <c r="F8836" s="3"/>
      <c r="G8836" s="3"/>
      <c r="H8836" s="3"/>
      <c r="I8836" s="3"/>
      <c r="J8836" s="3"/>
      <c r="K8836" s="3"/>
      <c r="L8836" s="3"/>
      <c r="M8836" s="3"/>
      <c r="N8836" s="3"/>
      <c r="O8836" s="3"/>
    </row>
    <row r="8837" spans="1:15" ht="15" customHeight="1" x14ac:dyDescent="0.25">
      <c r="A8837" s="2"/>
      <c r="B8837" s="2"/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</row>
    <row r="8838" spans="1:15" ht="15" customHeight="1" x14ac:dyDescent="0.25">
      <c r="A8838" s="3"/>
      <c r="B8838" s="3"/>
      <c r="C8838" s="3"/>
      <c r="D8838" s="3"/>
      <c r="E8838" s="3"/>
      <c r="F8838" s="3"/>
      <c r="G8838" s="3"/>
      <c r="H8838" s="3"/>
      <c r="I8838" s="3"/>
      <c r="J8838" s="3"/>
      <c r="K8838" s="3"/>
      <c r="L8838" s="3"/>
      <c r="M8838" s="3"/>
      <c r="N8838" s="3"/>
      <c r="O8838" s="3"/>
    </row>
    <row r="8839" spans="1:15" ht="15" customHeight="1" x14ac:dyDescent="0.25">
      <c r="A8839" s="2"/>
      <c r="B8839" s="2"/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</row>
    <row r="8840" spans="1:15" ht="15" customHeight="1" x14ac:dyDescent="0.25">
      <c r="A8840" s="3"/>
      <c r="B8840" s="3"/>
      <c r="C8840" s="3"/>
      <c r="D8840" s="3"/>
      <c r="E8840" s="3"/>
      <c r="F8840" s="3"/>
      <c r="G8840" s="3"/>
      <c r="H8840" s="3"/>
      <c r="I8840" s="3"/>
      <c r="J8840" s="3"/>
      <c r="K8840" s="3"/>
      <c r="L8840" s="3"/>
      <c r="M8840" s="3"/>
      <c r="N8840" s="3"/>
      <c r="O8840" s="3"/>
    </row>
    <row r="8841" spans="1:15" ht="15" customHeight="1" x14ac:dyDescent="0.25">
      <c r="A8841" s="2"/>
      <c r="B8841" s="2"/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</row>
    <row r="8842" spans="1:15" ht="15" customHeight="1" x14ac:dyDescent="0.25">
      <c r="A8842" s="3"/>
      <c r="B8842" s="3"/>
      <c r="C8842" s="3"/>
      <c r="D8842" s="3"/>
      <c r="E8842" s="3"/>
      <c r="F8842" s="3"/>
      <c r="G8842" s="3"/>
      <c r="H8842" s="3"/>
      <c r="I8842" s="3"/>
      <c r="J8842" s="3"/>
      <c r="K8842" s="3"/>
      <c r="L8842" s="3"/>
      <c r="M8842" s="3"/>
      <c r="N8842" s="3"/>
      <c r="O8842" s="3"/>
    </row>
    <row r="8843" spans="1:15" ht="15" customHeight="1" x14ac:dyDescent="0.25">
      <c r="A8843" s="2"/>
      <c r="B8843" s="2"/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</row>
    <row r="8844" spans="1:15" ht="15" customHeight="1" x14ac:dyDescent="0.25">
      <c r="A8844" s="3"/>
      <c r="B8844" s="3"/>
      <c r="C8844" s="3"/>
      <c r="D8844" s="3"/>
      <c r="E8844" s="3"/>
      <c r="F8844" s="3"/>
      <c r="G8844" s="3"/>
      <c r="H8844" s="3"/>
      <c r="I8844" s="3"/>
      <c r="J8844" s="3"/>
      <c r="K8844" s="3"/>
      <c r="L8844" s="3"/>
      <c r="M8844" s="3"/>
      <c r="N8844" s="3"/>
      <c r="O8844" s="3"/>
    </row>
    <row r="8845" spans="1:15" ht="15" customHeight="1" x14ac:dyDescent="0.25">
      <c r="A8845" s="2"/>
      <c r="B8845" s="2"/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</row>
    <row r="8846" spans="1:15" ht="15" customHeight="1" x14ac:dyDescent="0.25">
      <c r="A8846" s="3"/>
      <c r="B8846" s="3"/>
      <c r="C8846" s="3"/>
      <c r="D8846" s="3"/>
      <c r="E8846" s="3"/>
      <c r="F8846" s="3"/>
      <c r="G8846" s="3"/>
      <c r="H8846" s="3"/>
      <c r="I8846" s="3"/>
      <c r="J8846" s="3"/>
      <c r="K8846" s="3"/>
      <c r="L8846" s="3"/>
      <c r="M8846" s="3"/>
      <c r="N8846" s="3"/>
      <c r="O8846" s="3"/>
    </row>
    <row r="8847" spans="1:15" ht="15" customHeight="1" x14ac:dyDescent="0.25">
      <c r="A8847" s="2"/>
      <c r="B8847" s="2"/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</row>
    <row r="8848" spans="1:15" ht="15" customHeight="1" x14ac:dyDescent="0.25">
      <c r="A8848" s="3"/>
      <c r="B8848" s="3"/>
      <c r="C8848" s="3"/>
      <c r="D8848" s="3"/>
      <c r="E8848" s="3"/>
      <c r="F8848" s="3"/>
      <c r="G8848" s="3"/>
      <c r="H8848" s="3"/>
      <c r="I8848" s="3"/>
      <c r="J8848" s="3"/>
      <c r="K8848" s="3"/>
      <c r="L8848" s="3"/>
      <c r="M8848" s="3"/>
      <c r="N8848" s="3"/>
      <c r="O8848" s="3"/>
    </row>
    <row r="8849" spans="1:15" ht="15" customHeight="1" x14ac:dyDescent="0.25">
      <c r="A8849" s="2"/>
      <c r="B8849" s="2"/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</row>
    <row r="8850" spans="1:15" ht="15" customHeight="1" x14ac:dyDescent="0.25">
      <c r="A8850" s="3"/>
      <c r="B8850" s="3"/>
      <c r="C8850" s="3"/>
      <c r="D8850" s="3"/>
      <c r="E8850" s="3"/>
      <c r="F8850" s="3"/>
      <c r="G8850" s="3"/>
      <c r="H8850" s="3"/>
      <c r="I8850" s="3"/>
      <c r="J8850" s="3"/>
      <c r="K8850" s="3"/>
      <c r="L8850" s="3"/>
      <c r="M8850" s="3"/>
      <c r="N8850" s="3"/>
      <c r="O8850" s="3"/>
    </row>
    <row r="8851" spans="1:15" ht="15" customHeight="1" x14ac:dyDescent="0.25">
      <c r="A8851" s="2"/>
      <c r="B8851" s="2"/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</row>
    <row r="8852" spans="1:15" ht="15" customHeight="1" x14ac:dyDescent="0.25">
      <c r="A8852" s="3"/>
      <c r="B8852" s="3"/>
      <c r="C8852" s="3"/>
      <c r="D8852" s="3"/>
      <c r="E8852" s="3"/>
      <c r="F8852" s="3"/>
      <c r="G8852" s="3"/>
      <c r="H8852" s="3"/>
      <c r="I8852" s="3"/>
      <c r="J8852" s="3"/>
      <c r="K8852" s="3"/>
      <c r="L8852" s="3"/>
      <c r="M8852" s="3"/>
      <c r="N8852" s="3"/>
      <c r="O8852" s="3"/>
    </row>
    <row r="8853" spans="1:15" ht="15" customHeight="1" x14ac:dyDescent="0.25">
      <c r="A8853" s="2"/>
      <c r="B8853" s="2"/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</row>
    <row r="8854" spans="1:15" ht="15" customHeight="1" x14ac:dyDescent="0.25">
      <c r="A8854" s="3"/>
      <c r="B8854" s="3"/>
      <c r="C8854" s="3"/>
      <c r="D8854" s="3"/>
      <c r="E8854" s="3"/>
      <c r="F8854" s="3"/>
      <c r="G8854" s="3"/>
      <c r="H8854" s="3"/>
      <c r="I8854" s="3"/>
      <c r="J8854" s="3"/>
      <c r="K8854" s="3"/>
      <c r="L8854" s="3"/>
      <c r="M8854" s="3"/>
      <c r="N8854" s="3"/>
      <c r="O8854" s="3"/>
    </row>
    <row r="8855" spans="1:15" ht="15" customHeight="1" x14ac:dyDescent="0.25">
      <c r="A8855" s="2"/>
      <c r="B8855" s="2"/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</row>
    <row r="8856" spans="1:15" ht="15" customHeight="1" x14ac:dyDescent="0.25">
      <c r="A8856" s="3"/>
      <c r="B8856" s="3"/>
      <c r="C8856" s="3"/>
      <c r="D8856" s="3"/>
      <c r="E8856" s="3"/>
      <c r="F8856" s="3"/>
      <c r="G8856" s="3"/>
      <c r="H8856" s="3"/>
      <c r="I8856" s="3"/>
      <c r="J8856" s="3"/>
      <c r="K8856" s="3"/>
      <c r="L8856" s="3"/>
      <c r="M8856" s="3"/>
      <c r="N8856" s="3"/>
      <c r="O8856" s="3"/>
    </row>
    <row r="8857" spans="1:15" ht="15" customHeight="1" x14ac:dyDescent="0.25">
      <c r="A8857" s="2"/>
      <c r="B8857" s="2"/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</row>
    <row r="8858" spans="1:15" ht="15" customHeight="1" x14ac:dyDescent="0.25">
      <c r="A8858" s="3"/>
      <c r="B8858" s="3"/>
      <c r="C8858" s="3"/>
      <c r="D8858" s="3"/>
      <c r="E8858" s="3"/>
      <c r="F8858" s="3"/>
      <c r="G8858" s="3"/>
      <c r="H8858" s="3"/>
      <c r="I8858" s="3"/>
      <c r="J8858" s="3"/>
      <c r="K8858" s="3"/>
      <c r="L8858" s="3"/>
      <c r="M8858" s="3"/>
      <c r="N8858" s="3"/>
      <c r="O8858" s="3"/>
    </row>
    <row r="8859" spans="1:15" ht="15" customHeight="1" x14ac:dyDescent="0.25">
      <c r="A8859" s="2"/>
      <c r="B8859" s="2"/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</row>
    <row r="8860" spans="1:15" ht="15" customHeight="1" x14ac:dyDescent="0.25">
      <c r="A8860" s="3"/>
      <c r="B8860" s="3"/>
      <c r="C8860" s="3"/>
      <c r="D8860" s="3"/>
      <c r="E8860" s="3"/>
      <c r="F8860" s="3"/>
      <c r="G8860" s="3"/>
      <c r="H8860" s="3"/>
      <c r="I8860" s="3"/>
      <c r="J8860" s="3"/>
      <c r="K8860" s="3"/>
      <c r="L8860" s="3"/>
      <c r="M8860" s="3"/>
      <c r="N8860" s="3"/>
      <c r="O8860" s="3"/>
    </row>
    <row r="8861" spans="1:15" ht="15" customHeight="1" x14ac:dyDescent="0.25">
      <c r="A8861" s="2"/>
      <c r="B8861" s="2"/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</row>
    <row r="8862" spans="1:15" ht="15" customHeight="1" x14ac:dyDescent="0.25">
      <c r="A8862" s="3"/>
      <c r="B8862" s="3"/>
      <c r="C8862" s="3"/>
      <c r="D8862" s="3"/>
      <c r="E8862" s="3"/>
      <c r="F8862" s="3"/>
      <c r="G8862" s="3"/>
      <c r="H8862" s="3"/>
      <c r="I8862" s="3"/>
      <c r="J8862" s="3"/>
      <c r="K8862" s="3"/>
      <c r="L8862" s="3"/>
      <c r="M8862" s="3"/>
      <c r="N8862" s="3"/>
      <c r="O8862" s="3"/>
    </row>
    <row r="8863" spans="1:15" ht="15" customHeight="1" x14ac:dyDescent="0.25">
      <c r="A8863" s="2"/>
      <c r="B8863" s="2"/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</row>
    <row r="8864" spans="1:15" ht="15" customHeight="1" x14ac:dyDescent="0.25">
      <c r="A8864" s="3"/>
      <c r="B8864" s="3"/>
      <c r="C8864" s="3"/>
      <c r="D8864" s="3"/>
      <c r="E8864" s="3"/>
      <c r="F8864" s="3"/>
      <c r="G8864" s="3"/>
      <c r="H8864" s="3"/>
      <c r="I8864" s="3"/>
      <c r="J8864" s="3"/>
      <c r="K8864" s="3"/>
      <c r="L8864" s="3"/>
      <c r="M8864" s="3"/>
      <c r="N8864" s="3"/>
      <c r="O8864" s="3"/>
    </row>
    <row r="8865" spans="1:15" ht="15" customHeight="1" x14ac:dyDescent="0.25">
      <c r="A8865" s="2"/>
      <c r="B8865" s="2"/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</row>
    <row r="8866" spans="1:15" ht="15" customHeight="1" x14ac:dyDescent="0.25">
      <c r="A8866" s="3"/>
      <c r="B8866" s="3"/>
      <c r="C8866" s="3"/>
      <c r="D8866" s="3"/>
      <c r="E8866" s="3"/>
      <c r="F8866" s="3"/>
      <c r="G8866" s="3"/>
      <c r="H8866" s="3"/>
      <c r="I8866" s="3"/>
      <c r="J8866" s="3"/>
      <c r="K8866" s="3"/>
      <c r="L8866" s="3"/>
      <c r="M8866" s="3"/>
      <c r="N8866" s="3"/>
      <c r="O8866" s="3"/>
    </row>
    <row r="8867" spans="1:15" ht="15" customHeight="1" x14ac:dyDescent="0.25">
      <c r="A8867" s="2"/>
      <c r="B8867" s="2"/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</row>
    <row r="8868" spans="1:15" ht="15" customHeight="1" x14ac:dyDescent="0.25">
      <c r="A8868" s="3"/>
      <c r="B8868" s="3"/>
      <c r="C8868" s="3"/>
      <c r="D8868" s="3"/>
      <c r="E8868" s="3"/>
      <c r="F8868" s="3"/>
      <c r="G8868" s="3"/>
      <c r="H8868" s="3"/>
      <c r="I8868" s="3"/>
      <c r="J8868" s="3"/>
      <c r="K8868" s="3"/>
      <c r="L8868" s="3"/>
      <c r="M8868" s="3"/>
      <c r="N8868" s="3"/>
      <c r="O8868" s="3"/>
    </row>
    <row r="8869" spans="1:15" ht="15" customHeight="1" x14ac:dyDescent="0.25">
      <c r="A8869" s="2"/>
      <c r="B8869" s="2"/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</row>
    <row r="8870" spans="1:15" ht="15" customHeight="1" x14ac:dyDescent="0.25">
      <c r="A8870" s="3"/>
      <c r="B8870" s="3"/>
      <c r="C8870" s="3"/>
      <c r="D8870" s="3"/>
      <c r="E8870" s="3"/>
      <c r="F8870" s="3"/>
      <c r="G8870" s="3"/>
      <c r="H8870" s="3"/>
      <c r="I8870" s="3"/>
      <c r="J8870" s="3"/>
      <c r="K8870" s="3"/>
      <c r="L8870" s="3"/>
      <c r="M8870" s="3"/>
      <c r="N8870" s="3"/>
      <c r="O8870" s="3"/>
    </row>
    <row r="8871" spans="1:15" ht="15" customHeight="1" x14ac:dyDescent="0.25">
      <c r="A8871" s="2"/>
      <c r="B8871" s="2"/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</row>
    <row r="8872" spans="1:15" ht="15" customHeight="1" x14ac:dyDescent="0.25">
      <c r="A8872" s="3"/>
      <c r="B8872" s="3"/>
      <c r="C8872" s="3"/>
      <c r="D8872" s="3"/>
      <c r="E8872" s="3"/>
      <c r="F8872" s="3"/>
      <c r="G8872" s="3"/>
      <c r="H8872" s="3"/>
      <c r="I8872" s="3"/>
      <c r="J8872" s="3"/>
      <c r="K8872" s="3"/>
      <c r="L8872" s="3"/>
      <c r="M8872" s="3"/>
      <c r="N8872" s="3"/>
      <c r="O8872" s="3"/>
    </row>
    <row r="8873" spans="1:15" ht="15" customHeight="1" x14ac:dyDescent="0.25">
      <c r="A8873" s="2"/>
      <c r="B8873" s="2"/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</row>
    <row r="8874" spans="1:15" ht="15" customHeight="1" x14ac:dyDescent="0.25">
      <c r="A8874" s="3"/>
      <c r="B8874" s="3"/>
      <c r="C8874" s="3"/>
      <c r="D8874" s="3"/>
      <c r="E8874" s="3"/>
      <c r="F8874" s="3"/>
      <c r="G8874" s="3"/>
      <c r="H8874" s="3"/>
      <c r="I8874" s="3"/>
      <c r="J8874" s="3"/>
      <c r="K8874" s="3"/>
      <c r="L8874" s="3"/>
      <c r="M8874" s="3"/>
      <c r="N8874" s="3"/>
      <c r="O8874" s="3"/>
    </row>
    <row r="8875" spans="1:15" ht="15" customHeight="1" x14ac:dyDescent="0.25">
      <c r="A8875" s="2"/>
      <c r="B8875" s="2"/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</row>
    <row r="8876" spans="1:15" ht="15" customHeight="1" x14ac:dyDescent="0.25">
      <c r="A8876" s="3"/>
      <c r="B8876" s="3"/>
      <c r="C8876" s="3"/>
      <c r="D8876" s="3"/>
      <c r="E8876" s="3"/>
      <c r="F8876" s="3"/>
      <c r="G8876" s="3"/>
      <c r="H8876" s="3"/>
      <c r="I8876" s="3"/>
      <c r="J8876" s="3"/>
      <c r="K8876" s="3"/>
      <c r="L8876" s="3"/>
      <c r="M8876" s="3"/>
      <c r="N8876" s="3"/>
      <c r="O8876" s="3"/>
    </row>
    <row r="8877" spans="1:15" ht="15" customHeight="1" x14ac:dyDescent="0.25">
      <c r="A8877" s="2"/>
      <c r="B8877" s="2"/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</row>
    <row r="8878" spans="1:15" ht="15" customHeight="1" x14ac:dyDescent="0.25">
      <c r="A8878" s="3"/>
      <c r="B8878" s="3"/>
      <c r="C8878" s="3"/>
      <c r="D8878" s="3"/>
      <c r="E8878" s="3"/>
      <c r="F8878" s="3"/>
      <c r="G8878" s="3"/>
      <c r="H8878" s="3"/>
      <c r="I8878" s="3"/>
      <c r="J8878" s="3"/>
      <c r="K8878" s="3"/>
      <c r="L8878" s="3"/>
      <c r="M8878" s="3"/>
      <c r="N8878" s="3"/>
      <c r="O8878" s="3"/>
    </row>
    <row r="8879" spans="1:15" ht="15" customHeight="1" x14ac:dyDescent="0.25">
      <c r="A8879" s="2"/>
      <c r="B8879" s="2"/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</row>
    <row r="8880" spans="1:15" ht="15" customHeight="1" x14ac:dyDescent="0.25">
      <c r="A8880" s="3"/>
      <c r="B8880" s="3"/>
      <c r="C8880" s="3"/>
      <c r="D8880" s="3"/>
      <c r="E8880" s="3"/>
      <c r="F8880" s="3"/>
      <c r="G8880" s="3"/>
      <c r="H8880" s="3"/>
      <c r="I8880" s="3"/>
      <c r="J8880" s="3"/>
      <c r="K8880" s="3"/>
      <c r="L8880" s="3"/>
      <c r="M8880" s="3"/>
      <c r="N8880" s="3"/>
      <c r="O8880" s="3"/>
    </row>
    <row r="8881" spans="1:15" ht="15" customHeight="1" x14ac:dyDescent="0.25">
      <c r="A8881" s="2"/>
      <c r="B8881" s="2"/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</row>
    <row r="8882" spans="1:15" ht="15" customHeight="1" x14ac:dyDescent="0.25">
      <c r="A8882" s="3"/>
      <c r="B8882" s="3"/>
      <c r="C8882" s="3"/>
      <c r="D8882" s="3"/>
      <c r="E8882" s="3"/>
      <c r="F8882" s="3"/>
      <c r="G8882" s="3"/>
      <c r="H8882" s="3"/>
      <c r="I8882" s="3"/>
      <c r="J8882" s="3"/>
      <c r="K8882" s="3"/>
      <c r="L8882" s="3"/>
      <c r="M8882" s="3"/>
      <c r="N8882" s="3"/>
      <c r="O8882" s="3"/>
    </row>
    <row r="8883" spans="1:15" ht="15" customHeight="1" x14ac:dyDescent="0.25">
      <c r="A8883" s="2"/>
      <c r="B8883" s="2"/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</row>
    <row r="8884" spans="1:15" ht="15" customHeight="1" x14ac:dyDescent="0.25">
      <c r="A8884" s="3"/>
      <c r="B8884" s="3"/>
      <c r="C8884" s="3"/>
      <c r="D8884" s="3"/>
      <c r="E8884" s="3"/>
      <c r="F8884" s="3"/>
      <c r="G8884" s="3"/>
      <c r="H8884" s="3"/>
      <c r="I8884" s="3"/>
      <c r="J8884" s="3"/>
      <c r="K8884" s="3"/>
      <c r="L8884" s="3"/>
      <c r="M8884" s="3"/>
      <c r="N8884" s="3"/>
      <c r="O8884" s="3"/>
    </row>
    <row r="8885" spans="1:15" ht="15" customHeight="1" x14ac:dyDescent="0.25">
      <c r="A8885" s="2"/>
      <c r="B8885" s="2"/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</row>
    <row r="8886" spans="1:15" ht="15" customHeight="1" x14ac:dyDescent="0.25">
      <c r="A8886" s="3"/>
      <c r="B8886" s="3"/>
      <c r="C8886" s="3"/>
      <c r="D8886" s="3"/>
      <c r="E8886" s="3"/>
      <c r="F8886" s="3"/>
      <c r="G8886" s="3"/>
      <c r="H8886" s="3"/>
      <c r="I8886" s="3"/>
      <c r="J8886" s="3"/>
      <c r="K8886" s="3"/>
      <c r="L8886" s="3"/>
      <c r="M8886" s="3"/>
      <c r="N8886" s="3"/>
      <c r="O8886" s="3"/>
    </row>
    <row r="8887" spans="1:15" ht="15" customHeight="1" x14ac:dyDescent="0.25">
      <c r="A8887" s="2"/>
      <c r="B8887" s="2"/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</row>
    <row r="8888" spans="1:15" ht="15" customHeight="1" x14ac:dyDescent="0.25">
      <c r="A8888" s="3"/>
      <c r="B8888" s="3"/>
      <c r="C8888" s="3"/>
      <c r="D8888" s="3"/>
      <c r="E8888" s="3"/>
      <c r="F8888" s="3"/>
      <c r="G8888" s="3"/>
      <c r="H8888" s="3"/>
      <c r="I8888" s="3"/>
      <c r="J8888" s="3"/>
      <c r="K8888" s="3"/>
      <c r="L8888" s="3"/>
      <c r="M8888" s="3"/>
      <c r="N8888" s="3"/>
      <c r="O8888" s="3"/>
    </row>
    <row r="8889" spans="1:15" ht="15" customHeight="1" x14ac:dyDescent="0.25">
      <c r="A8889" s="2"/>
      <c r="B8889" s="2"/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</row>
    <row r="8890" spans="1:15" ht="15" customHeight="1" x14ac:dyDescent="0.25">
      <c r="A8890" s="3"/>
      <c r="B8890" s="3"/>
      <c r="C8890" s="3"/>
      <c r="D8890" s="3"/>
      <c r="E8890" s="3"/>
      <c r="F8890" s="3"/>
      <c r="G8890" s="3"/>
      <c r="H8890" s="3"/>
      <c r="I8890" s="3"/>
      <c r="J8890" s="3"/>
      <c r="K8890" s="3"/>
      <c r="L8890" s="3"/>
      <c r="M8890" s="3"/>
      <c r="N8890" s="3"/>
      <c r="O8890" s="3"/>
    </row>
    <row r="8891" spans="1:15" ht="15" customHeight="1" x14ac:dyDescent="0.25">
      <c r="A8891" s="2"/>
      <c r="B8891" s="2"/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</row>
    <row r="8892" spans="1:15" ht="15" customHeight="1" x14ac:dyDescent="0.25">
      <c r="A8892" s="3"/>
      <c r="B8892" s="3"/>
      <c r="C8892" s="3"/>
      <c r="D8892" s="3"/>
      <c r="E8892" s="3"/>
      <c r="F8892" s="3"/>
      <c r="G8892" s="3"/>
      <c r="H8892" s="3"/>
      <c r="I8892" s="3"/>
      <c r="J8892" s="3"/>
      <c r="K8892" s="3"/>
      <c r="L8892" s="3"/>
      <c r="M8892" s="3"/>
      <c r="N8892" s="3"/>
      <c r="O8892" s="3"/>
    </row>
    <row r="8893" spans="1:15" ht="15" customHeight="1" x14ac:dyDescent="0.25">
      <c r="A8893" s="2"/>
      <c r="B8893" s="2"/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</row>
    <row r="8894" spans="1:15" ht="15" customHeight="1" x14ac:dyDescent="0.25">
      <c r="A8894" s="3"/>
      <c r="B8894" s="3"/>
      <c r="C8894" s="3"/>
      <c r="D8894" s="3"/>
      <c r="E8894" s="3"/>
      <c r="F8894" s="3"/>
      <c r="G8894" s="3"/>
      <c r="H8894" s="3"/>
      <c r="I8894" s="3"/>
      <c r="J8894" s="3"/>
      <c r="K8894" s="3"/>
      <c r="L8894" s="3"/>
      <c r="M8894" s="3"/>
      <c r="N8894" s="3"/>
      <c r="O8894" s="3"/>
    </row>
    <row r="8895" spans="1:15" ht="15" customHeight="1" x14ac:dyDescent="0.25">
      <c r="A8895" s="2"/>
      <c r="B8895" s="2"/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</row>
    <row r="8896" spans="1:15" ht="15" customHeight="1" x14ac:dyDescent="0.25">
      <c r="A8896" s="3"/>
      <c r="B8896" s="3"/>
      <c r="C8896" s="3"/>
      <c r="D8896" s="3"/>
      <c r="E8896" s="3"/>
      <c r="F8896" s="3"/>
      <c r="G8896" s="3"/>
      <c r="H8896" s="3"/>
      <c r="I8896" s="3"/>
      <c r="J8896" s="3"/>
      <c r="K8896" s="3"/>
      <c r="L8896" s="3"/>
      <c r="M8896" s="3"/>
      <c r="N8896" s="3"/>
      <c r="O8896" s="3"/>
    </row>
    <row r="8897" spans="1:15" ht="15" customHeight="1" x14ac:dyDescent="0.25">
      <c r="A8897" s="2"/>
      <c r="B8897" s="2"/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</row>
    <row r="8898" spans="1:15" ht="15" customHeight="1" x14ac:dyDescent="0.25">
      <c r="A8898" s="3"/>
      <c r="B8898" s="3"/>
      <c r="C8898" s="3"/>
      <c r="D8898" s="3"/>
      <c r="E8898" s="3"/>
      <c r="F8898" s="3"/>
      <c r="G8898" s="3"/>
      <c r="H8898" s="3"/>
      <c r="I8898" s="3"/>
      <c r="J8898" s="3"/>
      <c r="K8898" s="3"/>
      <c r="L8898" s="3"/>
      <c r="M8898" s="3"/>
      <c r="N8898" s="3"/>
      <c r="O8898" s="3"/>
    </row>
    <row r="8899" spans="1:15" ht="15" customHeight="1" x14ac:dyDescent="0.25">
      <c r="A8899" s="2"/>
      <c r="B8899" s="2"/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</row>
    <row r="8900" spans="1:15" ht="15" customHeight="1" x14ac:dyDescent="0.25">
      <c r="A8900" s="3"/>
      <c r="B8900" s="3"/>
      <c r="C8900" s="3"/>
      <c r="D8900" s="3"/>
      <c r="E8900" s="3"/>
      <c r="F8900" s="3"/>
      <c r="G8900" s="3"/>
      <c r="H8900" s="3"/>
      <c r="I8900" s="3"/>
      <c r="J8900" s="3"/>
      <c r="K8900" s="3"/>
      <c r="L8900" s="3"/>
      <c r="M8900" s="3"/>
      <c r="N8900" s="3"/>
      <c r="O8900" s="3"/>
    </row>
    <row r="8901" spans="1:15" ht="15" customHeight="1" x14ac:dyDescent="0.25">
      <c r="A8901" s="2"/>
      <c r="B8901" s="2"/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</row>
    <row r="8902" spans="1:15" ht="15" customHeight="1" x14ac:dyDescent="0.25">
      <c r="A8902" s="3"/>
      <c r="B8902" s="3"/>
      <c r="C8902" s="3"/>
      <c r="D8902" s="3"/>
      <c r="E8902" s="3"/>
      <c r="F8902" s="3"/>
      <c r="G8902" s="3"/>
      <c r="H8902" s="3"/>
      <c r="I8902" s="3"/>
      <c r="J8902" s="3"/>
      <c r="K8902" s="3"/>
      <c r="L8902" s="3"/>
      <c r="M8902" s="3"/>
      <c r="N8902" s="3"/>
      <c r="O8902" s="3"/>
    </row>
    <row r="8903" spans="1:15" ht="15" customHeight="1" x14ac:dyDescent="0.25">
      <c r="A8903" s="2"/>
      <c r="B8903" s="2"/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</row>
    <row r="8904" spans="1:15" ht="15" customHeight="1" x14ac:dyDescent="0.25">
      <c r="A8904" s="3"/>
      <c r="B8904" s="3"/>
      <c r="C8904" s="3"/>
      <c r="D8904" s="3"/>
      <c r="E8904" s="3"/>
      <c r="F8904" s="3"/>
      <c r="G8904" s="3"/>
      <c r="H8904" s="3"/>
      <c r="I8904" s="3"/>
      <c r="J8904" s="3"/>
      <c r="K8904" s="3"/>
      <c r="L8904" s="3"/>
      <c r="M8904" s="3"/>
      <c r="N8904" s="3"/>
      <c r="O8904" s="3"/>
    </row>
    <row r="8905" spans="1:15" ht="15" customHeight="1" x14ac:dyDescent="0.25">
      <c r="A8905" s="2"/>
      <c r="B8905" s="2"/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</row>
    <row r="8906" spans="1:15" ht="15" customHeight="1" x14ac:dyDescent="0.25">
      <c r="A8906" s="3"/>
      <c r="B8906" s="3"/>
      <c r="C8906" s="3"/>
      <c r="D8906" s="3"/>
      <c r="E8906" s="3"/>
      <c r="F8906" s="3"/>
      <c r="G8906" s="3"/>
      <c r="H8906" s="3"/>
      <c r="I8906" s="3"/>
      <c r="J8906" s="3"/>
      <c r="K8906" s="3"/>
      <c r="L8906" s="3"/>
      <c r="M8906" s="3"/>
      <c r="N8906" s="3"/>
      <c r="O8906" s="3"/>
    </row>
    <row r="8907" spans="1:15" ht="15" customHeight="1" x14ac:dyDescent="0.25">
      <c r="A8907" s="2"/>
      <c r="B8907" s="2"/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</row>
    <row r="8908" spans="1:15" ht="15" customHeight="1" x14ac:dyDescent="0.25">
      <c r="A8908" s="3"/>
      <c r="B8908" s="3"/>
      <c r="C8908" s="3"/>
      <c r="D8908" s="3"/>
      <c r="E8908" s="3"/>
      <c r="F8908" s="3"/>
      <c r="G8908" s="3"/>
      <c r="H8908" s="3"/>
      <c r="I8908" s="3"/>
      <c r="J8908" s="3"/>
      <c r="K8908" s="3"/>
      <c r="L8908" s="3"/>
      <c r="M8908" s="3"/>
      <c r="N8908" s="3"/>
      <c r="O8908" s="3"/>
    </row>
    <row r="8909" spans="1:15" ht="15" customHeight="1" x14ac:dyDescent="0.25">
      <c r="A8909" s="2"/>
      <c r="B8909" s="2"/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</row>
    <row r="8910" spans="1:15" ht="15" customHeight="1" x14ac:dyDescent="0.25">
      <c r="A8910" s="3"/>
      <c r="B8910" s="3"/>
      <c r="C8910" s="3"/>
      <c r="D8910" s="3"/>
      <c r="E8910" s="3"/>
      <c r="F8910" s="3"/>
      <c r="G8910" s="3"/>
      <c r="H8910" s="3"/>
      <c r="I8910" s="3"/>
      <c r="J8910" s="3"/>
      <c r="K8910" s="3"/>
      <c r="L8910" s="3"/>
      <c r="M8910" s="3"/>
      <c r="N8910" s="3"/>
      <c r="O8910" s="3"/>
    </row>
    <row r="8911" spans="1:15" ht="15" customHeight="1" x14ac:dyDescent="0.25">
      <c r="A8911" s="2"/>
      <c r="B8911" s="2"/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</row>
    <row r="8912" spans="1:15" ht="15" customHeight="1" x14ac:dyDescent="0.25">
      <c r="A8912" s="3"/>
      <c r="B8912" s="3"/>
      <c r="C8912" s="3"/>
      <c r="D8912" s="3"/>
      <c r="E8912" s="3"/>
      <c r="F8912" s="3"/>
      <c r="G8912" s="3"/>
      <c r="H8912" s="3"/>
      <c r="I8912" s="3"/>
      <c r="J8912" s="3"/>
      <c r="K8912" s="3"/>
      <c r="L8912" s="3"/>
      <c r="M8912" s="3"/>
      <c r="N8912" s="3"/>
      <c r="O8912" s="3"/>
    </row>
    <row r="8913" spans="1:15" ht="15" customHeight="1" x14ac:dyDescent="0.25">
      <c r="A8913" s="2"/>
      <c r="B8913" s="2"/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</row>
    <row r="8914" spans="1:15" ht="15" customHeight="1" x14ac:dyDescent="0.25">
      <c r="A8914" s="3"/>
      <c r="B8914" s="3"/>
      <c r="C8914" s="3"/>
      <c r="D8914" s="3"/>
      <c r="E8914" s="3"/>
      <c r="F8914" s="3"/>
      <c r="G8914" s="3"/>
      <c r="H8914" s="3"/>
      <c r="I8914" s="3"/>
      <c r="J8914" s="3"/>
      <c r="K8914" s="3"/>
      <c r="L8914" s="3"/>
      <c r="M8914" s="3"/>
      <c r="N8914" s="3"/>
      <c r="O8914" s="3"/>
    </row>
    <row r="8915" spans="1:15" ht="15" customHeight="1" x14ac:dyDescent="0.25">
      <c r="A8915" s="2"/>
      <c r="B8915" s="2"/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</row>
    <row r="8916" spans="1:15" ht="15" customHeight="1" x14ac:dyDescent="0.25">
      <c r="A8916" s="3"/>
      <c r="B8916" s="3"/>
      <c r="C8916" s="3"/>
      <c r="D8916" s="3"/>
      <c r="E8916" s="3"/>
      <c r="F8916" s="3"/>
      <c r="G8916" s="3"/>
      <c r="H8916" s="3"/>
      <c r="I8916" s="3"/>
      <c r="J8916" s="3"/>
      <c r="K8916" s="3"/>
      <c r="L8916" s="3"/>
      <c r="M8916" s="3"/>
      <c r="N8916" s="3"/>
      <c r="O8916" s="3"/>
    </row>
    <row r="8917" spans="1:15" ht="15" customHeight="1" x14ac:dyDescent="0.25">
      <c r="A8917" s="2"/>
      <c r="B8917" s="2"/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</row>
    <row r="8918" spans="1:15" ht="15" customHeight="1" x14ac:dyDescent="0.25">
      <c r="A8918" s="3"/>
      <c r="B8918" s="3"/>
      <c r="C8918" s="3"/>
      <c r="D8918" s="3"/>
      <c r="E8918" s="3"/>
      <c r="F8918" s="3"/>
      <c r="G8918" s="3"/>
      <c r="H8918" s="3"/>
      <c r="I8918" s="3"/>
      <c r="J8918" s="3"/>
      <c r="K8918" s="3"/>
      <c r="L8918" s="3"/>
      <c r="M8918" s="3"/>
      <c r="N8918" s="3"/>
      <c r="O8918" s="3"/>
    </row>
    <row r="8919" spans="1:15" ht="15" customHeight="1" x14ac:dyDescent="0.25">
      <c r="A8919" s="2"/>
      <c r="B8919" s="2"/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</row>
    <row r="8920" spans="1:15" ht="15" customHeight="1" x14ac:dyDescent="0.25">
      <c r="A8920" s="3"/>
      <c r="B8920" s="3"/>
      <c r="C8920" s="3"/>
      <c r="D8920" s="3"/>
      <c r="E8920" s="3"/>
      <c r="F8920" s="3"/>
      <c r="G8920" s="3"/>
      <c r="H8920" s="3"/>
      <c r="I8920" s="3"/>
      <c r="J8920" s="3"/>
      <c r="K8920" s="3"/>
      <c r="L8920" s="3"/>
      <c r="M8920" s="3"/>
      <c r="N8920" s="3"/>
      <c r="O8920" s="3"/>
    </row>
    <row r="8921" spans="1:15" ht="15" customHeight="1" x14ac:dyDescent="0.25">
      <c r="A8921" s="2"/>
      <c r="B8921" s="2"/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</row>
    <row r="8922" spans="1:15" ht="15" customHeight="1" x14ac:dyDescent="0.25">
      <c r="A8922" s="3"/>
      <c r="B8922" s="3"/>
      <c r="C8922" s="3"/>
      <c r="D8922" s="3"/>
      <c r="E8922" s="3"/>
      <c r="F8922" s="3"/>
      <c r="G8922" s="3"/>
      <c r="H8922" s="3"/>
      <c r="I8922" s="3"/>
      <c r="J8922" s="3"/>
      <c r="K8922" s="3"/>
      <c r="L8922" s="3"/>
      <c r="M8922" s="3"/>
      <c r="N8922" s="3"/>
      <c r="O8922" s="3"/>
    </row>
    <row r="8923" spans="1:15" ht="15" customHeight="1" x14ac:dyDescent="0.25">
      <c r="A8923" s="2"/>
      <c r="B8923" s="2"/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</row>
    <row r="8924" spans="1:15" ht="15" customHeight="1" x14ac:dyDescent="0.25">
      <c r="A8924" s="3"/>
      <c r="B8924" s="3"/>
      <c r="C8924" s="3"/>
      <c r="D8924" s="3"/>
      <c r="E8924" s="3"/>
      <c r="F8924" s="3"/>
      <c r="G8924" s="3"/>
      <c r="H8924" s="3"/>
      <c r="I8924" s="3"/>
      <c r="J8924" s="3"/>
      <c r="K8924" s="3"/>
      <c r="L8924" s="3"/>
      <c r="M8924" s="3"/>
      <c r="N8924" s="3"/>
      <c r="O8924" s="3"/>
    </row>
    <row r="8925" spans="1:15" ht="15" customHeight="1" x14ac:dyDescent="0.25">
      <c r="A8925" s="2"/>
      <c r="B8925" s="2"/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</row>
    <row r="8926" spans="1:15" ht="15" customHeight="1" x14ac:dyDescent="0.25">
      <c r="A8926" s="3"/>
      <c r="B8926" s="3"/>
      <c r="C8926" s="3"/>
      <c r="D8926" s="3"/>
      <c r="E8926" s="3"/>
      <c r="F8926" s="3"/>
      <c r="G8926" s="3"/>
      <c r="H8926" s="3"/>
      <c r="I8926" s="3"/>
      <c r="J8926" s="3"/>
      <c r="K8926" s="3"/>
      <c r="L8926" s="3"/>
      <c r="M8926" s="3"/>
      <c r="N8926" s="3"/>
      <c r="O8926" s="3"/>
    </row>
    <row r="8927" spans="1:15" ht="15" customHeight="1" x14ac:dyDescent="0.25">
      <c r="A8927" s="2"/>
      <c r="B8927" s="2"/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</row>
    <row r="8928" spans="1:15" ht="15" customHeight="1" x14ac:dyDescent="0.25">
      <c r="A8928" s="3"/>
      <c r="B8928" s="3"/>
      <c r="C8928" s="3"/>
      <c r="D8928" s="3"/>
      <c r="E8928" s="3"/>
      <c r="F8928" s="3"/>
      <c r="G8928" s="3"/>
      <c r="H8928" s="3"/>
      <c r="I8928" s="3"/>
      <c r="J8928" s="3"/>
      <c r="K8928" s="3"/>
      <c r="L8928" s="3"/>
      <c r="M8928" s="3"/>
      <c r="N8928" s="3"/>
      <c r="O8928" s="3"/>
    </row>
    <row r="8929" spans="1:15" ht="15" customHeight="1" x14ac:dyDescent="0.25">
      <c r="A8929" s="2"/>
      <c r="B8929" s="2"/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</row>
    <row r="8930" spans="1:15" ht="15" customHeight="1" x14ac:dyDescent="0.25">
      <c r="A8930" s="3"/>
      <c r="B8930" s="3"/>
      <c r="C8930" s="3"/>
      <c r="D8930" s="3"/>
      <c r="E8930" s="3"/>
      <c r="F8930" s="3"/>
      <c r="G8930" s="3"/>
      <c r="H8930" s="3"/>
      <c r="I8930" s="3"/>
      <c r="J8930" s="3"/>
      <c r="K8930" s="3"/>
      <c r="L8930" s="3"/>
      <c r="M8930" s="3"/>
      <c r="N8930" s="3"/>
      <c r="O8930" s="3"/>
    </row>
    <row r="8931" spans="1:15" ht="15" customHeight="1" x14ac:dyDescent="0.25">
      <c r="A8931" s="2"/>
      <c r="B8931" s="2"/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</row>
    <row r="8932" spans="1:15" ht="15" customHeight="1" x14ac:dyDescent="0.25">
      <c r="A8932" s="3"/>
      <c r="B8932" s="3"/>
      <c r="C8932" s="3"/>
      <c r="D8932" s="3"/>
      <c r="E8932" s="3"/>
      <c r="F8932" s="3"/>
      <c r="G8932" s="3"/>
      <c r="H8932" s="3"/>
      <c r="I8932" s="3"/>
      <c r="J8932" s="3"/>
      <c r="K8932" s="3"/>
      <c r="L8932" s="3"/>
      <c r="M8932" s="3"/>
      <c r="N8932" s="3"/>
      <c r="O8932" s="3"/>
    </row>
    <row r="8933" spans="1:15" ht="15" customHeight="1" x14ac:dyDescent="0.25">
      <c r="A8933" s="2"/>
      <c r="B8933" s="2"/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</row>
    <row r="8934" spans="1:15" ht="15" customHeight="1" x14ac:dyDescent="0.25">
      <c r="A8934" s="3"/>
      <c r="B8934" s="3"/>
      <c r="C8934" s="3"/>
      <c r="D8934" s="3"/>
      <c r="E8934" s="3"/>
      <c r="F8934" s="3"/>
      <c r="G8934" s="3"/>
      <c r="H8934" s="3"/>
      <c r="I8934" s="3"/>
      <c r="J8934" s="3"/>
      <c r="K8934" s="3"/>
      <c r="L8934" s="3"/>
      <c r="M8934" s="3"/>
      <c r="N8934" s="3"/>
      <c r="O8934" s="3"/>
    </row>
    <row r="8935" spans="1:15" ht="15" customHeight="1" x14ac:dyDescent="0.25">
      <c r="A8935" s="2"/>
      <c r="B8935" s="2"/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</row>
    <row r="8936" spans="1:15" ht="15" customHeight="1" x14ac:dyDescent="0.25">
      <c r="A8936" s="3"/>
      <c r="B8936" s="3"/>
      <c r="C8936" s="3"/>
      <c r="D8936" s="3"/>
      <c r="E8936" s="3"/>
      <c r="F8936" s="3"/>
      <c r="G8936" s="3"/>
      <c r="H8936" s="3"/>
      <c r="I8936" s="3"/>
      <c r="J8936" s="3"/>
      <c r="K8936" s="3"/>
      <c r="L8936" s="3"/>
      <c r="M8936" s="3"/>
      <c r="N8936" s="3"/>
      <c r="O8936" s="3"/>
    </row>
    <row r="8937" spans="1:15" ht="15" customHeight="1" x14ac:dyDescent="0.25">
      <c r="A8937" s="2"/>
      <c r="B8937" s="2"/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</row>
    <row r="8938" spans="1:15" ht="15" customHeight="1" x14ac:dyDescent="0.25">
      <c r="A8938" s="3"/>
      <c r="B8938" s="3"/>
      <c r="C8938" s="3"/>
      <c r="D8938" s="3"/>
      <c r="E8938" s="3"/>
      <c r="F8938" s="3"/>
      <c r="G8938" s="3"/>
      <c r="H8938" s="3"/>
      <c r="I8938" s="3"/>
      <c r="J8938" s="3"/>
      <c r="K8938" s="3"/>
      <c r="L8938" s="3"/>
      <c r="M8938" s="3"/>
      <c r="N8938" s="3"/>
      <c r="O8938" s="3"/>
    </row>
    <row r="8939" spans="1:15" ht="15" customHeight="1" x14ac:dyDescent="0.25">
      <c r="A8939" s="2"/>
      <c r="B8939" s="2"/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</row>
    <row r="8940" spans="1:15" ht="15" customHeight="1" x14ac:dyDescent="0.25">
      <c r="A8940" s="3"/>
      <c r="B8940" s="3"/>
      <c r="C8940" s="3"/>
      <c r="D8940" s="3"/>
      <c r="E8940" s="3"/>
      <c r="F8940" s="3"/>
      <c r="G8940" s="3"/>
      <c r="H8940" s="3"/>
      <c r="I8940" s="3"/>
      <c r="J8940" s="3"/>
      <c r="K8940" s="3"/>
      <c r="L8940" s="3"/>
      <c r="M8940" s="3"/>
      <c r="N8940" s="3"/>
      <c r="O8940" s="3"/>
    </row>
    <row r="8941" spans="1:15" ht="15" customHeight="1" x14ac:dyDescent="0.25">
      <c r="A8941" s="2"/>
      <c r="B8941" s="2"/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</row>
    <row r="8942" spans="1:15" ht="15" customHeight="1" x14ac:dyDescent="0.25">
      <c r="A8942" s="3"/>
      <c r="B8942" s="3"/>
      <c r="C8942" s="3"/>
      <c r="D8942" s="3"/>
      <c r="E8942" s="3"/>
      <c r="F8942" s="3"/>
      <c r="G8942" s="3"/>
      <c r="H8942" s="3"/>
      <c r="I8942" s="3"/>
      <c r="J8942" s="3"/>
      <c r="K8942" s="3"/>
      <c r="L8942" s="3"/>
      <c r="M8942" s="3"/>
      <c r="N8942" s="3"/>
      <c r="O8942" s="3"/>
    </row>
    <row r="8943" spans="1:15" ht="15" customHeight="1" x14ac:dyDescent="0.25">
      <c r="A8943" s="2"/>
      <c r="B8943" s="2"/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</row>
    <row r="8944" spans="1:15" ht="15" customHeight="1" x14ac:dyDescent="0.25">
      <c r="A8944" s="3"/>
      <c r="B8944" s="3"/>
      <c r="C8944" s="3"/>
      <c r="D8944" s="3"/>
      <c r="E8944" s="3"/>
      <c r="F8944" s="3"/>
      <c r="G8944" s="3"/>
      <c r="H8944" s="3"/>
      <c r="I8944" s="3"/>
      <c r="J8944" s="3"/>
      <c r="K8944" s="3"/>
      <c r="L8944" s="3"/>
      <c r="M8944" s="3"/>
      <c r="N8944" s="3"/>
      <c r="O8944" s="3"/>
    </row>
    <row r="8945" spans="1:15" ht="15" customHeight="1" x14ac:dyDescent="0.25">
      <c r="A8945" s="2"/>
      <c r="B8945" s="2"/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</row>
    <row r="8946" spans="1:15" ht="15" customHeight="1" x14ac:dyDescent="0.25">
      <c r="A8946" s="3"/>
      <c r="B8946" s="3"/>
      <c r="C8946" s="3"/>
      <c r="D8946" s="3"/>
      <c r="E8946" s="3"/>
      <c r="F8946" s="3"/>
      <c r="G8946" s="3"/>
      <c r="H8946" s="3"/>
      <c r="I8946" s="3"/>
      <c r="J8946" s="3"/>
      <c r="K8946" s="3"/>
      <c r="L8946" s="3"/>
      <c r="M8946" s="3"/>
      <c r="N8946" s="3"/>
      <c r="O8946" s="3"/>
    </row>
    <row r="8947" spans="1:15" ht="15" customHeight="1" x14ac:dyDescent="0.25">
      <c r="A8947" s="2"/>
      <c r="B8947" s="2"/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</row>
    <row r="8948" spans="1:15" ht="15" customHeight="1" x14ac:dyDescent="0.25">
      <c r="A8948" s="3"/>
      <c r="B8948" s="3"/>
      <c r="C8948" s="3"/>
      <c r="D8948" s="3"/>
      <c r="E8948" s="3"/>
      <c r="F8948" s="3"/>
      <c r="G8948" s="3"/>
      <c r="H8948" s="3"/>
      <c r="I8948" s="3"/>
      <c r="J8948" s="3"/>
      <c r="K8948" s="3"/>
      <c r="L8948" s="3"/>
      <c r="M8948" s="3"/>
      <c r="N8948" s="3"/>
      <c r="O8948" s="3"/>
    </row>
    <row r="8949" spans="1:15" ht="15" customHeight="1" x14ac:dyDescent="0.25">
      <c r="A8949" s="2"/>
      <c r="B8949" s="2"/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</row>
    <row r="8950" spans="1:15" ht="15" customHeight="1" x14ac:dyDescent="0.25">
      <c r="A8950" s="3"/>
      <c r="B8950" s="3"/>
      <c r="C8950" s="3"/>
      <c r="D8950" s="3"/>
      <c r="E8950" s="3"/>
      <c r="F8950" s="3"/>
      <c r="G8950" s="3"/>
      <c r="H8950" s="3"/>
      <c r="I8950" s="3"/>
      <c r="J8950" s="3"/>
      <c r="K8950" s="3"/>
      <c r="L8950" s="3"/>
      <c r="M8950" s="3"/>
      <c r="N8950" s="3"/>
      <c r="O8950" s="3"/>
    </row>
    <row r="8951" spans="1:15" ht="15" customHeight="1" x14ac:dyDescent="0.25">
      <c r="A8951" s="2"/>
      <c r="B8951" s="2"/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</row>
    <row r="8952" spans="1:15" ht="15" customHeight="1" x14ac:dyDescent="0.25">
      <c r="A8952" s="3"/>
      <c r="B8952" s="3"/>
      <c r="C8952" s="3"/>
      <c r="D8952" s="3"/>
      <c r="E8952" s="3"/>
      <c r="F8952" s="3"/>
      <c r="G8952" s="3"/>
      <c r="H8952" s="3"/>
      <c r="I8952" s="3"/>
      <c r="J8952" s="3"/>
      <c r="K8952" s="3"/>
      <c r="L8952" s="3"/>
      <c r="M8952" s="3"/>
      <c r="N8952" s="3"/>
      <c r="O8952" s="3"/>
    </row>
    <row r="8953" spans="1:15" ht="15" customHeight="1" x14ac:dyDescent="0.25">
      <c r="A8953" s="2"/>
      <c r="B8953" s="2"/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</row>
    <row r="8954" spans="1:15" ht="15" customHeight="1" x14ac:dyDescent="0.25">
      <c r="A8954" s="3"/>
      <c r="B8954" s="3"/>
      <c r="C8954" s="3"/>
      <c r="D8954" s="3"/>
      <c r="E8954" s="3"/>
      <c r="F8954" s="3"/>
      <c r="G8954" s="3"/>
      <c r="H8954" s="3"/>
      <c r="I8954" s="3"/>
      <c r="J8954" s="3"/>
      <c r="K8954" s="3"/>
      <c r="L8954" s="3"/>
      <c r="M8954" s="3"/>
      <c r="N8954" s="3"/>
      <c r="O8954" s="3"/>
    </row>
    <row r="8955" spans="1:15" ht="15" customHeight="1" x14ac:dyDescent="0.25">
      <c r="A8955" s="2"/>
      <c r="B8955" s="2"/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</row>
    <row r="8956" spans="1:15" ht="15" customHeight="1" x14ac:dyDescent="0.25">
      <c r="A8956" s="3"/>
      <c r="B8956" s="3"/>
      <c r="C8956" s="3"/>
      <c r="D8956" s="3"/>
      <c r="E8956" s="3"/>
      <c r="F8956" s="3"/>
      <c r="G8956" s="3"/>
      <c r="H8956" s="3"/>
      <c r="I8956" s="3"/>
      <c r="J8956" s="3"/>
      <c r="K8956" s="3"/>
      <c r="L8956" s="3"/>
      <c r="M8956" s="3"/>
      <c r="N8956" s="3"/>
      <c r="O8956" s="3"/>
    </row>
    <row r="8957" spans="1:15" ht="15" customHeight="1" x14ac:dyDescent="0.25">
      <c r="A8957" s="2"/>
      <c r="B8957" s="2"/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</row>
    <row r="8958" spans="1:15" ht="15" customHeight="1" x14ac:dyDescent="0.25">
      <c r="A8958" s="3"/>
      <c r="B8958" s="3"/>
      <c r="C8958" s="3"/>
      <c r="D8958" s="3"/>
      <c r="E8958" s="3"/>
      <c r="F8958" s="3"/>
      <c r="G8958" s="3"/>
      <c r="H8958" s="3"/>
      <c r="I8958" s="3"/>
      <c r="J8958" s="3"/>
      <c r="K8958" s="3"/>
      <c r="L8958" s="3"/>
      <c r="M8958" s="3"/>
      <c r="N8958" s="3"/>
      <c r="O8958" s="3"/>
    </row>
    <row r="8959" spans="1:15" ht="15" customHeight="1" x14ac:dyDescent="0.25">
      <c r="A8959" s="2"/>
      <c r="B8959" s="2"/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</row>
    <row r="8960" spans="1:15" ht="15" customHeight="1" x14ac:dyDescent="0.25">
      <c r="A8960" s="3"/>
      <c r="B8960" s="3"/>
      <c r="C8960" s="3"/>
      <c r="D8960" s="3"/>
      <c r="E8960" s="3"/>
      <c r="F8960" s="3"/>
      <c r="G8960" s="3"/>
      <c r="H8960" s="3"/>
      <c r="I8960" s="3"/>
      <c r="J8960" s="3"/>
      <c r="K8960" s="3"/>
      <c r="L8960" s="3"/>
      <c r="M8960" s="3"/>
      <c r="N8960" s="3"/>
      <c r="O8960" s="3"/>
    </row>
    <row r="8961" spans="1:15" ht="15" customHeight="1" x14ac:dyDescent="0.25">
      <c r="A8961" s="2"/>
      <c r="B8961" s="2"/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</row>
    <row r="8962" spans="1:15" ht="15" customHeight="1" x14ac:dyDescent="0.25">
      <c r="A8962" s="3"/>
      <c r="B8962" s="3"/>
      <c r="C8962" s="3"/>
      <c r="D8962" s="3"/>
      <c r="E8962" s="3"/>
      <c r="F8962" s="3"/>
      <c r="G8962" s="3"/>
      <c r="H8962" s="3"/>
      <c r="I8962" s="3"/>
      <c r="J8962" s="3"/>
      <c r="K8962" s="3"/>
      <c r="L8962" s="3"/>
      <c r="M8962" s="3"/>
      <c r="N8962" s="3"/>
      <c r="O8962" s="3"/>
    </row>
    <row r="8963" spans="1:15" ht="15" customHeight="1" x14ac:dyDescent="0.25">
      <c r="A8963" s="2"/>
      <c r="B8963" s="2"/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</row>
    <row r="8964" spans="1:15" ht="15" customHeight="1" x14ac:dyDescent="0.25">
      <c r="A8964" s="3"/>
      <c r="B8964" s="3"/>
      <c r="C8964" s="3"/>
      <c r="D8964" s="3"/>
      <c r="E8964" s="3"/>
      <c r="F8964" s="3"/>
      <c r="G8964" s="3"/>
      <c r="H8964" s="3"/>
      <c r="I8964" s="3"/>
      <c r="J8964" s="3"/>
      <c r="K8964" s="3"/>
      <c r="L8964" s="3"/>
      <c r="M8964" s="3"/>
      <c r="N8964" s="3"/>
      <c r="O8964" s="3"/>
    </row>
    <row r="8965" spans="1:15" ht="15" customHeight="1" x14ac:dyDescent="0.25">
      <c r="A8965" s="2"/>
      <c r="B8965" s="2"/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</row>
    <row r="8966" spans="1:15" ht="15" customHeight="1" x14ac:dyDescent="0.25">
      <c r="A8966" s="3"/>
      <c r="B8966" s="3"/>
      <c r="C8966" s="3"/>
      <c r="D8966" s="3"/>
      <c r="E8966" s="3"/>
      <c r="F8966" s="3"/>
      <c r="G8966" s="3"/>
      <c r="H8966" s="3"/>
      <c r="I8966" s="3"/>
      <c r="J8966" s="3"/>
      <c r="K8966" s="3"/>
      <c r="L8966" s="3"/>
      <c r="M8966" s="3"/>
      <c r="N8966" s="3"/>
      <c r="O8966" s="3"/>
    </row>
    <row r="8967" spans="1:15" ht="15" customHeight="1" x14ac:dyDescent="0.25">
      <c r="A8967" s="2"/>
      <c r="B8967" s="2"/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</row>
    <row r="8968" spans="1:15" ht="15" customHeight="1" x14ac:dyDescent="0.25">
      <c r="A8968" s="3"/>
      <c r="B8968" s="3"/>
      <c r="C8968" s="3"/>
      <c r="D8968" s="3"/>
      <c r="E8968" s="3"/>
      <c r="F8968" s="3"/>
      <c r="G8968" s="3"/>
      <c r="H8968" s="3"/>
      <c r="I8968" s="3"/>
      <c r="J8968" s="3"/>
      <c r="K8968" s="3"/>
      <c r="L8968" s="3"/>
      <c r="M8968" s="3"/>
      <c r="N8968" s="3"/>
      <c r="O8968" s="3"/>
    </row>
    <row r="8969" spans="1:15" ht="15" customHeight="1" x14ac:dyDescent="0.25">
      <c r="A8969" s="2"/>
      <c r="B8969" s="2"/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</row>
    <row r="8970" spans="1:15" ht="15" customHeight="1" x14ac:dyDescent="0.25">
      <c r="A8970" s="3"/>
      <c r="B8970" s="3"/>
      <c r="C8970" s="3"/>
      <c r="D8970" s="3"/>
      <c r="E8970" s="3"/>
      <c r="F8970" s="3"/>
      <c r="G8970" s="3"/>
      <c r="H8970" s="3"/>
      <c r="I8970" s="3"/>
      <c r="J8970" s="3"/>
      <c r="K8970" s="3"/>
      <c r="L8970" s="3"/>
      <c r="M8970" s="3"/>
      <c r="N8970" s="3"/>
      <c r="O8970" s="3"/>
    </row>
    <row r="8971" spans="1:15" ht="15" customHeight="1" x14ac:dyDescent="0.25">
      <c r="A8971" s="2"/>
      <c r="B8971" s="2"/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</row>
    <row r="8972" spans="1:15" ht="15" customHeight="1" x14ac:dyDescent="0.25">
      <c r="A8972" s="3"/>
      <c r="B8972" s="3"/>
      <c r="C8972" s="3"/>
      <c r="D8972" s="3"/>
      <c r="E8972" s="3"/>
      <c r="F8972" s="3"/>
      <c r="G8972" s="3"/>
      <c r="H8972" s="3"/>
      <c r="I8972" s="3"/>
      <c r="J8972" s="3"/>
      <c r="K8972" s="3"/>
      <c r="L8972" s="3"/>
      <c r="M8972" s="3"/>
      <c r="N8972" s="3"/>
      <c r="O8972" s="3"/>
    </row>
    <row r="8973" spans="1:15" ht="15" customHeight="1" x14ac:dyDescent="0.25">
      <c r="A8973" s="2"/>
      <c r="B8973" s="2"/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</row>
    <row r="8974" spans="1:15" ht="15" customHeight="1" x14ac:dyDescent="0.25">
      <c r="A8974" s="3"/>
      <c r="B8974" s="3"/>
      <c r="C8974" s="3"/>
      <c r="D8974" s="3"/>
      <c r="E8974" s="3"/>
      <c r="F8974" s="3"/>
      <c r="G8974" s="3"/>
      <c r="H8974" s="3"/>
      <c r="I8974" s="3"/>
      <c r="J8974" s="3"/>
      <c r="K8974" s="3"/>
      <c r="L8974" s="3"/>
      <c r="M8974" s="3"/>
      <c r="N8974" s="3"/>
      <c r="O8974" s="3"/>
    </row>
    <row r="8975" spans="1:15" ht="15" customHeight="1" x14ac:dyDescent="0.25">
      <c r="A8975" s="2"/>
      <c r="B8975" s="2"/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</row>
    <row r="8976" spans="1:15" ht="15" customHeight="1" x14ac:dyDescent="0.25">
      <c r="A8976" s="3"/>
      <c r="B8976" s="3"/>
      <c r="C8976" s="3"/>
      <c r="D8976" s="3"/>
      <c r="E8976" s="3"/>
      <c r="F8976" s="3"/>
      <c r="G8976" s="3"/>
      <c r="H8976" s="3"/>
      <c r="I8976" s="3"/>
      <c r="J8976" s="3"/>
      <c r="K8976" s="3"/>
      <c r="L8976" s="3"/>
      <c r="M8976" s="3"/>
      <c r="N8976" s="3"/>
      <c r="O8976" s="3"/>
    </row>
    <row r="8977" spans="1:15" ht="15" customHeight="1" x14ac:dyDescent="0.25">
      <c r="A8977" s="2"/>
      <c r="B8977" s="2"/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</row>
    <row r="8978" spans="1:15" ht="15" customHeight="1" x14ac:dyDescent="0.25">
      <c r="A8978" s="3"/>
      <c r="B8978" s="3"/>
      <c r="C8978" s="3"/>
      <c r="D8978" s="3"/>
      <c r="E8978" s="3"/>
      <c r="F8978" s="3"/>
      <c r="G8978" s="3"/>
      <c r="H8978" s="3"/>
      <c r="I8978" s="3"/>
      <c r="J8978" s="3"/>
      <c r="K8978" s="3"/>
      <c r="L8978" s="3"/>
      <c r="M8978" s="3"/>
      <c r="N8978" s="3"/>
      <c r="O8978" s="3"/>
    </row>
    <row r="8979" spans="1:15" ht="15" customHeight="1" x14ac:dyDescent="0.25">
      <c r="A8979" s="2"/>
      <c r="B8979" s="2"/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</row>
    <row r="8980" spans="1:15" ht="15" customHeight="1" x14ac:dyDescent="0.25">
      <c r="A8980" s="3"/>
      <c r="B8980" s="3"/>
      <c r="C8980" s="3"/>
      <c r="D8980" s="3"/>
      <c r="E8980" s="3"/>
      <c r="F8980" s="3"/>
      <c r="G8980" s="3"/>
      <c r="H8980" s="3"/>
      <c r="I8980" s="3"/>
      <c r="J8980" s="3"/>
      <c r="K8980" s="3"/>
      <c r="L8980" s="3"/>
      <c r="M8980" s="3"/>
      <c r="N8980" s="3"/>
      <c r="O8980" s="3"/>
    </row>
    <row r="8981" spans="1:15" ht="15" customHeight="1" x14ac:dyDescent="0.25">
      <c r="A8981" s="2"/>
      <c r="B8981" s="2"/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</row>
    <row r="8982" spans="1:15" ht="15" customHeight="1" x14ac:dyDescent="0.25">
      <c r="A8982" s="3"/>
      <c r="B8982" s="3"/>
      <c r="C8982" s="3"/>
      <c r="D8982" s="3"/>
      <c r="E8982" s="3"/>
      <c r="F8982" s="3"/>
      <c r="G8982" s="3"/>
      <c r="H8982" s="3"/>
      <c r="I8982" s="3"/>
      <c r="J8982" s="3"/>
      <c r="K8982" s="3"/>
      <c r="L8982" s="3"/>
      <c r="M8982" s="3"/>
      <c r="N8982" s="3"/>
      <c r="O8982" s="3"/>
    </row>
    <row r="8983" spans="1:15" ht="15" customHeight="1" x14ac:dyDescent="0.25">
      <c r="A8983" s="2"/>
      <c r="B8983" s="2"/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</row>
    <row r="8984" spans="1:15" ht="15" customHeight="1" x14ac:dyDescent="0.25">
      <c r="A8984" s="3"/>
      <c r="B8984" s="3"/>
      <c r="C8984" s="3"/>
      <c r="D8984" s="3"/>
      <c r="E8984" s="3"/>
      <c r="F8984" s="3"/>
      <c r="G8984" s="3"/>
      <c r="H8984" s="3"/>
      <c r="I8984" s="3"/>
      <c r="J8984" s="3"/>
      <c r="K8984" s="3"/>
      <c r="L8984" s="3"/>
      <c r="M8984" s="3"/>
      <c r="N8984" s="3"/>
      <c r="O8984" s="3"/>
    </row>
    <row r="8985" spans="1:15" ht="15" customHeight="1" x14ac:dyDescent="0.25">
      <c r="A8985" s="2"/>
      <c r="B8985" s="2"/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</row>
    <row r="8986" spans="1:15" ht="15" customHeight="1" x14ac:dyDescent="0.25">
      <c r="A8986" s="3"/>
      <c r="B8986" s="3"/>
      <c r="C8986" s="3"/>
      <c r="D8986" s="3"/>
      <c r="E8986" s="3"/>
      <c r="F8986" s="3"/>
      <c r="G8986" s="3"/>
      <c r="H8986" s="3"/>
      <c r="I8986" s="3"/>
      <c r="J8986" s="3"/>
      <c r="K8986" s="3"/>
      <c r="L8986" s="3"/>
      <c r="M8986" s="3"/>
      <c r="N8986" s="3"/>
      <c r="O8986" s="3"/>
    </row>
    <row r="8987" spans="1:15" ht="15" customHeight="1" x14ac:dyDescent="0.25">
      <c r="A8987" s="2"/>
      <c r="B8987" s="2"/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</row>
    <row r="8988" spans="1:15" ht="15" customHeight="1" x14ac:dyDescent="0.25">
      <c r="A8988" s="3"/>
      <c r="B8988" s="3"/>
      <c r="C8988" s="3"/>
      <c r="D8988" s="3"/>
      <c r="E8988" s="3"/>
      <c r="F8988" s="3"/>
      <c r="G8988" s="3"/>
      <c r="H8988" s="3"/>
      <c r="I8988" s="3"/>
      <c r="J8988" s="3"/>
      <c r="K8988" s="3"/>
      <c r="L8988" s="3"/>
      <c r="M8988" s="3"/>
      <c r="N8988" s="3"/>
      <c r="O8988" s="3"/>
    </row>
    <row r="8989" spans="1:15" ht="15" customHeight="1" x14ac:dyDescent="0.25">
      <c r="A8989" s="2"/>
      <c r="B8989" s="2"/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</row>
    <row r="8990" spans="1:15" ht="15" customHeight="1" x14ac:dyDescent="0.25">
      <c r="A8990" s="3"/>
      <c r="B8990" s="3"/>
      <c r="C8990" s="3"/>
      <c r="D8990" s="3"/>
      <c r="E8990" s="3"/>
      <c r="F8990" s="3"/>
      <c r="G8990" s="3"/>
      <c r="H8990" s="3"/>
      <c r="I8990" s="3"/>
      <c r="J8990" s="3"/>
      <c r="K8990" s="3"/>
      <c r="L8990" s="3"/>
      <c r="M8990" s="3"/>
      <c r="N8990" s="3"/>
      <c r="O8990" s="3"/>
    </row>
    <row r="8991" spans="1:15" ht="15" customHeight="1" x14ac:dyDescent="0.25">
      <c r="A8991" s="2"/>
      <c r="B8991" s="2"/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</row>
    <row r="8992" spans="1:15" ht="15" customHeight="1" x14ac:dyDescent="0.25">
      <c r="A8992" s="3"/>
      <c r="B8992" s="3"/>
      <c r="C8992" s="3"/>
      <c r="D8992" s="3"/>
      <c r="E8992" s="3"/>
      <c r="F8992" s="3"/>
      <c r="G8992" s="3"/>
      <c r="H8992" s="3"/>
      <c r="I8992" s="3"/>
      <c r="J8992" s="3"/>
      <c r="K8992" s="3"/>
      <c r="L8992" s="3"/>
      <c r="M8992" s="3"/>
      <c r="N8992" s="3"/>
      <c r="O8992" s="3"/>
    </row>
    <row r="8993" spans="1:15" ht="15" customHeight="1" x14ac:dyDescent="0.25">
      <c r="A8993" s="2"/>
      <c r="B8993" s="2"/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</row>
    <row r="8994" spans="1:15" ht="15" customHeight="1" x14ac:dyDescent="0.25">
      <c r="A8994" s="3"/>
      <c r="B8994" s="3"/>
      <c r="C8994" s="3"/>
      <c r="D8994" s="3"/>
      <c r="E8994" s="3"/>
      <c r="F8994" s="3"/>
      <c r="G8994" s="3"/>
      <c r="H8994" s="3"/>
      <c r="I8994" s="3"/>
      <c r="J8994" s="3"/>
      <c r="K8994" s="3"/>
      <c r="L8994" s="3"/>
      <c r="M8994" s="3"/>
      <c r="N8994" s="3"/>
      <c r="O8994" s="3"/>
    </row>
    <row r="8995" spans="1:15" ht="15" customHeight="1" x14ac:dyDescent="0.25">
      <c r="A8995" s="2"/>
      <c r="B8995" s="2"/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</row>
    <row r="8996" spans="1:15" ht="15" customHeight="1" x14ac:dyDescent="0.25">
      <c r="A8996" s="3"/>
      <c r="B8996" s="3"/>
      <c r="C8996" s="3"/>
      <c r="D8996" s="3"/>
      <c r="E8996" s="3"/>
      <c r="F8996" s="3"/>
      <c r="G8996" s="3"/>
      <c r="H8996" s="3"/>
      <c r="I8996" s="3"/>
      <c r="J8996" s="3"/>
      <c r="K8996" s="3"/>
      <c r="L8996" s="3"/>
      <c r="M8996" s="3"/>
      <c r="N8996" s="3"/>
      <c r="O8996" s="3"/>
    </row>
    <row r="8997" spans="1:15" ht="15" customHeight="1" x14ac:dyDescent="0.25">
      <c r="A8997" s="2"/>
      <c r="B8997" s="2"/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</row>
    <row r="8998" spans="1:15" ht="15" customHeight="1" x14ac:dyDescent="0.25">
      <c r="A8998" s="3"/>
      <c r="B8998" s="3"/>
      <c r="C8998" s="3"/>
      <c r="D8998" s="3"/>
      <c r="E8998" s="3"/>
      <c r="F8998" s="3"/>
      <c r="G8998" s="3"/>
      <c r="H8998" s="3"/>
      <c r="I8998" s="3"/>
      <c r="J8998" s="3"/>
      <c r="K8998" s="3"/>
      <c r="L8998" s="3"/>
      <c r="M8998" s="3"/>
      <c r="N8998" s="3"/>
      <c r="O8998" s="3"/>
    </row>
    <row r="8999" spans="1:15" ht="15" customHeight="1" x14ac:dyDescent="0.25">
      <c r="A8999" s="2"/>
      <c r="B8999" s="2"/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</row>
    <row r="9000" spans="1:15" ht="15" customHeight="1" x14ac:dyDescent="0.25">
      <c r="A9000" s="3"/>
      <c r="B9000" s="3"/>
      <c r="C9000" s="3"/>
      <c r="D9000" s="3"/>
      <c r="E9000" s="3"/>
      <c r="F9000" s="3"/>
      <c r="G9000" s="3"/>
      <c r="H9000" s="3"/>
      <c r="I9000" s="3"/>
      <c r="J9000" s="3"/>
      <c r="K9000" s="3"/>
      <c r="L9000" s="3"/>
      <c r="M9000" s="3"/>
      <c r="N9000" s="3"/>
      <c r="O9000" s="3"/>
    </row>
    <row r="9001" spans="1:15" ht="15" customHeight="1" x14ac:dyDescent="0.25">
      <c r="A9001" s="2"/>
      <c r="B9001" s="2"/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</row>
    <row r="9002" spans="1:15" ht="15" customHeight="1" x14ac:dyDescent="0.25">
      <c r="A9002" s="3"/>
      <c r="B9002" s="3"/>
      <c r="C9002" s="3"/>
      <c r="D9002" s="3"/>
      <c r="E9002" s="3"/>
      <c r="F9002" s="3"/>
      <c r="G9002" s="3"/>
      <c r="H9002" s="3"/>
      <c r="I9002" s="3"/>
      <c r="J9002" s="3"/>
      <c r="K9002" s="3"/>
      <c r="L9002" s="3"/>
      <c r="M9002" s="3"/>
      <c r="N9002" s="3"/>
      <c r="O9002" s="3"/>
    </row>
    <row r="9003" spans="1:15" ht="15" customHeight="1" x14ac:dyDescent="0.25">
      <c r="A9003" s="2"/>
      <c r="B9003" s="2"/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</row>
    <row r="9004" spans="1:15" ht="15" customHeight="1" x14ac:dyDescent="0.25">
      <c r="A9004" s="3"/>
      <c r="B9004" s="3"/>
      <c r="C9004" s="3"/>
      <c r="D9004" s="3"/>
      <c r="E9004" s="3"/>
      <c r="F9004" s="3"/>
      <c r="G9004" s="3"/>
      <c r="H9004" s="3"/>
      <c r="I9004" s="3"/>
      <c r="J9004" s="3"/>
      <c r="K9004" s="3"/>
      <c r="L9004" s="3"/>
      <c r="M9004" s="3"/>
      <c r="N9004" s="3"/>
      <c r="O9004" s="3"/>
    </row>
    <row r="9005" spans="1:15" ht="15" customHeight="1" x14ac:dyDescent="0.25">
      <c r="A9005" s="2"/>
      <c r="B9005" s="2"/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</row>
    <row r="9006" spans="1:15" ht="15" customHeight="1" x14ac:dyDescent="0.25">
      <c r="A9006" s="3"/>
      <c r="B9006" s="3"/>
      <c r="C9006" s="3"/>
      <c r="D9006" s="3"/>
      <c r="E9006" s="3"/>
      <c r="F9006" s="3"/>
      <c r="G9006" s="3"/>
      <c r="H9006" s="3"/>
      <c r="I9006" s="3"/>
      <c r="J9006" s="3"/>
      <c r="K9006" s="3"/>
      <c r="L9006" s="3"/>
      <c r="M9006" s="3"/>
      <c r="N9006" s="3"/>
      <c r="O9006" s="3"/>
    </row>
    <row r="9007" spans="1:15" ht="15" customHeight="1" x14ac:dyDescent="0.25">
      <c r="A9007" s="2"/>
      <c r="B9007" s="2"/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</row>
    <row r="9008" spans="1:15" ht="15" customHeight="1" x14ac:dyDescent="0.25">
      <c r="A9008" s="3"/>
      <c r="B9008" s="3"/>
      <c r="C9008" s="3"/>
      <c r="D9008" s="3"/>
      <c r="E9008" s="3"/>
      <c r="F9008" s="3"/>
      <c r="G9008" s="3"/>
      <c r="H9008" s="3"/>
      <c r="I9008" s="3"/>
      <c r="J9008" s="3"/>
      <c r="K9008" s="3"/>
      <c r="L9008" s="3"/>
      <c r="M9008" s="3"/>
      <c r="N9008" s="3"/>
      <c r="O9008" s="3"/>
    </row>
    <row r="9009" spans="1:15" ht="15" customHeight="1" x14ac:dyDescent="0.25">
      <c r="A9009" s="2"/>
      <c r="B9009" s="2"/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</row>
    <row r="9010" spans="1:15" ht="15" customHeight="1" x14ac:dyDescent="0.25">
      <c r="A9010" s="3"/>
      <c r="B9010" s="3"/>
      <c r="C9010" s="3"/>
      <c r="D9010" s="3"/>
      <c r="E9010" s="3"/>
      <c r="F9010" s="3"/>
      <c r="G9010" s="3"/>
      <c r="H9010" s="3"/>
      <c r="I9010" s="3"/>
      <c r="J9010" s="3"/>
      <c r="K9010" s="3"/>
      <c r="L9010" s="3"/>
      <c r="M9010" s="3"/>
      <c r="N9010" s="3"/>
      <c r="O9010" s="3"/>
    </row>
    <row r="9011" spans="1:15" ht="15" customHeight="1" x14ac:dyDescent="0.25">
      <c r="A9011" s="2"/>
      <c r="B9011" s="2"/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</row>
    <row r="9012" spans="1:15" ht="15" customHeight="1" x14ac:dyDescent="0.25">
      <c r="A9012" s="3"/>
      <c r="B9012" s="3"/>
      <c r="C9012" s="3"/>
      <c r="D9012" s="3"/>
      <c r="E9012" s="3"/>
      <c r="F9012" s="3"/>
      <c r="G9012" s="3"/>
      <c r="H9012" s="3"/>
      <c r="I9012" s="3"/>
      <c r="J9012" s="3"/>
      <c r="K9012" s="3"/>
      <c r="L9012" s="3"/>
      <c r="M9012" s="3"/>
      <c r="N9012" s="3"/>
      <c r="O9012" s="3"/>
    </row>
    <row r="9013" spans="1:15" ht="15" customHeight="1" x14ac:dyDescent="0.25">
      <c r="A9013" s="2"/>
      <c r="B9013" s="2"/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</row>
    <row r="9014" spans="1:15" ht="15" customHeight="1" x14ac:dyDescent="0.25">
      <c r="A9014" s="3"/>
      <c r="B9014" s="3"/>
      <c r="C9014" s="3"/>
      <c r="D9014" s="3"/>
      <c r="E9014" s="3"/>
      <c r="F9014" s="3"/>
      <c r="G9014" s="3"/>
      <c r="H9014" s="3"/>
      <c r="I9014" s="3"/>
      <c r="J9014" s="3"/>
      <c r="K9014" s="3"/>
      <c r="L9014" s="3"/>
      <c r="M9014" s="3"/>
      <c r="N9014" s="3"/>
      <c r="O9014" s="3"/>
    </row>
    <row r="9015" spans="1:15" ht="15" customHeight="1" x14ac:dyDescent="0.25">
      <c r="A9015" s="2"/>
      <c r="B9015" s="2"/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</row>
    <row r="9016" spans="1:15" ht="15" customHeight="1" x14ac:dyDescent="0.25">
      <c r="A9016" s="3"/>
      <c r="B9016" s="3"/>
      <c r="C9016" s="3"/>
      <c r="D9016" s="3"/>
      <c r="E9016" s="3"/>
      <c r="F9016" s="3"/>
      <c r="G9016" s="3"/>
      <c r="H9016" s="3"/>
      <c r="I9016" s="3"/>
      <c r="J9016" s="3"/>
      <c r="K9016" s="3"/>
      <c r="L9016" s="3"/>
      <c r="M9016" s="3"/>
      <c r="N9016" s="3"/>
      <c r="O9016" s="3"/>
    </row>
    <row r="9017" spans="1:15" ht="15" customHeight="1" x14ac:dyDescent="0.25">
      <c r="A9017" s="2"/>
      <c r="B9017" s="2"/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</row>
    <row r="9018" spans="1:15" ht="15" customHeight="1" x14ac:dyDescent="0.25">
      <c r="A9018" s="3"/>
      <c r="B9018" s="3"/>
      <c r="C9018" s="3"/>
      <c r="D9018" s="3"/>
      <c r="E9018" s="3"/>
      <c r="F9018" s="3"/>
      <c r="G9018" s="3"/>
      <c r="H9018" s="3"/>
      <c r="I9018" s="3"/>
      <c r="J9018" s="3"/>
      <c r="K9018" s="3"/>
      <c r="L9018" s="3"/>
      <c r="M9018" s="3"/>
      <c r="N9018" s="3"/>
      <c r="O9018" s="3"/>
    </row>
    <row r="9019" spans="1:15" ht="15" customHeight="1" x14ac:dyDescent="0.25">
      <c r="A9019" s="2"/>
      <c r="B9019" s="2"/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</row>
    <row r="9020" spans="1:15" ht="15" customHeight="1" x14ac:dyDescent="0.25">
      <c r="A9020" s="3"/>
      <c r="B9020" s="3"/>
      <c r="C9020" s="3"/>
      <c r="D9020" s="3"/>
      <c r="E9020" s="3"/>
      <c r="F9020" s="3"/>
      <c r="G9020" s="3"/>
      <c r="H9020" s="3"/>
      <c r="I9020" s="3"/>
      <c r="J9020" s="3"/>
      <c r="K9020" s="3"/>
      <c r="L9020" s="3"/>
      <c r="M9020" s="3"/>
      <c r="N9020" s="3"/>
      <c r="O9020" s="3"/>
    </row>
    <row r="9021" spans="1:15" ht="15" customHeight="1" x14ac:dyDescent="0.25">
      <c r="A9021" s="2"/>
      <c r="B9021" s="2"/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</row>
    <row r="9022" spans="1:15" ht="15" customHeight="1" x14ac:dyDescent="0.25">
      <c r="A9022" s="3"/>
      <c r="B9022" s="3"/>
      <c r="C9022" s="3"/>
      <c r="D9022" s="3"/>
      <c r="E9022" s="3"/>
      <c r="F9022" s="3"/>
      <c r="G9022" s="3"/>
      <c r="H9022" s="3"/>
      <c r="I9022" s="3"/>
      <c r="J9022" s="3"/>
      <c r="K9022" s="3"/>
      <c r="L9022" s="3"/>
      <c r="M9022" s="3"/>
      <c r="N9022" s="3"/>
      <c r="O9022" s="3"/>
    </row>
    <row r="9023" spans="1:15" ht="15" customHeight="1" x14ac:dyDescent="0.25">
      <c r="A9023" s="2"/>
      <c r="B9023" s="2"/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</row>
    <row r="9024" spans="1:15" ht="15" customHeight="1" x14ac:dyDescent="0.25">
      <c r="A9024" s="3"/>
      <c r="B9024" s="3"/>
      <c r="C9024" s="3"/>
      <c r="D9024" s="3"/>
      <c r="E9024" s="3"/>
      <c r="F9024" s="3"/>
      <c r="G9024" s="3"/>
      <c r="H9024" s="3"/>
      <c r="I9024" s="3"/>
      <c r="J9024" s="3"/>
      <c r="K9024" s="3"/>
      <c r="L9024" s="3"/>
      <c r="M9024" s="3"/>
      <c r="N9024" s="3"/>
      <c r="O9024" s="3"/>
    </row>
    <row r="9025" spans="1:15" ht="15" customHeight="1" x14ac:dyDescent="0.25">
      <c r="A9025" s="2"/>
      <c r="B9025" s="2"/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</row>
    <row r="9026" spans="1:15" ht="15" customHeight="1" x14ac:dyDescent="0.25">
      <c r="A9026" s="3"/>
      <c r="B9026" s="3"/>
      <c r="C9026" s="3"/>
      <c r="D9026" s="3"/>
      <c r="E9026" s="3"/>
      <c r="F9026" s="3"/>
      <c r="G9026" s="3"/>
      <c r="H9026" s="3"/>
      <c r="I9026" s="3"/>
      <c r="J9026" s="3"/>
      <c r="K9026" s="3"/>
      <c r="L9026" s="3"/>
      <c r="M9026" s="3"/>
      <c r="N9026" s="3"/>
      <c r="O9026" s="3"/>
    </row>
    <row r="9027" spans="1:15" ht="15" customHeight="1" x14ac:dyDescent="0.25">
      <c r="A9027" s="2"/>
      <c r="B9027" s="2"/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</row>
    <row r="9028" spans="1:15" ht="15" customHeight="1" x14ac:dyDescent="0.25">
      <c r="A9028" s="3"/>
      <c r="B9028" s="3"/>
      <c r="C9028" s="3"/>
      <c r="D9028" s="3"/>
      <c r="E9028" s="3"/>
      <c r="F9028" s="3"/>
      <c r="G9028" s="3"/>
      <c r="H9028" s="3"/>
      <c r="I9028" s="3"/>
      <c r="J9028" s="3"/>
      <c r="K9028" s="3"/>
      <c r="L9028" s="3"/>
      <c r="M9028" s="3"/>
      <c r="N9028" s="3"/>
      <c r="O9028" s="3"/>
    </row>
    <row r="9029" spans="1:15" ht="15" customHeight="1" x14ac:dyDescent="0.25">
      <c r="A9029" s="2"/>
      <c r="B9029" s="2"/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</row>
    <row r="9030" spans="1:15" ht="15" customHeight="1" x14ac:dyDescent="0.25">
      <c r="A9030" s="3"/>
      <c r="B9030" s="3"/>
      <c r="C9030" s="3"/>
      <c r="D9030" s="3"/>
      <c r="E9030" s="3"/>
      <c r="F9030" s="3"/>
      <c r="G9030" s="3"/>
      <c r="H9030" s="3"/>
      <c r="I9030" s="3"/>
      <c r="J9030" s="3"/>
      <c r="K9030" s="3"/>
      <c r="L9030" s="3"/>
      <c r="M9030" s="3"/>
      <c r="N9030" s="3"/>
      <c r="O9030" s="3"/>
    </row>
    <row r="9031" spans="1:15" ht="15" customHeight="1" x14ac:dyDescent="0.25">
      <c r="A9031" s="2"/>
      <c r="B9031" s="2"/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</row>
    <row r="9032" spans="1:15" ht="15" customHeight="1" x14ac:dyDescent="0.25">
      <c r="A9032" s="3"/>
      <c r="B9032" s="3"/>
      <c r="C9032" s="3"/>
      <c r="D9032" s="3"/>
      <c r="E9032" s="3"/>
      <c r="F9032" s="3"/>
      <c r="G9032" s="3"/>
      <c r="H9032" s="3"/>
      <c r="I9032" s="3"/>
      <c r="J9032" s="3"/>
      <c r="K9032" s="3"/>
      <c r="L9032" s="3"/>
      <c r="M9032" s="3"/>
      <c r="N9032" s="3"/>
      <c r="O9032" s="3"/>
    </row>
    <row r="9033" spans="1:15" ht="15" customHeight="1" x14ac:dyDescent="0.25">
      <c r="A9033" s="2"/>
      <c r="B9033" s="2"/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</row>
    <row r="9034" spans="1:15" ht="15" customHeight="1" x14ac:dyDescent="0.25">
      <c r="A9034" s="3"/>
      <c r="B9034" s="3"/>
      <c r="C9034" s="3"/>
      <c r="D9034" s="3"/>
      <c r="E9034" s="3"/>
      <c r="F9034" s="3"/>
      <c r="G9034" s="3"/>
      <c r="H9034" s="3"/>
      <c r="I9034" s="3"/>
      <c r="J9034" s="3"/>
      <c r="K9034" s="3"/>
      <c r="L9034" s="3"/>
      <c r="M9034" s="3"/>
      <c r="N9034" s="3"/>
      <c r="O9034" s="3"/>
    </row>
    <row r="9035" spans="1:15" ht="15" customHeight="1" x14ac:dyDescent="0.25">
      <c r="A9035" s="2"/>
      <c r="B9035" s="2"/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</row>
    <row r="9036" spans="1:15" ht="15" customHeight="1" x14ac:dyDescent="0.25">
      <c r="A9036" s="3"/>
      <c r="B9036" s="3"/>
      <c r="C9036" s="3"/>
      <c r="D9036" s="3"/>
      <c r="E9036" s="3"/>
      <c r="F9036" s="3"/>
      <c r="G9036" s="3"/>
      <c r="H9036" s="3"/>
      <c r="I9036" s="3"/>
      <c r="J9036" s="3"/>
      <c r="K9036" s="3"/>
      <c r="L9036" s="3"/>
      <c r="M9036" s="3"/>
      <c r="N9036" s="3"/>
      <c r="O9036" s="3"/>
    </row>
    <row r="9037" spans="1:15" ht="15" customHeight="1" x14ac:dyDescent="0.25">
      <c r="A9037" s="2"/>
      <c r="B9037" s="2"/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</row>
    <row r="9038" spans="1:15" ht="15" customHeight="1" x14ac:dyDescent="0.25">
      <c r="A9038" s="3"/>
      <c r="B9038" s="3"/>
      <c r="C9038" s="3"/>
      <c r="D9038" s="3"/>
      <c r="E9038" s="3"/>
      <c r="F9038" s="3"/>
      <c r="G9038" s="3"/>
      <c r="H9038" s="3"/>
      <c r="I9038" s="3"/>
      <c r="J9038" s="3"/>
      <c r="K9038" s="3"/>
      <c r="L9038" s="3"/>
      <c r="M9038" s="3"/>
      <c r="N9038" s="3"/>
      <c r="O9038" s="3"/>
    </row>
    <row r="9039" spans="1:15" ht="15" customHeight="1" x14ac:dyDescent="0.25">
      <c r="A9039" s="2"/>
      <c r="B9039" s="2"/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</row>
    <row r="9040" spans="1:15" ht="15" customHeight="1" x14ac:dyDescent="0.25">
      <c r="A9040" s="3"/>
      <c r="B9040" s="3"/>
      <c r="C9040" s="3"/>
      <c r="D9040" s="3"/>
      <c r="E9040" s="3"/>
      <c r="F9040" s="3"/>
      <c r="G9040" s="3"/>
      <c r="H9040" s="3"/>
      <c r="I9040" s="3"/>
      <c r="J9040" s="3"/>
      <c r="K9040" s="3"/>
      <c r="L9040" s="3"/>
      <c r="M9040" s="3"/>
      <c r="N9040" s="3"/>
      <c r="O9040" s="3"/>
    </row>
    <row r="9041" spans="1:15" ht="15" customHeight="1" x14ac:dyDescent="0.25">
      <c r="A9041" s="2"/>
      <c r="B9041" s="2"/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</row>
    <row r="9042" spans="1:15" ht="15" customHeight="1" x14ac:dyDescent="0.25">
      <c r="A9042" s="3"/>
      <c r="B9042" s="3"/>
      <c r="C9042" s="3"/>
      <c r="D9042" s="3"/>
      <c r="E9042" s="3"/>
      <c r="F9042" s="3"/>
      <c r="G9042" s="3"/>
      <c r="H9042" s="3"/>
      <c r="I9042" s="3"/>
      <c r="J9042" s="3"/>
      <c r="K9042" s="3"/>
      <c r="L9042" s="3"/>
      <c r="M9042" s="3"/>
      <c r="N9042" s="3"/>
      <c r="O9042" s="3"/>
    </row>
    <row r="9043" spans="1:15" ht="15" customHeight="1" x14ac:dyDescent="0.25">
      <c r="A9043" s="2"/>
      <c r="B9043" s="2"/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</row>
    <row r="9044" spans="1:15" ht="15" customHeight="1" x14ac:dyDescent="0.25">
      <c r="A9044" s="3"/>
      <c r="B9044" s="3"/>
      <c r="C9044" s="3"/>
      <c r="D9044" s="3"/>
      <c r="E9044" s="3"/>
      <c r="F9044" s="3"/>
      <c r="G9044" s="3"/>
      <c r="H9044" s="3"/>
      <c r="I9044" s="3"/>
      <c r="J9044" s="3"/>
      <c r="K9044" s="3"/>
      <c r="L9044" s="3"/>
      <c r="M9044" s="3"/>
      <c r="N9044" s="3"/>
      <c r="O9044" s="3"/>
    </row>
    <row r="9045" spans="1:15" ht="15" customHeight="1" x14ac:dyDescent="0.25">
      <c r="A9045" s="2"/>
      <c r="B9045" s="2"/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</row>
    <row r="9046" spans="1:15" ht="15" customHeight="1" x14ac:dyDescent="0.25">
      <c r="A9046" s="3"/>
      <c r="B9046" s="3"/>
      <c r="C9046" s="3"/>
      <c r="D9046" s="3"/>
      <c r="E9046" s="3"/>
      <c r="F9046" s="3"/>
      <c r="G9046" s="3"/>
      <c r="H9046" s="3"/>
      <c r="I9046" s="3"/>
      <c r="J9046" s="3"/>
      <c r="K9046" s="3"/>
      <c r="L9046" s="3"/>
      <c r="M9046" s="3"/>
      <c r="N9046" s="3"/>
      <c r="O9046" s="3"/>
    </row>
    <row r="9047" spans="1:15" ht="15" customHeight="1" x14ac:dyDescent="0.25">
      <c r="A9047" s="2"/>
      <c r="B9047" s="2"/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</row>
    <row r="9048" spans="1:15" ht="15" customHeight="1" x14ac:dyDescent="0.25">
      <c r="A9048" s="3"/>
      <c r="B9048" s="3"/>
      <c r="C9048" s="3"/>
      <c r="D9048" s="3"/>
      <c r="E9048" s="3"/>
      <c r="F9048" s="3"/>
      <c r="G9048" s="3"/>
      <c r="H9048" s="3"/>
      <c r="I9048" s="3"/>
      <c r="J9048" s="3"/>
      <c r="K9048" s="3"/>
      <c r="L9048" s="3"/>
      <c r="M9048" s="3"/>
      <c r="N9048" s="3"/>
      <c r="O9048" s="3"/>
    </row>
    <row r="9049" spans="1:15" ht="15" customHeight="1" x14ac:dyDescent="0.25">
      <c r="A9049" s="2"/>
      <c r="B9049" s="2"/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</row>
    <row r="9050" spans="1:15" ht="15" customHeight="1" x14ac:dyDescent="0.25">
      <c r="A9050" s="3"/>
      <c r="B9050" s="3"/>
      <c r="C9050" s="3"/>
      <c r="D9050" s="3"/>
      <c r="E9050" s="3"/>
      <c r="F9050" s="3"/>
      <c r="G9050" s="3"/>
      <c r="H9050" s="3"/>
      <c r="I9050" s="3"/>
      <c r="J9050" s="3"/>
      <c r="K9050" s="3"/>
      <c r="L9050" s="3"/>
      <c r="M9050" s="3"/>
      <c r="N9050" s="3"/>
      <c r="O9050" s="3"/>
    </row>
    <row r="9051" spans="1:15" ht="15" customHeight="1" x14ac:dyDescent="0.25">
      <c r="A9051" s="2"/>
      <c r="B9051" s="2"/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</row>
    <row r="9052" spans="1:15" ht="15" customHeight="1" x14ac:dyDescent="0.25">
      <c r="A9052" s="3"/>
      <c r="B9052" s="3"/>
      <c r="C9052" s="3"/>
      <c r="D9052" s="3"/>
      <c r="E9052" s="3"/>
      <c r="F9052" s="3"/>
      <c r="G9052" s="3"/>
      <c r="H9052" s="3"/>
      <c r="I9052" s="3"/>
      <c r="J9052" s="3"/>
      <c r="K9052" s="3"/>
      <c r="L9052" s="3"/>
      <c r="M9052" s="3"/>
      <c r="N9052" s="3"/>
      <c r="O9052" s="3"/>
    </row>
    <row r="9053" spans="1:15" ht="15" customHeight="1" x14ac:dyDescent="0.25">
      <c r="A9053" s="2"/>
      <c r="B9053" s="2"/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</row>
    <row r="9054" spans="1:15" ht="15" customHeight="1" x14ac:dyDescent="0.25">
      <c r="A9054" s="3"/>
      <c r="B9054" s="3"/>
      <c r="C9054" s="3"/>
      <c r="D9054" s="3"/>
      <c r="E9054" s="3"/>
      <c r="F9054" s="3"/>
      <c r="G9054" s="3"/>
      <c r="H9054" s="3"/>
      <c r="I9054" s="3"/>
      <c r="J9054" s="3"/>
      <c r="K9054" s="3"/>
      <c r="L9054" s="3"/>
      <c r="M9054" s="3"/>
      <c r="N9054" s="3"/>
      <c r="O9054" s="3"/>
    </row>
    <row r="9055" spans="1:15" ht="15" customHeight="1" x14ac:dyDescent="0.25">
      <c r="A9055" s="2"/>
      <c r="B9055" s="2"/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</row>
    <row r="9056" spans="1:15" ht="15" customHeight="1" x14ac:dyDescent="0.25">
      <c r="A9056" s="3"/>
      <c r="B9056" s="3"/>
      <c r="C9056" s="3"/>
      <c r="D9056" s="3"/>
      <c r="E9056" s="3"/>
      <c r="F9056" s="3"/>
      <c r="G9056" s="3"/>
      <c r="H9056" s="3"/>
      <c r="I9056" s="3"/>
      <c r="J9056" s="3"/>
      <c r="K9056" s="3"/>
      <c r="L9056" s="3"/>
      <c r="M9056" s="3"/>
      <c r="N9056" s="3"/>
      <c r="O9056" s="3"/>
    </row>
    <row r="9057" spans="1:15" ht="15" customHeight="1" x14ac:dyDescent="0.25">
      <c r="A9057" s="2"/>
      <c r="B9057" s="2"/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</row>
    <row r="9058" spans="1:15" ht="15" customHeight="1" x14ac:dyDescent="0.25">
      <c r="A9058" s="3"/>
      <c r="B9058" s="3"/>
      <c r="C9058" s="3"/>
      <c r="D9058" s="3"/>
      <c r="E9058" s="3"/>
      <c r="F9058" s="3"/>
      <c r="G9058" s="3"/>
      <c r="H9058" s="3"/>
      <c r="I9058" s="3"/>
      <c r="J9058" s="3"/>
      <c r="K9058" s="3"/>
      <c r="L9058" s="3"/>
      <c r="M9058" s="3"/>
      <c r="N9058" s="3"/>
      <c r="O9058" s="3"/>
    </row>
    <row r="9059" spans="1:15" ht="15" customHeight="1" x14ac:dyDescent="0.25">
      <c r="A9059" s="2"/>
      <c r="B9059" s="2"/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</row>
    <row r="9060" spans="1:15" ht="15" customHeight="1" x14ac:dyDescent="0.25">
      <c r="A9060" s="3"/>
      <c r="B9060" s="3"/>
      <c r="C9060" s="3"/>
      <c r="D9060" s="3"/>
      <c r="E9060" s="3"/>
      <c r="F9060" s="3"/>
      <c r="G9060" s="3"/>
      <c r="H9060" s="3"/>
      <c r="I9060" s="3"/>
      <c r="J9060" s="3"/>
      <c r="K9060" s="3"/>
      <c r="L9060" s="3"/>
      <c r="M9060" s="3"/>
      <c r="N9060" s="3"/>
      <c r="O9060" s="3"/>
    </row>
    <row r="9061" spans="1:15" ht="15" customHeight="1" x14ac:dyDescent="0.25">
      <c r="A9061" s="2"/>
      <c r="B9061" s="2"/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</row>
    <row r="9062" spans="1:15" ht="15" customHeight="1" x14ac:dyDescent="0.25">
      <c r="A9062" s="3"/>
      <c r="B9062" s="3"/>
      <c r="C9062" s="3"/>
      <c r="D9062" s="3"/>
      <c r="E9062" s="3"/>
      <c r="F9062" s="3"/>
      <c r="G9062" s="3"/>
      <c r="H9062" s="3"/>
      <c r="I9062" s="3"/>
      <c r="J9062" s="3"/>
      <c r="K9062" s="3"/>
      <c r="L9062" s="3"/>
      <c r="M9062" s="3"/>
      <c r="N9062" s="3"/>
      <c r="O9062" s="3"/>
    </row>
    <row r="9063" spans="1:15" ht="15" customHeight="1" x14ac:dyDescent="0.25">
      <c r="A9063" s="2"/>
      <c r="B9063" s="2"/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</row>
    <row r="9064" spans="1:15" ht="15" customHeight="1" x14ac:dyDescent="0.25">
      <c r="A9064" s="3"/>
      <c r="B9064" s="3"/>
      <c r="C9064" s="3"/>
      <c r="D9064" s="3"/>
      <c r="E9064" s="3"/>
      <c r="F9064" s="3"/>
      <c r="G9064" s="3"/>
      <c r="H9064" s="3"/>
      <c r="I9064" s="3"/>
      <c r="J9064" s="3"/>
      <c r="K9064" s="3"/>
      <c r="L9064" s="3"/>
      <c r="M9064" s="3"/>
      <c r="N9064" s="3"/>
      <c r="O9064" s="3"/>
    </row>
    <row r="9065" spans="1:15" ht="15" customHeight="1" x14ac:dyDescent="0.25">
      <c r="A9065" s="2"/>
      <c r="B9065" s="2"/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</row>
    <row r="9066" spans="1:15" ht="15" customHeight="1" x14ac:dyDescent="0.25">
      <c r="A9066" s="3"/>
      <c r="B9066" s="3"/>
      <c r="C9066" s="3"/>
      <c r="D9066" s="3"/>
      <c r="E9066" s="3"/>
      <c r="F9066" s="3"/>
      <c r="G9066" s="3"/>
      <c r="H9066" s="3"/>
      <c r="I9066" s="3"/>
      <c r="J9066" s="3"/>
      <c r="K9066" s="3"/>
      <c r="L9066" s="3"/>
      <c r="M9066" s="3"/>
      <c r="N9066" s="3"/>
      <c r="O9066" s="3"/>
    </row>
    <row r="9067" spans="1:15" ht="15" customHeight="1" x14ac:dyDescent="0.25">
      <c r="A9067" s="2"/>
      <c r="B9067" s="2"/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</row>
    <row r="9068" spans="1:15" ht="15" customHeight="1" x14ac:dyDescent="0.25">
      <c r="A9068" s="3"/>
      <c r="B9068" s="3"/>
      <c r="C9068" s="3"/>
      <c r="D9068" s="3"/>
      <c r="E9068" s="3"/>
      <c r="F9068" s="3"/>
      <c r="G9068" s="3"/>
      <c r="H9068" s="3"/>
      <c r="I9068" s="3"/>
      <c r="J9068" s="3"/>
      <c r="K9068" s="3"/>
      <c r="L9068" s="3"/>
      <c r="M9068" s="3"/>
      <c r="N9068" s="3"/>
      <c r="O9068" s="3"/>
    </row>
    <row r="9069" spans="1:15" ht="15" customHeight="1" x14ac:dyDescent="0.25">
      <c r="A9069" s="2"/>
      <c r="B9069" s="2"/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</row>
    <row r="9070" spans="1:15" ht="15" customHeight="1" x14ac:dyDescent="0.25">
      <c r="A9070" s="3"/>
      <c r="B9070" s="3"/>
      <c r="C9070" s="3"/>
      <c r="D9070" s="3"/>
      <c r="E9070" s="3"/>
      <c r="F9070" s="3"/>
      <c r="G9070" s="3"/>
      <c r="H9070" s="3"/>
      <c r="I9070" s="3"/>
      <c r="J9070" s="3"/>
      <c r="K9070" s="3"/>
      <c r="L9070" s="3"/>
      <c r="M9070" s="3"/>
      <c r="N9070" s="3"/>
      <c r="O9070" s="3"/>
    </row>
    <row r="9071" spans="1:15" ht="15" customHeight="1" x14ac:dyDescent="0.25">
      <c r="A9071" s="2"/>
      <c r="B9071" s="2"/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</row>
    <row r="9072" spans="1:15" ht="15" customHeight="1" x14ac:dyDescent="0.25">
      <c r="A9072" s="3"/>
      <c r="B9072" s="3"/>
      <c r="C9072" s="3"/>
      <c r="D9072" s="3"/>
      <c r="E9072" s="3"/>
      <c r="F9072" s="3"/>
      <c r="G9072" s="3"/>
      <c r="H9072" s="3"/>
      <c r="I9072" s="3"/>
      <c r="J9072" s="3"/>
      <c r="K9072" s="3"/>
      <c r="L9072" s="3"/>
      <c r="M9072" s="3"/>
      <c r="N9072" s="3"/>
      <c r="O9072" s="3"/>
    </row>
    <row r="9073" spans="1:15" ht="15" customHeight="1" x14ac:dyDescent="0.25">
      <c r="A9073" s="2"/>
      <c r="B9073" s="2"/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</row>
    <row r="9074" spans="1:15" ht="15" customHeight="1" x14ac:dyDescent="0.25">
      <c r="A9074" s="3"/>
      <c r="B9074" s="3"/>
      <c r="C9074" s="3"/>
      <c r="D9074" s="3"/>
      <c r="E9074" s="3"/>
      <c r="F9074" s="3"/>
      <c r="G9074" s="3"/>
      <c r="H9074" s="3"/>
      <c r="I9074" s="3"/>
      <c r="J9074" s="3"/>
      <c r="K9074" s="3"/>
      <c r="L9074" s="3"/>
      <c r="M9074" s="3"/>
      <c r="N9074" s="3"/>
      <c r="O9074" s="3"/>
    </row>
    <row r="9075" spans="1:15" ht="15" customHeight="1" x14ac:dyDescent="0.25">
      <c r="A9075" s="2"/>
      <c r="B9075" s="2"/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</row>
    <row r="9076" spans="1:15" ht="15" customHeight="1" x14ac:dyDescent="0.25">
      <c r="A9076" s="3"/>
      <c r="B9076" s="3"/>
      <c r="C9076" s="3"/>
      <c r="D9076" s="3"/>
      <c r="E9076" s="3"/>
      <c r="F9076" s="3"/>
      <c r="G9076" s="3"/>
      <c r="H9076" s="3"/>
      <c r="I9076" s="3"/>
      <c r="J9076" s="3"/>
      <c r="K9076" s="3"/>
      <c r="L9076" s="3"/>
      <c r="M9076" s="3"/>
      <c r="N9076" s="3"/>
      <c r="O9076" s="3"/>
    </row>
    <row r="9077" spans="1:15" ht="15" customHeight="1" x14ac:dyDescent="0.25">
      <c r="A9077" s="2"/>
      <c r="B9077" s="2"/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</row>
    <row r="9078" spans="1:15" ht="15" customHeight="1" x14ac:dyDescent="0.25">
      <c r="A9078" s="3"/>
      <c r="B9078" s="3"/>
      <c r="C9078" s="3"/>
      <c r="D9078" s="3"/>
      <c r="E9078" s="3"/>
      <c r="F9078" s="3"/>
      <c r="G9078" s="3"/>
      <c r="H9078" s="3"/>
      <c r="I9078" s="3"/>
      <c r="J9078" s="3"/>
      <c r="K9078" s="3"/>
      <c r="L9078" s="3"/>
      <c r="M9078" s="3"/>
      <c r="N9078" s="3"/>
      <c r="O9078" s="3"/>
    </row>
    <row r="9079" spans="1:15" ht="15" customHeight="1" x14ac:dyDescent="0.25">
      <c r="A9079" s="2"/>
      <c r="B9079" s="2"/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</row>
    <row r="9080" spans="1:15" ht="15" customHeight="1" x14ac:dyDescent="0.25">
      <c r="A9080" s="3"/>
      <c r="B9080" s="3"/>
      <c r="C9080" s="3"/>
      <c r="D9080" s="3"/>
      <c r="E9080" s="3"/>
      <c r="F9080" s="3"/>
      <c r="G9080" s="3"/>
      <c r="H9080" s="3"/>
      <c r="I9080" s="3"/>
      <c r="J9080" s="3"/>
      <c r="K9080" s="3"/>
      <c r="L9080" s="3"/>
      <c r="M9080" s="3"/>
      <c r="N9080" s="3"/>
      <c r="O9080" s="3"/>
    </row>
    <row r="9081" spans="1:15" ht="15" customHeight="1" x14ac:dyDescent="0.25">
      <c r="A9081" s="2"/>
      <c r="B9081" s="2"/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</row>
    <row r="9082" spans="1:15" ht="15" customHeight="1" x14ac:dyDescent="0.25">
      <c r="A9082" s="3"/>
      <c r="B9082" s="3"/>
      <c r="C9082" s="3"/>
      <c r="D9082" s="3"/>
      <c r="E9082" s="3"/>
      <c r="F9082" s="3"/>
      <c r="G9082" s="3"/>
      <c r="H9082" s="3"/>
      <c r="I9082" s="3"/>
      <c r="J9082" s="3"/>
      <c r="K9082" s="3"/>
      <c r="L9082" s="3"/>
      <c r="M9082" s="3"/>
      <c r="N9082" s="3"/>
      <c r="O9082" s="3"/>
    </row>
    <row r="9083" spans="1:15" ht="15" customHeight="1" x14ac:dyDescent="0.25">
      <c r="A9083" s="2"/>
      <c r="B9083" s="2"/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</row>
    <row r="9084" spans="1:15" ht="15" customHeight="1" x14ac:dyDescent="0.25">
      <c r="A9084" s="3"/>
      <c r="B9084" s="3"/>
      <c r="C9084" s="3"/>
      <c r="D9084" s="3"/>
      <c r="E9084" s="3"/>
      <c r="F9084" s="3"/>
      <c r="G9084" s="3"/>
      <c r="H9084" s="3"/>
      <c r="I9084" s="3"/>
      <c r="J9084" s="3"/>
      <c r="K9084" s="3"/>
      <c r="L9084" s="3"/>
      <c r="M9084" s="3"/>
      <c r="N9084" s="3"/>
      <c r="O9084" s="3"/>
    </row>
    <row r="9085" spans="1:15" ht="15" customHeight="1" x14ac:dyDescent="0.25">
      <c r="A9085" s="2"/>
      <c r="B9085" s="2"/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</row>
    <row r="9086" spans="1:15" ht="15" customHeight="1" x14ac:dyDescent="0.25">
      <c r="A9086" s="3"/>
      <c r="B9086" s="3"/>
      <c r="C9086" s="3"/>
      <c r="D9086" s="3"/>
      <c r="E9086" s="3"/>
      <c r="F9086" s="3"/>
      <c r="G9086" s="3"/>
      <c r="H9086" s="3"/>
      <c r="I9086" s="3"/>
      <c r="J9086" s="3"/>
      <c r="K9086" s="3"/>
      <c r="L9086" s="3"/>
      <c r="M9086" s="3"/>
      <c r="N9086" s="3"/>
      <c r="O9086" s="3"/>
    </row>
    <row r="9087" spans="1:15" ht="15" customHeight="1" x14ac:dyDescent="0.25">
      <c r="A9087" s="2"/>
      <c r="B9087" s="2"/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</row>
    <row r="9088" spans="1:15" ht="15" customHeight="1" x14ac:dyDescent="0.25">
      <c r="A9088" s="3"/>
      <c r="B9088" s="3"/>
      <c r="C9088" s="3"/>
      <c r="D9088" s="3"/>
      <c r="E9088" s="3"/>
      <c r="F9088" s="3"/>
      <c r="G9088" s="3"/>
      <c r="H9088" s="3"/>
      <c r="I9088" s="3"/>
      <c r="J9088" s="3"/>
      <c r="K9088" s="3"/>
      <c r="L9088" s="3"/>
      <c r="M9088" s="3"/>
      <c r="N9088" s="3"/>
      <c r="O9088" s="3"/>
    </row>
    <row r="9089" spans="1:15" ht="15" customHeight="1" x14ac:dyDescent="0.25">
      <c r="A9089" s="2"/>
      <c r="B9089" s="2"/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</row>
    <row r="9090" spans="1:15" ht="15" customHeight="1" x14ac:dyDescent="0.25">
      <c r="A9090" s="3"/>
      <c r="B9090" s="3"/>
      <c r="C9090" s="3"/>
      <c r="D9090" s="3"/>
      <c r="E9090" s="3"/>
      <c r="F9090" s="3"/>
      <c r="G9090" s="3"/>
      <c r="H9090" s="3"/>
      <c r="I9090" s="3"/>
      <c r="J9090" s="3"/>
      <c r="K9090" s="3"/>
      <c r="L9090" s="3"/>
      <c r="M9090" s="3"/>
      <c r="N9090" s="3"/>
      <c r="O9090" s="3"/>
    </row>
    <row r="9091" spans="1:15" ht="15" customHeight="1" x14ac:dyDescent="0.25">
      <c r="A9091" s="2"/>
      <c r="B9091" s="2"/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</row>
    <row r="9092" spans="1:15" ht="15" customHeight="1" x14ac:dyDescent="0.25">
      <c r="A9092" s="3"/>
      <c r="B9092" s="3"/>
      <c r="C9092" s="3"/>
      <c r="D9092" s="3"/>
      <c r="E9092" s="3"/>
      <c r="F9092" s="3"/>
      <c r="G9092" s="3"/>
      <c r="H9092" s="3"/>
      <c r="I9092" s="3"/>
      <c r="J9092" s="3"/>
      <c r="K9092" s="3"/>
      <c r="L9092" s="3"/>
      <c r="M9092" s="3"/>
      <c r="N9092" s="3"/>
      <c r="O9092" s="3"/>
    </row>
    <row r="9093" spans="1:15" ht="15" customHeight="1" x14ac:dyDescent="0.25">
      <c r="A9093" s="2"/>
      <c r="B9093" s="2"/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</row>
    <row r="9094" spans="1:15" ht="15" customHeight="1" x14ac:dyDescent="0.25">
      <c r="A9094" s="3"/>
      <c r="B9094" s="3"/>
      <c r="C9094" s="3"/>
      <c r="D9094" s="3"/>
      <c r="E9094" s="3"/>
      <c r="F9094" s="3"/>
      <c r="G9094" s="3"/>
      <c r="H9094" s="3"/>
      <c r="I9094" s="3"/>
      <c r="J9094" s="3"/>
      <c r="K9094" s="3"/>
      <c r="L9094" s="3"/>
      <c r="M9094" s="3"/>
      <c r="N9094" s="3"/>
      <c r="O9094" s="3"/>
    </row>
    <row r="9095" spans="1:15" ht="15" customHeight="1" x14ac:dyDescent="0.25">
      <c r="A9095" s="2"/>
      <c r="B9095" s="2"/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</row>
    <row r="9096" spans="1:15" ht="15" customHeight="1" x14ac:dyDescent="0.25">
      <c r="A9096" s="3"/>
      <c r="B9096" s="3"/>
      <c r="C9096" s="3"/>
      <c r="D9096" s="3"/>
      <c r="E9096" s="3"/>
      <c r="F9096" s="3"/>
      <c r="G9096" s="3"/>
      <c r="H9096" s="3"/>
      <c r="I9096" s="3"/>
      <c r="J9096" s="3"/>
      <c r="K9096" s="3"/>
      <c r="L9096" s="3"/>
      <c r="M9096" s="3"/>
      <c r="N9096" s="3"/>
      <c r="O9096" s="3"/>
    </row>
    <row r="9097" spans="1:15" ht="15" customHeight="1" x14ac:dyDescent="0.25">
      <c r="A9097" s="2"/>
      <c r="B9097" s="2"/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</row>
    <row r="9098" spans="1:15" ht="15" customHeight="1" x14ac:dyDescent="0.25">
      <c r="A9098" s="3"/>
      <c r="B9098" s="3"/>
      <c r="C9098" s="3"/>
      <c r="D9098" s="3"/>
      <c r="E9098" s="3"/>
      <c r="F9098" s="3"/>
      <c r="G9098" s="3"/>
      <c r="H9098" s="3"/>
      <c r="I9098" s="3"/>
      <c r="J9098" s="3"/>
      <c r="K9098" s="3"/>
      <c r="L9098" s="3"/>
      <c r="M9098" s="3"/>
      <c r="N9098" s="3"/>
      <c r="O9098" s="3"/>
    </row>
    <row r="9099" spans="1:15" ht="15" customHeight="1" x14ac:dyDescent="0.25">
      <c r="A9099" s="2"/>
      <c r="B9099" s="2"/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</row>
    <row r="9100" spans="1:15" ht="15" customHeight="1" x14ac:dyDescent="0.25">
      <c r="A9100" s="3"/>
      <c r="B9100" s="3"/>
      <c r="C9100" s="3"/>
      <c r="D9100" s="3"/>
      <c r="E9100" s="3"/>
      <c r="F9100" s="3"/>
      <c r="G9100" s="3"/>
      <c r="H9100" s="3"/>
      <c r="I9100" s="3"/>
      <c r="J9100" s="3"/>
      <c r="K9100" s="3"/>
      <c r="L9100" s="3"/>
      <c r="M9100" s="3"/>
      <c r="N9100" s="3"/>
      <c r="O9100" s="3"/>
    </row>
    <row r="9101" spans="1:15" ht="15" customHeight="1" x14ac:dyDescent="0.25">
      <c r="A9101" s="2"/>
      <c r="B9101" s="2"/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</row>
    <row r="9102" spans="1:15" ht="15" customHeight="1" x14ac:dyDescent="0.25">
      <c r="A9102" s="3"/>
      <c r="B9102" s="3"/>
      <c r="C9102" s="3"/>
      <c r="D9102" s="3"/>
      <c r="E9102" s="3"/>
      <c r="F9102" s="3"/>
      <c r="G9102" s="3"/>
      <c r="H9102" s="3"/>
      <c r="I9102" s="3"/>
      <c r="J9102" s="3"/>
      <c r="K9102" s="3"/>
      <c r="L9102" s="3"/>
      <c r="M9102" s="3"/>
      <c r="N9102" s="3"/>
      <c r="O9102" s="3"/>
    </row>
    <row r="9103" spans="1:15" ht="15" customHeight="1" x14ac:dyDescent="0.25">
      <c r="A9103" s="2"/>
      <c r="B9103" s="2"/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</row>
    <row r="9104" spans="1:15" ht="15" customHeight="1" x14ac:dyDescent="0.25">
      <c r="A9104" s="3"/>
      <c r="B9104" s="3"/>
      <c r="C9104" s="3"/>
      <c r="D9104" s="3"/>
      <c r="E9104" s="3"/>
      <c r="F9104" s="3"/>
      <c r="G9104" s="3"/>
      <c r="H9104" s="3"/>
      <c r="I9104" s="3"/>
      <c r="J9104" s="3"/>
      <c r="K9104" s="3"/>
      <c r="L9104" s="3"/>
      <c r="M9104" s="3"/>
      <c r="N9104" s="3"/>
      <c r="O9104" s="3"/>
    </row>
    <row r="9105" spans="1:15" ht="15" customHeight="1" x14ac:dyDescent="0.25">
      <c r="A9105" s="2"/>
      <c r="B9105" s="2"/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</row>
    <row r="9106" spans="1:15" ht="15" customHeight="1" x14ac:dyDescent="0.25">
      <c r="A9106" s="3"/>
      <c r="B9106" s="3"/>
      <c r="C9106" s="3"/>
      <c r="D9106" s="3"/>
      <c r="E9106" s="3"/>
      <c r="F9106" s="3"/>
      <c r="G9106" s="3"/>
      <c r="H9106" s="3"/>
      <c r="I9106" s="3"/>
      <c r="J9106" s="3"/>
      <c r="K9106" s="3"/>
      <c r="L9106" s="3"/>
      <c r="M9106" s="3"/>
      <c r="N9106" s="3"/>
      <c r="O9106" s="3"/>
    </row>
    <row r="9107" spans="1:15" ht="15" customHeight="1" x14ac:dyDescent="0.25">
      <c r="A9107" s="2"/>
      <c r="B9107" s="2"/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</row>
    <row r="9108" spans="1:15" ht="15" customHeight="1" x14ac:dyDescent="0.25">
      <c r="A9108" s="3"/>
      <c r="B9108" s="3"/>
      <c r="C9108" s="3"/>
      <c r="D9108" s="3"/>
      <c r="E9108" s="3"/>
      <c r="F9108" s="3"/>
      <c r="G9108" s="3"/>
      <c r="H9108" s="3"/>
      <c r="I9108" s="3"/>
      <c r="J9108" s="3"/>
      <c r="K9108" s="3"/>
      <c r="L9108" s="3"/>
      <c r="M9108" s="3"/>
      <c r="N9108" s="3"/>
      <c r="O9108" s="3"/>
    </row>
    <row r="9109" spans="1:15" ht="15" customHeight="1" x14ac:dyDescent="0.25">
      <c r="A9109" s="2"/>
      <c r="B9109" s="2"/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</row>
    <row r="9110" spans="1:15" ht="15" customHeight="1" x14ac:dyDescent="0.25">
      <c r="A9110" s="3"/>
      <c r="B9110" s="3"/>
      <c r="C9110" s="3"/>
      <c r="D9110" s="3"/>
      <c r="E9110" s="3"/>
      <c r="F9110" s="3"/>
      <c r="G9110" s="3"/>
      <c r="H9110" s="3"/>
      <c r="I9110" s="3"/>
      <c r="J9110" s="3"/>
      <c r="K9110" s="3"/>
      <c r="L9110" s="3"/>
      <c r="M9110" s="3"/>
      <c r="N9110" s="3"/>
      <c r="O9110" s="3"/>
    </row>
    <row r="9111" spans="1:15" ht="15" customHeight="1" x14ac:dyDescent="0.25">
      <c r="A9111" s="2"/>
      <c r="B9111" s="2"/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</row>
    <row r="9112" spans="1:15" ht="15" customHeight="1" x14ac:dyDescent="0.25">
      <c r="A9112" s="3"/>
      <c r="B9112" s="3"/>
      <c r="C9112" s="3"/>
      <c r="D9112" s="3"/>
      <c r="E9112" s="3"/>
      <c r="F9112" s="3"/>
      <c r="G9112" s="3"/>
      <c r="H9112" s="3"/>
      <c r="I9112" s="3"/>
      <c r="J9112" s="3"/>
      <c r="K9112" s="3"/>
      <c r="L9112" s="3"/>
      <c r="M9112" s="3"/>
      <c r="N9112" s="3"/>
      <c r="O9112" s="3"/>
    </row>
    <row r="9113" spans="1:15" ht="15" customHeight="1" x14ac:dyDescent="0.25">
      <c r="A9113" s="2"/>
      <c r="B9113" s="2"/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</row>
    <row r="9114" spans="1:15" ht="15" customHeight="1" x14ac:dyDescent="0.25">
      <c r="A9114" s="3"/>
      <c r="B9114" s="3"/>
      <c r="C9114" s="3"/>
      <c r="D9114" s="3"/>
      <c r="E9114" s="3"/>
      <c r="F9114" s="3"/>
      <c r="G9114" s="3"/>
      <c r="H9114" s="3"/>
      <c r="I9114" s="3"/>
      <c r="J9114" s="3"/>
      <c r="K9114" s="3"/>
      <c r="L9114" s="3"/>
      <c r="M9114" s="3"/>
      <c r="N9114" s="3"/>
      <c r="O9114" s="3"/>
    </row>
    <row r="9115" spans="1:15" ht="15" customHeight="1" x14ac:dyDescent="0.25">
      <c r="A9115" s="2"/>
      <c r="B9115" s="2"/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</row>
    <row r="9116" spans="1:15" ht="15" customHeight="1" x14ac:dyDescent="0.25">
      <c r="A9116" s="3"/>
      <c r="B9116" s="3"/>
      <c r="C9116" s="3"/>
      <c r="D9116" s="3"/>
      <c r="E9116" s="3"/>
      <c r="F9116" s="3"/>
      <c r="G9116" s="3"/>
      <c r="H9116" s="3"/>
      <c r="I9116" s="3"/>
      <c r="J9116" s="3"/>
      <c r="K9116" s="3"/>
      <c r="L9116" s="3"/>
      <c r="M9116" s="3"/>
      <c r="N9116" s="3"/>
      <c r="O9116" s="3"/>
    </row>
    <row r="9117" spans="1:15" ht="15" customHeight="1" x14ac:dyDescent="0.25">
      <c r="A9117" s="2"/>
      <c r="B9117" s="2"/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</row>
    <row r="9118" spans="1:15" ht="15" customHeight="1" x14ac:dyDescent="0.25">
      <c r="A9118" s="3"/>
      <c r="B9118" s="3"/>
      <c r="C9118" s="3"/>
      <c r="D9118" s="3"/>
      <c r="E9118" s="3"/>
      <c r="F9118" s="3"/>
      <c r="G9118" s="3"/>
      <c r="H9118" s="3"/>
      <c r="I9118" s="3"/>
      <c r="J9118" s="3"/>
      <c r="K9118" s="3"/>
      <c r="L9118" s="3"/>
      <c r="M9118" s="3"/>
      <c r="N9118" s="3"/>
      <c r="O9118" s="3"/>
    </row>
    <row r="9119" spans="1:15" ht="15" customHeight="1" x14ac:dyDescent="0.25">
      <c r="A9119" s="2"/>
      <c r="B9119" s="2"/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</row>
    <row r="9120" spans="1:15" ht="15" customHeight="1" x14ac:dyDescent="0.25">
      <c r="A9120" s="3"/>
      <c r="B9120" s="3"/>
      <c r="C9120" s="3"/>
      <c r="D9120" s="3"/>
      <c r="E9120" s="3"/>
      <c r="F9120" s="3"/>
      <c r="G9120" s="3"/>
      <c r="H9120" s="3"/>
      <c r="I9120" s="3"/>
      <c r="J9120" s="3"/>
      <c r="K9120" s="3"/>
      <c r="L9120" s="3"/>
      <c r="M9120" s="3"/>
      <c r="N9120" s="3"/>
      <c r="O9120" s="3"/>
    </row>
    <row r="9121" spans="1:15" ht="15" customHeight="1" x14ac:dyDescent="0.25">
      <c r="A9121" s="2"/>
      <c r="B9121" s="2"/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</row>
    <row r="9122" spans="1:15" ht="15" customHeight="1" x14ac:dyDescent="0.25">
      <c r="A9122" s="3"/>
      <c r="B9122" s="3"/>
      <c r="C9122" s="3"/>
      <c r="D9122" s="3"/>
      <c r="E9122" s="3"/>
      <c r="F9122" s="3"/>
      <c r="G9122" s="3"/>
      <c r="H9122" s="3"/>
      <c r="I9122" s="3"/>
      <c r="J9122" s="3"/>
      <c r="K9122" s="3"/>
      <c r="L9122" s="3"/>
      <c r="M9122" s="3"/>
      <c r="N9122" s="3"/>
      <c r="O9122" s="3"/>
    </row>
    <row r="9123" spans="1:15" ht="15" customHeight="1" x14ac:dyDescent="0.25">
      <c r="A9123" s="2"/>
      <c r="B9123" s="2"/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</row>
    <row r="9124" spans="1:15" ht="15" customHeight="1" x14ac:dyDescent="0.25">
      <c r="A9124" s="3"/>
      <c r="B9124" s="3"/>
      <c r="C9124" s="3"/>
      <c r="D9124" s="3"/>
      <c r="E9124" s="3"/>
      <c r="F9124" s="3"/>
      <c r="G9124" s="3"/>
      <c r="H9124" s="3"/>
      <c r="I9124" s="3"/>
      <c r="J9124" s="3"/>
      <c r="K9124" s="3"/>
      <c r="L9124" s="3"/>
      <c r="M9124" s="3"/>
      <c r="N9124" s="3"/>
      <c r="O9124" s="3"/>
    </row>
    <row r="9125" spans="1:15" ht="15" customHeight="1" x14ac:dyDescent="0.25">
      <c r="A9125" s="2"/>
      <c r="B9125" s="2"/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</row>
    <row r="9126" spans="1:15" ht="15" customHeight="1" x14ac:dyDescent="0.25">
      <c r="A9126" s="3"/>
      <c r="B9126" s="3"/>
      <c r="C9126" s="3"/>
      <c r="D9126" s="3"/>
      <c r="E9126" s="3"/>
      <c r="F9126" s="3"/>
      <c r="G9126" s="3"/>
      <c r="H9126" s="3"/>
      <c r="I9126" s="3"/>
      <c r="J9126" s="3"/>
      <c r="K9126" s="3"/>
      <c r="L9126" s="3"/>
      <c r="M9126" s="3"/>
      <c r="N9126" s="3"/>
      <c r="O9126" s="3"/>
    </row>
    <row r="9127" spans="1:15" ht="15" customHeight="1" x14ac:dyDescent="0.25">
      <c r="A9127" s="2"/>
      <c r="B9127" s="2"/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</row>
    <row r="9128" spans="1:15" ht="15" customHeight="1" x14ac:dyDescent="0.25">
      <c r="A9128" s="3"/>
      <c r="B9128" s="3"/>
      <c r="C9128" s="3"/>
      <c r="D9128" s="3"/>
      <c r="E9128" s="3"/>
      <c r="F9128" s="3"/>
      <c r="G9128" s="3"/>
      <c r="H9128" s="3"/>
      <c r="I9128" s="3"/>
      <c r="J9128" s="3"/>
      <c r="K9128" s="3"/>
      <c r="L9128" s="3"/>
      <c r="M9128" s="3"/>
      <c r="N9128" s="3"/>
      <c r="O9128" s="3"/>
    </row>
    <row r="9129" spans="1:15" ht="15" customHeight="1" x14ac:dyDescent="0.25">
      <c r="A9129" s="2"/>
      <c r="B9129" s="2"/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</row>
    <row r="9130" spans="1:15" ht="15" customHeight="1" x14ac:dyDescent="0.25">
      <c r="A9130" s="3"/>
      <c r="B9130" s="3"/>
      <c r="C9130" s="3"/>
      <c r="D9130" s="3"/>
      <c r="E9130" s="3"/>
      <c r="F9130" s="3"/>
      <c r="G9130" s="3"/>
      <c r="H9130" s="3"/>
      <c r="I9130" s="3"/>
      <c r="J9130" s="3"/>
      <c r="K9130" s="3"/>
      <c r="L9130" s="3"/>
      <c r="M9130" s="3"/>
      <c r="N9130" s="3"/>
      <c r="O9130" s="3"/>
    </row>
    <row r="9131" spans="1:15" ht="15" customHeight="1" x14ac:dyDescent="0.25">
      <c r="A9131" s="2"/>
      <c r="B9131" s="2"/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</row>
    <row r="9132" spans="1:15" ht="15" customHeight="1" x14ac:dyDescent="0.25">
      <c r="A9132" s="3"/>
      <c r="B9132" s="3"/>
      <c r="C9132" s="3"/>
      <c r="D9132" s="3"/>
      <c r="E9132" s="3"/>
      <c r="F9132" s="3"/>
      <c r="G9132" s="3"/>
      <c r="H9132" s="3"/>
      <c r="I9132" s="3"/>
      <c r="J9132" s="3"/>
      <c r="K9132" s="3"/>
      <c r="L9132" s="3"/>
      <c r="M9132" s="3"/>
      <c r="N9132" s="3"/>
      <c r="O9132" s="3"/>
    </row>
    <row r="9133" spans="1:15" ht="15" customHeight="1" x14ac:dyDescent="0.25">
      <c r="A9133" s="2"/>
      <c r="B9133" s="2"/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</row>
    <row r="9134" spans="1:15" ht="15" customHeight="1" x14ac:dyDescent="0.25">
      <c r="A9134" s="3"/>
      <c r="B9134" s="3"/>
      <c r="C9134" s="3"/>
      <c r="D9134" s="3"/>
      <c r="E9134" s="3"/>
      <c r="F9134" s="3"/>
      <c r="G9134" s="3"/>
      <c r="H9134" s="3"/>
      <c r="I9134" s="3"/>
      <c r="J9134" s="3"/>
      <c r="K9134" s="3"/>
      <c r="L9134" s="3"/>
      <c r="M9134" s="3"/>
      <c r="N9134" s="3"/>
      <c r="O9134" s="3"/>
    </row>
    <row r="9135" spans="1:15" ht="15" customHeight="1" x14ac:dyDescent="0.25">
      <c r="A9135" s="2"/>
      <c r="B9135" s="2"/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</row>
    <row r="9136" spans="1:15" ht="15" customHeight="1" x14ac:dyDescent="0.25">
      <c r="A9136" s="3"/>
      <c r="B9136" s="3"/>
      <c r="C9136" s="3"/>
      <c r="D9136" s="3"/>
      <c r="E9136" s="3"/>
      <c r="F9136" s="3"/>
      <c r="G9136" s="3"/>
      <c r="H9136" s="3"/>
      <c r="I9136" s="3"/>
      <c r="J9136" s="3"/>
      <c r="K9136" s="3"/>
      <c r="L9136" s="3"/>
      <c r="M9136" s="3"/>
      <c r="N9136" s="3"/>
      <c r="O9136" s="3"/>
    </row>
    <row r="9137" spans="1:15" ht="15" customHeight="1" x14ac:dyDescent="0.25">
      <c r="A9137" s="2"/>
      <c r="B9137" s="2"/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</row>
    <row r="9138" spans="1:15" ht="15" customHeight="1" x14ac:dyDescent="0.25">
      <c r="A9138" s="3"/>
      <c r="B9138" s="3"/>
      <c r="C9138" s="3"/>
      <c r="D9138" s="3"/>
      <c r="E9138" s="3"/>
      <c r="F9138" s="3"/>
      <c r="G9138" s="3"/>
      <c r="H9138" s="3"/>
      <c r="I9138" s="3"/>
      <c r="J9138" s="3"/>
      <c r="K9138" s="3"/>
      <c r="L9138" s="3"/>
      <c r="M9138" s="3"/>
      <c r="N9138" s="3"/>
      <c r="O9138" s="3"/>
    </row>
    <row r="9139" spans="1:15" ht="15" customHeight="1" x14ac:dyDescent="0.25">
      <c r="A9139" s="2"/>
      <c r="B9139" s="2"/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</row>
    <row r="9140" spans="1:15" ht="15" customHeight="1" x14ac:dyDescent="0.25">
      <c r="A9140" s="3"/>
      <c r="B9140" s="3"/>
      <c r="C9140" s="3"/>
      <c r="D9140" s="3"/>
      <c r="E9140" s="3"/>
      <c r="F9140" s="3"/>
      <c r="G9140" s="3"/>
      <c r="H9140" s="3"/>
      <c r="I9140" s="3"/>
      <c r="J9140" s="3"/>
      <c r="K9140" s="3"/>
      <c r="L9140" s="3"/>
      <c r="M9140" s="3"/>
      <c r="N9140" s="3"/>
      <c r="O9140" s="3"/>
    </row>
    <row r="9141" spans="1:15" ht="15" customHeight="1" x14ac:dyDescent="0.25">
      <c r="A9141" s="2"/>
      <c r="B9141" s="2"/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</row>
    <row r="9142" spans="1:15" ht="15" customHeight="1" x14ac:dyDescent="0.25">
      <c r="A9142" s="3"/>
      <c r="B9142" s="3"/>
      <c r="C9142" s="3"/>
      <c r="D9142" s="3"/>
      <c r="E9142" s="3"/>
      <c r="F9142" s="3"/>
      <c r="G9142" s="3"/>
      <c r="H9142" s="3"/>
      <c r="I9142" s="3"/>
      <c r="J9142" s="3"/>
      <c r="K9142" s="3"/>
      <c r="L9142" s="3"/>
      <c r="M9142" s="3"/>
      <c r="N9142" s="3"/>
      <c r="O9142" s="3"/>
    </row>
    <row r="9143" spans="1:15" ht="15" customHeight="1" x14ac:dyDescent="0.25">
      <c r="A9143" s="2"/>
      <c r="B9143" s="2"/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</row>
    <row r="9144" spans="1:15" ht="15" customHeight="1" x14ac:dyDescent="0.25">
      <c r="A9144" s="3"/>
      <c r="B9144" s="3"/>
      <c r="C9144" s="3"/>
      <c r="D9144" s="3"/>
      <c r="E9144" s="3"/>
      <c r="F9144" s="3"/>
      <c r="G9144" s="3"/>
      <c r="H9144" s="3"/>
      <c r="I9144" s="3"/>
      <c r="J9144" s="3"/>
      <c r="K9144" s="3"/>
      <c r="L9144" s="3"/>
      <c r="M9144" s="3"/>
      <c r="N9144" s="3"/>
      <c r="O9144" s="3"/>
    </row>
    <row r="9145" spans="1:15" ht="15" customHeight="1" x14ac:dyDescent="0.25">
      <c r="A9145" s="2"/>
      <c r="B9145" s="2"/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</row>
    <row r="9146" spans="1:15" ht="15" customHeight="1" x14ac:dyDescent="0.25">
      <c r="A9146" s="3"/>
      <c r="B9146" s="3"/>
      <c r="C9146" s="3"/>
      <c r="D9146" s="3"/>
      <c r="E9146" s="3"/>
      <c r="F9146" s="3"/>
      <c r="G9146" s="3"/>
      <c r="H9146" s="3"/>
      <c r="I9146" s="3"/>
      <c r="J9146" s="3"/>
      <c r="K9146" s="3"/>
      <c r="L9146" s="3"/>
      <c r="M9146" s="3"/>
      <c r="N9146" s="3"/>
      <c r="O9146" s="3"/>
    </row>
    <row r="9147" spans="1:15" ht="15" customHeight="1" x14ac:dyDescent="0.25">
      <c r="A9147" s="2"/>
      <c r="B9147" s="2"/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</row>
    <row r="9148" spans="1:15" ht="15" customHeight="1" x14ac:dyDescent="0.25">
      <c r="A9148" s="3"/>
      <c r="B9148" s="3"/>
      <c r="C9148" s="3"/>
      <c r="D9148" s="3"/>
      <c r="E9148" s="3"/>
      <c r="F9148" s="3"/>
      <c r="G9148" s="3"/>
      <c r="H9148" s="3"/>
      <c r="I9148" s="3"/>
      <c r="J9148" s="3"/>
      <c r="K9148" s="3"/>
      <c r="L9148" s="3"/>
      <c r="M9148" s="3"/>
      <c r="N9148" s="3"/>
      <c r="O9148" s="3"/>
    </row>
    <row r="9149" spans="1:15" ht="15" customHeight="1" x14ac:dyDescent="0.25">
      <c r="A9149" s="2"/>
      <c r="B9149" s="2"/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</row>
    <row r="9150" spans="1:15" ht="15" customHeight="1" x14ac:dyDescent="0.25">
      <c r="A9150" s="3"/>
      <c r="B9150" s="3"/>
      <c r="C9150" s="3"/>
      <c r="D9150" s="3"/>
      <c r="E9150" s="3"/>
      <c r="F9150" s="3"/>
      <c r="G9150" s="3"/>
      <c r="H9150" s="3"/>
      <c r="I9150" s="3"/>
      <c r="J9150" s="3"/>
      <c r="K9150" s="3"/>
      <c r="L9150" s="3"/>
      <c r="M9150" s="3"/>
      <c r="N9150" s="3"/>
      <c r="O9150" s="3"/>
    </row>
    <row r="9151" spans="1:15" ht="15" customHeight="1" x14ac:dyDescent="0.25">
      <c r="A9151" s="2"/>
      <c r="B9151" s="2"/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</row>
    <row r="9152" spans="1:15" ht="15" customHeight="1" x14ac:dyDescent="0.25">
      <c r="A9152" s="3"/>
      <c r="B9152" s="3"/>
      <c r="C9152" s="3"/>
      <c r="D9152" s="3"/>
      <c r="E9152" s="3"/>
      <c r="F9152" s="3"/>
      <c r="G9152" s="3"/>
      <c r="H9152" s="3"/>
      <c r="I9152" s="3"/>
      <c r="J9152" s="3"/>
      <c r="K9152" s="3"/>
      <c r="L9152" s="3"/>
      <c r="M9152" s="3"/>
      <c r="N9152" s="3"/>
      <c r="O9152" s="3"/>
    </row>
    <row r="9153" spans="1:15" ht="15" customHeight="1" x14ac:dyDescent="0.25">
      <c r="A9153" s="2"/>
      <c r="B9153" s="2"/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</row>
    <row r="9154" spans="1:15" ht="15" customHeight="1" x14ac:dyDescent="0.25">
      <c r="A9154" s="3"/>
      <c r="B9154" s="3"/>
      <c r="C9154" s="3"/>
      <c r="D9154" s="3"/>
      <c r="E9154" s="3"/>
      <c r="F9154" s="3"/>
      <c r="G9154" s="3"/>
      <c r="H9154" s="3"/>
      <c r="I9154" s="3"/>
      <c r="J9154" s="3"/>
      <c r="K9154" s="3"/>
      <c r="L9154" s="3"/>
      <c r="M9154" s="3"/>
      <c r="N9154" s="3"/>
      <c r="O9154" s="3"/>
    </row>
    <row r="9155" spans="1:15" ht="15" customHeight="1" x14ac:dyDescent="0.25">
      <c r="A9155" s="2"/>
      <c r="B9155" s="2"/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</row>
    <row r="9156" spans="1:15" ht="15" customHeight="1" x14ac:dyDescent="0.25">
      <c r="A9156" s="3"/>
      <c r="B9156" s="3"/>
      <c r="C9156" s="3"/>
      <c r="D9156" s="3"/>
      <c r="E9156" s="3"/>
      <c r="F9156" s="3"/>
      <c r="G9156" s="3"/>
      <c r="H9156" s="3"/>
      <c r="I9156" s="3"/>
      <c r="J9156" s="3"/>
      <c r="K9156" s="3"/>
      <c r="L9156" s="3"/>
      <c r="M9156" s="3"/>
      <c r="N9156" s="3"/>
      <c r="O9156" s="3"/>
    </row>
    <row r="9157" spans="1:15" ht="15" customHeight="1" x14ac:dyDescent="0.25">
      <c r="A9157" s="2"/>
      <c r="B9157" s="2"/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</row>
    <row r="9158" spans="1:15" ht="15" customHeight="1" x14ac:dyDescent="0.25">
      <c r="A9158" s="3"/>
      <c r="B9158" s="3"/>
      <c r="C9158" s="3"/>
      <c r="D9158" s="3"/>
      <c r="E9158" s="3"/>
      <c r="F9158" s="3"/>
      <c r="G9158" s="3"/>
      <c r="H9158" s="3"/>
      <c r="I9158" s="3"/>
      <c r="J9158" s="3"/>
      <c r="K9158" s="3"/>
      <c r="L9158" s="3"/>
      <c r="M9158" s="3"/>
      <c r="N9158" s="3"/>
      <c r="O9158" s="3"/>
    </row>
    <row r="9159" spans="1:15" ht="15" customHeight="1" x14ac:dyDescent="0.25">
      <c r="A9159" s="2"/>
      <c r="B9159" s="2"/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</row>
    <row r="9160" spans="1:15" ht="15" customHeight="1" x14ac:dyDescent="0.25">
      <c r="A9160" s="3"/>
      <c r="B9160" s="3"/>
      <c r="C9160" s="3"/>
      <c r="D9160" s="3"/>
      <c r="E9160" s="3"/>
      <c r="F9160" s="3"/>
      <c r="G9160" s="3"/>
      <c r="H9160" s="3"/>
      <c r="I9160" s="3"/>
      <c r="J9160" s="3"/>
      <c r="K9160" s="3"/>
      <c r="L9160" s="3"/>
      <c r="M9160" s="3"/>
      <c r="N9160" s="3"/>
      <c r="O9160" s="3"/>
    </row>
    <row r="9161" spans="1:15" ht="15" customHeight="1" x14ac:dyDescent="0.25">
      <c r="A9161" s="2"/>
      <c r="B9161" s="2"/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</row>
    <row r="9162" spans="1:15" ht="15" customHeight="1" x14ac:dyDescent="0.25">
      <c r="A9162" s="3"/>
      <c r="B9162" s="3"/>
      <c r="C9162" s="3"/>
      <c r="D9162" s="3"/>
      <c r="E9162" s="3"/>
      <c r="F9162" s="3"/>
      <c r="G9162" s="3"/>
      <c r="H9162" s="3"/>
      <c r="I9162" s="3"/>
      <c r="J9162" s="3"/>
      <c r="K9162" s="3"/>
      <c r="L9162" s="3"/>
      <c r="M9162" s="3"/>
      <c r="N9162" s="3"/>
      <c r="O9162" s="3"/>
    </row>
    <row r="9163" spans="1:15" ht="15" customHeight="1" x14ac:dyDescent="0.25">
      <c r="A9163" s="2"/>
      <c r="B9163" s="2"/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</row>
    <row r="9164" spans="1:15" ht="15" customHeight="1" x14ac:dyDescent="0.25">
      <c r="A9164" s="3"/>
      <c r="B9164" s="3"/>
      <c r="C9164" s="3"/>
      <c r="D9164" s="3"/>
      <c r="E9164" s="3"/>
      <c r="F9164" s="3"/>
      <c r="G9164" s="3"/>
      <c r="H9164" s="3"/>
      <c r="I9164" s="3"/>
      <c r="J9164" s="3"/>
      <c r="K9164" s="3"/>
      <c r="L9164" s="3"/>
      <c r="M9164" s="3"/>
      <c r="N9164" s="3"/>
      <c r="O9164" s="3"/>
    </row>
    <row r="9165" spans="1:15" ht="15" customHeight="1" x14ac:dyDescent="0.25">
      <c r="A9165" s="2"/>
      <c r="B9165" s="2"/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</row>
    <row r="9166" spans="1:15" ht="15" customHeight="1" x14ac:dyDescent="0.25">
      <c r="A9166" s="3"/>
      <c r="B9166" s="3"/>
      <c r="C9166" s="3"/>
      <c r="D9166" s="3"/>
      <c r="E9166" s="3"/>
      <c r="F9166" s="3"/>
      <c r="G9166" s="3"/>
      <c r="H9166" s="3"/>
      <c r="I9166" s="3"/>
      <c r="J9166" s="3"/>
      <c r="K9166" s="3"/>
      <c r="L9166" s="3"/>
      <c r="M9166" s="3"/>
      <c r="N9166" s="3"/>
      <c r="O9166" s="3"/>
    </row>
    <row r="9167" spans="1:15" ht="15" customHeight="1" x14ac:dyDescent="0.25">
      <c r="A9167" s="2"/>
      <c r="B9167" s="2"/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</row>
    <row r="9168" spans="1:15" ht="15" customHeight="1" x14ac:dyDescent="0.25">
      <c r="A9168" s="3"/>
      <c r="B9168" s="3"/>
      <c r="C9168" s="3"/>
      <c r="D9168" s="3"/>
      <c r="E9168" s="3"/>
      <c r="F9168" s="3"/>
      <c r="G9168" s="3"/>
      <c r="H9168" s="3"/>
      <c r="I9168" s="3"/>
      <c r="J9168" s="3"/>
      <c r="K9168" s="3"/>
      <c r="L9168" s="3"/>
      <c r="M9168" s="3"/>
      <c r="N9168" s="3"/>
      <c r="O9168" s="3"/>
    </row>
    <row r="9169" spans="1:15" ht="15" customHeight="1" x14ac:dyDescent="0.25">
      <c r="A9169" s="2"/>
      <c r="B9169" s="2"/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</row>
    <row r="9170" spans="1:15" ht="15" customHeight="1" x14ac:dyDescent="0.25">
      <c r="A9170" s="3"/>
      <c r="B9170" s="3"/>
      <c r="C9170" s="3"/>
      <c r="D9170" s="3"/>
      <c r="E9170" s="3"/>
      <c r="F9170" s="3"/>
      <c r="G9170" s="3"/>
      <c r="H9170" s="3"/>
      <c r="I9170" s="3"/>
      <c r="J9170" s="3"/>
      <c r="K9170" s="3"/>
      <c r="L9170" s="3"/>
      <c r="M9170" s="3"/>
      <c r="N9170" s="3"/>
      <c r="O9170" s="3"/>
    </row>
    <row r="9171" spans="1:15" ht="15" customHeight="1" x14ac:dyDescent="0.25">
      <c r="A9171" s="2"/>
      <c r="B9171" s="2"/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</row>
    <row r="9172" spans="1:15" ht="15" customHeight="1" x14ac:dyDescent="0.25">
      <c r="A9172" s="3"/>
      <c r="B9172" s="3"/>
      <c r="C9172" s="3"/>
      <c r="D9172" s="3"/>
      <c r="E9172" s="3"/>
      <c r="F9172" s="3"/>
      <c r="G9172" s="3"/>
      <c r="H9172" s="3"/>
      <c r="I9172" s="3"/>
      <c r="J9172" s="3"/>
      <c r="K9172" s="3"/>
      <c r="L9172" s="3"/>
      <c r="M9172" s="3"/>
      <c r="N9172" s="3"/>
      <c r="O9172" s="3"/>
    </row>
    <row r="9173" spans="1:15" ht="15" customHeight="1" x14ac:dyDescent="0.25">
      <c r="A9173" s="2"/>
      <c r="B9173" s="2"/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</row>
    <row r="9174" spans="1:15" ht="15" customHeight="1" x14ac:dyDescent="0.25">
      <c r="A9174" s="3"/>
      <c r="B9174" s="3"/>
      <c r="C9174" s="3"/>
      <c r="D9174" s="3"/>
      <c r="E9174" s="3"/>
      <c r="F9174" s="3"/>
      <c r="G9174" s="3"/>
      <c r="H9174" s="3"/>
      <c r="I9174" s="3"/>
      <c r="J9174" s="3"/>
      <c r="K9174" s="3"/>
      <c r="L9174" s="3"/>
      <c r="M9174" s="3"/>
      <c r="N9174" s="3"/>
      <c r="O9174" s="3"/>
    </row>
    <row r="9175" spans="1:15" ht="15" customHeight="1" x14ac:dyDescent="0.25">
      <c r="A9175" s="2"/>
      <c r="B9175" s="2"/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</row>
    <row r="9176" spans="1:15" ht="15" customHeight="1" x14ac:dyDescent="0.25">
      <c r="A9176" s="3"/>
      <c r="B9176" s="3"/>
      <c r="C9176" s="3"/>
      <c r="D9176" s="3"/>
      <c r="E9176" s="3"/>
      <c r="F9176" s="3"/>
      <c r="G9176" s="3"/>
      <c r="H9176" s="3"/>
      <c r="I9176" s="3"/>
      <c r="J9176" s="3"/>
      <c r="K9176" s="3"/>
      <c r="L9176" s="3"/>
      <c r="M9176" s="3"/>
      <c r="N9176" s="3"/>
      <c r="O9176" s="3"/>
    </row>
    <row r="9177" spans="1:15" ht="15" customHeight="1" x14ac:dyDescent="0.25">
      <c r="A9177" s="2"/>
      <c r="B9177" s="2"/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</row>
    <row r="9178" spans="1:15" ht="15" customHeight="1" x14ac:dyDescent="0.25">
      <c r="A9178" s="3"/>
      <c r="B9178" s="3"/>
      <c r="C9178" s="3"/>
      <c r="D9178" s="3"/>
      <c r="E9178" s="3"/>
      <c r="F9178" s="3"/>
      <c r="G9178" s="3"/>
      <c r="H9178" s="3"/>
      <c r="I9178" s="3"/>
      <c r="J9178" s="3"/>
      <c r="K9178" s="3"/>
      <c r="L9178" s="3"/>
      <c r="M9178" s="3"/>
      <c r="N9178" s="3"/>
      <c r="O9178" s="3"/>
    </row>
    <row r="9179" spans="1:15" ht="15" customHeight="1" x14ac:dyDescent="0.25">
      <c r="A9179" s="2"/>
      <c r="B9179" s="2"/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</row>
    <row r="9180" spans="1:15" ht="15" customHeight="1" x14ac:dyDescent="0.25">
      <c r="A9180" s="3"/>
      <c r="B9180" s="3"/>
      <c r="C9180" s="3"/>
      <c r="D9180" s="3"/>
      <c r="E9180" s="3"/>
      <c r="F9180" s="3"/>
      <c r="G9180" s="3"/>
      <c r="H9180" s="3"/>
      <c r="I9180" s="3"/>
      <c r="J9180" s="3"/>
      <c r="K9180" s="3"/>
      <c r="L9180" s="3"/>
      <c r="M9180" s="3"/>
      <c r="N9180" s="3"/>
      <c r="O9180" s="3"/>
    </row>
    <row r="9181" spans="1:15" ht="15" customHeight="1" x14ac:dyDescent="0.25">
      <c r="A9181" s="2"/>
      <c r="B9181" s="2"/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</row>
    <row r="9182" spans="1:15" ht="15" customHeight="1" x14ac:dyDescent="0.25">
      <c r="A9182" s="3"/>
      <c r="B9182" s="3"/>
      <c r="C9182" s="3"/>
      <c r="D9182" s="3"/>
      <c r="E9182" s="3"/>
      <c r="F9182" s="3"/>
      <c r="G9182" s="3"/>
      <c r="H9182" s="3"/>
      <c r="I9182" s="3"/>
      <c r="J9182" s="3"/>
      <c r="K9182" s="3"/>
      <c r="L9182" s="3"/>
      <c r="M9182" s="3"/>
      <c r="N9182" s="3"/>
      <c r="O9182" s="3"/>
    </row>
    <row r="9183" spans="1:15" ht="15" customHeight="1" x14ac:dyDescent="0.25">
      <c r="A9183" s="2"/>
      <c r="B9183" s="2"/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</row>
    <row r="9184" spans="1:15" ht="15" customHeight="1" x14ac:dyDescent="0.25">
      <c r="A9184" s="3"/>
      <c r="B9184" s="3"/>
      <c r="C9184" s="3"/>
      <c r="D9184" s="3"/>
      <c r="E9184" s="3"/>
      <c r="F9184" s="3"/>
      <c r="G9184" s="3"/>
      <c r="H9184" s="3"/>
      <c r="I9184" s="3"/>
      <c r="J9184" s="3"/>
      <c r="K9184" s="3"/>
      <c r="L9184" s="3"/>
      <c r="M9184" s="3"/>
      <c r="N9184" s="3"/>
      <c r="O9184" s="3"/>
    </row>
    <row r="9185" spans="1:15" ht="15" customHeight="1" x14ac:dyDescent="0.25">
      <c r="A9185" s="2"/>
      <c r="B9185" s="2"/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</row>
    <row r="9186" spans="1:15" ht="15" customHeight="1" x14ac:dyDescent="0.25">
      <c r="A9186" s="3"/>
      <c r="B9186" s="3"/>
      <c r="C9186" s="3"/>
      <c r="D9186" s="3"/>
      <c r="E9186" s="3"/>
      <c r="F9186" s="3"/>
      <c r="G9186" s="3"/>
      <c r="H9186" s="3"/>
      <c r="I9186" s="3"/>
      <c r="J9186" s="3"/>
      <c r="K9186" s="3"/>
      <c r="L9186" s="3"/>
      <c r="M9186" s="3"/>
      <c r="N9186" s="3"/>
      <c r="O9186" s="3"/>
    </row>
    <row r="9187" spans="1:15" ht="15" customHeight="1" x14ac:dyDescent="0.25">
      <c r="A9187" s="2"/>
      <c r="B9187" s="2"/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</row>
    <row r="9188" spans="1:15" ht="15" customHeight="1" x14ac:dyDescent="0.25">
      <c r="A9188" s="3"/>
      <c r="B9188" s="3"/>
      <c r="C9188" s="3"/>
      <c r="D9188" s="3"/>
      <c r="E9188" s="3"/>
      <c r="F9188" s="3"/>
      <c r="G9188" s="3"/>
      <c r="H9188" s="3"/>
      <c r="I9188" s="3"/>
      <c r="J9188" s="3"/>
      <c r="K9188" s="3"/>
      <c r="L9188" s="3"/>
      <c r="M9188" s="3"/>
      <c r="N9188" s="3"/>
      <c r="O9188" s="3"/>
    </row>
    <row r="9189" spans="1:15" ht="15" customHeight="1" x14ac:dyDescent="0.25">
      <c r="A9189" s="2"/>
      <c r="B9189" s="2"/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</row>
    <row r="9190" spans="1:15" ht="15" customHeight="1" x14ac:dyDescent="0.25">
      <c r="A9190" s="3"/>
      <c r="B9190" s="3"/>
      <c r="C9190" s="3"/>
      <c r="D9190" s="3"/>
      <c r="E9190" s="3"/>
      <c r="F9190" s="3"/>
      <c r="G9190" s="3"/>
      <c r="H9190" s="3"/>
      <c r="I9190" s="3"/>
      <c r="J9190" s="3"/>
      <c r="K9190" s="3"/>
      <c r="L9190" s="3"/>
      <c r="M9190" s="3"/>
      <c r="N9190" s="3"/>
      <c r="O9190" s="3"/>
    </row>
    <row r="9191" spans="1:15" ht="15" customHeight="1" x14ac:dyDescent="0.25">
      <c r="A9191" s="2"/>
      <c r="B9191" s="2"/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</row>
    <row r="9192" spans="1:15" ht="15" customHeight="1" x14ac:dyDescent="0.25">
      <c r="A9192" s="3"/>
      <c r="B9192" s="3"/>
      <c r="C9192" s="3"/>
      <c r="D9192" s="3"/>
      <c r="E9192" s="3"/>
      <c r="F9192" s="3"/>
      <c r="G9192" s="3"/>
      <c r="H9192" s="3"/>
      <c r="I9192" s="3"/>
      <c r="J9192" s="3"/>
      <c r="K9192" s="3"/>
      <c r="L9192" s="3"/>
      <c r="M9192" s="3"/>
      <c r="N9192" s="3"/>
      <c r="O9192" s="3"/>
    </row>
    <row r="9193" spans="1:15" ht="15" customHeight="1" x14ac:dyDescent="0.25">
      <c r="A9193" s="2"/>
      <c r="B9193" s="2"/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</row>
    <row r="9194" spans="1:15" ht="15" customHeight="1" x14ac:dyDescent="0.25">
      <c r="A9194" s="3"/>
      <c r="B9194" s="3"/>
      <c r="C9194" s="3"/>
      <c r="D9194" s="3"/>
      <c r="E9194" s="3"/>
      <c r="F9194" s="3"/>
      <c r="G9194" s="3"/>
      <c r="H9194" s="3"/>
      <c r="I9194" s="3"/>
      <c r="J9194" s="3"/>
      <c r="K9194" s="3"/>
      <c r="L9194" s="3"/>
      <c r="M9194" s="3"/>
      <c r="N9194" s="3"/>
      <c r="O9194" s="3"/>
    </row>
    <row r="9195" spans="1:15" ht="15" customHeight="1" x14ac:dyDescent="0.25">
      <c r="A9195" s="2"/>
      <c r="B9195" s="2"/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</row>
    <row r="9196" spans="1:15" ht="15" customHeight="1" x14ac:dyDescent="0.25">
      <c r="A9196" s="3"/>
      <c r="B9196" s="3"/>
      <c r="C9196" s="3"/>
      <c r="D9196" s="3"/>
      <c r="E9196" s="3"/>
      <c r="F9196" s="3"/>
      <c r="G9196" s="3"/>
      <c r="H9196" s="3"/>
      <c r="I9196" s="3"/>
      <c r="J9196" s="3"/>
      <c r="K9196" s="3"/>
      <c r="L9196" s="3"/>
      <c r="M9196" s="3"/>
      <c r="N9196" s="3"/>
      <c r="O9196" s="3"/>
    </row>
    <row r="9197" spans="1:15" ht="15" customHeight="1" x14ac:dyDescent="0.25">
      <c r="A9197" s="2"/>
      <c r="B9197" s="2"/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</row>
    <row r="9198" spans="1:15" ht="15" customHeight="1" x14ac:dyDescent="0.25">
      <c r="A9198" s="3"/>
      <c r="B9198" s="3"/>
      <c r="C9198" s="3"/>
      <c r="D9198" s="3"/>
      <c r="E9198" s="3"/>
      <c r="F9198" s="3"/>
      <c r="G9198" s="3"/>
      <c r="H9198" s="3"/>
      <c r="I9198" s="3"/>
      <c r="J9198" s="3"/>
      <c r="K9198" s="3"/>
      <c r="L9198" s="3"/>
      <c r="M9198" s="3"/>
      <c r="N9198" s="3"/>
      <c r="O9198" s="3"/>
    </row>
    <row r="9199" spans="1:15" ht="15" customHeight="1" x14ac:dyDescent="0.25">
      <c r="A9199" s="2"/>
      <c r="B9199" s="2"/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</row>
    <row r="9200" spans="1:15" ht="15" customHeight="1" x14ac:dyDescent="0.25">
      <c r="A9200" s="3"/>
      <c r="B9200" s="3"/>
      <c r="C9200" s="3"/>
      <c r="D9200" s="3"/>
      <c r="E9200" s="3"/>
      <c r="F9200" s="3"/>
      <c r="G9200" s="3"/>
      <c r="H9200" s="3"/>
      <c r="I9200" s="3"/>
      <c r="J9200" s="3"/>
      <c r="K9200" s="3"/>
      <c r="L9200" s="3"/>
      <c r="M9200" s="3"/>
      <c r="N9200" s="3"/>
      <c r="O9200" s="3"/>
    </row>
    <row r="9201" spans="1:15" ht="15" customHeight="1" x14ac:dyDescent="0.25">
      <c r="A9201" s="2"/>
      <c r="B9201" s="2"/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</row>
    <row r="9202" spans="1:15" ht="15" customHeight="1" x14ac:dyDescent="0.25">
      <c r="A9202" s="3"/>
      <c r="B9202" s="3"/>
      <c r="C9202" s="3"/>
      <c r="D9202" s="3"/>
      <c r="E9202" s="3"/>
      <c r="F9202" s="3"/>
      <c r="G9202" s="3"/>
      <c r="H9202" s="3"/>
      <c r="I9202" s="3"/>
      <c r="J9202" s="3"/>
      <c r="K9202" s="3"/>
      <c r="L9202" s="3"/>
      <c r="M9202" s="3"/>
      <c r="N9202" s="3"/>
      <c r="O9202" s="3"/>
    </row>
    <row r="9203" spans="1:15" ht="15" customHeight="1" x14ac:dyDescent="0.25">
      <c r="A9203" s="2"/>
      <c r="B9203" s="2"/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</row>
    <row r="9204" spans="1:15" ht="15" customHeight="1" x14ac:dyDescent="0.25">
      <c r="A9204" s="3"/>
      <c r="B9204" s="3"/>
      <c r="C9204" s="3"/>
      <c r="D9204" s="3"/>
      <c r="E9204" s="3"/>
      <c r="F9204" s="3"/>
      <c r="G9204" s="3"/>
      <c r="H9204" s="3"/>
      <c r="I9204" s="3"/>
      <c r="J9204" s="3"/>
      <c r="K9204" s="3"/>
      <c r="L9204" s="3"/>
      <c r="M9204" s="3"/>
      <c r="N9204" s="3"/>
      <c r="O9204" s="3"/>
    </row>
    <row r="9205" spans="1:15" ht="15" customHeight="1" x14ac:dyDescent="0.25">
      <c r="A9205" s="2"/>
      <c r="B9205" s="2"/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</row>
    <row r="9206" spans="1:15" ht="15" customHeight="1" x14ac:dyDescent="0.25">
      <c r="A9206" s="3"/>
      <c r="B9206" s="3"/>
      <c r="C9206" s="3"/>
      <c r="D9206" s="3"/>
      <c r="E9206" s="3"/>
      <c r="F9206" s="3"/>
      <c r="G9206" s="3"/>
      <c r="H9206" s="3"/>
      <c r="I9206" s="3"/>
      <c r="J9206" s="3"/>
      <c r="K9206" s="3"/>
      <c r="L9206" s="3"/>
      <c r="M9206" s="3"/>
      <c r="N9206" s="3"/>
      <c r="O9206" s="3"/>
    </row>
    <row r="9207" spans="1:15" ht="15" customHeight="1" x14ac:dyDescent="0.25">
      <c r="A9207" s="2"/>
      <c r="B9207" s="2"/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</row>
    <row r="9208" spans="1:15" ht="15" customHeight="1" x14ac:dyDescent="0.25">
      <c r="A9208" s="3"/>
      <c r="B9208" s="3"/>
      <c r="C9208" s="3"/>
      <c r="D9208" s="3"/>
      <c r="E9208" s="3"/>
      <c r="F9208" s="3"/>
      <c r="G9208" s="3"/>
      <c r="H9208" s="3"/>
      <c r="I9208" s="3"/>
      <c r="J9208" s="3"/>
      <c r="K9208" s="3"/>
      <c r="L9208" s="3"/>
      <c r="M9208" s="3"/>
      <c r="N9208" s="3"/>
      <c r="O9208" s="3"/>
    </row>
    <row r="9209" spans="1:15" ht="15" customHeight="1" x14ac:dyDescent="0.25">
      <c r="A9209" s="2"/>
      <c r="B9209" s="2"/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</row>
    <row r="9210" spans="1:15" ht="15" customHeight="1" x14ac:dyDescent="0.25">
      <c r="A9210" s="3"/>
      <c r="B9210" s="3"/>
      <c r="C9210" s="3"/>
      <c r="D9210" s="3"/>
      <c r="E9210" s="3"/>
      <c r="F9210" s="3"/>
      <c r="G9210" s="3"/>
      <c r="H9210" s="3"/>
      <c r="I9210" s="3"/>
      <c r="J9210" s="3"/>
      <c r="K9210" s="3"/>
      <c r="L9210" s="3"/>
      <c r="M9210" s="3"/>
      <c r="N9210" s="3"/>
      <c r="O9210" s="3"/>
    </row>
    <row r="9211" spans="1:15" ht="15" customHeight="1" x14ac:dyDescent="0.25">
      <c r="A9211" s="2"/>
      <c r="B9211" s="2"/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</row>
    <row r="9212" spans="1:15" ht="15" customHeight="1" x14ac:dyDescent="0.25">
      <c r="A9212" s="3"/>
      <c r="B9212" s="3"/>
      <c r="C9212" s="3"/>
      <c r="D9212" s="3"/>
      <c r="E9212" s="3"/>
      <c r="F9212" s="3"/>
      <c r="G9212" s="3"/>
      <c r="H9212" s="3"/>
      <c r="I9212" s="3"/>
      <c r="J9212" s="3"/>
      <c r="K9212" s="3"/>
      <c r="L9212" s="3"/>
      <c r="M9212" s="3"/>
      <c r="N9212" s="3"/>
      <c r="O9212" s="3"/>
    </row>
    <row r="9213" spans="1:15" ht="15" customHeight="1" x14ac:dyDescent="0.25">
      <c r="A9213" s="2"/>
      <c r="B9213" s="2"/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</row>
    <row r="9214" spans="1:15" ht="15" customHeight="1" x14ac:dyDescent="0.25">
      <c r="A9214" s="3"/>
      <c r="B9214" s="3"/>
      <c r="C9214" s="3"/>
      <c r="D9214" s="3"/>
      <c r="E9214" s="3"/>
      <c r="F9214" s="3"/>
      <c r="G9214" s="3"/>
      <c r="H9214" s="3"/>
      <c r="I9214" s="3"/>
      <c r="J9214" s="3"/>
      <c r="K9214" s="3"/>
      <c r="L9214" s="3"/>
      <c r="M9214" s="3"/>
      <c r="N9214" s="3"/>
      <c r="O9214" s="3"/>
    </row>
    <row r="9215" spans="1:15" ht="15" customHeight="1" x14ac:dyDescent="0.25">
      <c r="A9215" s="2"/>
      <c r="B9215" s="2"/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</row>
    <row r="9216" spans="1:15" ht="15" customHeight="1" x14ac:dyDescent="0.25">
      <c r="A9216" s="3"/>
      <c r="B9216" s="3"/>
      <c r="C9216" s="3"/>
      <c r="D9216" s="3"/>
      <c r="E9216" s="3"/>
      <c r="F9216" s="3"/>
      <c r="G9216" s="3"/>
      <c r="H9216" s="3"/>
      <c r="I9216" s="3"/>
      <c r="J9216" s="3"/>
      <c r="K9216" s="3"/>
      <c r="L9216" s="3"/>
      <c r="M9216" s="3"/>
      <c r="N9216" s="3"/>
      <c r="O9216" s="3"/>
    </row>
    <row r="9217" spans="1:15" ht="15" customHeight="1" x14ac:dyDescent="0.25">
      <c r="A9217" s="2"/>
      <c r="B9217" s="2"/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</row>
    <row r="9218" spans="1:15" ht="15" customHeight="1" x14ac:dyDescent="0.25">
      <c r="A9218" s="3"/>
      <c r="B9218" s="3"/>
      <c r="C9218" s="3"/>
      <c r="D9218" s="3"/>
      <c r="E9218" s="3"/>
      <c r="F9218" s="3"/>
      <c r="G9218" s="3"/>
      <c r="H9218" s="3"/>
      <c r="I9218" s="3"/>
      <c r="J9218" s="3"/>
      <c r="K9218" s="3"/>
      <c r="L9218" s="3"/>
      <c r="M9218" s="3"/>
      <c r="N9218" s="3"/>
      <c r="O9218" s="3"/>
    </row>
    <row r="9219" spans="1:15" ht="15" customHeight="1" x14ac:dyDescent="0.25">
      <c r="A9219" s="2"/>
      <c r="B9219" s="2"/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</row>
    <row r="9220" spans="1:15" ht="15" customHeight="1" x14ac:dyDescent="0.25">
      <c r="A9220" s="3"/>
      <c r="B9220" s="3"/>
      <c r="C9220" s="3"/>
      <c r="D9220" s="3"/>
      <c r="E9220" s="3"/>
      <c r="F9220" s="3"/>
      <c r="G9220" s="3"/>
      <c r="H9220" s="3"/>
      <c r="I9220" s="3"/>
      <c r="J9220" s="3"/>
      <c r="K9220" s="3"/>
      <c r="L9220" s="3"/>
      <c r="M9220" s="3"/>
      <c r="N9220" s="3"/>
      <c r="O9220" s="3"/>
    </row>
    <row r="9221" spans="1:15" ht="15" customHeight="1" x14ac:dyDescent="0.25">
      <c r="A9221" s="2"/>
      <c r="B9221" s="2"/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</row>
    <row r="9222" spans="1:15" ht="15" customHeight="1" x14ac:dyDescent="0.25">
      <c r="A9222" s="3"/>
      <c r="B9222" s="3"/>
      <c r="C9222" s="3"/>
      <c r="D9222" s="3"/>
      <c r="E9222" s="3"/>
      <c r="F9222" s="3"/>
      <c r="G9222" s="3"/>
      <c r="H9222" s="3"/>
      <c r="I9222" s="3"/>
      <c r="J9222" s="3"/>
      <c r="K9222" s="3"/>
      <c r="L9222" s="3"/>
      <c r="M9222" s="3"/>
      <c r="N9222" s="3"/>
      <c r="O9222" s="3"/>
    </row>
    <row r="9223" spans="1:15" ht="15" customHeight="1" x14ac:dyDescent="0.25">
      <c r="A9223" s="2"/>
      <c r="B9223" s="2"/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</row>
    <row r="9224" spans="1:15" ht="15" customHeight="1" x14ac:dyDescent="0.25">
      <c r="A9224" s="3"/>
      <c r="B9224" s="3"/>
      <c r="C9224" s="3"/>
      <c r="D9224" s="3"/>
      <c r="E9224" s="3"/>
      <c r="F9224" s="3"/>
      <c r="G9224" s="3"/>
      <c r="H9224" s="3"/>
      <c r="I9224" s="3"/>
      <c r="J9224" s="3"/>
      <c r="K9224" s="3"/>
      <c r="L9224" s="3"/>
      <c r="M9224" s="3"/>
      <c r="N9224" s="3"/>
      <c r="O9224" s="3"/>
    </row>
    <row r="9225" spans="1:15" ht="15" customHeight="1" x14ac:dyDescent="0.25">
      <c r="A9225" s="2"/>
      <c r="B9225" s="2"/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</row>
    <row r="9226" spans="1:15" ht="15" customHeight="1" x14ac:dyDescent="0.25">
      <c r="A9226" s="3"/>
      <c r="B9226" s="3"/>
      <c r="C9226" s="3"/>
      <c r="D9226" s="3"/>
      <c r="E9226" s="3"/>
      <c r="F9226" s="3"/>
      <c r="G9226" s="3"/>
      <c r="H9226" s="3"/>
      <c r="I9226" s="3"/>
      <c r="J9226" s="3"/>
      <c r="K9226" s="3"/>
      <c r="L9226" s="3"/>
      <c r="M9226" s="3"/>
      <c r="N9226" s="3"/>
      <c r="O9226" s="3"/>
    </row>
    <row r="9227" spans="1:15" ht="15" customHeight="1" x14ac:dyDescent="0.25">
      <c r="A9227" s="2"/>
      <c r="B9227" s="2"/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</row>
    <row r="9228" spans="1:15" ht="15" customHeight="1" x14ac:dyDescent="0.25">
      <c r="A9228" s="3"/>
      <c r="B9228" s="3"/>
      <c r="C9228" s="3"/>
      <c r="D9228" s="3"/>
      <c r="E9228" s="3"/>
      <c r="F9228" s="3"/>
      <c r="G9228" s="3"/>
      <c r="H9228" s="3"/>
      <c r="I9228" s="3"/>
      <c r="J9228" s="3"/>
      <c r="K9228" s="3"/>
      <c r="L9228" s="3"/>
      <c r="M9228" s="3"/>
      <c r="N9228" s="3"/>
      <c r="O9228" s="3"/>
    </row>
    <row r="9229" spans="1:15" ht="15" customHeight="1" x14ac:dyDescent="0.25">
      <c r="A9229" s="2"/>
      <c r="B9229" s="2"/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</row>
    <row r="9230" spans="1:15" ht="15" customHeight="1" x14ac:dyDescent="0.25">
      <c r="A9230" s="3"/>
      <c r="B9230" s="3"/>
      <c r="C9230" s="3"/>
      <c r="D9230" s="3"/>
      <c r="E9230" s="3"/>
      <c r="F9230" s="3"/>
      <c r="G9230" s="3"/>
      <c r="H9230" s="3"/>
      <c r="I9230" s="3"/>
      <c r="J9230" s="3"/>
      <c r="K9230" s="3"/>
      <c r="L9230" s="3"/>
      <c r="M9230" s="3"/>
      <c r="N9230" s="3"/>
      <c r="O9230" s="3"/>
    </row>
    <row r="9231" spans="1:15" ht="15" customHeight="1" x14ac:dyDescent="0.25">
      <c r="A9231" s="2"/>
      <c r="B9231" s="2"/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</row>
    <row r="9232" spans="1:15" ht="15" customHeight="1" x14ac:dyDescent="0.25">
      <c r="A9232" s="3"/>
      <c r="B9232" s="3"/>
      <c r="C9232" s="3"/>
      <c r="D9232" s="3"/>
      <c r="E9232" s="3"/>
      <c r="F9232" s="3"/>
      <c r="G9232" s="3"/>
      <c r="H9232" s="3"/>
      <c r="I9232" s="3"/>
      <c r="J9232" s="3"/>
      <c r="K9232" s="3"/>
      <c r="L9232" s="3"/>
      <c r="M9232" s="3"/>
      <c r="N9232" s="3"/>
      <c r="O9232" s="3"/>
    </row>
    <row r="9233" spans="1:15" ht="15" customHeight="1" x14ac:dyDescent="0.25">
      <c r="A9233" s="2"/>
      <c r="B9233" s="2"/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</row>
    <row r="9234" spans="1:15" ht="15" customHeight="1" x14ac:dyDescent="0.25">
      <c r="A9234" s="3"/>
      <c r="B9234" s="3"/>
      <c r="C9234" s="3"/>
      <c r="D9234" s="3"/>
      <c r="E9234" s="3"/>
      <c r="F9234" s="3"/>
      <c r="G9234" s="3"/>
      <c r="H9234" s="3"/>
      <c r="I9234" s="3"/>
      <c r="J9234" s="3"/>
      <c r="K9234" s="3"/>
      <c r="L9234" s="3"/>
      <c r="M9234" s="3"/>
      <c r="N9234" s="3"/>
      <c r="O9234" s="3"/>
    </row>
    <row r="9235" spans="1:15" ht="15" customHeight="1" x14ac:dyDescent="0.25">
      <c r="A9235" s="2"/>
      <c r="B9235" s="2"/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</row>
    <row r="9236" spans="1:15" ht="15" customHeight="1" x14ac:dyDescent="0.25">
      <c r="A9236" s="3"/>
      <c r="B9236" s="3"/>
      <c r="C9236" s="3"/>
      <c r="D9236" s="3"/>
      <c r="E9236" s="3"/>
      <c r="F9236" s="3"/>
      <c r="G9236" s="3"/>
      <c r="H9236" s="3"/>
      <c r="I9236" s="3"/>
      <c r="J9236" s="3"/>
      <c r="K9236" s="3"/>
      <c r="L9236" s="3"/>
      <c r="M9236" s="3"/>
      <c r="N9236" s="3"/>
      <c r="O9236" s="3"/>
    </row>
    <row r="9237" spans="1:15" ht="15" customHeight="1" x14ac:dyDescent="0.25">
      <c r="A9237" s="2"/>
      <c r="B9237" s="2"/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</row>
    <row r="9238" spans="1:15" ht="15" customHeight="1" x14ac:dyDescent="0.25">
      <c r="A9238" s="3"/>
      <c r="B9238" s="3"/>
      <c r="C9238" s="3"/>
      <c r="D9238" s="3"/>
      <c r="E9238" s="3"/>
      <c r="F9238" s="3"/>
      <c r="G9238" s="3"/>
      <c r="H9238" s="3"/>
      <c r="I9238" s="3"/>
      <c r="J9238" s="3"/>
      <c r="K9238" s="3"/>
      <c r="L9238" s="3"/>
      <c r="M9238" s="3"/>
      <c r="N9238" s="3"/>
      <c r="O9238" s="3"/>
    </row>
    <row r="9239" spans="1:15" ht="15" customHeight="1" x14ac:dyDescent="0.25">
      <c r="A9239" s="2"/>
      <c r="B9239" s="2"/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</row>
    <row r="9240" spans="1:15" ht="15" customHeight="1" x14ac:dyDescent="0.25">
      <c r="A9240" s="3"/>
      <c r="B9240" s="3"/>
      <c r="C9240" s="3"/>
      <c r="D9240" s="3"/>
      <c r="E9240" s="3"/>
      <c r="F9240" s="3"/>
      <c r="G9240" s="3"/>
      <c r="H9240" s="3"/>
      <c r="I9240" s="3"/>
      <c r="J9240" s="3"/>
      <c r="K9240" s="3"/>
      <c r="L9240" s="3"/>
      <c r="M9240" s="3"/>
      <c r="N9240" s="3"/>
      <c r="O9240" s="3"/>
    </row>
    <row r="9241" spans="1:15" ht="15" customHeight="1" x14ac:dyDescent="0.25">
      <c r="A9241" s="2"/>
      <c r="B9241" s="2"/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</row>
    <row r="9242" spans="1:15" ht="15" customHeight="1" x14ac:dyDescent="0.25">
      <c r="A9242" s="3"/>
      <c r="B9242" s="3"/>
      <c r="C9242" s="3"/>
      <c r="D9242" s="3"/>
      <c r="E9242" s="3"/>
      <c r="F9242" s="3"/>
      <c r="G9242" s="3"/>
      <c r="H9242" s="3"/>
      <c r="I9242" s="3"/>
      <c r="J9242" s="3"/>
      <c r="K9242" s="3"/>
      <c r="L9242" s="3"/>
      <c r="M9242" s="3"/>
      <c r="N9242" s="3"/>
      <c r="O9242" s="3"/>
    </row>
    <row r="9243" spans="1:15" ht="15" customHeight="1" x14ac:dyDescent="0.25">
      <c r="A9243" s="2"/>
      <c r="B9243" s="2"/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</row>
    <row r="9244" spans="1:15" ht="15" customHeight="1" x14ac:dyDescent="0.25">
      <c r="A9244" s="3"/>
      <c r="B9244" s="3"/>
      <c r="C9244" s="3"/>
      <c r="D9244" s="3"/>
      <c r="E9244" s="3"/>
      <c r="F9244" s="3"/>
      <c r="G9244" s="3"/>
      <c r="H9244" s="3"/>
      <c r="I9244" s="3"/>
      <c r="J9244" s="3"/>
      <c r="K9244" s="3"/>
      <c r="L9244" s="3"/>
      <c r="M9244" s="3"/>
      <c r="N9244" s="3"/>
      <c r="O9244" s="3"/>
    </row>
    <row r="9245" spans="1:15" ht="15" customHeight="1" x14ac:dyDescent="0.25">
      <c r="A9245" s="2"/>
      <c r="B9245" s="2"/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</row>
    <row r="9246" spans="1:15" ht="15" customHeight="1" x14ac:dyDescent="0.25">
      <c r="A9246" s="3"/>
      <c r="B9246" s="3"/>
      <c r="C9246" s="3"/>
      <c r="D9246" s="3"/>
      <c r="E9246" s="3"/>
      <c r="F9246" s="3"/>
      <c r="G9246" s="3"/>
      <c r="H9246" s="3"/>
      <c r="I9246" s="3"/>
      <c r="J9246" s="3"/>
      <c r="K9246" s="3"/>
      <c r="L9246" s="3"/>
      <c r="M9246" s="3"/>
      <c r="N9246" s="3"/>
      <c r="O9246" s="3"/>
    </row>
    <row r="9247" spans="1:15" ht="15" customHeight="1" x14ac:dyDescent="0.25">
      <c r="A9247" s="2"/>
      <c r="B9247" s="2"/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</row>
    <row r="9248" spans="1:15" ht="15" customHeight="1" x14ac:dyDescent="0.25">
      <c r="A9248" s="3"/>
      <c r="B9248" s="3"/>
      <c r="C9248" s="3"/>
      <c r="D9248" s="3"/>
      <c r="E9248" s="3"/>
      <c r="F9248" s="3"/>
      <c r="G9248" s="3"/>
      <c r="H9248" s="3"/>
      <c r="I9248" s="3"/>
      <c r="J9248" s="3"/>
      <c r="K9248" s="3"/>
      <c r="L9248" s="3"/>
      <c r="M9248" s="3"/>
      <c r="N9248" s="3"/>
      <c r="O9248" s="3"/>
    </row>
    <row r="9249" spans="1:15" ht="15" customHeight="1" x14ac:dyDescent="0.25">
      <c r="A9249" s="2"/>
      <c r="B9249" s="2"/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</row>
    <row r="9250" spans="1:15" ht="15" customHeight="1" x14ac:dyDescent="0.25">
      <c r="A9250" s="3"/>
      <c r="B9250" s="3"/>
      <c r="C9250" s="3"/>
      <c r="D9250" s="3"/>
      <c r="E9250" s="3"/>
      <c r="F9250" s="3"/>
      <c r="G9250" s="3"/>
      <c r="H9250" s="3"/>
      <c r="I9250" s="3"/>
      <c r="J9250" s="3"/>
      <c r="K9250" s="3"/>
      <c r="L9250" s="3"/>
      <c r="M9250" s="3"/>
      <c r="N9250" s="3"/>
      <c r="O9250" s="3"/>
    </row>
    <row r="9251" spans="1:15" ht="15" customHeight="1" x14ac:dyDescent="0.25">
      <c r="A9251" s="2"/>
      <c r="B9251" s="2"/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</row>
    <row r="9252" spans="1:15" ht="15" customHeight="1" x14ac:dyDescent="0.25">
      <c r="A9252" s="3"/>
      <c r="B9252" s="3"/>
      <c r="C9252" s="3"/>
      <c r="D9252" s="3"/>
      <c r="E9252" s="3"/>
      <c r="F9252" s="3"/>
      <c r="G9252" s="3"/>
      <c r="H9252" s="3"/>
      <c r="I9252" s="3"/>
      <c r="J9252" s="3"/>
      <c r="K9252" s="3"/>
      <c r="L9252" s="3"/>
      <c r="M9252" s="3"/>
      <c r="N9252" s="3"/>
      <c r="O9252" s="3"/>
    </row>
    <row r="9253" spans="1:15" ht="15" customHeight="1" x14ac:dyDescent="0.25">
      <c r="A9253" s="2"/>
      <c r="B9253" s="2"/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</row>
    <row r="9254" spans="1:15" ht="15" customHeight="1" x14ac:dyDescent="0.25">
      <c r="A9254" s="3"/>
      <c r="B9254" s="3"/>
      <c r="C9254" s="3"/>
      <c r="D9254" s="3"/>
      <c r="E9254" s="3"/>
      <c r="F9254" s="3"/>
      <c r="G9254" s="3"/>
      <c r="H9254" s="3"/>
      <c r="I9254" s="3"/>
      <c r="J9254" s="3"/>
      <c r="K9254" s="3"/>
      <c r="L9254" s="3"/>
      <c r="M9254" s="3"/>
      <c r="N9254" s="3"/>
      <c r="O9254" s="3"/>
    </row>
    <row r="9255" spans="1:15" ht="15" customHeight="1" x14ac:dyDescent="0.25">
      <c r="A9255" s="2"/>
      <c r="B9255" s="2"/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</row>
    <row r="9256" spans="1:15" ht="15" customHeight="1" x14ac:dyDescent="0.25">
      <c r="A9256" s="3"/>
      <c r="B9256" s="3"/>
      <c r="C9256" s="3"/>
      <c r="D9256" s="3"/>
      <c r="E9256" s="3"/>
      <c r="F9256" s="3"/>
      <c r="G9256" s="3"/>
      <c r="H9256" s="3"/>
      <c r="I9256" s="3"/>
      <c r="J9256" s="3"/>
      <c r="K9256" s="3"/>
      <c r="L9256" s="3"/>
      <c r="M9256" s="3"/>
      <c r="N9256" s="3"/>
      <c r="O9256" s="3"/>
    </row>
    <row r="9257" spans="1:15" ht="15" customHeight="1" x14ac:dyDescent="0.25">
      <c r="A9257" s="2"/>
      <c r="B9257" s="2"/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</row>
    <row r="9258" spans="1:15" ht="15" customHeight="1" x14ac:dyDescent="0.25">
      <c r="A9258" s="3"/>
      <c r="B9258" s="3"/>
      <c r="C9258" s="3"/>
      <c r="D9258" s="3"/>
      <c r="E9258" s="3"/>
      <c r="F9258" s="3"/>
      <c r="G9258" s="3"/>
      <c r="H9258" s="3"/>
      <c r="I9258" s="3"/>
      <c r="J9258" s="3"/>
      <c r="K9258" s="3"/>
      <c r="L9258" s="3"/>
      <c r="M9258" s="3"/>
      <c r="N9258" s="3"/>
      <c r="O9258" s="3"/>
    </row>
    <row r="9259" spans="1:15" ht="15" customHeight="1" x14ac:dyDescent="0.25">
      <c r="A9259" s="2"/>
      <c r="B9259" s="2"/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</row>
    <row r="9260" spans="1:15" ht="15" customHeight="1" x14ac:dyDescent="0.25">
      <c r="A9260" s="3"/>
      <c r="B9260" s="3"/>
      <c r="C9260" s="3"/>
      <c r="D9260" s="3"/>
      <c r="E9260" s="3"/>
      <c r="F9260" s="3"/>
      <c r="G9260" s="3"/>
      <c r="H9260" s="3"/>
      <c r="I9260" s="3"/>
      <c r="J9260" s="3"/>
      <c r="K9260" s="3"/>
      <c r="L9260" s="3"/>
      <c r="M9260" s="3"/>
      <c r="N9260" s="3"/>
      <c r="O9260" s="3"/>
    </row>
    <row r="9261" spans="1:15" ht="15" customHeight="1" x14ac:dyDescent="0.25">
      <c r="A9261" s="2"/>
      <c r="B9261" s="2"/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</row>
    <row r="9262" spans="1:15" ht="15" customHeight="1" x14ac:dyDescent="0.25">
      <c r="A9262" s="3"/>
      <c r="B9262" s="3"/>
      <c r="C9262" s="3"/>
      <c r="D9262" s="3"/>
      <c r="E9262" s="3"/>
      <c r="F9262" s="3"/>
      <c r="G9262" s="3"/>
      <c r="H9262" s="3"/>
      <c r="I9262" s="3"/>
      <c r="J9262" s="3"/>
      <c r="K9262" s="3"/>
      <c r="L9262" s="3"/>
      <c r="M9262" s="3"/>
      <c r="N9262" s="3"/>
      <c r="O9262" s="3"/>
    </row>
    <row r="9263" spans="1:15" ht="15" customHeight="1" x14ac:dyDescent="0.25">
      <c r="A9263" s="2"/>
      <c r="B9263" s="2"/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</row>
    <row r="9264" spans="1:15" ht="15" customHeight="1" x14ac:dyDescent="0.25">
      <c r="A9264" s="3"/>
      <c r="B9264" s="3"/>
      <c r="C9264" s="3"/>
      <c r="D9264" s="3"/>
      <c r="E9264" s="3"/>
      <c r="F9264" s="3"/>
      <c r="G9264" s="3"/>
      <c r="H9264" s="3"/>
      <c r="I9264" s="3"/>
      <c r="J9264" s="3"/>
      <c r="K9264" s="3"/>
      <c r="L9264" s="3"/>
      <c r="M9264" s="3"/>
      <c r="N9264" s="3"/>
      <c r="O9264" s="3"/>
    </row>
    <row r="9265" spans="1:15" ht="15" customHeight="1" x14ac:dyDescent="0.25">
      <c r="A9265" s="2"/>
      <c r="B9265" s="2"/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</row>
    <row r="9266" spans="1:15" ht="15" customHeight="1" x14ac:dyDescent="0.25">
      <c r="A9266" s="3"/>
      <c r="B9266" s="3"/>
      <c r="C9266" s="3"/>
      <c r="D9266" s="3"/>
      <c r="E9266" s="3"/>
      <c r="F9266" s="3"/>
      <c r="G9266" s="3"/>
      <c r="H9266" s="3"/>
      <c r="I9266" s="3"/>
      <c r="J9266" s="3"/>
      <c r="K9266" s="3"/>
      <c r="L9266" s="3"/>
      <c r="M9266" s="3"/>
      <c r="N9266" s="3"/>
      <c r="O9266" s="3"/>
    </row>
    <row r="9267" spans="1:15" ht="15" customHeight="1" x14ac:dyDescent="0.25">
      <c r="A9267" s="2"/>
      <c r="B9267" s="2"/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</row>
    <row r="9268" spans="1:15" ht="15" customHeight="1" x14ac:dyDescent="0.25">
      <c r="A9268" s="3"/>
      <c r="B9268" s="3"/>
      <c r="C9268" s="3"/>
      <c r="D9268" s="3"/>
      <c r="E9268" s="3"/>
      <c r="F9268" s="3"/>
      <c r="G9268" s="3"/>
      <c r="H9268" s="3"/>
      <c r="I9268" s="3"/>
      <c r="J9268" s="3"/>
      <c r="K9268" s="3"/>
      <c r="L9268" s="3"/>
      <c r="M9268" s="3"/>
      <c r="N9268" s="3"/>
      <c r="O9268" s="3"/>
    </row>
    <row r="9269" spans="1:15" ht="15" customHeight="1" x14ac:dyDescent="0.25">
      <c r="A9269" s="2"/>
      <c r="B9269" s="2"/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</row>
    <row r="9270" spans="1:15" ht="15" customHeight="1" x14ac:dyDescent="0.25">
      <c r="A9270" s="3"/>
      <c r="B9270" s="3"/>
      <c r="C9270" s="3"/>
      <c r="D9270" s="3"/>
      <c r="E9270" s="3"/>
      <c r="F9270" s="3"/>
      <c r="G9270" s="3"/>
      <c r="H9270" s="3"/>
      <c r="I9270" s="3"/>
      <c r="J9270" s="3"/>
      <c r="K9270" s="3"/>
      <c r="L9270" s="3"/>
      <c r="M9270" s="3"/>
      <c r="N9270" s="3"/>
      <c r="O9270" s="3"/>
    </row>
    <row r="9271" spans="1:15" ht="15" customHeight="1" x14ac:dyDescent="0.25">
      <c r="A9271" s="2"/>
      <c r="B9271" s="2"/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</row>
    <row r="9272" spans="1:15" ht="15" customHeight="1" x14ac:dyDescent="0.25">
      <c r="A9272" s="3"/>
      <c r="B9272" s="3"/>
      <c r="C9272" s="3"/>
      <c r="D9272" s="3"/>
      <c r="E9272" s="3"/>
      <c r="F9272" s="3"/>
      <c r="G9272" s="3"/>
      <c r="H9272" s="3"/>
      <c r="I9272" s="3"/>
      <c r="J9272" s="3"/>
      <c r="K9272" s="3"/>
      <c r="L9272" s="3"/>
      <c r="M9272" s="3"/>
      <c r="N9272" s="3"/>
      <c r="O9272" s="3"/>
    </row>
    <row r="9273" spans="1:15" ht="15" customHeight="1" x14ac:dyDescent="0.25">
      <c r="A9273" s="2"/>
      <c r="B9273" s="2"/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</row>
    <row r="9274" spans="1:15" ht="15" customHeight="1" x14ac:dyDescent="0.25">
      <c r="A9274" s="3"/>
      <c r="B9274" s="3"/>
      <c r="C9274" s="3"/>
      <c r="D9274" s="3"/>
      <c r="E9274" s="3"/>
      <c r="F9274" s="3"/>
      <c r="G9274" s="3"/>
      <c r="H9274" s="3"/>
      <c r="I9274" s="3"/>
      <c r="J9274" s="3"/>
      <c r="K9274" s="3"/>
      <c r="L9274" s="3"/>
      <c r="M9274" s="3"/>
      <c r="N9274" s="3"/>
      <c r="O9274" s="3"/>
    </row>
    <row r="9275" spans="1:15" ht="15" customHeight="1" x14ac:dyDescent="0.25">
      <c r="A9275" s="2"/>
      <c r="B9275" s="2"/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</row>
    <row r="9276" spans="1:15" ht="15" customHeight="1" x14ac:dyDescent="0.25">
      <c r="A9276" s="3"/>
      <c r="B9276" s="3"/>
      <c r="C9276" s="3"/>
      <c r="D9276" s="3"/>
      <c r="E9276" s="3"/>
      <c r="F9276" s="3"/>
      <c r="G9276" s="3"/>
      <c r="H9276" s="3"/>
      <c r="I9276" s="3"/>
      <c r="J9276" s="3"/>
      <c r="K9276" s="3"/>
      <c r="L9276" s="3"/>
      <c r="M9276" s="3"/>
      <c r="N9276" s="3"/>
      <c r="O9276" s="3"/>
    </row>
    <row r="9277" spans="1:15" ht="15" customHeight="1" x14ac:dyDescent="0.25">
      <c r="A9277" s="2"/>
      <c r="B9277" s="2"/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</row>
    <row r="9278" spans="1:15" ht="15" customHeight="1" x14ac:dyDescent="0.25">
      <c r="A9278" s="3"/>
      <c r="B9278" s="3"/>
      <c r="C9278" s="3"/>
      <c r="D9278" s="3"/>
      <c r="E9278" s="3"/>
      <c r="F9278" s="3"/>
      <c r="G9278" s="3"/>
      <c r="H9278" s="3"/>
      <c r="I9278" s="3"/>
      <c r="J9278" s="3"/>
      <c r="K9278" s="3"/>
      <c r="L9278" s="3"/>
      <c r="M9278" s="3"/>
      <c r="N9278" s="3"/>
      <c r="O9278" s="3"/>
    </row>
    <row r="9279" spans="1:15" ht="15" customHeight="1" x14ac:dyDescent="0.25">
      <c r="A9279" s="2"/>
      <c r="B9279" s="2"/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</row>
    <row r="9280" spans="1:15" ht="15" customHeight="1" x14ac:dyDescent="0.25">
      <c r="A9280" s="3"/>
      <c r="B9280" s="3"/>
      <c r="C9280" s="3"/>
      <c r="D9280" s="3"/>
      <c r="E9280" s="3"/>
      <c r="F9280" s="3"/>
      <c r="G9280" s="3"/>
      <c r="H9280" s="3"/>
      <c r="I9280" s="3"/>
      <c r="J9280" s="3"/>
      <c r="K9280" s="3"/>
      <c r="L9280" s="3"/>
      <c r="M9280" s="3"/>
      <c r="N9280" s="3"/>
      <c r="O9280" s="3"/>
    </row>
    <row r="9281" spans="1:15" ht="15" customHeight="1" x14ac:dyDescent="0.25">
      <c r="A9281" s="2"/>
      <c r="B9281" s="2"/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</row>
    <row r="9282" spans="1:15" ht="15" customHeight="1" x14ac:dyDescent="0.25">
      <c r="A9282" s="3"/>
      <c r="B9282" s="3"/>
      <c r="C9282" s="3"/>
      <c r="D9282" s="3"/>
      <c r="E9282" s="3"/>
      <c r="F9282" s="3"/>
      <c r="G9282" s="3"/>
      <c r="H9282" s="3"/>
      <c r="I9282" s="3"/>
      <c r="J9282" s="3"/>
      <c r="K9282" s="3"/>
      <c r="L9282" s="3"/>
      <c r="M9282" s="3"/>
      <c r="N9282" s="3"/>
      <c r="O9282" s="3"/>
    </row>
    <row r="9283" spans="1:15" ht="15" customHeight="1" x14ac:dyDescent="0.25">
      <c r="A9283" s="2"/>
      <c r="B9283" s="2"/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</row>
    <row r="9284" spans="1:15" ht="15" customHeight="1" x14ac:dyDescent="0.25">
      <c r="A9284" s="3"/>
      <c r="B9284" s="3"/>
      <c r="C9284" s="3"/>
      <c r="D9284" s="3"/>
      <c r="E9284" s="3"/>
      <c r="F9284" s="3"/>
      <c r="G9284" s="3"/>
      <c r="H9284" s="3"/>
      <c r="I9284" s="3"/>
      <c r="J9284" s="3"/>
      <c r="K9284" s="3"/>
      <c r="L9284" s="3"/>
      <c r="M9284" s="3"/>
      <c r="N9284" s="3"/>
      <c r="O9284" s="3"/>
    </row>
    <row r="9285" spans="1:15" ht="15" customHeight="1" x14ac:dyDescent="0.25">
      <c r="A9285" s="2"/>
      <c r="B9285" s="2"/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</row>
    <row r="9286" spans="1:15" ht="15" customHeight="1" x14ac:dyDescent="0.25">
      <c r="A9286" s="3"/>
      <c r="B9286" s="3"/>
      <c r="C9286" s="3"/>
      <c r="D9286" s="3"/>
      <c r="E9286" s="3"/>
      <c r="F9286" s="3"/>
      <c r="G9286" s="3"/>
      <c r="H9286" s="3"/>
      <c r="I9286" s="3"/>
      <c r="J9286" s="3"/>
      <c r="K9286" s="3"/>
      <c r="L9286" s="3"/>
      <c r="M9286" s="3"/>
      <c r="N9286" s="3"/>
      <c r="O9286" s="3"/>
    </row>
    <row r="9287" spans="1:15" ht="15" customHeight="1" x14ac:dyDescent="0.25">
      <c r="A9287" s="2"/>
      <c r="B9287" s="2"/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</row>
    <row r="9288" spans="1:15" ht="15" customHeight="1" x14ac:dyDescent="0.25">
      <c r="A9288" s="3"/>
      <c r="B9288" s="3"/>
      <c r="C9288" s="3"/>
      <c r="D9288" s="3"/>
      <c r="E9288" s="3"/>
      <c r="F9288" s="3"/>
      <c r="G9288" s="3"/>
      <c r="H9288" s="3"/>
      <c r="I9288" s="3"/>
      <c r="J9288" s="3"/>
      <c r="K9288" s="3"/>
      <c r="L9288" s="3"/>
      <c r="M9288" s="3"/>
      <c r="N9288" s="3"/>
      <c r="O9288" s="3"/>
    </row>
    <row r="9289" spans="1:15" ht="15" customHeight="1" x14ac:dyDescent="0.25">
      <c r="A9289" s="2"/>
      <c r="B9289" s="2"/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</row>
    <row r="9290" spans="1:15" ht="15" customHeight="1" x14ac:dyDescent="0.25">
      <c r="A9290" s="3"/>
      <c r="B9290" s="3"/>
      <c r="C9290" s="3"/>
      <c r="D9290" s="3"/>
      <c r="E9290" s="3"/>
      <c r="F9290" s="3"/>
      <c r="G9290" s="3"/>
      <c r="H9290" s="3"/>
      <c r="I9290" s="3"/>
      <c r="J9290" s="3"/>
      <c r="K9290" s="3"/>
      <c r="L9290" s="3"/>
      <c r="M9290" s="3"/>
      <c r="N9290" s="3"/>
      <c r="O9290" s="3"/>
    </row>
    <row r="9291" spans="1:15" ht="15" customHeight="1" x14ac:dyDescent="0.25">
      <c r="A9291" s="2"/>
      <c r="B9291" s="2"/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</row>
    <row r="9292" spans="1:15" ht="15" customHeight="1" x14ac:dyDescent="0.25">
      <c r="A9292" s="3"/>
      <c r="B9292" s="3"/>
      <c r="C9292" s="3"/>
      <c r="D9292" s="3"/>
      <c r="E9292" s="3"/>
      <c r="F9292" s="3"/>
      <c r="G9292" s="3"/>
      <c r="H9292" s="3"/>
      <c r="I9292" s="3"/>
      <c r="J9292" s="3"/>
      <c r="K9292" s="3"/>
      <c r="L9292" s="3"/>
      <c r="M9292" s="3"/>
      <c r="N9292" s="3"/>
      <c r="O9292" s="3"/>
    </row>
    <row r="9293" spans="1:15" ht="15" customHeight="1" x14ac:dyDescent="0.25">
      <c r="A9293" s="2"/>
      <c r="B9293" s="2"/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</row>
    <row r="9294" spans="1:15" ht="15" customHeight="1" x14ac:dyDescent="0.25">
      <c r="A9294" s="3"/>
      <c r="B9294" s="3"/>
      <c r="C9294" s="3"/>
      <c r="D9294" s="3"/>
      <c r="E9294" s="3"/>
      <c r="F9294" s="3"/>
      <c r="G9294" s="3"/>
      <c r="H9294" s="3"/>
      <c r="I9294" s="3"/>
      <c r="J9294" s="3"/>
      <c r="K9294" s="3"/>
      <c r="L9294" s="3"/>
      <c r="M9294" s="3"/>
      <c r="N9294" s="3"/>
      <c r="O9294" s="3"/>
    </row>
    <row r="9295" spans="1:15" ht="15" customHeight="1" x14ac:dyDescent="0.25">
      <c r="A9295" s="2"/>
      <c r="B9295" s="2"/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</row>
    <row r="9296" spans="1:15" ht="15" customHeight="1" x14ac:dyDescent="0.25">
      <c r="A9296" s="3"/>
      <c r="B9296" s="3"/>
      <c r="C9296" s="3"/>
      <c r="D9296" s="3"/>
      <c r="E9296" s="3"/>
      <c r="F9296" s="3"/>
      <c r="G9296" s="3"/>
      <c r="H9296" s="3"/>
      <c r="I9296" s="3"/>
      <c r="J9296" s="3"/>
      <c r="K9296" s="3"/>
      <c r="L9296" s="3"/>
      <c r="M9296" s="3"/>
      <c r="N9296" s="3"/>
      <c r="O9296" s="3"/>
    </row>
    <row r="9297" spans="1:15" ht="15" customHeight="1" x14ac:dyDescent="0.25">
      <c r="A9297" s="2"/>
      <c r="B9297" s="2"/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</row>
    <row r="9298" spans="1:15" ht="15" customHeight="1" x14ac:dyDescent="0.25">
      <c r="A9298" s="3"/>
      <c r="B9298" s="3"/>
      <c r="C9298" s="3"/>
      <c r="D9298" s="3"/>
      <c r="E9298" s="3"/>
      <c r="F9298" s="3"/>
      <c r="G9298" s="3"/>
      <c r="H9298" s="3"/>
      <c r="I9298" s="3"/>
      <c r="J9298" s="3"/>
      <c r="K9298" s="3"/>
      <c r="L9298" s="3"/>
      <c r="M9298" s="3"/>
      <c r="N9298" s="3"/>
      <c r="O9298" s="3"/>
    </row>
    <row r="9299" spans="1:15" ht="15" customHeight="1" x14ac:dyDescent="0.25">
      <c r="A9299" s="2"/>
      <c r="B9299" s="2"/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</row>
    <row r="9300" spans="1:15" ht="15" customHeight="1" x14ac:dyDescent="0.25">
      <c r="A9300" s="3"/>
      <c r="B9300" s="3"/>
      <c r="C9300" s="3"/>
      <c r="D9300" s="3"/>
      <c r="E9300" s="3"/>
      <c r="F9300" s="3"/>
      <c r="G9300" s="3"/>
      <c r="H9300" s="3"/>
      <c r="I9300" s="3"/>
      <c r="J9300" s="3"/>
      <c r="K9300" s="3"/>
      <c r="L9300" s="3"/>
      <c r="M9300" s="3"/>
      <c r="N9300" s="3"/>
      <c r="O9300" s="3"/>
    </row>
    <row r="9301" spans="1:15" ht="15" customHeight="1" x14ac:dyDescent="0.25">
      <c r="A9301" s="2"/>
      <c r="B9301" s="2"/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</row>
    <row r="9302" spans="1:15" ht="15" customHeight="1" x14ac:dyDescent="0.25">
      <c r="A9302" s="3"/>
      <c r="B9302" s="3"/>
      <c r="C9302" s="3"/>
      <c r="D9302" s="3"/>
      <c r="E9302" s="3"/>
      <c r="F9302" s="3"/>
      <c r="G9302" s="3"/>
      <c r="H9302" s="3"/>
      <c r="I9302" s="3"/>
      <c r="J9302" s="3"/>
      <c r="K9302" s="3"/>
      <c r="L9302" s="3"/>
      <c r="M9302" s="3"/>
      <c r="N9302" s="3"/>
      <c r="O9302" s="3"/>
    </row>
    <row r="9303" spans="1:15" ht="15" customHeight="1" x14ac:dyDescent="0.25">
      <c r="A9303" s="2"/>
      <c r="B9303" s="2"/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</row>
    <row r="9304" spans="1:15" ht="15" customHeight="1" x14ac:dyDescent="0.25">
      <c r="A9304" s="3"/>
      <c r="B9304" s="3"/>
      <c r="C9304" s="3"/>
      <c r="D9304" s="3"/>
      <c r="E9304" s="3"/>
      <c r="F9304" s="3"/>
      <c r="G9304" s="3"/>
      <c r="H9304" s="3"/>
      <c r="I9304" s="3"/>
      <c r="J9304" s="3"/>
      <c r="K9304" s="3"/>
      <c r="L9304" s="3"/>
      <c r="M9304" s="3"/>
      <c r="N9304" s="3"/>
      <c r="O9304" s="3"/>
    </row>
    <row r="9305" spans="1:15" ht="15" customHeight="1" x14ac:dyDescent="0.25">
      <c r="A9305" s="2"/>
      <c r="B9305" s="2"/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</row>
    <row r="9306" spans="1:15" ht="15" customHeight="1" x14ac:dyDescent="0.25">
      <c r="A9306" s="3"/>
      <c r="B9306" s="3"/>
      <c r="C9306" s="3"/>
      <c r="D9306" s="3"/>
      <c r="E9306" s="3"/>
      <c r="F9306" s="3"/>
      <c r="G9306" s="3"/>
      <c r="H9306" s="3"/>
      <c r="I9306" s="3"/>
      <c r="J9306" s="3"/>
      <c r="K9306" s="3"/>
      <c r="L9306" s="3"/>
      <c r="M9306" s="3"/>
      <c r="N9306" s="3"/>
      <c r="O9306" s="3"/>
    </row>
    <row r="9307" spans="1:15" ht="15" customHeight="1" x14ac:dyDescent="0.25">
      <c r="A9307" s="2"/>
      <c r="B9307" s="2"/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</row>
    <row r="9308" spans="1:15" ht="15" customHeight="1" x14ac:dyDescent="0.25">
      <c r="A9308" s="3"/>
      <c r="B9308" s="3"/>
      <c r="C9308" s="3"/>
      <c r="D9308" s="3"/>
      <c r="E9308" s="3"/>
      <c r="F9308" s="3"/>
      <c r="G9308" s="3"/>
      <c r="H9308" s="3"/>
      <c r="I9308" s="3"/>
      <c r="J9308" s="3"/>
      <c r="K9308" s="3"/>
      <c r="L9308" s="3"/>
      <c r="M9308" s="3"/>
      <c r="N9308" s="3"/>
      <c r="O9308" s="3"/>
    </row>
    <row r="9309" spans="1:15" ht="15" customHeight="1" x14ac:dyDescent="0.25">
      <c r="A9309" s="2"/>
      <c r="B9309" s="2"/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</row>
    <row r="9310" spans="1:15" ht="15" customHeight="1" x14ac:dyDescent="0.25">
      <c r="A9310" s="3"/>
      <c r="B9310" s="3"/>
      <c r="C9310" s="3"/>
      <c r="D9310" s="3"/>
      <c r="E9310" s="3"/>
      <c r="F9310" s="3"/>
      <c r="G9310" s="3"/>
      <c r="H9310" s="3"/>
      <c r="I9310" s="3"/>
      <c r="J9310" s="3"/>
      <c r="K9310" s="3"/>
      <c r="L9310" s="3"/>
      <c r="M9310" s="3"/>
      <c r="N9310" s="3"/>
      <c r="O9310" s="3"/>
    </row>
    <row r="9311" spans="1:15" ht="15" customHeight="1" x14ac:dyDescent="0.25">
      <c r="A9311" s="2"/>
      <c r="B9311" s="2"/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</row>
    <row r="9312" spans="1:15" ht="15" customHeight="1" x14ac:dyDescent="0.25">
      <c r="A9312" s="3"/>
      <c r="B9312" s="3"/>
      <c r="C9312" s="3"/>
      <c r="D9312" s="3"/>
      <c r="E9312" s="3"/>
      <c r="F9312" s="3"/>
      <c r="G9312" s="3"/>
      <c r="H9312" s="3"/>
      <c r="I9312" s="3"/>
      <c r="J9312" s="3"/>
      <c r="K9312" s="3"/>
      <c r="L9312" s="3"/>
      <c r="M9312" s="3"/>
      <c r="N9312" s="3"/>
      <c r="O9312" s="3"/>
    </row>
    <row r="9313" spans="1:15" ht="15" customHeight="1" x14ac:dyDescent="0.25">
      <c r="A9313" s="2"/>
      <c r="B9313" s="2"/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</row>
    <row r="9314" spans="1:15" ht="15" customHeight="1" x14ac:dyDescent="0.25">
      <c r="A9314" s="3"/>
      <c r="B9314" s="3"/>
      <c r="C9314" s="3"/>
      <c r="D9314" s="3"/>
      <c r="E9314" s="3"/>
      <c r="F9314" s="3"/>
      <c r="G9314" s="3"/>
      <c r="H9314" s="3"/>
      <c r="I9314" s="3"/>
      <c r="J9314" s="3"/>
      <c r="K9314" s="3"/>
      <c r="L9314" s="3"/>
      <c r="M9314" s="3"/>
      <c r="N9314" s="3"/>
      <c r="O9314" s="3"/>
    </row>
    <row r="9315" spans="1:15" ht="15" customHeight="1" x14ac:dyDescent="0.25">
      <c r="A9315" s="2"/>
      <c r="B9315" s="2"/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</row>
    <row r="9316" spans="1:15" ht="15" customHeight="1" x14ac:dyDescent="0.25">
      <c r="A9316" s="3"/>
      <c r="B9316" s="3"/>
      <c r="C9316" s="3"/>
      <c r="D9316" s="3"/>
      <c r="E9316" s="3"/>
      <c r="F9316" s="3"/>
      <c r="G9316" s="3"/>
      <c r="H9316" s="3"/>
      <c r="I9316" s="3"/>
      <c r="J9316" s="3"/>
      <c r="K9316" s="3"/>
      <c r="L9316" s="3"/>
      <c r="M9316" s="3"/>
      <c r="N9316" s="3"/>
      <c r="O9316" s="3"/>
    </row>
    <row r="9317" spans="1:15" ht="15" customHeight="1" x14ac:dyDescent="0.25">
      <c r="A9317" s="2"/>
      <c r="B9317" s="2"/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</row>
    <row r="9318" spans="1:15" ht="15" customHeight="1" x14ac:dyDescent="0.25">
      <c r="A9318" s="3"/>
      <c r="B9318" s="3"/>
      <c r="C9318" s="3"/>
      <c r="D9318" s="3"/>
      <c r="E9318" s="3"/>
      <c r="F9318" s="3"/>
      <c r="G9318" s="3"/>
      <c r="H9318" s="3"/>
      <c r="I9318" s="3"/>
      <c r="J9318" s="3"/>
      <c r="K9318" s="3"/>
      <c r="L9318" s="3"/>
      <c r="M9318" s="3"/>
      <c r="N9318" s="3"/>
      <c r="O9318" s="3"/>
    </row>
    <row r="9319" spans="1:15" ht="15" customHeight="1" x14ac:dyDescent="0.25">
      <c r="A9319" s="2"/>
      <c r="B9319" s="2"/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</row>
    <row r="9320" spans="1:15" ht="15" customHeight="1" x14ac:dyDescent="0.25">
      <c r="A9320" s="3"/>
      <c r="B9320" s="3"/>
      <c r="C9320" s="3"/>
      <c r="D9320" s="3"/>
      <c r="E9320" s="3"/>
      <c r="F9320" s="3"/>
      <c r="G9320" s="3"/>
      <c r="H9320" s="3"/>
      <c r="I9320" s="3"/>
      <c r="J9320" s="3"/>
      <c r="K9320" s="3"/>
      <c r="L9320" s="3"/>
      <c r="M9320" s="3"/>
      <c r="N9320" s="3"/>
      <c r="O9320" s="3"/>
    </row>
    <row r="9321" spans="1:15" ht="15" customHeight="1" x14ac:dyDescent="0.25">
      <c r="A9321" s="2"/>
      <c r="B9321" s="2"/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</row>
    <row r="9322" spans="1:15" ht="15" customHeight="1" x14ac:dyDescent="0.25">
      <c r="A9322" s="3"/>
      <c r="B9322" s="3"/>
      <c r="C9322" s="3"/>
      <c r="D9322" s="3"/>
      <c r="E9322" s="3"/>
      <c r="F9322" s="3"/>
      <c r="G9322" s="3"/>
      <c r="H9322" s="3"/>
      <c r="I9322" s="3"/>
      <c r="J9322" s="3"/>
      <c r="K9322" s="3"/>
      <c r="L9322" s="3"/>
      <c r="M9322" s="3"/>
      <c r="N9322" s="3"/>
      <c r="O9322" s="3"/>
    </row>
    <row r="9323" spans="1:15" ht="15" customHeight="1" x14ac:dyDescent="0.25">
      <c r="A9323" s="2"/>
      <c r="B9323" s="2"/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</row>
    <row r="9324" spans="1:15" ht="15" customHeight="1" x14ac:dyDescent="0.25">
      <c r="A9324" s="3"/>
      <c r="B9324" s="3"/>
      <c r="C9324" s="3"/>
      <c r="D9324" s="3"/>
      <c r="E9324" s="3"/>
      <c r="F9324" s="3"/>
      <c r="G9324" s="3"/>
      <c r="H9324" s="3"/>
      <c r="I9324" s="3"/>
      <c r="J9324" s="3"/>
      <c r="K9324" s="3"/>
      <c r="L9324" s="3"/>
      <c r="M9324" s="3"/>
      <c r="N9324" s="3"/>
      <c r="O9324" s="3"/>
    </row>
    <row r="9325" spans="1:15" ht="15" customHeight="1" x14ac:dyDescent="0.25">
      <c r="A9325" s="2"/>
      <c r="B9325" s="2"/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</row>
    <row r="9326" spans="1:15" ht="15" customHeight="1" x14ac:dyDescent="0.25">
      <c r="A9326" s="3"/>
      <c r="B9326" s="3"/>
      <c r="C9326" s="3"/>
      <c r="D9326" s="3"/>
      <c r="E9326" s="3"/>
      <c r="F9326" s="3"/>
      <c r="G9326" s="3"/>
      <c r="H9326" s="3"/>
      <c r="I9326" s="3"/>
      <c r="J9326" s="3"/>
      <c r="K9326" s="3"/>
      <c r="L9326" s="3"/>
      <c r="M9326" s="3"/>
      <c r="N9326" s="3"/>
      <c r="O9326" s="3"/>
    </row>
    <row r="9327" spans="1:15" ht="15" customHeight="1" x14ac:dyDescent="0.25">
      <c r="A9327" s="2"/>
      <c r="B9327" s="2"/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</row>
    <row r="9328" spans="1:15" ht="15" customHeight="1" x14ac:dyDescent="0.25">
      <c r="A9328" s="3"/>
      <c r="B9328" s="3"/>
      <c r="C9328" s="3"/>
      <c r="D9328" s="3"/>
      <c r="E9328" s="3"/>
      <c r="F9328" s="3"/>
      <c r="G9328" s="3"/>
      <c r="H9328" s="3"/>
      <c r="I9328" s="3"/>
      <c r="J9328" s="3"/>
      <c r="K9328" s="3"/>
      <c r="L9328" s="3"/>
      <c r="M9328" s="3"/>
      <c r="N9328" s="3"/>
      <c r="O9328" s="3"/>
    </row>
    <row r="9329" spans="1:15" ht="15" customHeight="1" x14ac:dyDescent="0.25">
      <c r="A9329" s="2"/>
      <c r="B9329" s="2"/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</row>
    <row r="9330" spans="1:15" ht="15" customHeight="1" x14ac:dyDescent="0.25">
      <c r="A9330" s="3"/>
      <c r="B9330" s="3"/>
      <c r="C9330" s="3"/>
      <c r="D9330" s="3"/>
      <c r="E9330" s="3"/>
      <c r="F9330" s="3"/>
      <c r="G9330" s="3"/>
      <c r="H9330" s="3"/>
      <c r="I9330" s="3"/>
      <c r="J9330" s="3"/>
      <c r="K9330" s="3"/>
      <c r="L9330" s="3"/>
      <c r="M9330" s="3"/>
      <c r="N9330" s="3"/>
      <c r="O9330" s="3"/>
    </row>
    <row r="9331" spans="1:15" ht="15" customHeight="1" x14ac:dyDescent="0.25">
      <c r="A9331" s="2"/>
      <c r="B9331" s="2"/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</row>
    <row r="9332" spans="1:15" ht="15" customHeight="1" x14ac:dyDescent="0.25">
      <c r="A9332" s="3"/>
      <c r="B9332" s="3"/>
      <c r="C9332" s="3"/>
      <c r="D9332" s="3"/>
      <c r="E9332" s="3"/>
      <c r="F9332" s="3"/>
      <c r="G9332" s="3"/>
      <c r="H9332" s="3"/>
      <c r="I9332" s="3"/>
      <c r="J9332" s="3"/>
      <c r="K9332" s="3"/>
      <c r="L9332" s="3"/>
      <c r="M9332" s="3"/>
      <c r="N9332" s="3"/>
      <c r="O9332" s="3"/>
    </row>
    <row r="9333" spans="1:15" ht="15" customHeight="1" x14ac:dyDescent="0.25">
      <c r="A9333" s="2"/>
      <c r="B9333" s="2"/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</row>
    <row r="9334" spans="1:15" ht="15" customHeight="1" x14ac:dyDescent="0.25">
      <c r="A9334" s="3"/>
      <c r="B9334" s="3"/>
      <c r="C9334" s="3"/>
      <c r="D9334" s="3"/>
      <c r="E9334" s="3"/>
      <c r="F9334" s="3"/>
      <c r="G9334" s="3"/>
      <c r="H9334" s="3"/>
      <c r="I9334" s="3"/>
      <c r="J9334" s="3"/>
      <c r="K9334" s="3"/>
      <c r="L9334" s="3"/>
      <c r="M9334" s="3"/>
      <c r="N9334" s="3"/>
      <c r="O9334" s="3"/>
    </row>
    <row r="9335" spans="1:15" ht="15" customHeight="1" x14ac:dyDescent="0.25">
      <c r="A9335" s="2"/>
      <c r="B9335" s="2"/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</row>
    <row r="9336" spans="1:15" ht="15" customHeight="1" x14ac:dyDescent="0.25">
      <c r="A9336" s="3"/>
      <c r="B9336" s="3"/>
      <c r="C9336" s="3"/>
      <c r="D9336" s="3"/>
      <c r="E9336" s="3"/>
      <c r="F9336" s="3"/>
      <c r="G9336" s="3"/>
      <c r="H9336" s="3"/>
      <c r="I9336" s="3"/>
      <c r="J9336" s="3"/>
      <c r="K9336" s="3"/>
      <c r="L9336" s="3"/>
      <c r="M9336" s="3"/>
      <c r="N9336" s="3"/>
      <c r="O9336" s="3"/>
    </row>
    <row r="9337" spans="1:15" ht="15" customHeight="1" x14ac:dyDescent="0.25">
      <c r="A9337" s="2"/>
      <c r="B9337" s="2"/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</row>
    <row r="9338" spans="1:15" ht="15" customHeight="1" x14ac:dyDescent="0.25">
      <c r="A9338" s="3"/>
      <c r="B9338" s="3"/>
      <c r="C9338" s="3"/>
      <c r="D9338" s="3"/>
      <c r="E9338" s="3"/>
      <c r="F9338" s="3"/>
      <c r="G9338" s="3"/>
      <c r="H9338" s="3"/>
      <c r="I9338" s="3"/>
      <c r="J9338" s="3"/>
      <c r="K9338" s="3"/>
      <c r="L9338" s="3"/>
      <c r="M9338" s="3"/>
      <c r="N9338" s="3"/>
      <c r="O9338" s="3"/>
    </row>
    <row r="9339" spans="1:15" ht="15" customHeight="1" x14ac:dyDescent="0.25">
      <c r="A9339" s="2"/>
      <c r="B9339" s="2"/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</row>
    <row r="9340" spans="1:15" ht="15" customHeight="1" x14ac:dyDescent="0.25">
      <c r="A9340" s="3"/>
      <c r="B9340" s="3"/>
      <c r="C9340" s="3"/>
      <c r="D9340" s="3"/>
      <c r="E9340" s="3"/>
      <c r="F9340" s="3"/>
      <c r="G9340" s="3"/>
      <c r="H9340" s="3"/>
      <c r="I9340" s="3"/>
      <c r="J9340" s="3"/>
      <c r="K9340" s="3"/>
      <c r="L9340" s="3"/>
      <c r="M9340" s="3"/>
      <c r="N9340" s="3"/>
      <c r="O9340" s="3"/>
    </row>
    <row r="9341" spans="1:15" ht="15" customHeight="1" x14ac:dyDescent="0.25">
      <c r="A9341" s="2"/>
      <c r="B9341" s="2"/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</row>
    <row r="9342" spans="1:15" ht="15" customHeight="1" x14ac:dyDescent="0.25">
      <c r="A9342" s="3"/>
      <c r="B9342" s="3"/>
      <c r="C9342" s="3"/>
      <c r="D9342" s="3"/>
      <c r="E9342" s="3"/>
      <c r="F9342" s="3"/>
      <c r="G9342" s="3"/>
      <c r="H9342" s="3"/>
      <c r="I9342" s="3"/>
      <c r="J9342" s="3"/>
      <c r="K9342" s="3"/>
      <c r="L9342" s="3"/>
      <c r="M9342" s="3"/>
      <c r="N9342" s="3"/>
      <c r="O9342" s="3"/>
    </row>
    <row r="9343" spans="1:15" ht="15" customHeight="1" x14ac:dyDescent="0.25">
      <c r="A9343" s="2"/>
      <c r="B9343" s="2"/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</row>
    <row r="9344" spans="1:15" ht="15" customHeight="1" x14ac:dyDescent="0.25">
      <c r="A9344" s="3"/>
      <c r="B9344" s="3"/>
      <c r="C9344" s="3"/>
      <c r="D9344" s="3"/>
      <c r="E9344" s="3"/>
      <c r="F9344" s="3"/>
      <c r="G9344" s="3"/>
      <c r="H9344" s="3"/>
      <c r="I9344" s="3"/>
      <c r="J9344" s="3"/>
      <c r="K9344" s="3"/>
      <c r="L9344" s="3"/>
      <c r="M9344" s="3"/>
      <c r="N9344" s="3"/>
      <c r="O9344" s="3"/>
    </row>
    <row r="9345" spans="1:15" ht="15" customHeight="1" x14ac:dyDescent="0.25">
      <c r="A9345" s="2"/>
      <c r="B9345" s="2"/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</row>
    <row r="9346" spans="1:15" ht="15" customHeight="1" x14ac:dyDescent="0.25">
      <c r="A9346" s="3"/>
      <c r="B9346" s="3"/>
      <c r="C9346" s="3"/>
      <c r="D9346" s="3"/>
      <c r="E9346" s="3"/>
      <c r="F9346" s="3"/>
      <c r="G9346" s="3"/>
      <c r="H9346" s="3"/>
      <c r="I9346" s="3"/>
      <c r="J9346" s="3"/>
      <c r="K9346" s="3"/>
      <c r="L9346" s="3"/>
      <c r="M9346" s="3"/>
      <c r="N9346" s="3"/>
      <c r="O9346" s="3"/>
    </row>
    <row r="9347" spans="1:15" ht="15" customHeight="1" x14ac:dyDescent="0.25">
      <c r="A9347" s="2"/>
      <c r="B9347" s="2"/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</row>
    <row r="9348" spans="1:15" ht="15" customHeight="1" x14ac:dyDescent="0.25">
      <c r="A9348" s="3"/>
      <c r="B9348" s="3"/>
      <c r="C9348" s="3"/>
      <c r="D9348" s="3"/>
      <c r="E9348" s="3"/>
      <c r="F9348" s="3"/>
      <c r="G9348" s="3"/>
      <c r="H9348" s="3"/>
      <c r="I9348" s="3"/>
      <c r="J9348" s="3"/>
      <c r="K9348" s="3"/>
      <c r="L9348" s="3"/>
      <c r="M9348" s="3"/>
      <c r="N9348" s="3"/>
      <c r="O9348" s="3"/>
    </row>
    <row r="9349" spans="1:15" ht="15" customHeight="1" x14ac:dyDescent="0.25">
      <c r="A9349" s="2"/>
      <c r="B9349" s="2"/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</row>
    <row r="9350" spans="1:15" ht="15" customHeight="1" x14ac:dyDescent="0.25">
      <c r="A9350" s="3"/>
      <c r="B9350" s="3"/>
      <c r="C9350" s="3"/>
      <c r="D9350" s="3"/>
      <c r="E9350" s="3"/>
      <c r="F9350" s="3"/>
      <c r="G9350" s="3"/>
      <c r="H9350" s="3"/>
      <c r="I9350" s="3"/>
      <c r="J9350" s="3"/>
      <c r="K9350" s="3"/>
      <c r="L9350" s="3"/>
      <c r="M9350" s="3"/>
      <c r="N9350" s="3"/>
      <c r="O9350" s="3"/>
    </row>
    <row r="9351" spans="1:15" ht="15" customHeight="1" x14ac:dyDescent="0.25">
      <c r="A9351" s="2"/>
      <c r="B9351" s="2"/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</row>
    <row r="9352" spans="1:15" ht="15" customHeight="1" x14ac:dyDescent="0.25">
      <c r="A9352" s="3"/>
      <c r="B9352" s="3"/>
      <c r="C9352" s="3"/>
      <c r="D9352" s="3"/>
      <c r="E9352" s="3"/>
      <c r="F9352" s="3"/>
      <c r="G9352" s="3"/>
      <c r="H9352" s="3"/>
      <c r="I9352" s="3"/>
      <c r="J9352" s="3"/>
      <c r="K9352" s="3"/>
      <c r="L9352" s="3"/>
      <c r="M9352" s="3"/>
      <c r="N9352" s="3"/>
      <c r="O9352" s="3"/>
    </row>
    <row r="9353" spans="1:15" ht="15" customHeight="1" x14ac:dyDescent="0.25">
      <c r="A9353" s="2"/>
      <c r="B9353" s="2"/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</row>
    <row r="9354" spans="1:15" ht="15" customHeight="1" x14ac:dyDescent="0.25">
      <c r="A9354" s="3"/>
      <c r="B9354" s="3"/>
      <c r="C9354" s="3"/>
      <c r="D9354" s="3"/>
      <c r="E9354" s="3"/>
      <c r="F9354" s="3"/>
      <c r="G9354" s="3"/>
      <c r="H9354" s="3"/>
      <c r="I9354" s="3"/>
      <c r="J9354" s="3"/>
      <c r="K9354" s="3"/>
      <c r="L9354" s="3"/>
      <c r="M9354" s="3"/>
      <c r="N9354" s="3"/>
      <c r="O9354" s="3"/>
    </row>
    <row r="9355" spans="1:15" ht="15" customHeight="1" x14ac:dyDescent="0.25">
      <c r="A9355" s="2"/>
      <c r="B9355" s="2"/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</row>
    <row r="9356" spans="1:15" ht="15" customHeight="1" x14ac:dyDescent="0.25">
      <c r="A9356" s="3"/>
      <c r="B9356" s="3"/>
      <c r="C9356" s="3"/>
      <c r="D9356" s="3"/>
      <c r="E9356" s="3"/>
      <c r="F9356" s="3"/>
      <c r="G9356" s="3"/>
      <c r="H9356" s="3"/>
      <c r="I9356" s="3"/>
      <c r="J9356" s="3"/>
      <c r="K9356" s="3"/>
      <c r="L9356" s="3"/>
      <c r="M9356" s="3"/>
      <c r="N9356" s="3"/>
      <c r="O9356" s="3"/>
    </row>
    <row r="9357" spans="1:15" ht="15" customHeight="1" x14ac:dyDescent="0.25">
      <c r="A9357" s="2"/>
      <c r="B9357" s="2"/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</row>
    <row r="9358" spans="1:15" ht="15" customHeight="1" x14ac:dyDescent="0.25">
      <c r="A9358" s="3"/>
      <c r="B9358" s="3"/>
      <c r="C9358" s="3"/>
      <c r="D9358" s="3"/>
      <c r="E9358" s="3"/>
      <c r="F9358" s="3"/>
      <c r="G9358" s="3"/>
      <c r="H9358" s="3"/>
      <c r="I9358" s="3"/>
      <c r="J9358" s="3"/>
      <c r="K9358" s="3"/>
      <c r="L9358" s="3"/>
      <c r="M9358" s="3"/>
      <c r="N9358" s="3"/>
      <c r="O9358" s="3"/>
    </row>
    <row r="9359" spans="1:15" ht="15" customHeight="1" x14ac:dyDescent="0.25">
      <c r="A9359" s="2"/>
      <c r="B9359" s="2"/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</row>
    <row r="9360" spans="1:15" ht="15" customHeight="1" x14ac:dyDescent="0.25">
      <c r="A9360" s="3"/>
      <c r="B9360" s="3"/>
      <c r="C9360" s="3"/>
      <c r="D9360" s="3"/>
      <c r="E9360" s="3"/>
      <c r="F9360" s="3"/>
      <c r="G9360" s="3"/>
      <c r="H9360" s="3"/>
      <c r="I9360" s="3"/>
      <c r="J9360" s="3"/>
      <c r="K9360" s="3"/>
      <c r="L9360" s="3"/>
      <c r="M9360" s="3"/>
      <c r="N9360" s="3"/>
      <c r="O9360" s="3"/>
    </row>
    <row r="9361" spans="1:15" ht="15" customHeight="1" x14ac:dyDescent="0.25">
      <c r="A9361" s="2"/>
      <c r="B9361" s="2"/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</row>
    <row r="9362" spans="1:15" ht="15" customHeight="1" x14ac:dyDescent="0.25">
      <c r="A9362" s="3"/>
      <c r="B9362" s="3"/>
      <c r="C9362" s="3"/>
      <c r="D9362" s="3"/>
      <c r="E9362" s="3"/>
      <c r="F9362" s="3"/>
      <c r="G9362" s="3"/>
      <c r="H9362" s="3"/>
      <c r="I9362" s="3"/>
      <c r="J9362" s="3"/>
      <c r="K9362" s="3"/>
      <c r="L9362" s="3"/>
      <c r="M9362" s="3"/>
      <c r="N9362" s="3"/>
      <c r="O9362" s="3"/>
    </row>
    <row r="9363" spans="1:15" ht="15" customHeight="1" x14ac:dyDescent="0.25">
      <c r="A9363" s="2"/>
      <c r="B9363" s="2"/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</row>
    <row r="9364" spans="1:15" ht="15" customHeight="1" x14ac:dyDescent="0.25">
      <c r="A9364" s="3"/>
      <c r="B9364" s="3"/>
      <c r="C9364" s="3"/>
      <c r="D9364" s="3"/>
      <c r="E9364" s="3"/>
      <c r="F9364" s="3"/>
      <c r="G9364" s="3"/>
      <c r="H9364" s="3"/>
      <c r="I9364" s="3"/>
      <c r="J9364" s="3"/>
      <c r="K9364" s="3"/>
      <c r="L9364" s="3"/>
      <c r="M9364" s="3"/>
      <c r="N9364" s="3"/>
      <c r="O9364" s="3"/>
    </row>
    <row r="9365" spans="1:15" ht="15" customHeight="1" x14ac:dyDescent="0.25">
      <c r="A9365" s="2"/>
      <c r="B9365" s="2"/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</row>
    <row r="9366" spans="1:15" ht="15" customHeight="1" x14ac:dyDescent="0.25">
      <c r="A9366" s="3"/>
      <c r="B9366" s="3"/>
      <c r="C9366" s="3"/>
      <c r="D9366" s="3"/>
      <c r="E9366" s="3"/>
      <c r="F9366" s="3"/>
      <c r="G9366" s="3"/>
      <c r="H9366" s="3"/>
      <c r="I9366" s="3"/>
      <c r="J9366" s="3"/>
      <c r="K9366" s="3"/>
      <c r="L9366" s="3"/>
      <c r="M9366" s="3"/>
      <c r="N9366" s="3"/>
      <c r="O9366" s="3"/>
    </row>
    <row r="9367" spans="1:15" ht="15" customHeight="1" x14ac:dyDescent="0.25">
      <c r="A9367" s="2"/>
      <c r="B9367" s="2"/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</row>
    <row r="9368" spans="1:15" ht="15" customHeight="1" x14ac:dyDescent="0.25">
      <c r="A9368" s="3"/>
      <c r="B9368" s="3"/>
      <c r="C9368" s="3"/>
      <c r="D9368" s="3"/>
      <c r="E9368" s="3"/>
      <c r="F9368" s="3"/>
      <c r="G9368" s="3"/>
      <c r="H9368" s="3"/>
      <c r="I9368" s="3"/>
      <c r="J9368" s="3"/>
      <c r="K9368" s="3"/>
      <c r="L9368" s="3"/>
      <c r="M9368" s="3"/>
      <c r="N9368" s="3"/>
      <c r="O9368" s="3"/>
    </row>
    <row r="9369" spans="1:15" ht="15" customHeight="1" x14ac:dyDescent="0.25">
      <c r="A9369" s="2"/>
      <c r="B9369" s="2"/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</row>
    <row r="9370" spans="1:15" ht="15" customHeight="1" x14ac:dyDescent="0.25">
      <c r="A9370" s="3"/>
      <c r="B9370" s="3"/>
      <c r="C9370" s="3"/>
      <c r="D9370" s="3"/>
      <c r="E9370" s="3"/>
      <c r="F9370" s="3"/>
      <c r="G9370" s="3"/>
      <c r="H9370" s="3"/>
      <c r="I9370" s="3"/>
      <c r="J9370" s="3"/>
      <c r="K9370" s="3"/>
      <c r="L9370" s="3"/>
      <c r="M9370" s="3"/>
      <c r="N9370" s="3"/>
      <c r="O9370" s="3"/>
    </row>
    <row r="9371" spans="1:15" ht="15" customHeight="1" x14ac:dyDescent="0.25">
      <c r="A9371" s="2"/>
      <c r="B9371" s="2"/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</row>
    <row r="9372" spans="1:15" ht="15" customHeight="1" x14ac:dyDescent="0.25">
      <c r="A9372" s="3"/>
      <c r="B9372" s="3"/>
      <c r="C9372" s="3"/>
      <c r="D9372" s="3"/>
      <c r="E9372" s="3"/>
      <c r="F9372" s="3"/>
      <c r="G9372" s="3"/>
      <c r="H9372" s="3"/>
      <c r="I9372" s="3"/>
      <c r="J9372" s="3"/>
      <c r="K9372" s="3"/>
      <c r="L9372" s="3"/>
      <c r="M9372" s="3"/>
      <c r="N9372" s="3"/>
      <c r="O9372" s="3"/>
    </row>
    <row r="9373" spans="1:15" ht="15" customHeight="1" x14ac:dyDescent="0.25">
      <c r="A9373" s="2"/>
      <c r="B9373" s="2"/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</row>
    <row r="9374" spans="1:15" ht="15" customHeight="1" x14ac:dyDescent="0.25">
      <c r="A9374" s="3"/>
      <c r="B9374" s="3"/>
      <c r="C9374" s="3"/>
      <c r="D9374" s="3"/>
      <c r="E9374" s="3"/>
      <c r="F9374" s="3"/>
      <c r="G9374" s="3"/>
      <c r="H9374" s="3"/>
      <c r="I9374" s="3"/>
      <c r="J9374" s="3"/>
      <c r="K9374" s="3"/>
      <c r="L9374" s="3"/>
      <c r="M9374" s="3"/>
      <c r="N9374" s="3"/>
      <c r="O9374" s="3"/>
    </row>
    <row r="9375" spans="1:15" ht="15" customHeight="1" x14ac:dyDescent="0.25">
      <c r="A9375" s="2"/>
      <c r="B9375" s="2"/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</row>
    <row r="9376" spans="1:15" ht="15" customHeight="1" x14ac:dyDescent="0.25">
      <c r="A9376" s="3"/>
      <c r="B9376" s="3"/>
      <c r="C9376" s="3"/>
      <c r="D9376" s="3"/>
      <c r="E9376" s="3"/>
      <c r="F9376" s="3"/>
      <c r="G9376" s="3"/>
      <c r="H9376" s="3"/>
      <c r="I9376" s="3"/>
      <c r="J9376" s="3"/>
      <c r="K9376" s="3"/>
      <c r="L9376" s="3"/>
      <c r="M9376" s="3"/>
      <c r="N9376" s="3"/>
      <c r="O9376" s="3"/>
    </row>
    <row r="9377" spans="1:15" ht="15" customHeight="1" x14ac:dyDescent="0.25">
      <c r="A9377" s="2"/>
      <c r="B9377" s="2"/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</row>
    <row r="9378" spans="1:15" ht="15" customHeight="1" x14ac:dyDescent="0.25">
      <c r="A9378" s="3"/>
      <c r="B9378" s="3"/>
      <c r="C9378" s="3"/>
      <c r="D9378" s="3"/>
      <c r="E9378" s="3"/>
      <c r="F9378" s="3"/>
      <c r="G9378" s="3"/>
      <c r="H9378" s="3"/>
      <c r="I9378" s="3"/>
      <c r="J9378" s="3"/>
      <c r="K9378" s="3"/>
      <c r="L9378" s="3"/>
      <c r="M9378" s="3"/>
      <c r="N9378" s="3"/>
      <c r="O9378" s="3"/>
    </row>
    <row r="9379" spans="1:15" ht="15" customHeight="1" x14ac:dyDescent="0.25">
      <c r="A9379" s="2"/>
      <c r="B9379" s="2"/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</row>
    <row r="9380" spans="1:15" ht="15" customHeight="1" x14ac:dyDescent="0.25">
      <c r="A9380" s="3"/>
      <c r="B9380" s="3"/>
      <c r="C9380" s="3"/>
      <c r="D9380" s="3"/>
      <c r="E9380" s="3"/>
      <c r="F9380" s="3"/>
      <c r="G9380" s="3"/>
      <c r="H9380" s="3"/>
      <c r="I9380" s="3"/>
      <c r="J9380" s="3"/>
      <c r="K9380" s="3"/>
      <c r="L9380" s="3"/>
      <c r="M9380" s="3"/>
      <c r="N9380" s="3"/>
      <c r="O9380" s="3"/>
    </row>
    <row r="9381" spans="1:15" ht="15" customHeight="1" x14ac:dyDescent="0.25">
      <c r="A9381" s="2"/>
      <c r="B9381" s="2"/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</row>
    <row r="9382" spans="1:15" ht="15" customHeight="1" x14ac:dyDescent="0.25">
      <c r="A9382" s="3"/>
      <c r="B9382" s="3"/>
      <c r="C9382" s="3"/>
      <c r="D9382" s="3"/>
      <c r="E9382" s="3"/>
      <c r="F9382" s="3"/>
      <c r="G9382" s="3"/>
      <c r="H9382" s="3"/>
      <c r="I9382" s="3"/>
      <c r="J9382" s="3"/>
      <c r="K9382" s="3"/>
      <c r="L9382" s="3"/>
      <c r="M9382" s="3"/>
      <c r="N9382" s="3"/>
      <c r="O9382" s="3"/>
    </row>
    <row r="9383" spans="1:15" ht="15" customHeight="1" x14ac:dyDescent="0.25">
      <c r="A9383" s="2"/>
      <c r="B9383" s="2"/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</row>
    <row r="9384" spans="1:15" ht="15" customHeight="1" x14ac:dyDescent="0.25">
      <c r="A9384" s="3"/>
      <c r="B9384" s="3"/>
      <c r="C9384" s="3"/>
      <c r="D9384" s="3"/>
      <c r="E9384" s="3"/>
      <c r="F9384" s="3"/>
      <c r="G9384" s="3"/>
      <c r="H9384" s="3"/>
      <c r="I9384" s="3"/>
      <c r="J9384" s="3"/>
      <c r="K9384" s="3"/>
      <c r="L9384" s="3"/>
      <c r="M9384" s="3"/>
      <c r="N9384" s="3"/>
      <c r="O9384" s="3"/>
    </row>
    <row r="9385" spans="1:15" ht="15" customHeight="1" x14ac:dyDescent="0.25">
      <c r="A9385" s="2"/>
      <c r="B9385" s="2"/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</row>
    <row r="9386" spans="1:15" ht="15" customHeight="1" x14ac:dyDescent="0.25">
      <c r="A9386" s="3"/>
      <c r="B9386" s="3"/>
      <c r="C9386" s="3"/>
      <c r="D9386" s="3"/>
      <c r="E9386" s="3"/>
      <c r="F9386" s="3"/>
      <c r="G9386" s="3"/>
      <c r="H9386" s="3"/>
      <c r="I9386" s="3"/>
      <c r="J9386" s="3"/>
      <c r="K9386" s="3"/>
      <c r="L9386" s="3"/>
      <c r="M9386" s="3"/>
      <c r="N9386" s="3"/>
      <c r="O9386" s="3"/>
    </row>
    <row r="9387" spans="1:15" ht="15" customHeight="1" x14ac:dyDescent="0.25">
      <c r="A9387" s="2"/>
      <c r="B9387" s="2"/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</row>
    <row r="9388" spans="1:15" ht="15" customHeight="1" x14ac:dyDescent="0.25">
      <c r="A9388" s="3"/>
      <c r="B9388" s="3"/>
      <c r="C9388" s="3"/>
      <c r="D9388" s="3"/>
      <c r="E9388" s="3"/>
      <c r="F9388" s="3"/>
      <c r="G9388" s="3"/>
      <c r="H9388" s="3"/>
      <c r="I9388" s="3"/>
      <c r="J9388" s="3"/>
      <c r="K9388" s="3"/>
      <c r="L9388" s="3"/>
      <c r="M9388" s="3"/>
      <c r="N9388" s="3"/>
      <c r="O9388" s="3"/>
    </row>
    <row r="9389" spans="1:15" ht="15" customHeight="1" x14ac:dyDescent="0.25">
      <c r="A9389" s="2"/>
      <c r="B9389" s="2"/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</row>
    <row r="9390" spans="1:15" ht="15" customHeight="1" x14ac:dyDescent="0.25">
      <c r="A9390" s="3"/>
      <c r="B9390" s="3"/>
      <c r="C9390" s="3"/>
      <c r="D9390" s="3"/>
      <c r="E9390" s="3"/>
      <c r="F9390" s="3"/>
      <c r="G9390" s="3"/>
      <c r="H9390" s="3"/>
      <c r="I9390" s="3"/>
      <c r="J9390" s="3"/>
      <c r="K9390" s="3"/>
      <c r="L9390" s="3"/>
      <c r="M9390" s="3"/>
      <c r="N9390" s="3"/>
      <c r="O9390" s="3"/>
    </row>
    <row r="9391" spans="1:15" ht="15" customHeight="1" x14ac:dyDescent="0.25">
      <c r="A9391" s="2"/>
      <c r="B9391" s="2"/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</row>
    <row r="9392" spans="1:15" ht="15" customHeight="1" x14ac:dyDescent="0.25">
      <c r="A9392" s="3"/>
      <c r="B9392" s="3"/>
      <c r="C9392" s="3"/>
      <c r="D9392" s="3"/>
      <c r="E9392" s="3"/>
      <c r="F9392" s="3"/>
      <c r="G9392" s="3"/>
      <c r="H9392" s="3"/>
      <c r="I9392" s="3"/>
      <c r="J9392" s="3"/>
      <c r="K9392" s="3"/>
      <c r="L9392" s="3"/>
      <c r="M9392" s="3"/>
      <c r="N9392" s="3"/>
      <c r="O9392" s="3"/>
    </row>
    <row r="9393" spans="1:15" ht="15" customHeight="1" x14ac:dyDescent="0.25">
      <c r="A9393" s="2"/>
      <c r="B9393" s="2"/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</row>
    <row r="9394" spans="1:15" ht="15" customHeight="1" x14ac:dyDescent="0.25">
      <c r="A9394" s="3"/>
      <c r="B9394" s="3"/>
      <c r="C9394" s="3"/>
      <c r="D9394" s="3"/>
      <c r="E9394" s="3"/>
      <c r="F9394" s="3"/>
      <c r="G9394" s="3"/>
      <c r="H9394" s="3"/>
      <c r="I9394" s="3"/>
      <c r="J9394" s="3"/>
      <c r="K9394" s="3"/>
      <c r="L9394" s="3"/>
      <c r="M9394" s="3"/>
      <c r="N9394" s="3"/>
      <c r="O9394" s="3"/>
    </row>
    <row r="9395" spans="1:15" ht="15" customHeight="1" x14ac:dyDescent="0.25">
      <c r="A9395" s="2"/>
      <c r="B9395" s="2"/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</row>
    <row r="9396" spans="1:15" ht="15" customHeight="1" x14ac:dyDescent="0.25">
      <c r="A9396" s="3"/>
      <c r="B9396" s="3"/>
      <c r="C9396" s="3"/>
      <c r="D9396" s="3"/>
      <c r="E9396" s="3"/>
      <c r="F9396" s="3"/>
      <c r="G9396" s="3"/>
      <c r="H9396" s="3"/>
      <c r="I9396" s="3"/>
      <c r="J9396" s="3"/>
      <c r="K9396" s="3"/>
      <c r="L9396" s="3"/>
      <c r="M9396" s="3"/>
      <c r="N9396" s="3"/>
      <c r="O9396" s="3"/>
    </row>
    <row r="9397" spans="1:15" ht="15" customHeight="1" x14ac:dyDescent="0.25">
      <c r="A9397" s="2"/>
      <c r="B9397" s="2"/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</row>
    <row r="9398" spans="1:15" ht="15" customHeight="1" x14ac:dyDescent="0.25">
      <c r="A9398" s="3"/>
      <c r="B9398" s="3"/>
      <c r="C9398" s="3"/>
      <c r="D9398" s="3"/>
      <c r="E9398" s="3"/>
      <c r="F9398" s="3"/>
      <c r="G9398" s="3"/>
      <c r="H9398" s="3"/>
      <c r="I9398" s="3"/>
      <c r="J9398" s="3"/>
      <c r="K9398" s="3"/>
      <c r="L9398" s="3"/>
      <c r="M9398" s="3"/>
      <c r="N9398" s="3"/>
      <c r="O9398" s="3"/>
    </row>
    <row r="9399" spans="1:15" ht="15" customHeight="1" x14ac:dyDescent="0.25">
      <c r="A9399" s="2"/>
      <c r="B9399" s="2"/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</row>
    <row r="9400" spans="1:15" ht="15" customHeight="1" x14ac:dyDescent="0.25">
      <c r="A9400" s="3"/>
      <c r="B9400" s="3"/>
      <c r="C9400" s="3"/>
      <c r="D9400" s="3"/>
      <c r="E9400" s="3"/>
      <c r="F9400" s="3"/>
      <c r="G9400" s="3"/>
      <c r="H9400" s="3"/>
      <c r="I9400" s="3"/>
      <c r="J9400" s="3"/>
      <c r="K9400" s="3"/>
      <c r="L9400" s="3"/>
      <c r="M9400" s="3"/>
      <c r="N9400" s="3"/>
      <c r="O9400" s="3"/>
    </row>
    <row r="9401" spans="1:15" ht="15" customHeight="1" x14ac:dyDescent="0.25">
      <c r="A9401" s="2"/>
      <c r="B9401" s="2"/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</row>
    <row r="9402" spans="1:15" ht="15" customHeight="1" x14ac:dyDescent="0.25">
      <c r="A9402" s="3"/>
      <c r="B9402" s="3"/>
      <c r="C9402" s="3"/>
      <c r="D9402" s="3"/>
      <c r="E9402" s="3"/>
      <c r="F9402" s="3"/>
      <c r="G9402" s="3"/>
      <c r="H9402" s="3"/>
      <c r="I9402" s="3"/>
      <c r="J9402" s="3"/>
      <c r="K9402" s="3"/>
      <c r="L9402" s="3"/>
      <c r="M9402" s="3"/>
      <c r="N9402" s="3"/>
      <c r="O9402" s="3"/>
    </row>
    <row r="9403" spans="1:15" ht="15" customHeight="1" x14ac:dyDescent="0.25">
      <c r="A9403" s="2"/>
      <c r="B9403" s="2"/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</row>
    <row r="9404" spans="1:15" ht="15" customHeight="1" x14ac:dyDescent="0.25">
      <c r="A9404" s="3"/>
      <c r="B9404" s="3"/>
      <c r="C9404" s="3"/>
      <c r="D9404" s="3"/>
      <c r="E9404" s="3"/>
      <c r="F9404" s="3"/>
      <c r="G9404" s="3"/>
      <c r="H9404" s="3"/>
      <c r="I9404" s="3"/>
      <c r="J9404" s="3"/>
      <c r="K9404" s="3"/>
      <c r="L9404" s="3"/>
      <c r="M9404" s="3"/>
      <c r="N9404" s="3"/>
      <c r="O9404" s="3"/>
    </row>
    <row r="9405" spans="1:15" ht="15" customHeight="1" x14ac:dyDescent="0.25">
      <c r="A9405" s="2"/>
      <c r="B9405" s="2"/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</row>
    <row r="9406" spans="1:15" ht="15" customHeight="1" x14ac:dyDescent="0.25">
      <c r="A9406" s="3"/>
      <c r="B9406" s="3"/>
      <c r="C9406" s="3"/>
      <c r="D9406" s="3"/>
      <c r="E9406" s="3"/>
      <c r="F9406" s="3"/>
      <c r="G9406" s="3"/>
      <c r="H9406" s="3"/>
      <c r="I9406" s="3"/>
      <c r="J9406" s="3"/>
      <c r="K9406" s="3"/>
      <c r="L9406" s="3"/>
      <c r="M9406" s="3"/>
      <c r="N9406" s="3"/>
      <c r="O9406" s="3"/>
    </row>
    <row r="9407" spans="1:15" ht="15" customHeight="1" x14ac:dyDescent="0.25">
      <c r="A9407" s="2"/>
      <c r="B9407" s="2"/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</row>
    <row r="9408" spans="1:15" ht="15" customHeight="1" x14ac:dyDescent="0.25">
      <c r="A9408" s="3"/>
      <c r="B9408" s="3"/>
      <c r="C9408" s="3"/>
      <c r="D9408" s="3"/>
      <c r="E9408" s="3"/>
      <c r="F9408" s="3"/>
      <c r="G9408" s="3"/>
      <c r="H9408" s="3"/>
      <c r="I9408" s="3"/>
      <c r="J9408" s="3"/>
      <c r="K9408" s="3"/>
      <c r="L9408" s="3"/>
      <c r="M9408" s="3"/>
      <c r="N9408" s="3"/>
      <c r="O9408" s="3"/>
    </row>
    <row r="9409" spans="1:15" ht="15" customHeight="1" x14ac:dyDescent="0.25">
      <c r="A9409" s="2"/>
      <c r="B9409" s="2"/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</row>
    <row r="9410" spans="1:15" ht="15" customHeight="1" x14ac:dyDescent="0.25">
      <c r="A9410" s="3"/>
      <c r="B9410" s="3"/>
      <c r="C9410" s="3"/>
      <c r="D9410" s="3"/>
      <c r="E9410" s="3"/>
      <c r="F9410" s="3"/>
      <c r="G9410" s="3"/>
      <c r="H9410" s="3"/>
      <c r="I9410" s="3"/>
      <c r="J9410" s="3"/>
      <c r="K9410" s="3"/>
      <c r="L9410" s="3"/>
      <c r="M9410" s="3"/>
      <c r="N9410" s="3"/>
      <c r="O9410" s="3"/>
    </row>
    <row r="9411" spans="1:15" ht="15" customHeight="1" x14ac:dyDescent="0.25">
      <c r="A9411" s="2"/>
      <c r="B9411" s="2"/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</row>
    <row r="9412" spans="1:15" ht="15" customHeight="1" x14ac:dyDescent="0.25">
      <c r="A9412" s="3"/>
      <c r="B9412" s="3"/>
      <c r="C9412" s="3"/>
      <c r="D9412" s="3"/>
      <c r="E9412" s="3"/>
      <c r="F9412" s="3"/>
      <c r="G9412" s="3"/>
      <c r="H9412" s="3"/>
      <c r="I9412" s="3"/>
      <c r="J9412" s="3"/>
      <c r="K9412" s="3"/>
      <c r="L9412" s="3"/>
      <c r="M9412" s="3"/>
      <c r="N9412" s="3"/>
      <c r="O9412" s="3"/>
    </row>
    <row r="9413" spans="1:15" ht="15" customHeight="1" x14ac:dyDescent="0.25">
      <c r="A9413" s="2"/>
      <c r="B9413" s="2"/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</row>
    <row r="9414" spans="1:15" ht="15" customHeight="1" x14ac:dyDescent="0.25">
      <c r="A9414" s="3"/>
      <c r="B9414" s="3"/>
      <c r="C9414" s="3"/>
      <c r="D9414" s="3"/>
      <c r="E9414" s="3"/>
      <c r="F9414" s="3"/>
      <c r="G9414" s="3"/>
      <c r="H9414" s="3"/>
      <c r="I9414" s="3"/>
      <c r="J9414" s="3"/>
      <c r="K9414" s="3"/>
      <c r="L9414" s="3"/>
      <c r="M9414" s="3"/>
      <c r="N9414" s="3"/>
      <c r="O9414" s="3"/>
    </row>
    <row r="9415" spans="1:15" ht="15" customHeight="1" x14ac:dyDescent="0.25">
      <c r="A9415" s="2"/>
      <c r="B9415" s="2"/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</row>
    <row r="9416" spans="1:15" ht="15" customHeight="1" x14ac:dyDescent="0.25">
      <c r="A9416" s="3"/>
      <c r="B9416" s="3"/>
      <c r="C9416" s="3"/>
      <c r="D9416" s="3"/>
      <c r="E9416" s="3"/>
      <c r="F9416" s="3"/>
      <c r="G9416" s="3"/>
      <c r="H9416" s="3"/>
      <c r="I9416" s="3"/>
      <c r="J9416" s="3"/>
      <c r="K9416" s="3"/>
      <c r="L9416" s="3"/>
      <c r="M9416" s="3"/>
      <c r="N9416" s="3"/>
      <c r="O9416" s="3"/>
    </row>
    <row r="9417" spans="1:15" ht="15" customHeight="1" x14ac:dyDescent="0.25">
      <c r="A9417" s="2"/>
      <c r="B9417" s="2"/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</row>
    <row r="9418" spans="1:15" ht="15" customHeight="1" x14ac:dyDescent="0.25">
      <c r="A9418" s="3"/>
      <c r="B9418" s="3"/>
      <c r="C9418" s="3"/>
      <c r="D9418" s="3"/>
      <c r="E9418" s="3"/>
      <c r="F9418" s="3"/>
      <c r="G9418" s="3"/>
      <c r="H9418" s="3"/>
      <c r="I9418" s="3"/>
      <c r="J9418" s="3"/>
      <c r="K9418" s="3"/>
      <c r="L9418" s="3"/>
      <c r="M9418" s="3"/>
      <c r="N9418" s="3"/>
      <c r="O9418" s="3"/>
    </row>
    <row r="9419" spans="1:15" ht="15" customHeight="1" x14ac:dyDescent="0.25">
      <c r="A9419" s="2"/>
      <c r="B9419" s="2"/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</row>
    <row r="9420" spans="1:15" ht="15" customHeight="1" x14ac:dyDescent="0.25">
      <c r="A9420" s="3"/>
      <c r="B9420" s="3"/>
      <c r="C9420" s="3"/>
      <c r="D9420" s="3"/>
      <c r="E9420" s="3"/>
      <c r="F9420" s="3"/>
      <c r="G9420" s="3"/>
      <c r="H9420" s="3"/>
      <c r="I9420" s="3"/>
      <c r="J9420" s="3"/>
      <c r="K9420" s="3"/>
      <c r="L9420" s="3"/>
      <c r="M9420" s="3"/>
      <c r="N9420" s="3"/>
      <c r="O9420" s="3"/>
    </row>
    <row r="9421" spans="1:15" ht="15" customHeight="1" x14ac:dyDescent="0.25">
      <c r="A9421" s="2"/>
      <c r="B9421" s="2"/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</row>
    <row r="9422" spans="1:15" ht="15" customHeight="1" x14ac:dyDescent="0.25">
      <c r="A9422" s="3"/>
      <c r="B9422" s="3"/>
      <c r="C9422" s="3"/>
      <c r="D9422" s="3"/>
      <c r="E9422" s="3"/>
      <c r="F9422" s="3"/>
      <c r="G9422" s="3"/>
      <c r="H9422" s="3"/>
      <c r="I9422" s="3"/>
      <c r="J9422" s="3"/>
      <c r="K9422" s="3"/>
      <c r="L9422" s="3"/>
      <c r="M9422" s="3"/>
      <c r="N9422" s="3"/>
      <c r="O9422" s="3"/>
    </row>
    <row r="9423" spans="1:15" ht="15" customHeight="1" x14ac:dyDescent="0.25">
      <c r="A9423" s="2"/>
      <c r="B9423" s="2"/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</row>
    <row r="9424" spans="1:15" ht="15" customHeight="1" x14ac:dyDescent="0.25">
      <c r="A9424" s="3"/>
      <c r="B9424" s="3"/>
      <c r="C9424" s="3"/>
      <c r="D9424" s="3"/>
      <c r="E9424" s="3"/>
      <c r="F9424" s="3"/>
      <c r="G9424" s="3"/>
      <c r="H9424" s="3"/>
      <c r="I9424" s="3"/>
      <c r="J9424" s="3"/>
      <c r="K9424" s="3"/>
      <c r="L9424" s="3"/>
      <c r="M9424" s="3"/>
      <c r="N9424" s="3"/>
      <c r="O9424" s="3"/>
    </row>
    <row r="9425" spans="1:15" ht="15" customHeight="1" x14ac:dyDescent="0.25">
      <c r="A9425" s="2"/>
      <c r="B9425" s="2"/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</row>
    <row r="9426" spans="1:15" ht="15" customHeight="1" x14ac:dyDescent="0.25">
      <c r="A9426" s="3"/>
      <c r="B9426" s="3"/>
      <c r="C9426" s="3"/>
      <c r="D9426" s="3"/>
      <c r="E9426" s="3"/>
      <c r="F9426" s="3"/>
      <c r="G9426" s="3"/>
      <c r="H9426" s="3"/>
      <c r="I9426" s="3"/>
      <c r="J9426" s="3"/>
      <c r="K9426" s="3"/>
      <c r="L9426" s="3"/>
      <c r="M9426" s="3"/>
      <c r="N9426" s="3"/>
      <c r="O9426" s="3"/>
    </row>
    <row r="9427" spans="1:15" ht="15" customHeight="1" x14ac:dyDescent="0.25">
      <c r="A9427" s="2"/>
      <c r="B9427" s="2"/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</row>
    <row r="9428" spans="1:15" ht="15" customHeight="1" x14ac:dyDescent="0.25">
      <c r="A9428" s="3"/>
      <c r="B9428" s="3"/>
      <c r="C9428" s="3"/>
      <c r="D9428" s="3"/>
      <c r="E9428" s="3"/>
      <c r="F9428" s="3"/>
      <c r="G9428" s="3"/>
      <c r="H9428" s="3"/>
      <c r="I9428" s="3"/>
      <c r="J9428" s="3"/>
      <c r="K9428" s="3"/>
      <c r="L9428" s="3"/>
      <c r="M9428" s="3"/>
      <c r="N9428" s="3"/>
      <c r="O9428" s="3"/>
    </row>
    <row r="9429" spans="1:15" ht="15" customHeight="1" x14ac:dyDescent="0.25">
      <c r="A9429" s="2"/>
      <c r="B9429" s="2"/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</row>
    <row r="9430" spans="1:15" ht="15" customHeight="1" x14ac:dyDescent="0.25">
      <c r="A9430" s="3"/>
      <c r="B9430" s="3"/>
      <c r="C9430" s="3"/>
      <c r="D9430" s="3"/>
      <c r="E9430" s="3"/>
      <c r="F9430" s="3"/>
      <c r="G9430" s="3"/>
      <c r="H9430" s="3"/>
      <c r="I9430" s="3"/>
      <c r="J9430" s="3"/>
      <c r="K9430" s="3"/>
      <c r="L9430" s="3"/>
      <c r="M9430" s="3"/>
      <c r="N9430" s="3"/>
      <c r="O9430" s="3"/>
    </row>
    <row r="9431" spans="1:15" ht="15" customHeight="1" x14ac:dyDescent="0.25">
      <c r="A9431" s="2"/>
      <c r="B9431" s="2"/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</row>
    <row r="9432" spans="1:15" ht="15" customHeight="1" x14ac:dyDescent="0.25">
      <c r="A9432" s="3"/>
      <c r="B9432" s="3"/>
      <c r="C9432" s="3"/>
      <c r="D9432" s="3"/>
      <c r="E9432" s="3"/>
      <c r="F9432" s="3"/>
      <c r="G9432" s="3"/>
      <c r="H9432" s="3"/>
      <c r="I9432" s="3"/>
      <c r="J9432" s="3"/>
      <c r="K9432" s="3"/>
      <c r="L9432" s="3"/>
      <c r="M9432" s="3"/>
      <c r="N9432" s="3"/>
      <c r="O9432" s="3"/>
    </row>
    <row r="9433" spans="1:15" ht="15" customHeight="1" x14ac:dyDescent="0.25">
      <c r="A9433" s="2"/>
      <c r="B9433" s="2"/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</row>
    <row r="9434" spans="1:15" ht="15" customHeight="1" x14ac:dyDescent="0.25">
      <c r="A9434" s="3"/>
      <c r="B9434" s="3"/>
      <c r="C9434" s="3"/>
      <c r="D9434" s="3"/>
      <c r="E9434" s="3"/>
      <c r="F9434" s="3"/>
      <c r="G9434" s="3"/>
      <c r="H9434" s="3"/>
      <c r="I9434" s="3"/>
      <c r="J9434" s="3"/>
      <c r="K9434" s="3"/>
      <c r="L9434" s="3"/>
      <c r="M9434" s="3"/>
      <c r="N9434" s="3"/>
      <c r="O9434" s="3"/>
    </row>
    <row r="9435" spans="1:15" ht="15" customHeight="1" x14ac:dyDescent="0.25">
      <c r="A9435" s="2"/>
      <c r="B9435" s="2"/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</row>
    <row r="9436" spans="1:15" ht="15" customHeight="1" x14ac:dyDescent="0.25">
      <c r="A9436" s="3"/>
      <c r="B9436" s="3"/>
      <c r="C9436" s="3"/>
      <c r="D9436" s="3"/>
      <c r="E9436" s="3"/>
      <c r="F9436" s="3"/>
      <c r="G9436" s="3"/>
      <c r="H9436" s="3"/>
      <c r="I9436" s="3"/>
      <c r="J9436" s="3"/>
      <c r="K9436" s="3"/>
      <c r="L9436" s="3"/>
      <c r="M9436" s="3"/>
      <c r="N9436" s="3"/>
      <c r="O9436" s="3"/>
    </row>
    <row r="9437" spans="1:15" ht="15" customHeight="1" x14ac:dyDescent="0.25">
      <c r="A9437" s="2"/>
      <c r="B9437" s="2"/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</row>
    <row r="9438" spans="1:15" ht="15" customHeight="1" x14ac:dyDescent="0.25">
      <c r="A9438" s="3"/>
      <c r="B9438" s="3"/>
      <c r="C9438" s="3"/>
      <c r="D9438" s="3"/>
      <c r="E9438" s="3"/>
      <c r="F9438" s="3"/>
      <c r="G9438" s="3"/>
      <c r="H9438" s="3"/>
      <c r="I9438" s="3"/>
      <c r="J9438" s="3"/>
      <c r="K9438" s="3"/>
      <c r="L9438" s="3"/>
      <c r="M9438" s="3"/>
      <c r="N9438" s="3"/>
      <c r="O9438" s="3"/>
    </row>
    <row r="9439" spans="1:15" ht="15" customHeight="1" x14ac:dyDescent="0.25">
      <c r="A9439" s="2"/>
      <c r="B9439" s="2"/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</row>
    <row r="9440" spans="1:15" ht="15" customHeight="1" x14ac:dyDescent="0.25">
      <c r="A9440" s="3"/>
      <c r="B9440" s="3"/>
      <c r="C9440" s="3"/>
      <c r="D9440" s="3"/>
      <c r="E9440" s="3"/>
      <c r="F9440" s="3"/>
      <c r="G9440" s="3"/>
      <c r="H9440" s="3"/>
      <c r="I9440" s="3"/>
      <c r="J9440" s="3"/>
      <c r="K9440" s="3"/>
      <c r="L9440" s="3"/>
      <c r="M9440" s="3"/>
      <c r="N9440" s="3"/>
      <c r="O9440" s="3"/>
    </row>
    <row r="9441" spans="1:15" ht="15" customHeight="1" x14ac:dyDescent="0.25">
      <c r="A9441" s="2"/>
      <c r="B9441" s="2"/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</row>
    <row r="9442" spans="1:15" ht="15" customHeight="1" x14ac:dyDescent="0.25">
      <c r="A9442" s="3"/>
      <c r="B9442" s="3"/>
      <c r="C9442" s="3"/>
      <c r="D9442" s="3"/>
      <c r="E9442" s="3"/>
      <c r="F9442" s="3"/>
      <c r="G9442" s="3"/>
      <c r="H9442" s="3"/>
      <c r="I9442" s="3"/>
      <c r="J9442" s="3"/>
      <c r="K9442" s="3"/>
      <c r="L9442" s="3"/>
      <c r="M9442" s="3"/>
      <c r="N9442" s="3"/>
      <c r="O9442" s="3"/>
    </row>
    <row r="9443" spans="1:15" ht="15" customHeight="1" x14ac:dyDescent="0.25">
      <c r="A9443" s="2"/>
      <c r="B9443" s="2"/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</row>
    <row r="9444" spans="1:15" ht="15" customHeight="1" x14ac:dyDescent="0.25">
      <c r="A9444" s="3"/>
      <c r="B9444" s="3"/>
      <c r="C9444" s="3"/>
      <c r="D9444" s="3"/>
      <c r="E9444" s="3"/>
      <c r="F9444" s="3"/>
      <c r="G9444" s="3"/>
      <c r="H9444" s="3"/>
      <c r="I9444" s="3"/>
      <c r="J9444" s="3"/>
      <c r="K9444" s="3"/>
      <c r="L9444" s="3"/>
      <c r="M9444" s="3"/>
      <c r="N9444" s="3"/>
      <c r="O9444" s="3"/>
    </row>
    <row r="9445" spans="1:15" ht="15" customHeight="1" x14ac:dyDescent="0.25">
      <c r="A9445" s="2"/>
      <c r="B9445" s="2"/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</row>
    <row r="9446" spans="1:15" ht="15" customHeight="1" x14ac:dyDescent="0.25">
      <c r="A9446" s="3"/>
      <c r="B9446" s="3"/>
      <c r="C9446" s="3"/>
      <c r="D9446" s="3"/>
      <c r="E9446" s="3"/>
      <c r="F9446" s="3"/>
      <c r="G9446" s="3"/>
      <c r="H9446" s="3"/>
      <c r="I9446" s="3"/>
      <c r="J9446" s="3"/>
      <c r="K9446" s="3"/>
      <c r="L9446" s="3"/>
      <c r="M9446" s="3"/>
      <c r="N9446" s="3"/>
      <c r="O9446" s="3"/>
    </row>
    <row r="9447" spans="1:15" ht="15" customHeight="1" x14ac:dyDescent="0.25">
      <c r="A9447" s="2"/>
      <c r="B9447" s="2"/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</row>
    <row r="9448" spans="1:15" ht="15" customHeight="1" x14ac:dyDescent="0.25">
      <c r="A9448" s="3"/>
      <c r="B9448" s="3"/>
      <c r="C9448" s="3"/>
      <c r="D9448" s="3"/>
      <c r="E9448" s="3"/>
      <c r="F9448" s="3"/>
      <c r="G9448" s="3"/>
      <c r="H9448" s="3"/>
      <c r="I9448" s="3"/>
      <c r="J9448" s="3"/>
      <c r="K9448" s="3"/>
      <c r="L9448" s="3"/>
      <c r="M9448" s="3"/>
      <c r="N9448" s="3"/>
      <c r="O9448" s="3"/>
    </row>
    <row r="9449" spans="1:15" ht="15" customHeight="1" x14ac:dyDescent="0.25">
      <c r="A9449" s="2"/>
      <c r="B9449" s="2"/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</row>
    <row r="9450" spans="1:15" ht="15" customHeight="1" x14ac:dyDescent="0.25">
      <c r="A9450" s="3"/>
      <c r="B9450" s="3"/>
      <c r="C9450" s="3"/>
      <c r="D9450" s="3"/>
      <c r="E9450" s="3"/>
      <c r="F9450" s="3"/>
      <c r="G9450" s="3"/>
      <c r="H9450" s="3"/>
      <c r="I9450" s="3"/>
      <c r="J9450" s="3"/>
      <c r="K9450" s="3"/>
      <c r="L9450" s="3"/>
      <c r="M9450" s="3"/>
      <c r="N9450" s="3"/>
      <c r="O9450" s="3"/>
    </row>
    <row r="9451" spans="1:15" ht="15" customHeight="1" x14ac:dyDescent="0.25">
      <c r="A9451" s="2"/>
      <c r="B9451" s="2"/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</row>
    <row r="9452" spans="1:15" ht="15" customHeight="1" x14ac:dyDescent="0.25">
      <c r="A9452" s="3"/>
      <c r="B9452" s="3"/>
      <c r="C9452" s="3"/>
      <c r="D9452" s="3"/>
      <c r="E9452" s="3"/>
      <c r="F9452" s="3"/>
      <c r="G9452" s="3"/>
      <c r="H9452" s="3"/>
      <c r="I9452" s="3"/>
      <c r="J9452" s="3"/>
      <c r="K9452" s="3"/>
      <c r="L9452" s="3"/>
      <c r="M9452" s="3"/>
      <c r="N9452" s="3"/>
      <c r="O9452" s="3"/>
    </row>
    <row r="9453" spans="1:15" ht="15" customHeight="1" x14ac:dyDescent="0.25">
      <c r="A9453" s="2"/>
      <c r="B9453" s="2"/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</row>
    <row r="9454" spans="1:15" ht="15" customHeight="1" x14ac:dyDescent="0.25">
      <c r="A9454" s="3"/>
      <c r="B9454" s="3"/>
      <c r="C9454" s="3"/>
      <c r="D9454" s="3"/>
      <c r="E9454" s="3"/>
      <c r="F9454" s="3"/>
      <c r="G9454" s="3"/>
      <c r="H9454" s="3"/>
      <c r="I9454" s="3"/>
      <c r="J9454" s="3"/>
      <c r="K9454" s="3"/>
      <c r="L9454" s="3"/>
      <c r="M9454" s="3"/>
      <c r="N9454" s="3"/>
      <c r="O9454" s="3"/>
    </row>
    <row r="9455" spans="1:15" ht="15" customHeight="1" x14ac:dyDescent="0.25">
      <c r="A9455" s="2"/>
      <c r="B9455" s="2"/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</row>
    <row r="9456" spans="1:15" ht="15" customHeight="1" x14ac:dyDescent="0.25">
      <c r="A9456" s="3"/>
      <c r="B9456" s="3"/>
      <c r="C9456" s="3"/>
      <c r="D9456" s="3"/>
      <c r="E9456" s="3"/>
      <c r="F9456" s="3"/>
      <c r="G9456" s="3"/>
      <c r="H9456" s="3"/>
      <c r="I9456" s="3"/>
      <c r="J9456" s="3"/>
      <c r="K9456" s="3"/>
      <c r="L9456" s="3"/>
      <c r="M9456" s="3"/>
      <c r="N9456" s="3"/>
      <c r="O9456" s="3"/>
    </row>
    <row r="9457" spans="1:15" ht="15" customHeight="1" x14ac:dyDescent="0.25">
      <c r="A9457" s="2"/>
      <c r="B9457" s="2"/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</row>
    <row r="9458" spans="1:15" ht="15" customHeight="1" x14ac:dyDescent="0.25">
      <c r="A9458" s="3"/>
      <c r="B9458" s="3"/>
      <c r="C9458" s="3"/>
      <c r="D9458" s="3"/>
      <c r="E9458" s="3"/>
      <c r="F9458" s="3"/>
      <c r="G9458" s="3"/>
      <c r="H9458" s="3"/>
      <c r="I9458" s="3"/>
      <c r="J9458" s="3"/>
      <c r="K9458" s="3"/>
      <c r="L9458" s="3"/>
      <c r="M9458" s="3"/>
      <c r="N9458" s="3"/>
      <c r="O9458" s="3"/>
    </row>
    <row r="9459" spans="1:15" ht="15" customHeight="1" x14ac:dyDescent="0.25">
      <c r="A9459" s="2"/>
      <c r="B9459" s="2"/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</row>
    <row r="9460" spans="1:15" ht="15" customHeight="1" x14ac:dyDescent="0.25">
      <c r="A9460" s="3"/>
      <c r="B9460" s="3"/>
      <c r="C9460" s="3"/>
      <c r="D9460" s="3"/>
      <c r="E9460" s="3"/>
      <c r="F9460" s="3"/>
      <c r="G9460" s="3"/>
      <c r="H9460" s="3"/>
      <c r="I9460" s="3"/>
      <c r="J9460" s="3"/>
      <c r="K9460" s="3"/>
      <c r="L9460" s="3"/>
      <c r="M9460" s="3"/>
      <c r="N9460" s="3"/>
      <c r="O9460" s="3"/>
    </row>
    <row r="9461" spans="1:15" ht="15" customHeight="1" x14ac:dyDescent="0.25">
      <c r="A9461" s="2"/>
      <c r="B9461" s="2"/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</row>
    <row r="9462" spans="1:15" ht="15" customHeight="1" x14ac:dyDescent="0.25">
      <c r="A9462" s="3"/>
      <c r="B9462" s="3"/>
      <c r="C9462" s="3"/>
      <c r="D9462" s="3"/>
      <c r="E9462" s="3"/>
      <c r="F9462" s="3"/>
      <c r="G9462" s="3"/>
      <c r="H9462" s="3"/>
      <c r="I9462" s="3"/>
      <c r="J9462" s="3"/>
      <c r="K9462" s="3"/>
      <c r="L9462" s="3"/>
      <c r="M9462" s="3"/>
      <c r="N9462" s="3"/>
      <c r="O9462" s="3"/>
    </row>
    <row r="9463" spans="1:15" ht="15" customHeight="1" x14ac:dyDescent="0.25">
      <c r="A9463" s="2"/>
      <c r="B9463" s="2"/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</row>
    <row r="9464" spans="1:15" ht="15" customHeight="1" x14ac:dyDescent="0.25">
      <c r="A9464" s="3"/>
      <c r="B9464" s="3"/>
      <c r="C9464" s="3"/>
      <c r="D9464" s="3"/>
      <c r="E9464" s="3"/>
      <c r="F9464" s="3"/>
      <c r="G9464" s="3"/>
      <c r="H9464" s="3"/>
      <c r="I9464" s="3"/>
      <c r="J9464" s="3"/>
      <c r="K9464" s="3"/>
      <c r="L9464" s="3"/>
      <c r="M9464" s="3"/>
      <c r="N9464" s="3"/>
      <c r="O9464" s="3"/>
    </row>
    <row r="9465" spans="1:15" ht="15" customHeight="1" x14ac:dyDescent="0.25">
      <c r="A9465" s="2"/>
      <c r="B9465" s="2"/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</row>
    <row r="9466" spans="1:15" ht="15" customHeight="1" x14ac:dyDescent="0.25">
      <c r="A9466" s="3"/>
      <c r="B9466" s="3"/>
      <c r="C9466" s="3"/>
      <c r="D9466" s="3"/>
      <c r="E9466" s="3"/>
      <c r="F9466" s="3"/>
      <c r="G9466" s="3"/>
      <c r="H9466" s="3"/>
      <c r="I9466" s="3"/>
      <c r="J9466" s="3"/>
      <c r="K9466" s="3"/>
      <c r="L9466" s="3"/>
      <c r="M9466" s="3"/>
      <c r="N9466" s="3"/>
      <c r="O9466" s="3"/>
    </row>
    <row r="9467" spans="1:15" ht="15" customHeight="1" x14ac:dyDescent="0.25">
      <c r="A9467" s="2"/>
      <c r="B9467" s="2"/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</row>
    <row r="9468" spans="1:15" ht="15" customHeight="1" x14ac:dyDescent="0.25">
      <c r="A9468" s="3"/>
      <c r="B9468" s="3"/>
      <c r="C9468" s="3"/>
      <c r="D9468" s="3"/>
      <c r="E9468" s="3"/>
      <c r="F9468" s="3"/>
      <c r="G9468" s="3"/>
      <c r="H9468" s="3"/>
      <c r="I9468" s="3"/>
      <c r="J9468" s="3"/>
      <c r="K9468" s="3"/>
      <c r="L9468" s="3"/>
      <c r="M9468" s="3"/>
      <c r="N9468" s="3"/>
      <c r="O9468" s="3"/>
    </row>
    <row r="9469" spans="1:15" ht="15" customHeight="1" x14ac:dyDescent="0.25">
      <c r="A9469" s="2"/>
      <c r="B9469" s="2"/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</row>
    <row r="9470" spans="1:15" ht="15" customHeight="1" x14ac:dyDescent="0.25">
      <c r="A9470" s="3"/>
      <c r="B9470" s="3"/>
      <c r="C9470" s="3"/>
      <c r="D9470" s="3"/>
      <c r="E9470" s="3"/>
      <c r="F9470" s="3"/>
      <c r="G9470" s="3"/>
      <c r="H9470" s="3"/>
      <c r="I9470" s="3"/>
      <c r="J9470" s="3"/>
      <c r="K9470" s="3"/>
      <c r="L9470" s="3"/>
      <c r="M9470" s="3"/>
      <c r="N9470" s="3"/>
      <c r="O9470" s="3"/>
    </row>
    <row r="9471" spans="1:15" ht="15" customHeight="1" x14ac:dyDescent="0.25">
      <c r="A9471" s="2"/>
      <c r="B9471" s="2"/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</row>
    <row r="9472" spans="1:15" ht="15" customHeight="1" x14ac:dyDescent="0.25">
      <c r="A9472" s="3"/>
      <c r="B9472" s="3"/>
      <c r="C9472" s="3"/>
      <c r="D9472" s="3"/>
      <c r="E9472" s="3"/>
      <c r="F9472" s="3"/>
      <c r="G9472" s="3"/>
      <c r="H9472" s="3"/>
      <c r="I9472" s="3"/>
      <c r="J9472" s="3"/>
      <c r="K9472" s="3"/>
      <c r="L9472" s="3"/>
      <c r="M9472" s="3"/>
      <c r="N9472" s="3"/>
      <c r="O9472" s="3"/>
    </row>
    <row r="9473" spans="1:15" ht="15" customHeight="1" x14ac:dyDescent="0.25">
      <c r="A9473" s="2"/>
      <c r="B9473" s="2"/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</row>
    <row r="9474" spans="1:15" ht="15" customHeight="1" x14ac:dyDescent="0.25">
      <c r="A9474" s="3"/>
      <c r="B9474" s="3"/>
      <c r="C9474" s="3"/>
      <c r="D9474" s="3"/>
      <c r="E9474" s="3"/>
      <c r="F9474" s="3"/>
      <c r="G9474" s="3"/>
      <c r="H9474" s="3"/>
      <c r="I9474" s="3"/>
      <c r="J9474" s="3"/>
      <c r="K9474" s="3"/>
      <c r="L9474" s="3"/>
      <c r="M9474" s="3"/>
      <c r="N9474" s="3"/>
      <c r="O9474" s="3"/>
    </row>
    <row r="9475" spans="1:15" ht="15" customHeight="1" x14ac:dyDescent="0.25">
      <c r="A9475" s="2"/>
      <c r="B9475" s="2"/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</row>
    <row r="9476" spans="1:15" ht="15" customHeight="1" x14ac:dyDescent="0.25">
      <c r="A9476" s="3"/>
      <c r="B9476" s="3"/>
      <c r="C9476" s="3"/>
      <c r="D9476" s="3"/>
      <c r="E9476" s="3"/>
      <c r="F9476" s="3"/>
      <c r="G9476" s="3"/>
      <c r="H9476" s="3"/>
      <c r="I9476" s="3"/>
      <c r="J9476" s="3"/>
      <c r="K9476" s="3"/>
      <c r="L9476" s="3"/>
      <c r="M9476" s="3"/>
      <c r="N9476" s="3"/>
      <c r="O9476" s="3"/>
    </row>
    <row r="9477" spans="1:15" ht="15" customHeight="1" x14ac:dyDescent="0.25">
      <c r="A9477" s="2"/>
      <c r="B9477" s="2"/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</row>
    <row r="9478" spans="1:15" ht="15" customHeight="1" x14ac:dyDescent="0.25">
      <c r="A9478" s="3"/>
      <c r="B9478" s="3"/>
      <c r="C9478" s="3"/>
      <c r="D9478" s="3"/>
      <c r="E9478" s="3"/>
      <c r="F9478" s="3"/>
      <c r="G9478" s="3"/>
      <c r="H9478" s="3"/>
      <c r="I9478" s="3"/>
      <c r="J9478" s="3"/>
      <c r="K9478" s="3"/>
      <c r="L9478" s="3"/>
      <c r="M9478" s="3"/>
      <c r="N9478" s="3"/>
      <c r="O9478" s="3"/>
    </row>
    <row r="9479" spans="1:15" ht="15" customHeight="1" x14ac:dyDescent="0.25">
      <c r="A9479" s="2"/>
      <c r="B9479" s="2"/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</row>
    <row r="9480" spans="1:15" ht="15" customHeight="1" x14ac:dyDescent="0.25">
      <c r="A9480" s="3"/>
      <c r="B9480" s="3"/>
      <c r="C9480" s="3"/>
      <c r="D9480" s="3"/>
      <c r="E9480" s="3"/>
      <c r="F9480" s="3"/>
      <c r="G9480" s="3"/>
      <c r="H9480" s="3"/>
      <c r="I9480" s="3"/>
      <c r="J9480" s="3"/>
      <c r="K9480" s="3"/>
      <c r="L9480" s="3"/>
      <c r="M9480" s="3"/>
      <c r="N9480" s="3"/>
      <c r="O9480" s="3"/>
    </row>
    <row r="9481" spans="1:15" ht="15" customHeight="1" x14ac:dyDescent="0.25">
      <c r="A9481" s="2"/>
      <c r="B9481" s="2"/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</row>
    <row r="9482" spans="1:15" ht="15" customHeight="1" x14ac:dyDescent="0.25">
      <c r="A9482" s="3"/>
      <c r="B9482" s="3"/>
      <c r="C9482" s="3"/>
      <c r="D9482" s="3"/>
      <c r="E9482" s="3"/>
      <c r="F9482" s="3"/>
      <c r="G9482" s="3"/>
      <c r="H9482" s="3"/>
      <c r="I9482" s="3"/>
      <c r="J9482" s="3"/>
      <c r="K9482" s="3"/>
      <c r="L9482" s="3"/>
      <c r="M9482" s="3"/>
      <c r="N9482" s="3"/>
      <c r="O9482" s="3"/>
    </row>
    <row r="9483" spans="1:15" ht="15" customHeight="1" x14ac:dyDescent="0.25">
      <c r="A9483" s="2"/>
      <c r="B9483" s="2"/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</row>
    <row r="9484" spans="1:15" ht="15" customHeight="1" x14ac:dyDescent="0.25">
      <c r="A9484" s="3"/>
      <c r="B9484" s="3"/>
      <c r="C9484" s="3"/>
      <c r="D9484" s="3"/>
      <c r="E9484" s="3"/>
      <c r="F9484" s="3"/>
      <c r="G9484" s="3"/>
      <c r="H9484" s="3"/>
      <c r="I9484" s="3"/>
      <c r="J9484" s="3"/>
      <c r="K9484" s="3"/>
      <c r="L9484" s="3"/>
      <c r="M9484" s="3"/>
      <c r="N9484" s="3"/>
      <c r="O9484" s="3"/>
    </row>
    <row r="9485" spans="1:15" ht="15" customHeight="1" x14ac:dyDescent="0.25">
      <c r="A9485" s="2"/>
      <c r="B9485" s="2"/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</row>
    <row r="9486" spans="1:15" ht="15" customHeight="1" x14ac:dyDescent="0.25">
      <c r="A9486" s="3"/>
      <c r="B9486" s="3"/>
      <c r="C9486" s="3"/>
      <c r="D9486" s="3"/>
      <c r="E9486" s="3"/>
      <c r="F9486" s="3"/>
      <c r="G9486" s="3"/>
      <c r="H9486" s="3"/>
      <c r="I9486" s="3"/>
      <c r="J9486" s="3"/>
      <c r="K9486" s="3"/>
      <c r="L9486" s="3"/>
      <c r="M9486" s="3"/>
      <c r="N9486" s="3"/>
      <c r="O9486" s="3"/>
    </row>
    <row r="9487" spans="1:15" ht="15" customHeight="1" x14ac:dyDescent="0.25">
      <c r="A9487" s="2"/>
      <c r="B9487" s="2"/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</row>
    <row r="9488" spans="1:15" ht="15" customHeight="1" x14ac:dyDescent="0.25">
      <c r="A9488" s="3"/>
      <c r="B9488" s="3"/>
      <c r="C9488" s="3"/>
      <c r="D9488" s="3"/>
      <c r="E9488" s="3"/>
      <c r="F9488" s="3"/>
      <c r="G9488" s="3"/>
      <c r="H9488" s="3"/>
      <c r="I9488" s="3"/>
      <c r="J9488" s="3"/>
      <c r="K9488" s="3"/>
      <c r="L9488" s="3"/>
      <c r="M9488" s="3"/>
      <c r="N9488" s="3"/>
      <c r="O9488" s="3"/>
    </row>
    <row r="9489" spans="1:15" ht="15" customHeight="1" x14ac:dyDescent="0.25">
      <c r="A9489" s="2"/>
      <c r="B9489" s="2"/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</row>
    <row r="9490" spans="1:15" ht="15" customHeight="1" x14ac:dyDescent="0.25">
      <c r="A9490" s="3"/>
      <c r="B9490" s="3"/>
      <c r="C9490" s="3"/>
      <c r="D9490" s="3"/>
      <c r="E9490" s="3"/>
      <c r="F9490" s="3"/>
      <c r="G9490" s="3"/>
      <c r="H9490" s="3"/>
      <c r="I9490" s="3"/>
      <c r="J9490" s="3"/>
      <c r="K9490" s="3"/>
      <c r="L9490" s="3"/>
      <c r="M9490" s="3"/>
      <c r="N9490" s="3"/>
      <c r="O9490" s="3"/>
    </row>
    <row r="9491" spans="1:15" ht="15" customHeight="1" x14ac:dyDescent="0.25">
      <c r="A9491" s="2"/>
      <c r="B9491" s="2"/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</row>
    <row r="9492" spans="1:15" ht="15" customHeight="1" x14ac:dyDescent="0.25">
      <c r="A9492" s="3"/>
      <c r="B9492" s="3"/>
      <c r="C9492" s="3"/>
      <c r="D9492" s="3"/>
      <c r="E9492" s="3"/>
      <c r="F9492" s="3"/>
      <c r="G9492" s="3"/>
      <c r="H9492" s="3"/>
      <c r="I9492" s="3"/>
      <c r="J9492" s="3"/>
      <c r="K9492" s="3"/>
      <c r="L9492" s="3"/>
      <c r="M9492" s="3"/>
      <c r="N9492" s="3"/>
      <c r="O9492" s="3"/>
    </row>
    <row r="9493" spans="1:15" ht="15" customHeight="1" x14ac:dyDescent="0.25">
      <c r="A9493" s="2"/>
      <c r="B9493" s="2"/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</row>
    <row r="9494" spans="1:15" ht="15" customHeight="1" x14ac:dyDescent="0.25">
      <c r="A9494" s="3"/>
      <c r="B9494" s="3"/>
      <c r="C9494" s="3"/>
      <c r="D9494" s="3"/>
      <c r="E9494" s="3"/>
      <c r="F9494" s="3"/>
      <c r="G9494" s="3"/>
      <c r="H9494" s="3"/>
      <c r="I9494" s="3"/>
      <c r="J9494" s="3"/>
      <c r="K9494" s="3"/>
      <c r="L9494" s="3"/>
      <c r="M9494" s="3"/>
      <c r="N9494" s="3"/>
      <c r="O9494" s="3"/>
    </row>
    <row r="9495" spans="1:15" ht="15" customHeight="1" x14ac:dyDescent="0.25">
      <c r="A9495" s="2"/>
      <c r="B9495" s="2"/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</row>
    <row r="9496" spans="1:15" ht="15" customHeight="1" x14ac:dyDescent="0.25">
      <c r="A9496" s="3"/>
      <c r="B9496" s="3"/>
      <c r="C9496" s="3"/>
      <c r="D9496" s="3"/>
      <c r="E9496" s="3"/>
      <c r="F9496" s="3"/>
      <c r="G9496" s="3"/>
      <c r="H9496" s="3"/>
      <c r="I9496" s="3"/>
      <c r="J9496" s="3"/>
      <c r="K9496" s="3"/>
      <c r="L9496" s="3"/>
      <c r="M9496" s="3"/>
      <c r="N9496" s="3"/>
      <c r="O9496" s="3"/>
    </row>
    <row r="9497" spans="1:15" ht="15" customHeight="1" x14ac:dyDescent="0.25">
      <c r="A9497" s="2"/>
      <c r="B9497" s="2"/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</row>
    <row r="9498" spans="1:15" ht="15" customHeight="1" x14ac:dyDescent="0.25">
      <c r="A9498" s="3"/>
      <c r="B9498" s="3"/>
      <c r="C9498" s="3"/>
      <c r="D9498" s="3"/>
      <c r="E9498" s="3"/>
      <c r="F9498" s="3"/>
      <c r="G9498" s="3"/>
      <c r="H9498" s="3"/>
      <c r="I9498" s="3"/>
      <c r="J9498" s="3"/>
      <c r="K9498" s="3"/>
      <c r="L9498" s="3"/>
      <c r="M9498" s="3"/>
      <c r="N9498" s="3"/>
      <c r="O9498" s="3"/>
    </row>
    <row r="9499" spans="1:15" ht="15" customHeight="1" x14ac:dyDescent="0.25">
      <c r="A9499" s="2"/>
      <c r="B9499" s="2"/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</row>
    <row r="9500" spans="1:15" ht="15" customHeight="1" x14ac:dyDescent="0.25">
      <c r="A9500" s="3"/>
      <c r="B9500" s="3"/>
      <c r="C9500" s="3"/>
      <c r="D9500" s="3"/>
      <c r="E9500" s="3"/>
      <c r="F9500" s="3"/>
      <c r="G9500" s="3"/>
      <c r="H9500" s="3"/>
      <c r="I9500" s="3"/>
      <c r="J9500" s="3"/>
      <c r="K9500" s="3"/>
      <c r="L9500" s="3"/>
      <c r="M9500" s="3"/>
      <c r="N9500" s="3"/>
      <c r="O9500" s="3"/>
    </row>
    <row r="9501" spans="1:15" ht="15" customHeight="1" x14ac:dyDescent="0.25">
      <c r="A9501" s="2"/>
      <c r="B9501" s="2"/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</row>
    <row r="9502" spans="1:15" ht="15" customHeight="1" x14ac:dyDescent="0.25">
      <c r="A9502" s="3"/>
      <c r="B9502" s="3"/>
      <c r="C9502" s="3"/>
      <c r="D9502" s="3"/>
      <c r="E9502" s="3"/>
      <c r="F9502" s="3"/>
      <c r="G9502" s="3"/>
      <c r="H9502" s="3"/>
      <c r="I9502" s="3"/>
      <c r="J9502" s="3"/>
      <c r="K9502" s="3"/>
      <c r="L9502" s="3"/>
      <c r="M9502" s="3"/>
      <c r="N9502" s="3"/>
      <c r="O9502" s="3"/>
    </row>
    <row r="9503" spans="1:15" ht="15" customHeight="1" x14ac:dyDescent="0.25">
      <c r="A9503" s="2"/>
      <c r="B9503" s="2"/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</row>
    <row r="9504" spans="1:15" ht="15" customHeight="1" x14ac:dyDescent="0.25">
      <c r="A9504" s="3"/>
      <c r="B9504" s="3"/>
      <c r="C9504" s="3"/>
      <c r="D9504" s="3"/>
      <c r="E9504" s="3"/>
      <c r="F9504" s="3"/>
      <c r="G9504" s="3"/>
      <c r="H9504" s="3"/>
      <c r="I9504" s="3"/>
      <c r="J9504" s="3"/>
      <c r="K9504" s="3"/>
      <c r="L9504" s="3"/>
      <c r="M9504" s="3"/>
      <c r="N9504" s="3"/>
      <c r="O9504" s="3"/>
    </row>
    <row r="9505" spans="1:15" ht="15" customHeight="1" x14ac:dyDescent="0.25">
      <c r="A9505" s="2"/>
      <c r="B9505" s="2"/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</row>
    <row r="9506" spans="1:15" ht="15" customHeight="1" x14ac:dyDescent="0.25">
      <c r="A9506" s="3"/>
      <c r="B9506" s="3"/>
      <c r="C9506" s="3"/>
      <c r="D9506" s="3"/>
      <c r="E9506" s="3"/>
      <c r="F9506" s="3"/>
      <c r="G9506" s="3"/>
      <c r="H9506" s="3"/>
      <c r="I9506" s="3"/>
      <c r="J9506" s="3"/>
      <c r="K9506" s="3"/>
      <c r="L9506" s="3"/>
      <c r="M9506" s="3"/>
      <c r="N9506" s="3"/>
      <c r="O9506" s="3"/>
    </row>
    <row r="9507" spans="1:15" ht="15" customHeight="1" x14ac:dyDescent="0.25">
      <c r="A9507" s="2"/>
      <c r="B9507" s="2"/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</row>
    <row r="9508" spans="1:15" ht="15" customHeight="1" x14ac:dyDescent="0.25">
      <c r="A9508" s="3"/>
      <c r="B9508" s="3"/>
      <c r="C9508" s="3"/>
      <c r="D9508" s="3"/>
      <c r="E9508" s="3"/>
      <c r="F9508" s="3"/>
      <c r="G9508" s="3"/>
      <c r="H9508" s="3"/>
      <c r="I9508" s="3"/>
      <c r="J9508" s="3"/>
      <c r="K9508" s="3"/>
      <c r="L9508" s="3"/>
      <c r="M9508" s="3"/>
      <c r="N9508" s="3"/>
      <c r="O9508" s="3"/>
    </row>
    <row r="9509" spans="1:15" ht="15" customHeight="1" x14ac:dyDescent="0.25">
      <c r="A9509" s="2"/>
      <c r="B9509" s="2"/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</row>
    <row r="9510" spans="1:15" ht="15" customHeight="1" x14ac:dyDescent="0.25">
      <c r="A9510" s="3"/>
      <c r="B9510" s="3"/>
      <c r="C9510" s="3"/>
      <c r="D9510" s="3"/>
      <c r="E9510" s="3"/>
      <c r="F9510" s="3"/>
      <c r="G9510" s="3"/>
      <c r="H9510" s="3"/>
      <c r="I9510" s="3"/>
      <c r="J9510" s="3"/>
      <c r="K9510" s="3"/>
      <c r="L9510" s="3"/>
      <c r="M9510" s="3"/>
      <c r="N9510" s="3"/>
      <c r="O9510" s="3"/>
    </row>
    <row r="9511" spans="1:15" ht="15" customHeight="1" x14ac:dyDescent="0.25">
      <c r="A9511" s="2"/>
      <c r="B9511" s="2"/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</row>
    <row r="9512" spans="1:15" ht="15" customHeight="1" x14ac:dyDescent="0.25">
      <c r="A9512" s="3"/>
      <c r="B9512" s="3"/>
      <c r="C9512" s="3"/>
      <c r="D9512" s="3"/>
      <c r="E9512" s="3"/>
      <c r="F9512" s="3"/>
      <c r="G9512" s="3"/>
      <c r="H9512" s="3"/>
      <c r="I9512" s="3"/>
      <c r="J9512" s="3"/>
      <c r="K9512" s="3"/>
      <c r="L9512" s="3"/>
      <c r="M9512" s="3"/>
      <c r="N9512" s="3"/>
      <c r="O9512" s="3"/>
    </row>
    <row r="9513" spans="1:15" ht="15" customHeight="1" x14ac:dyDescent="0.25">
      <c r="A9513" s="2"/>
      <c r="B9513" s="2"/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</row>
    <row r="9514" spans="1:15" ht="15" customHeight="1" x14ac:dyDescent="0.25">
      <c r="A9514" s="3"/>
      <c r="B9514" s="3"/>
      <c r="C9514" s="3"/>
      <c r="D9514" s="3"/>
      <c r="E9514" s="3"/>
      <c r="F9514" s="3"/>
      <c r="G9514" s="3"/>
      <c r="H9514" s="3"/>
      <c r="I9514" s="3"/>
      <c r="J9514" s="3"/>
      <c r="K9514" s="3"/>
      <c r="L9514" s="3"/>
      <c r="M9514" s="3"/>
      <c r="N9514" s="3"/>
      <c r="O9514" s="3"/>
    </row>
    <row r="9515" spans="1:15" ht="15" customHeight="1" x14ac:dyDescent="0.25">
      <c r="A9515" s="2"/>
      <c r="B9515" s="2"/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</row>
    <row r="9516" spans="1:15" ht="15" customHeight="1" x14ac:dyDescent="0.25">
      <c r="A9516" s="3"/>
      <c r="B9516" s="3"/>
      <c r="C9516" s="3"/>
      <c r="D9516" s="3"/>
      <c r="E9516" s="3"/>
      <c r="F9516" s="3"/>
      <c r="G9516" s="3"/>
      <c r="H9516" s="3"/>
      <c r="I9516" s="3"/>
      <c r="J9516" s="3"/>
      <c r="K9516" s="3"/>
      <c r="L9516" s="3"/>
      <c r="M9516" s="3"/>
      <c r="N9516" s="3"/>
      <c r="O9516" s="3"/>
    </row>
    <row r="9517" spans="1:15" ht="15" customHeight="1" x14ac:dyDescent="0.25">
      <c r="A9517" s="2"/>
      <c r="B9517" s="2"/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</row>
    <row r="9518" spans="1:15" ht="15" customHeight="1" x14ac:dyDescent="0.25">
      <c r="A9518" s="3"/>
      <c r="B9518" s="3"/>
      <c r="C9518" s="3"/>
      <c r="D9518" s="3"/>
      <c r="E9518" s="3"/>
      <c r="F9518" s="3"/>
      <c r="G9518" s="3"/>
      <c r="H9518" s="3"/>
      <c r="I9518" s="3"/>
      <c r="J9518" s="3"/>
      <c r="K9518" s="3"/>
      <c r="L9518" s="3"/>
      <c r="M9518" s="3"/>
      <c r="N9518" s="3"/>
      <c r="O9518" s="3"/>
    </row>
    <row r="9519" spans="1:15" ht="15" customHeight="1" x14ac:dyDescent="0.25">
      <c r="A9519" s="2"/>
      <c r="B9519" s="2"/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</row>
    <row r="9520" spans="1:15" ht="15" customHeight="1" x14ac:dyDescent="0.25">
      <c r="A9520" s="3"/>
      <c r="B9520" s="3"/>
      <c r="C9520" s="3"/>
      <c r="D9520" s="3"/>
      <c r="E9520" s="3"/>
      <c r="F9520" s="3"/>
      <c r="G9520" s="3"/>
      <c r="H9520" s="3"/>
      <c r="I9520" s="3"/>
      <c r="J9520" s="3"/>
      <c r="K9520" s="3"/>
      <c r="L9520" s="3"/>
      <c r="M9520" s="3"/>
      <c r="N9520" s="3"/>
      <c r="O9520" s="3"/>
    </row>
    <row r="9521" spans="1:15" ht="15" customHeight="1" x14ac:dyDescent="0.25">
      <c r="A9521" s="2"/>
      <c r="B9521" s="2"/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</row>
    <row r="9522" spans="1:15" ht="15" customHeight="1" x14ac:dyDescent="0.25">
      <c r="A9522" s="3"/>
      <c r="B9522" s="3"/>
      <c r="C9522" s="3"/>
      <c r="D9522" s="3"/>
      <c r="E9522" s="3"/>
      <c r="F9522" s="3"/>
      <c r="G9522" s="3"/>
      <c r="H9522" s="3"/>
      <c r="I9522" s="3"/>
      <c r="J9522" s="3"/>
      <c r="K9522" s="3"/>
      <c r="L9522" s="3"/>
      <c r="M9522" s="3"/>
      <c r="N9522" s="3"/>
      <c r="O9522" s="3"/>
    </row>
    <row r="9523" spans="1:15" ht="15" customHeight="1" x14ac:dyDescent="0.25">
      <c r="A9523" s="2"/>
      <c r="B9523" s="2"/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</row>
    <row r="9524" spans="1:15" ht="15" customHeight="1" x14ac:dyDescent="0.25">
      <c r="A9524" s="3"/>
      <c r="B9524" s="3"/>
      <c r="C9524" s="3"/>
      <c r="D9524" s="3"/>
      <c r="E9524" s="3"/>
      <c r="F9524" s="3"/>
      <c r="G9524" s="3"/>
      <c r="H9524" s="3"/>
      <c r="I9524" s="3"/>
      <c r="J9524" s="3"/>
      <c r="K9524" s="3"/>
      <c r="L9524" s="3"/>
      <c r="M9524" s="3"/>
      <c r="N9524" s="3"/>
      <c r="O9524" s="3"/>
    </row>
    <row r="9525" spans="1:15" ht="15" customHeight="1" x14ac:dyDescent="0.25">
      <c r="A9525" s="2"/>
      <c r="B9525" s="2"/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</row>
    <row r="9526" spans="1:15" ht="15" customHeight="1" x14ac:dyDescent="0.25">
      <c r="A9526" s="3"/>
      <c r="B9526" s="3"/>
      <c r="C9526" s="3"/>
      <c r="D9526" s="3"/>
      <c r="E9526" s="3"/>
      <c r="F9526" s="3"/>
      <c r="G9526" s="3"/>
      <c r="H9526" s="3"/>
      <c r="I9526" s="3"/>
      <c r="J9526" s="3"/>
      <c r="K9526" s="3"/>
      <c r="L9526" s="3"/>
      <c r="M9526" s="3"/>
      <c r="N9526" s="3"/>
      <c r="O9526" s="3"/>
    </row>
    <row r="9527" spans="1:15" ht="15" customHeight="1" x14ac:dyDescent="0.25">
      <c r="A9527" s="2"/>
      <c r="B9527" s="2"/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</row>
    <row r="9528" spans="1:15" ht="15" customHeight="1" x14ac:dyDescent="0.25">
      <c r="A9528" s="3"/>
      <c r="B9528" s="3"/>
      <c r="C9528" s="3"/>
      <c r="D9528" s="3"/>
      <c r="E9528" s="3"/>
      <c r="F9528" s="3"/>
      <c r="G9528" s="3"/>
      <c r="H9528" s="3"/>
      <c r="I9528" s="3"/>
      <c r="J9528" s="3"/>
      <c r="K9528" s="3"/>
      <c r="L9528" s="3"/>
      <c r="M9528" s="3"/>
      <c r="N9528" s="3"/>
      <c r="O9528" s="3"/>
    </row>
    <row r="9529" spans="1:15" ht="15" customHeight="1" x14ac:dyDescent="0.25">
      <c r="A9529" s="2"/>
      <c r="B9529" s="2"/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</row>
    <row r="9530" spans="1:15" ht="15" customHeight="1" x14ac:dyDescent="0.25">
      <c r="A9530" s="3"/>
      <c r="B9530" s="3"/>
      <c r="C9530" s="3"/>
      <c r="D9530" s="3"/>
      <c r="E9530" s="3"/>
      <c r="F9530" s="3"/>
      <c r="G9530" s="3"/>
      <c r="H9530" s="3"/>
      <c r="I9530" s="3"/>
      <c r="J9530" s="3"/>
      <c r="K9530" s="3"/>
      <c r="L9530" s="3"/>
      <c r="M9530" s="3"/>
      <c r="N9530" s="3"/>
      <c r="O9530" s="3"/>
    </row>
    <row r="9531" spans="1:15" ht="15" customHeight="1" x14ac:dyDescent="0.25">
      <c r="A9531" s="2"/>
      <c r="B9531" s="2"/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</row>
    <row r="9532" spans="1:15" ht="15" customHeight="1" x14ac:dyDescent="0.25">
      <c r="A9532" s="3"/>
      <c r="B9532" s="3"/>
      <c r="C9532" s="3"/>
      <c r="D9532" s="3"/>
      <c r="E9532" s="3"/>
      <c r="F9532" s="3"/>
      <c r="G9532" s="3"/>
      <c r="H9532" s="3"/>
      <c r="I9532" s="3"/>
      <c r="J9532" s="3"/>
      <c r="K9532" s="3"/>
      <c r="L9532" s="3"/>
      <c r="M9532" s="3"/>
      <c r="N9532" s="3"/>
      <c r="O9532" s="3"/>
    </row>
    <row r="9533" spans="1:15" ht="15" customHeight="1" x14ac:dyDescent="0.25">
      <c r="A9533" s="2"/>
      <c r="B9533" s="2"/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</row>
    <row r="9534" spans="1:15" ht="15" customHeight="1" x14ac:dyDescent="0.25">
      <c r="A9534" s="3"/>
      <c r="B9534" s="3"/>
      <c r="C9534" s="3"/>
      <c r="D9534" s="3"/>
      <c r="E9534" s="3"/>
      <c r="F9534" s="3"/>
      <c r="G9534" s="3"/>
      <c r="H9534" s="3"/>
      <c r="I9534" s="3"/>
      <c r="J9534" s="3"/>
      <c r="K9534" s="3"/>
      <c r="L9534" s="3"/>
      <c r="M9534" s="3"/>
      <c r="N9534" s="3"/>
      <c r="O9534" s="3"/>
    </row>
    <row r="9535" spans="1:15" ht="15" customHeight="1" x14ac:dyDescent="0.25">
      <c r="A9535" s="2"/>
      <c r="B9535" s="2"/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</row>
    <row r="9536" spans="1:15" ht="15" customHeight="1" x14ac:dyDescent="0.25">
      <c r="A9536" s="3"/>
      <c r="B9536" s="3"/>
      <c r="C9536" s="3"/>
      <c r="D9536" s="3"/>
      <c r="E9536" s="3"/>
      <c r="F9536" s="3"/>
      <c r="G9536" s="3"/>
      <c r="H9536" s="3"/>
      <c r="I9536" s="3"/>
      <c r="J9536" s="3"/>
      <c r="K9536" s="3"/>
      <c r="L9536" s="3"/>
      <c r="M9536" s="3"/>
      <c r="N9536" s="3"/>
      <c r="O9536" s="3"/>
    </row>
    <row r="9537" spans="1:15" ht="15" customHeight="1" x14ac:dyDescent="0.25">
      <c r="A9537" s="2"/>
      <c r="B9537" s="2"/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</row>
    <row r="9538" spans="1:15" ht="15" customHeight="1" x14ac:dyDescent="0.25">
      <c r="A9538" s="3"/>
      <c r="B9538" s="3"/>
      <c r="C9538" s="3"/>
      <c r="D9538" s="3"/>
      <c r="E9538" s="3"/>
      <c r="F9538" s="3"/>
      <c r="G9538" s="3"/>
      <c r="H9538" s="3"/>
      <c r="I9538" s="3"/>
      <c r="J9538" s="3"/>
      <c r="K9538" s="3"/>
      <c r="L9538" s="3"/>
      <c r="M9538" s="3"/>
      <c r="N9538" s="3"/>
      <c r="O9538" s="3"/>
    </row>
    <row r="9539" spans="1:15" ht="15" customHeight="1" x14ac:dyDescent="0.25">
      <c r="A9539" s="2"/>
      <c r="B9539" s="2"/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</row>
    <row r="9540" spans="1:15" ht="15" customHeight="1" x14ac:dyDescent="0.25">
      <c r="A9540" s="3"/>
      <c r="B9540" s="3"/>
      <c r="C9540" s="3"/>
      <c r="D9540" s="3"/>
      <c r="E9540" s="3"/>
      <c r="F9540" s="3"/>
      <c r="G9540" s="3"/>
      <c r="H9540" s="3"/>
      <c r="I9540" s="3"/>
      <c r="J9540" s="3"/>
      <c r="K9540" s="3"/>
      <c r="L9540" s="3"/>
      <c r="M9540" s="3"/>
      <c r="N9540" s="3"/>
      <c r="O9540" s="3"/>
    </row>
    <row r="9541" spans="1:15" ht="15" customHeight="1" x14ac:dyDescent="0.25">
      <c r="A9541" s="2"/>
      <c r="B9541" s="2"/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</row>
    <row r="9542" spans="1:15" ht="15" customHeight="1" x14ac:dyDescent="0.25">
      <c r="A9542" s="3"/>
      <c r="B9542" s="3"/>
      <c r="C9542" s="3"/>
      <c r="D9542" s="3"/>
      <c r="E9542" s="3"/>
      <c r="F9542" s="3"/>
      <c r="G9542" s="3"/>
      <c r="H9542" s="3"/>
      <c r="I9542" s="3"/>
      <c r="J9542" s="3"/>
      <c r="K9542" s="3"/>
      <c r="L9542" s="3"/>
      <c r="M9542" s="3"/>
      <c r="N9542" s="3"/>
      <c r="O9542" s="3"/>
    </row>
    <row r="9543" spans="1:15" ht="15" customHeight="1" x14ac:dyDescent="0.25">
      <c r="A9543" s="2"/>
      <c r="B9543" s="2"/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</row>
    <row r="9544" spans="1:15" ht="15" customHeight="1" x14ac:dyDescent="0.25">
      <c r="A9544" s="3"/>
      <c r="B9544" s="3"/>
      <c r="C9544" s="3"/>
      <c r="D9544" s="3"/>
      <c r="E9544" s="3"/>
      <c r="F9544" s="3"/>
      <c r="G9544" s="3"/>
      <c r="H9544" s="3"/>
      <c r="I9544" s="3"/>
      <c r="J9544" s="3"/>
      <c r="K9544" s="3"/>
      <c r="L9544" s="3"/>
      <c r="M9544" s="3"/>
      <c r="N9544" s="3"/>
      <c r="O9544" s="3"/>
    </row>
    <row r="9545" spans="1:15" ht="15" customHeight="1" x14ac:dyDescent="0.25">
      <c r="A9545" s="2"/>
      <c r="B9545" s="2"/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</row>
    <row r="9546" spans="1:15" ht="15" customHeight="1" x14ac:dyDescent="0.25">
      <c r="A9546" s="3"/>
      <c r="B9546" s="3"/>
      <c r="C9546" s="3"/>
      <c r="D9546" s="3"/>
      <c r="E9546" s="3"/>
      <c r="F9546" s="3"/>
      <c r="G9546" s="3"/>
      <c r="H9546" s="3"/>
      <c r="I9546" s="3"/>
      <c r="J9546" s="3"/>
      <c r="K9546" s="3"/>
      <c r="L9546" s="3"/>
      <c r="M9546" s="3"/>
      <c r="N9546" s="3"/>
      <c r="O9546" s="3"/>
    </row>
    <row r="9547" spans="1:15" ht="15" customHeight="1" x14ac:dyDescent="0.25">
      <c r="A9547" s="2"/>
      <c r="B9547" s="2"/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</row>
    <row r="9548" spans="1:15" ht="15" customHeight="1" x14ac:dyDescent="0.25">
      <c r="A9548" s="3"/>
      <c r="B9548" s="3"/>
      <c r="C9548" s="3"/>
      <c r="D9548" s="3"/>
      <c r="E9548" s="3"/>
      <c r="F9548" s="3"/>
      <c r="G9548" s="3"/>
      <c r="H9548" s="3"/>
      <c r="I9548" s="3"/>
      <c r="J9548" s="3"/>
      <c r="K9548" s="3"/>
      <c r="L9548" s="3"/>
      <c r="M9548" s="3"/>
      <c r="N9548" s="3"/>
      <c r="O9548" s="3"/>
    </row>
    <row r="9549" spans="1:15" ht="15" customHeight="1" x14ac:dyDescent="0.25">
      <c r="A9549" s="2"/>
      <c r="B9549" s="2"/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</row>
    <row r="9550" spans="1:15" ht="15" customHeight="1" x14ac:dyDescent="0.25">
      <c r="A9550" s="3"/>
      <c r="B9550" s="3"/>
      <c r="C9550" s="3"/>
      <c r="D9550" s="3"/>
      <c r="E9550" s="3"/>
      <c r="F9550" s="3"/>
      <c r="G9550" s="3"/>
      <c r="H9550" s="3"/>
      <c r="I9550" s="3"/>
      <c r="J9550" s="3"/>
      <c r="K9550" s="3"/>
      <c r="L9550" s="3"/>
      <c r="M9550" s="3"/>
      <c r="N9550" s="3"/>
      <c r="O9550" s="3"/>
    </row>
    <row r="9551" spans="1:15" ht="15" customHeight="1" x14ac:dyDescent="0.25">
      <c r="A9551" s="2"/>
      <c r="B9551" s="2"/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</row>
    <row r="9552" spans="1:15" ht="15" customHeight="1" x14ac:dyDescent="0.25">
      <c r="A9552" s="3"/>
      <c r="B9552" s="3"/>
      <c r="C9552" s="3"/>
      <c r="D9552" s="3"/>
      <c r="E9552" s="3"/>
      <c r="F9552" s="3"/>
      <c r="G9552" s="3"/>
      <c r="H9552" s="3"/>
      <c r="I9552" s="3"/>
      <c r="J9552" s="3"/>
      <c r="K9552" s="3"/>
      <c r="L9552" s="3"/>
      <c r="M9552" s="3"/>
      <c r="N9552" s="3"/>
      <c r="O9552" s="3"/>
    </row>
    <row r="9553" spans="1:15" ht="15" customHeight="1" x14ac:dyDescent="0.25">
      <c r="A9553" s="2"/>
      <c r="B9553" s="2"/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</row>
    <row r="9554" spans="1:15" ht="15" customHeight="1" x14ac:dyDescent="0.25">
      <c r="A9554" s="3"/>
      <c r="B9554" s="3"/>
      <c r="C9554" s="3"/>
      <c r="D9554" s="3"/>
      <c r="E9554" s="3"/>
      <c r="F9554" s="3"/>
      <c r="G9554" s="3"/>
      <c r="H9554" s="3"/>
      <c r="I9554" s="3"/>
      <c r="J9554" s="3"/>
      <c r="K9554" s="3"/>
      <c r="L9554" s="3"/>
      <c r="M9554" s="3"/>
      <c r="N9554" s="3"/>
      <c r="O9554" s="3"/>
    </row>
    <row r="9555" spans="1:15" ht="15" customHeight="1" x14ac:dyDescent="0.25">
      <c r="A9555" s="2"/>
      <c r="B9555" s="2"/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</row>
    <row r="9556" spans="1:15" ht="15" customHeight="1" x14ac:dyDescent="0.25">
      <c r="A9556" s="3"/>
      <c r="B9556" s="3"/>
      <c r="C9556" s="3"/>
      <c r="D9556" s="3"/>
      <c r="E9556" s="3"/>
      <c r="F9556" s="3"/>
      <c r="G9556" s="3"/>
      <c r="H9556" s="3"/>
      <c r="I9556" s="3"/>
      <c r="J9556" s="3"/>
      <c r="K9556" s="3"/>
      <c r="L9556" s="3"/>
      <c r="M9556" s="3"/>
      <c r="N9556" s="3"/>
      <c r="O9556" s="3"/>
    </row>
    <row r="9557" spans="1:15" ht="15" customHeight="1" x14ac:dyDescent="0.25">
      <c r="A9557" s="2"/>
      <c r="B9557" s="2"/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</row>
    <row r="9558" spans="1:15" ht="15" customHeight="1" x14ac:dyDescent="0.25">
      <c r="A9558" s="3"/>
      <c r="B9558" s="3"/>
      <c r="C9558" s="3"/>
      <c r="D9558" s="3"/>
      <c r="E9558" s="3"/>
      <c r="F9558" s="3"/>
      <c r="G9558" s="3"/>
      <c r="H9558" s="3"/>
      <c r="I9558" s="3"/>
      <c r="J9558" s="3"/>
      <c r="K9558" s="3"/>
      <c r="L9558" s="3"/>
      <c r="M9558" s="3"/>
      <c r="N9558" s="3"/>
      <c r="O9558" s="3"/>
    </row>
    <row r="9559" spans="1:15" ht="15" customHeight="1" x14ac:dyDescent="0.25">
      <c r="A9559" s="2"/>
      <c r="B9559" s="2"/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</row>
    <row r="9560" spans="1:15" ht="15" customHeight="1" x14ac:dyDescent="0.25">
      <c r="A9560" s="3"/>
      <c r="B9560" s="3"/>
      <c r="C9560" s="3"/>
      <c r="D9560" s="3"/>
      <c r="E9560" s="3"/>
      <c r="F9560" s="3"/>
      <c r="G9560" s="3"/>
      <c r="H9560" s="3"/>
      <c r="I9560" s="3"/>
      <c r="J9560" s="3"/>
      <c r="K9560" s="3"/>
      <c r="L9560" s="3"/>
      <c r="M9560" s="3"/>
      <c r="N9560" s="3"/>
      <c r="O9560" s="3"/>
    </row>
    <row r="9561" spans="1:15" ht="15" customHeight="1" x14ac:dyDescent="0.25">
      <c r="A9561" s="2"/>
      <c r="B9561" s="2"/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</row>
    <row r="9562" spans="1:15" ht="15" customHeight="1" x14ac:dyDescent="0.25">
      <c r="A9562" s="3"/>
      <c r="B9562" s="3"/>
      <c r="C9562" s="3"/>
      <c r="D9562" s="3"/>
      <c r="E9562" s="3"/>
      <c r="F9562" s="3"/>
      <c r="G9562" s="3"/>
      <c r="H9562" s="3"/>
      <c r="I9562" s="3"/>
      <c r="J9562" s="3"/>
      <c r="K9562" s="3"/>
      <c r="L9562" s="3"/>
      <c r="M9562" s="3"/>
      <c r="N9562" s="3"/>
      <c r="O9562" s="3"/>
    </row>
    <row r="9563" spans="1:15" ht="15" customHeight="1" x14ac:dyDescent="0.25">
      <c r="A9563" s="2"/>
      <c r="B9563" s="2"/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</row>
    <row r="9564" spans="1:15" ht="15" customHeight="1" x14ac:dyDescent="0.25">
      <c r="A9564" s="3"/>
      <c r="B9564" s="3"/>
      <c r="C9564" s="3"/>
      <c r="D9564" s="3"/>
      <c r="E9564" s="3"/>
      <c r="F9564" s="3"/>
      <c r="G9564" s="3"/>
      <c r="H9564" s="3"/>
      <c r="I9564" s="3"/>
      <c r="J9564" s="3"/>
      <c r="K9564" s="3"/>
      <c r="L9564" s="3"/>
      <c r="M9564" s="3"/>
      <c r="N9564" s="3"/>
      <c r="O9564" s="3"/>
    </row>
    <row r="9565" spans="1:15" ht="15" customHeight="1" x14ac:dyDescent="0.25">
      <c r="A9565" s="2"/>
      <c r="B9565" s="2"/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</row>
    <row r="9566" spans="1:15" ht="15" customHeight="1" x14ac:dyDescent="0.25">
      <c r="A9566" s="3"/>
      <c r="B9566" s="3"/>
      <c r="C9566" s="3"/>
      <c r="D9566" s="3"/>
      <c r="E9566" s="3"/>
      <c r="F9566" s="3"/>
      <c r="G9566" s="3"/>
      <c r="H9566" s="3"/>
      <c r="I9566" s="3"/>
      <c r="J9566" s="3"/>
      <c r="K9566" s="3"/>
      <c r="L9566" s="3"/>
      <c r="M9566" s="3"/>
      <c r="N9566" s="3"/>
      <c r="O9566" s="3"/>
    </row>
    <row r="9567" spans="1:15" ht="15" customHeight="1" x14ac:dyDescent="0.25">
      <c r="A9567" s="2"/>
      <c r="B9567" s="2"/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</row>
    <row r="9568" spans="1:15" ht="15" customHeight="1" x14ac:dyDescent="0.25">
      <c r="A9568" s="3"/>
      <c r="B9568" s="3"/>
      <c r="C9568" s="3"/>
      <c r="D9568" s="3"/>
      <c r="E9568" s="3"/>
      <c r="F9568" s="3"/>
      <c r="G9568" s="3"/>
      <c r="H9568" s="3"/>
      <c r="I9568" s="3"/>
      <c r="J9568" s="3"/>
      <c r="K9568" s="3"/>
      <c r="L9568" s="3"/>
      <c r="M9568" s="3"/>
      <c r="N9568" s="3"/>
      <c r="O9568" s="3"/>
    </row>
    <row r="9569" spans="1:15" ht="15" customHeight="1" x14ac:dyDescent="0.25">
      <c r="A9569" s="2"/>
      <c r="B9569" s="2"/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</row>
    <row r="9570" spans="1:15" ht="15" customHeight="1" x14ac:dyDescent="0.25">
      <c r="A9570" s="3"/>
      <c r="B9570" s="3"/>
      <c r="C9570" s="3"/>
      <c r="D9570" s="3"/>
      <c r="E9570" s="3"/>
      <c r="F9570" s="3"/>
      <c r="G9570" s="3"/>
      <c r="H9570" s="3"/>
      <c r="I9570" s="3"/>
      <c r="J9570" s="3"/>
      <c r="K9570" s="3"/>
      <c r="L9570" s="3"/>
      <c r="M9570" s="3"/>
      <c r="N9570" s="3"/>
      <c r="O9570" s="3"/>
    </row>
    <row r="9571" spans="1:15" ht="15" customHeight="1" x14ac:dyDescent="0.25">
      <c r="A9571" s="2"/>
      <c r="B9571" s="2"/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</row>
    <row r="9572" spans="1:15" ht="15" customHeight="1" x14ac:dyDescent="0.25">
      <c r="A9572" s="3"/>
      <c r="B9572" s="3"/>
      <c r="C9572" s="3"/>
      <c r="D9572" s="3"/>
      <c r="E9572" s="3"/>
      <c r="F9572" s="3"/>
      <c r="G9572" s="3"/>
      <c r="H9572" s="3"/>
      <c r="I9572" s="3"/>
      <c r="J9572" s="3"/>
      <c r="K9572" s="3"/>
      <c r="L9572" s="3"/>
      <c r="M9572" s="3"/>
      <c r="N9572" s="3"/>
      <c r="O9572" s="3"/>
    </row>
    <row r="9573" spans="1:15" ht="15" customHeight="1" x14ac:dyDescent="0.25">
      <c r="A9573" s="2"/>
      <c r="B9573" s="2"/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</row>
    <row r="9574" spans="1:15" ht="15" customHeight="1" x14ac:dyDescent="0.25">
      <c r="A9574" s="3"/>
      <c r="B9574" s="3"/>
      <c r="C9574" s="3"/>
      <c r="D9574" s="3"/>
      <c r="E9574" s="3"/>
      <c r="F9574" s="3"/>
      <c r="G9574" s="3"/>
      <c r="H9574" s="3"/>
      <c r="I9574" s="3"/>
      <c r="J9574" s="3"/>
      <c r="K9574" s="3"/>
      <c r="L9574" s="3"/>
      <c r="M9574" s="3"/>
      <c r="N9574" s="3"/>
      <c r="O9574" s="3"/>
    </row>
    <row r="9575" spans="1:15" ht="15" customHeight="1" x14ac:dyDescent="0.25">
      <c r="A9575" s="2"/>
      <c r="B9575" s="2"/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</row>
    <row r="9576" spans="1:15" ht="15" customHeight="1" x14ac:dyDescent="0.25">
      <c r="A9576" s="3"/>
      <c r="B9576" s="3"/>
      <c r="C9576" s="3"/>
      <c r="D9576" s="3"/>
      <c r="E9576" s="3"/>
      <c r="F9576" s="3"/>
      <c r="G9576" s="3"/>
      <c r="H9576" s="3"/>
      <c r="I9576" s="3"/>
      <c r="J9576" s="3"/>
      <c r="K9576" s="3"/>
      <c r="L9576" s="3"/>
      <c r="M9576" s="3"/>
      <c r="N9576" s="3"/>
      <c r="O9576" s="3"/>
    </row>
    <row r="9577" spans="1:15" ht="15" customHeight="1" x14ac:dyDescent="0.25">
      <c r="A9577" s="2"/>
      <c r="B9577" s="2"/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</row>
    <row r="9578" spans="1:15" ht="15" customHeight="1" x14ac:dyDescent="0.25">
      <c r="A9578" s="3"/>
      <c r="B9578" s="3"/>
      <c r="C9578" s="3"/>
      <c r="D9578" s="3"/>
      <c r="E9578" s="3"/>
      <c r="F9578" s="3"/>
      <c r="G9578" s="3"/>
      <c r="H9578" s="3"/>
      <c r="I9578" s="3"/>
      <c r="J9578" s="3"/>
      <c r="K9578" s="3"/>
      <c r="L9578" s="3"/>
      <c r="M9578" s="3"/>
      <c r="N9578" s="3"/>
      <c r="O9578" s="3"/>
    </row>
    <row r="9579" spans="1:15" ht="15" customHeight="1" x14ac:dyDescent="0.25">
      <c r="A9579" s="2"/>
      <c r="B9579" s="2"/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</row>
    <row r="9580" spans="1:15" ht="15" customHeight="1" x14ac:dyDescent="0.25">
      <c r="A9580" s="3"/>
      <c r="B9580" s="3"/>
      <c r="C9580" s="3"/>
      <c r="D9580" s="3"/>
      <c r="E9580" s="3"/>
      <c r="F9580" s="3"/>
      <c r="G9580" s="3"/>
      <c r="H9580" s="3"/>
      <c r="I9580" s="3"/>
      <c r="J9580" s="3"/>
      <c r="K9580" s="3"/>
      <c r="L9580" s="3"/>
      <c r="M9580" s="3"/>
      <c r="N9580" s="3"/>
      <c r="O9580" s="3"/>
    </row>
    <row r="9581" spans="1:15" ht="15" customHeight="1" x14ac:dyDescent="0.25">
      <c r="A9581" s="2"/>
      <c r="B9581" s="2"/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</row>
    <row r="9582" spans="1:15" ht="15" customHeight="1" x14ac:dyDescent="0.25">
      <c r="A9582" s="3"/>
      <c r="B9582" s="3"/>
      <c r="C9582" s="3"/>
      <c r="D9582" s="3"/>
      <c r="E9582" s="3"/>
      <c r="F9582" s="3"/>
      <c r="G9582" s="3"/>
      <c r="H9582" s="3"/>
      <c r="I9582" s="3"/>
      <c r="J9582" s="3"/>
      <c r="K9582" s="3"/>
      <c r="L9582" s="3"/>
      <c r="M9582" s="3"/>
      <c r="N9582" s="3"/>
      <c r="O9582" s="3"/>
    </row>
    <row r="9583" spans="1:15" ht="15" customHeight="1" x14ac:dyDescent="0.25">
      <c r="A9583" s="2"/>
      <c r="B9583" s="2"/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</row>
    <row r="9584" spans="1:15" ht="15" customHeight="1" x14ac:dyDescent="0.25">
      <c r="A9584" s="3"/>
      <c r="B9584" s="3"/>
      <c r="C9584" s="3"/>
      <c r="D9584" s="3"/>
      <c r="E9584" s="3"/>
      <c r="F9584" s="3"/>
      <c r="G9584" s="3"/>
      <c r="H9584" s="3"/>
      <c r="I9584" s="3"/>
      <c r="J9584" s="3"/>
      <c r="K9584" s="3"/>
      <c r="L9584" s="3"/>
      <c r="M9584" s="3"/>
      <c r="N9584" s="3"/>
      <c r="O9584" s="3"/>
    </row>
    <row r="9585" spans="1:15" ht="15" customHeight="1" x14ac:dyDescent="0.25">
      <c r="A9585" s="2"/>
      <c r="B9585" s="2"/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</row>
    <row r="9586" spans="1:15" ht="15" customHeight="1" x14ac:dyDescent="0.25">
      <c r="A9586" s="3"/>
      <c r="B9586" s="3"/>
      <c r="C9586" s="3"/>
      <c r="D9586" s="3"/>
      <c r="E9586" s="3"/>
      <c r="F9586" s="3"/>
      <c r="G9586" s="3"/>
      <c r="H9586" s="3"/>
      <c r="I9586" s="3"/>
      <c r="J9586" s="3"/>
      <c r="K9586" s="3"/>
      <c r="L9586" s="3"/>
      <c r="M9586" s="3"/>
      <c r="N9586" s="3"/>
      <c r="O9586" s="3"/>
    </row>
    <row r="9587" spans="1:15" ht="15" customHeight="1" x14ac:dyDescent="0.25">
      <c r="A9587" s="2"/>
      <c r="B9587" s="2"/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</row>
    <row r="9588" spans="1:15" ht="15" customHeight="1" x14ac:dyDescent="0.25">
      <c r="A9588" s="3"/>
      <c r="B9588" s="3"/>
      <c r="C9588" s="3"/>
      <c r="D9588" s="3"/>
      <c r="E9588" s="3"/>
      <c r="F9588" s="3"/>
      <c r="G9588" s="3"/>
      <c r="H9588" s="3"/>
      <c r="I9588" s="3"/>
      <c r="J9588" s="3"/>
      <c r="K9588" s="3"/>
      <c r="L9588" s="3"/>
      <c r="M9588" s="3"/>
      <c r="N9588" s="3"/>
      <c r="O9588" s="3"/>
    </row>
    <row r="9589" spans="1:15" ht="15" customHeight="1" x14ac:dyDescent="0.25">
      <c r="A9589" s="2"/>
      <c r="B9589" s="2"/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</row>
    <row r="9590" spans="1:15" ht="15" customHeight="1" x14ac:dyDescent="0.25">
      <c r="A9590" s="3"/>
      <c r="B9590" s="3"/>
      <c r="C9590" s="3"/>
      <c r="D9590" s="3"/>
      <c r="E9590" s="3"/>
      <c r="F9590" s="3"/>
      <c r="G9590" s="3"/>
      <c r="H9590" s="3"/>
      <c r="I9590" s="3"/>
      <c r="J9590" s="3"/>
      <c r="K9590" s="3"/>
      <c r="L9590" s="3"/>
      <c r="M9590" s="3"/>
      <c r="N9590" s="3"/>
      <c r="O9590" s="3"/>
    </row>
    <row r="9591" spans="1:15" ht="15" customHeight="1" x14ac:dyDescent="0.25">
      <c r="A9591" s="2"/>
      <c r="B9591" s="2"/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</row>
    <row r="9592" spans="1:15" ht="15" customHeight="1" x14ac:dyDescent="0.25">
      <c r="A9592" s="3"/>
      <c r="B9592" s="3"/>
      <c r="C9592" s="3"/>
      <c r="D9592" s="3"/>
      <c r="E9592" s="3"/>
      <c r="F9592" s="3"/>
      <c r="G9592" s="3"/>
      <c r="H9592" s="3"/>
      <c r="I9592" s="3"/>
      <c r="J9592" s="3"/>
      <c r="K9592" s="3"/>
      <c r="L9592" s="3"/>
      <c r="M9592" s="3"/>
      <c r="N9592" s="3"/>
      <c r="O9592" s="3"/>
    </row>
    <row r="9593" spans="1:15" ht="15" customHeight="1" x14ac:dyDescent="0.25">
      <c r="A9593" s="2"/>
      <c r="B9593" s="2"/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</row>
    <row r="9594" spans="1:15" ht="15" customHeight="1" x14ac:dyDescent="0.25">
      <c r="A9594" s="3"/>
      <c r="B9594" s="3"/>
      <c r="C9594" s="3"/>
      <c r="D9594" s="3"/>
      <c r="E9594" s="3"/>
      <c r="F9594" s="3"/>
      <c r="G9594" s="3"/>
      <c r="H9594" s="3"/>
      <c r="I9594" s="3"/>
      <c r="J9594" s="3"/>
      <c r="K9594" s="3"/>
      <c r="L9594" s="3"/>
      <c r="M9594" s="3"/>
      <c r="N9594" s="3"/>
      <c r="O9594" s="3"/>
    </row>
    <row r="9595" spans="1:15" ht="15" customHeight="1" x14ac:dyDescent="0.25">
      <c r="A9595" s="2"/>
      <c r="B9595" s="2"/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</row>
    <row r="9596" spans="1:15" ht="15" customHeight="1" x14ac:dyDescent="0.25">
      <c r="A9596" s="3"/>
      <c r="B9596" s="3"/>
      <c r="C9596" s="3"/>
      <c r="D9596" s="3"/>
      <c r="E9596" s="3"/>
      <c r="F9596" s="3"/>
      <c r="G9596" s="3"/>
      <c r="H9596" s="3"/>
      <c r="I9596" s="3"/>
      <c r="J9596" s="3"/>
      <c r="K9596" s="3"/>
      <c r="L9596" s="3"/>
      <c r="M9596" s="3"/>
      <c r="N9596" s="3"/>
      <c r="O9596" s="3"/>
    </row>
    <row r="9597" spans="1:15" ht="15" customHeight="1" x14ac:dyDescent="0.25">
      <c r="A9597" s="2"/>
      <c r="B9597" s="2"/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</row>
    <row r="9598" spans="1:15" ht="15" customHeight="1" x14ac:dyDescent="0.25">
      <c r="A9598" s="3"/>
      <c r="B9598" s="3"/>
      <c r="C9598" s="3"/>
      <c r="D9598" s="3"/>
      <c r="E9598" s="3"/>
      <c r="F9598" s="3"/>
      <c r="G9598" s="3"/>
      <c r="H9598" s="3"/>
      <c r="I9598" s="3"/>
      <c r="J9598" s="3"/>
      <c r="K9598" s="3"/>
      <c r="L9598" s="3"/>
      <c r="M9598" s="3"/>
      <c r="N9598" s="3"/>
      <c r="O9598" s="3"/>
    </row>
    <row r="9599" spans="1:15" ht="15" customHeight="1" x14ac:dyDescent="0.25">
      <c r="A9599" s="2"/>
      <c r="B9599" s="2"/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</row>
    <row r="9600" spans="1:15" ht="15" customHeight="1" x14ac:dyDescent="0.25">
      <c r="A9600" s="3"/>
      <c r="B9600" s="3"/>
      <c r="C9600" s="3"/>
      <c r="D9600" s="3"/>
      <c r="E9600" s="3"/>
      <c r="F9600" s="3"/>
      <c r="G9600" s="3"/>
      <c r="H9600" s="3"/>
      <c r="I9600" s="3"/>
      <c r="J9600" s="3"/>
      <c r="K9600" s="3"/>
      <c r="L9600" s="3"/>
      <c r="M9600" s="3"/>
      <c r="N9600" s="3"/>
      <c r="O9600" s="3"/>
    </row>
    <row r="9601" spans="1:15" ht="15" customHeight="1" x14ac:dyDescent="0.25">
      <c r="A9601" s="2"/>
      <c r="B9601" s="2"/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</row>
    <row r="9602" spans="1:15" ht="15" customHeight="1" x14ac:dyDescent="0.25">
      <c r="A9602" s="3"/>
      <c r="B9602" s="3"/>
      <c r="C9602" s="3"/>
      <c r="D9602" s="3"/>
      <c r="E9602" s="3"/>
      <c r="F9602" s="3"/>
      <c r="G9602" s="3"/>
      <c r="H9602" s="3"/>
      <c r="I9602" s="3"/>
      <c r="J9602" s="3"/>
      <c r="K9602" s="3"/>
      <c r="L9602" s="3"/>
      <c r="M9602" s="3"/>
      <c r="N9602" s="3"/>
      <c r="O9602" s="3"/>
    </row>
    <row r="9603" spans="1:15" ht="15" customHeight="1" x14ac:dyDescent="0.25">
      <c r="A9603" s="2"/>
      <c r="B9603" s="2"/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</row>
    <row r="9604" spans="1:15" ht="15" customHeight="1" x14ac:dyDescent="0.25">
      <c r="A9604" s="3"/>
      <c r="B9604" s="3"/>
      <c r="C9604" s="3"/>
      <c r="D9604" s="3"/>
      <c r="E9604" s="3"/>
      <c r="F9604" s="3"/>
      <c r="G9604" s="3"/>
      <c r="H9604" s="3"/>
      <c r="I9604" s="3"/>
      <c r="J9604" s="3"/>
      <c r="K9604" s="3"/>
      <c r="L9604" s="3"/>
      <c r="M9604" s="3"/>
      <c r="N9604" s="3"/>
      <c r="O9604" s="3"/>
    </row>
    <row r="9605" spans="1:15" ht="15" customHeight="1" x14ac:dyDescent="0.25">
      <c r="A9605" s="2"/>
      <c r="B9605" s="2"/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</row>
    <row r="9606" spans="1:15" ht="15" customHeight="1" x14ac:dyDescent="0.25">
      <c r="A9606" s="3"/>
      <c r="B9606" s="3"/>
      <c r="C9606" s="3"/>
      <c r="D9606" s="3"/>
      <c r="E9606" s="3"/>
      <c r="F9606" s="3"/>
      <c r="G9606" s="3"/>
      <c r="H9606" s="3"/>
      <c r="I9606" s="3"/>
      <c r="J9606" s="3"/>
      <c r="K9606" s="3"/>
      <c r="L9606" s="3"/>
      <c r="M9606" s="3"/>
      <c r="N9606" s="3"/>
      <c r="O9606" s="3"/>
    </row>
    <row r="9607" spans="1:15" ht="15" customHeight="1" x14ac:dyDescent="0.25">
      <c r="A9607" s="2"/>
      <c r="B9607" s="2"/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</row>
    <row r="9608" spans="1:15" ht="15" customHeight="1" x14ac:dyDescent="0.25">
      <c r="A9608" s="3"/>
      <c r="B9608" s="3"/>
      <c r="C9608" s="3"/>
      <c r="D9608" s="3"/>
      <c r="E9608" s="3"/>
      <c r="F9608" s="3"/>
      <c r="G9608" s="3"/>
      <c r="H9608" s="3"/>
      <c r="I9608" s="3"/>
      <c r="J9608" s="3"/>
      <c r="K9608" s="3"/>
      <c r="L9608" s="3"/>
      <c r="M9608" s="3"/>
      <c r="N9608" s="3"/>
      <c r="O9608" s="3"/>
    </row>
    <row r="9609" spans="1:15" ht="15" customHeight="1" x14ac:dyDescent="0.25">
      <c r="A9609" s="2"/>
      <c r="B9609" s="2"/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</row>
    <row r="9610" spans="1:15" ht="15" customHeight="1" x14ac:dyDescent="0.25">
      <c r="A9610" s="3"/>
      <c r="B9610" s="3"/>
      <c r="C9610" s="3"/>
      <c r="D9610" s="3"/>
      <c r="E9610" s="3"/>
      <c r="F9610" s="3"/>
      <c r="G9610" s="3"/>
      <c r="H9610" s="3"/>
      <c r="I9610" s="3"/>
      <c r="J9610" s="3"/>
      <c r="K9610" s="3"/>
      <c r="L9610" s="3"/>
      <c r="M9610" s="3"/>
      <c r="N9610" s="3"/>
      <c r="O9610" s="3"/>
    </row>
    <row r="9611" spans="1:15" ht="15" customHeight="1" x14ac:dyDescent="0.25">
      <c r="A9611" s="2"/>
      <c r="B9611" s="2"/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</row>
    <row r="9612" spans="1:15" ht="15" customHeight="1" x14ac:dyDescent="0.25">
      <c r="A9612" s="3"/>
      <c r="B9612" s="3"/>
      <c r="C9612" s="3"/>
      <c r="D9612" s="3"/>
      <c r="E9612" s="3"/>
      <c r="F9612" s="3"/>
      <c r="G9612" s="3"/>
      <c r="H9612" s="3"/>
      <c r="I9612" s="3"/>
      <c r="J9612" s="3"/>
      <c r="K9612" s="3"/>
      <c r="L9612" s="3"/>
      <c r="M9612" s="3"/>
      <c r="N9612" s="3"/>
      <c r="O9612" s="3"/>
    </row>
    <row r="9613" spans="1:15" ht="15" customHeight="1" x14ac:dyDescent="0.25">
      <c r="A9613" s="2"/>
      <c r="B9613" s="2"/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</row>
    <row r="9614" spans="1:15" ht="15" customHeight="1" x14ac:dyDescent="0.25">
      <c r="A9614" s="3"/>
      <c r="B9614" s="3"/>
      <c r="C9614" s="3"/>
      <c r="D9614" s="3"/>
      <c r="E9614" s="3"/>
      <c r="F9614" s="3"/>
      <c r="G9614" s="3"/>
      <c r="H9614" s="3"/>
      <c r="I9614" s="3"/>
      <c r="J9614" s="3"/>
      <c r="K9614" s="3"/>
      <c r="L9614" s="3"/>
      <c r="M9614" s="3"/>
      <c r="N9614" s="3"/>
      <c r="O9614" s="3"/>
    </row>
    <row r="9615" spans="1:15" ht="15" customHeight="1" x14ac:dyDescent="0.25">
      <c r="A9615" s="2"/>
      <c r="B9615" s="2"/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</row>
    <row r="9616" spans="1:15" ht="15" customHeight="1" x14ac:dyDescent="0.25">
      <c r="A9616" s="3"/>
      <c r="B9616" s="3"/>
      <c r="C9616" s="3"/>
      <c r="D9616" s="3"/>
      <c r="E9616" s="3"/>
      <c r="F9616" s="3"/>
      <c r="G9616" s="3"/>
      <c r="H9616" s="3"/>
      <c r="I9616" s="3"/>
      <c r="J9616" s="3"/>
      <c r="K9616" s="3"/>
      <c r="L9616" s="3"/>
      <c r="M9616" s="3"/>
      <c r="N9616" s="3"/>
      <c r="O9616" s="3"/>
    </row>
    <row r="9617" spans="1:15" ht="15" customHeight="1" x14ac:dyDescent="0.25">
      <c r="A9617" s="2"/>
      <c r="B9617" s="2"/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</row>
    <row r="9618" spans="1:15" ht="15" customHeight="1" x14ac:dyDescent="0.25">
      <c r="A9618" s="3"/>
      <c r="B9618" s="3"/>
      <c r="C9618" s="3"/>
      <c r="D9618" s="3"/>
      <c r="E9618" s="3"/>
      <c r="F9618" s="3"/>
      <c r="G9618" s="3"/>
      <c r="H9618" s="3"/>
      <c r="I9618" s="3"/>
      <c r="J9618" s="3"/>
      <c r="K9618" s="3"/>
      <c r="L9618" s="3"/>
      <c r="M9618" s="3"/>
      <c r="N9618" s="3"/>
      <c r="O9618" s="3"/>
    </row>
    <row r="9619" spans="1:15" ht="15" customHeight="1" x14ac:dyDescent="0.25">
      <c r="A9619" s="2"/>
      <c r="B9619" s="2"/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</row>
    <row r="9620" spans="1:15" ht="15" customHeight="1" x14ac:dyDescent="0.25">
      <c r="A9620" s="3"/>
      <c r="B9620" s="3"/>
      <c r="C9620" s="3"/>
      <c r="D9620" s="3"/>
      <c r="E9620" s="3"/>
      <c r="F9620" s="3"/>
      <c r="G9620" s="3"/>
      <c r="H9620" s="3"/>
      <c r="I9620" s="3"/>
      <c r="J9620" s="3"/>
      <c r="K9620" s="3"/>
      <c r="L9620" s="3"/>
      <c r="M9620" s="3"/>
      <c r="N9620" s="3"/>
      <c r="O9620" s="3"/>
    </row>
    <row r="9621" spans="1:15" ht="15" customHeight="1" x14ac:dyDescent="0.25">
      <c r="A9621" s="2"/>
      <c r="B9621" s="2"/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</row>
    <row r="9622" spans="1:15" ht="15" customHeight="1" x14ac:dyDescent="0.25">
      <c r="A9622" s="3"/>
      <c r="B9622" s="3"/>
      <c r="C9622" s="3"/>
      <c r="D9622" s="3"/>
      <c r="E9622" s="3"/>
      <c r="F9622" s="3"/>
      <c r="G9622" s="3"/>
      <c r="H9622" s="3"/>
      <c r="I9622" s="3"/>
      <c r="J9622" s="3"/>
      <c r="K9622" s="3"/>
      <c r="L9622" s="3"/>
      <c r="M9622" s="3"/>
      <c r="N9622" s="3"/>
      <c r="O9622" s="3"/>
    </row>
    <row r="9623" spans="1:15" ht="15" customHeight="1" x14ac:dyDescent="0.25">
      <c r="A9623" s="2"/>
      <c r="B9623" s="2"/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</row>
    <row r="9624" spans="1:15" ht="15" customHeight="1" x14ac:dyDescent="0.25">
      <c r="A9624" s="3"/>
      <c r="B9624" s="3"/>
      <c r="C9624" s="3"/>
      <c r="D9624" s="3"/>
      <c r="E9624" s="3"/>
      <c r="F9624" s="3"/>
      <c r="G9624" s="3"/>
      <c r="H9624" s="3"/>
      <c r="I9624" s="3"/>
      <c r="J9624" s="3"/>
      <c r="K9624" s="3"/>
      <c r="L9624" s="3"/>
      <c r="M9624" s="3"/>
      <c r="N9624" s="3"/>
      <c r="O9624" s="3"/>
    </row>
    <row r="9625" spans="1:15" ht="15" customHeight="1" x14ac:dyDescent="0.25">
      <c r="A9625" s="2"/>
      <c r="B9625" s="2"/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</row>
    <row r="9626" spans="1:15" ht="15" customHeight="1" x14ac:dyDescent="0.25">
      <c r="A9626" s="3"/>
      <c r="B9626" s="3"/>
      <c r="C9626" s="3"/>
      <c r="D9626" s="3"/>
      <c r="E9626" s="3"/>
      <c r="F9626" s="3"/>
      <c r="G9626" s="3"/>
      <c r="H9626" s="3"/>
      <c r="I9626" s="3"/>
      <c r="J9626" s="3"/>
      <c r="K9626" s="3"/>
      <c r="L9626" s="3"/>
      <c r="M9626" s="3"/>
      <c r="N9626" s="3"/>
      <c r="O9626" s="3"/>
    </row>
    <row r="9627" spans="1:15" ht="15" customHeight="1" x14ac:dyDescent="0.25">
      <c r="A9627" s="2"/>
      <c r="B9627" s="2"/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</row>
    <row r="9628" spans="1:15" ht="15" customHeight="1" x14ac:dyDescent="0.25">
      <c r="A9628" s="3"/>
      <c r="B9628" s="3"/>
      <c r="C9628" s="3"/>
      <c r="D9628" s="3"/>
      <c r="E9628" s="3"/>
      <c r="F9628" s="3"/>
      <c r="G9628" s="3"/>
      <c r="H9628" s="3"/>
      <c r="I9628" s="3"/>
      <c r="J9628" s="3"/>
      <c r="K9628" s="3"/>
      <c r="L9628" s="3"/>
      <c r="M9628" s="3"/>
      <c r="N9628" s="3"/>
      <c r="O9628" s="3"/>
    </row>
    <row r="9629" spans="1:15" ht="15" customHeight="1" x14ac:dyDescent="0.25">
      <c r="A9629" s="2"/>
      <c r="B9629" s="2"/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</row>
    <row r="9630" spans="1:15" ht="15" customHeight="1" x14ac:dyDescent="0.25">
      <c r="A9630" s="3"/>
      <c r="B9630" s="3"/>
      <c r="C9630" s="3"/>
      <c r="D9630" s="3"/>
      <c r="E9630" s="3"/>
      <c r="F9630" s="3"/>
      <c r="G9630" s="3"/>
      <c r="H9630" s="3"/>
      <c r="I9630" s="3"/>
      <c r="J9630" s="3"/>
      <c r="K9630" s="3"/>
      <c r="L9630" s="3"/>
      <c r="M9630" s="3"/>
      <c r="N9630" s="3"/>
      <c r="O9630" s="3"/>
    </row>
    <row r="9631" spans="1:15" ht="15" customHeight="1" x14ac:dyDescent="0.25">
      <c r="A9631" s="2"/>
      <c r="B9631" s="2"/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</row>
    <row r="9632" spans="1:15" ht="15" customHeight="1" x14ac:dyDescent="0.25">
      <c r="A9632" s="3"/>
      <c r="B9632" s="3"/>
      <c r="C9632" s="3"/>
      <c r="D9632" s="3"/>
      <c r="E9632" s="3"/>
      <c r="F9632" s="3"/>
      <c r="G9632" s="3"/>
      <c r="H9632" s="3"/>
      <c r="I9632" s="3"/>
      <c r="J9632" s="3"/>
      <c r="K9632" s="3"/>
      <c r="L9632" s="3"/>
      <c r="M9632" s="3"/>
      <c r="N9632" s="3"/>
      <c r="O9632" s="3"/>
    </row>
    <row r="9633" spans="1:15" ht="15" customHeight="1" x14ac:dyDescent="0.25">
      <c r="A9633" s="2"/>
      <c r="B9633" s="2"/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</row>
    <row r="9634" spans="1:15" ht="15" customHeight="1" x14ac:dyDescent="0.25">
      <c r="A9634" s="3"/>
      <c r="B9634" s="3"/>
      <c r="C9634" s="3"/>
      <c r="D9634" s="3"/>
      <c r="E9634" s="3"/>
      <c r="F9634" s="3"/>
      <c r="G9634" s="3"/>
      <c r="H9634" s="3"/>
      <c r="I9634" s="3"/>
      <c r="J9634" s="3"/>
      <c r="K9634" s="3"/>
      <c r="L9634" s="3"/>
      <c r="M9634" s="3"/>
      <c r="N9634" s="3"/>
      <c r="O9634" s="3"/>
    </row>
    <row r="9635" spans="1:15" ht="15" customHeight="1" x14ac:dyDescent="0.25">
      <c r="A9635" s="2"/>
      <c r="B9635" s="2"/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</row>
    <row r="9636" spans="1:15" ht="15" customHeight="1" x14ac:dyDescent="0.25">
      <c r="A9636" s="3"/>
      <c r="B9636" s="3"/>
      <c r="C9636" s="3"/>
      <c r="D9636" s="3"/>
      <c r="E9636" s="3"/>
      <c r="F9636" s="3"/>
      <c r="G9636" s="3"/>
      <c r="H9636" s="3"/>
      <c r="I9636" s="3"/>
      <c r="J9636" s="3"/>
      <c r="K9636" s="3"/>
      <c r="L9636" s="3"/>
      <c r="M9636" s="3"/>
      <c r="N9636" s="3"/>
      <c r="O9636" s="3"/>
    </row>
    <row r="9637" spans="1:15" ht="15" customHeight="1" x14ac:dyDescent="0.25">
      <c r="A9637" s="2"/>
      <c r="B9637" s="2"/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</row>
    <row r="9638" spans="1:15" ht="15" customHeight="1" x14ac:dyDescent="0.25">
      <c r="A9638" s="3"/>
      <c r="B9638" s="3"/>
      <c r="C9638" s="3"/>
      <c r="D9638" s="3"/>
      <c r="E9638" s="3"/>
      <c r="F9638" s="3"/>
      <c r="G9638" s="3"/>
      <c r="H9638" s="3"/>
      <c r="I9638" s="3"/>
      <c r="J9638" s="3"/>
      <c r="K9638" s="3"/>
      <c r="L9638" s="3"/>
      <c r="M9638" s="3"/>
      <c r="N9638" s="3"/>
      <c r="O9638" s="3"/>
    </row>
    <row r="9639" spans="1:15" ht="15" customHeight="1" x14ac:dyDescent="0.25">
      <c r="A9639" s="2"/>
      <c r="B9639" s="2"/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</row>
    <row r="9640" spans="1:15" ht="15" customHeight="1" x14ac:dyDescent="0.25">
      <c r="A9640" s="3"/>
      <c r="B9640" s="3"/>
      <c r="C9640" s="3"/>
      <c r="D9640" s="3"/>
      <c r="E9640" s="3"/>
      <c r="F9640" s="3"/>
      <c r="G9640" s="3"/>
      <c r="H9640" s="3"/>
      <c r="I9640" s="3"/>
      <c r="J9640" s="3"/>
      <c r="K9640" s="3"/>
      <c r="L9640" s="3"/>
      <c r="M9640" s="3"/>
      <c r="N9640" s="3"/>
      <c r="O9640" s="3"/>
    </row>
    <row r="9641" spans="1:15" ht="15" customHeight="1" x14ac:dyDescent="0.25">
      <c r="A9641" s="2"/>
      <c r="B9641" s="2"/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</row>
    <row r="9642" spans="1:15" ht="15" customHeight="1" x14ac:dyDescent="0.25">
      <c r="A9642" s="3"/>
      <c r="B9642" s="3"/>
      <c r="C9642" s="3"/>
      <c r="D9642" s="3"/>
      <c r="E9642" s="3"/>
      <c r="F9642" s="3"/>
      <c r="G9642" s="3"/>
      <c r="H9642" s="3"/>
      <c r="I9642" s="3"/>
      <c r="J9642" s="3"/>
      <c r="K9642" s="3"/>
      <c r="L9642" s="3"/>
      <c r="M9642" s="3"/>
      <c r="N9642" s="3"/>
      <c r="O9642" s="3"/>
    </row>
    <row r="9643" spans="1:15" ht="15" customHeight="1" x14ac:dyDescent="0.25">
      <c r="A9643" s="2"/>
      <c r="B9643" s="2"/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</row>
    <row r="9644" spans="1:15" ht="15" customHeight="1" x14ac:dyDescent="0.25">
      <c r="A9644" s="3"/>
      <c r="B9644" s="3"/>
      <c r="C9644" s="3"/>
      <c r="D9644" s="3"/>
      <c r="E9644" s="3"/>
      <c r="F9644" s="3"/>
      <c r="G9644" s="3"/>
      <c r="H9644" s="3"/>
      <c r="I9644" s="3"/>
      <c r="J9644" s="3"/>
      <c r="K9644" s="3"/>
      <c r="L9644" s="3"/>
      <c r="M9644" s="3"/>
      <c r="N9644" s="3"/>
      <c r="O9644" s="3"/>
    </row>
    <row r="9645" spans="1:15" ht="15" customHeight="1" x14ac:dyDescent="0.25">
      <c r="A9645" s="2"/>
      <c r="B9645" s="2"/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</row>
    <row r="9646" spans="1:15" ht="15" customHeight="1" x14ac:dyDescent="0.25">
      <c r="A9646" s="3"/>
      <c r="B9646" s="3"/>
      <c r="C9646" s="3"/>
      <c r="D9646" s="3"/>
      <c r="E9646" s="3"/>
      <c r="F9646" s="3"/>
      <c r="G9646" s="3"/>
      <c r="H9646" s="3"/>
      <c r="I9646" s="3"/>
      <c r="J9646" s="3"/>
      <c r="K9646" s="3"/>
      <c r="L9646" s="3"/>
      <c r="M9646" s="3"/>
      <c r="N9646" s="3"/>
      <c r="O9646" s="3"/>
    </row>
    <row r="9647" spans="1:15" ht="15" customHeight="1" x14ac:dyDescent="0.25">
      <c r="A9647" s="2"/>
      <c r="B9647" s="2"/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</row>
    <row r="9648" spans="1:15" ht="15" customHeight="1" x14ac:dyDescent="0.25">
      <c r="A9648" s="3"/>
      <c r="B9648" s="3"/>
      <c r="C9648" s="3"/>
      <c r="D9648" s="3"/>
      <c r="E9648" s="3"/>
      <c r="F9648" s="3"/>
      <c r="G9648" s="3"/>
      <c r="H9648" s="3"/>
      <c r="I9648" s="3"/>
      <c r="J9648" s="3"/>
      <c r="K9648" s="3"/>
      <c r="L9648" s="3"/>
      <c r="M9648" s="3"/>
      <c r="N9648" s="3"/>
      <c r="O9648" s="3"/>
    </row>
    <row r="9649" spans="1:15" ht="15" customHeight="1" x14ac:dyDescent="0.25">
      <c r="A9649" s="2"/>
      <c r="B9649" s="2"/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</row>
    <row r="9650" spans="1:15" ht="15" customHeight="1" x14ac:dyDescent="0.25">
      <c r="A9650" s="3"/>
      <c r="B9650" s="3"/>
      <c r="C9650" s="3"/>
      <c r="D9650" s="3"/>
      <c r="E9650" s="3"/>
      <c r="F9650" s="3"/>
      <c r="G9650" s="3"/>
      <c r="H9650" s="3"/>
      <c r="I9650" s="3"/>
      <c r="J9650" s="3"/>
      <c r="K9650" s="3"/>
      <c r="L9650" s="3"/>
      <c r="M9650" s="3"/>
      <c r="N9650" s="3"/>
      <c r="O9650" s="3"/>
    </row>
    <row r="9651" spans="1:15" ht="15" customHeight="1" x14ac:dyDescent="0.25">
      <c r="A9651" s="2"/>
      <c r="B9651" s="2"/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</row>
    <row r="9652" spans="1:15" ht="15" customHeight="1" x14ac:dyDescent="0.25">
      <c r="A9652" s="3"/>
      <c r="B9652" s="3"/>
      <c r="C9652" s="3"/>
      <c r="D9652" s="3"/>
      <c r="E9652" s="3"/>
      <c r="F9652" s="3"/>
      <c r="G9652" s="3"/>
      <c r="H9652" s="3"/>
      <c r="I9652" s="3"/>
      <c r="J9652" s="3"/>
      <c r="K9652" s="3"/>
      <c r="L9652" s="3"/>
      <c r="M9652" s="3"/>
      <c r="N9652" s="3"/>
      <c r="O9652" s="3"/>
    </row>
    <row r="9653" spans="1:15" ht="15" customHeight="1" x14ac:dyDescent="0.25">
      <c r="A9653" s="2"/>
      <c r="B9653" s="2"/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</row>
    <row r="9654" spans="1:15" ht="15" customHeight="1" x14ac:dyDescent="0.25">
      <c r="A9654" s="3"/>
      <c r="B9654" s="3"/>
      <c r="C9654" s="3"/>
      <c r="D9654" s="3"/>
      <c r="E9654" s="3"/>
      <c r="F9654" s="3"/>
      <c r="G9654" s="3"/>
      <c r="H9654" s="3"/>
      <c r="I9654" s="3"/>
      <c r="J9654" s="3"/>
      <c r="K9654" s="3"/>
      <c r="L9654" s="3"/>
      <c r="M9654" s="3"/>
      <c r="N9654" s="3"/>
      <c r="O9654" s="3"/>
    </row>
    <row r="9655" spans="1:15" ht="15" customHeight="1" x14ac:dyDescent="0.25">
      <c r="A9655" s="2"/>
      <c r="B9655" s="2"/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</row>
    <row r="9656" spans="1:15" ht="15" customHeight="1" x14ac:dyDescent="0.25">
      <c r="A9656" s="3"/>
      <c r="B9656" s="3"/>
      <c r="C9656" s="3"/>
      <c r="D9656" s="3"/>
      <c r="E9656" s="3"/>
      <c r="F9656" s="3"/>
      <c r="G9656" s="3"/>
      <c r="H9656" s="3"/>
      <c r="I9656" s="3"/>
      <c r="J9656" s="3"/>
      <c r="K9656" s="3"/>
      <c r="L9656" s="3"/>
      <c r="M9656" s="3"/>
      <c r="N9656" s="3"/>
      <c r="O9656" s="3"/>
    </row>
    <row r="9657" spans="1:15" ht="15" customHeight="1" x14ac:dyDescent="0.25">
      <c r="A9657" s="2"/>
      <c r="B9657" s="2"/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</row>
    <row r="9658" spans="1:15" ht="15" customHeight="1" x14ac:dyDescent="0.25">
      <c r="A9658" s="3"/>
      <c r="B9658" s="3"/>
      <c r="C9658" s="3"/>
      <c r="D9658" s="3"/>
      <c r="E9658" s="3"/>
      <c r="F9658" s="3"/>
      <c r="G9658" s="3"/>
      <c r="H9658" s="3"/>
      <c r="I9658" s="3"/>
      <c r="J9658" s="3"/>
      <c r="K9658" s="3"/>
      <c r="L9658" s="3"/>
      <c r="M9658" s="3"/>
      <c r="N9658" s="3"/>
      <c r="O9658" s="3"/>
    </row>
    <row r="9659" spans="1:15" ht="15" customHeight="1" x14ac:dyDescent="0.25">
      <c r="A9659" s="2"/>
      <c r="B9659" s="2"/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</row>
    <row r="9660" spans="1:15" ht="15" customHeight="1" x14ac:dyDescent="0.25">
      <c r="A9660" s="3"/>
      <c r="B9660" s="3"/>
      <c r="C9660" s="3"/>
      <c r="D9660" s="3"/>
      <c r="E9660" s="3"/>
      <c r="F9660" s="3"/>
      <c r="G9660" s="3"/>
      <c r="H9660" s="3"/>
      <c r="I9660" s="3"/>
      <c r="J9660" s="3"/>
      <c r="K9660" s="3"/>
      <c r="L9660" s="3"/>
      <c r="M9660" s="3"/>
      <c r="N9660" s="3"/>
      <c r="O9660" s="3"/>
    </row>
    <row r="9661" spans="1:15" ht="15" customHeight="1" x14ac:dyDescent="0.25">
      <c r="A9661" s="2"/>
      <c r="B9661" s="2"/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</row>
    <row r="9662" spans="1:15" ht="15" customHeight="1" x14ac:dyDescent="0.25">
      <c r="A9662" s="3"/>
      <c r="B9662" s="3"/>
      <c r="C9662" s="3"/>
      <c r="D9662" s="3"/>
      <c r="E9662" s="3"/>
      <c r="F9662" s="3"/>
      <c r="G9662" s="3"/>
      <c r="H9662" s="3"/>
      <c r="I9662" s="3"/>
      <c r="J9662" s="3"/>
      <c r="K9662" s="3"/>
      <c r="L9662" s="3"/>
      <c r="M9662" s="3"/>
      <c r="N9662" s="3"/>
      <c r="O9662" s="3"/>
    </row>
    <row r="9663" spans="1:15" ht="15" customHeight="1" x14ac:dyDescent="0.25">
      <c r="A9663" s="2"/>
      <c r="B9663" s="2"/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</row>
    <row r="9664" spans="1:15" ht="15" customHeight="1" x14ac:dyDescent="0.25">
      <c r="A9664" s="3"/>
      <c r="B9664" s="3"/>
      <c r="C9664" s="3"/>
      <c r="D9664" s="3"/>
      <c r="E9664" s="3"/>
      <c r="F9664" s="3"/>
      <c r="G9664" s="3"/>
      <c r="H9664" s="3"/>
      <c r="I9664" s="3"/>
      <c r="J9664" s="3"/>
      <c r="K9664" s="3"/>
      <c r="L9664" s="3"/>
      <c r="M9664" s="3"/>
      <c r="N9664" s="3"/>
      <c r="O9664" s="3"/>
    </row>
    <row r="9665" spans="1:15" ht="15" customHeight="1" x14ac:dyDescent="0.25">
      <c r="A9665" s="2"/>
      <c r="B9665" s="2"/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</row>
    <row r="9666" spans="1:15" ht="15" customHeight="1" x14ac:dyDescent="0.25">
      <c r="A9666" s="3"/>
      <c r="B9666" s="3"/>
      <c r="C9666" s="3"/>
      <c r="D9666" s="3"/>
      <c r="E9666" s="3"/>
      <c r="F9666" s="3"/>
      <c r="G9666" s="3"/>
      <c r="H9666" s="3"/>
      <c r="I9666" s="3"/>
      <c r="J9666" s="3"/>
      <c r="K9666" s="3"/>
      <c r="L9666" s="3"/>
      <c r="M9666" s="3"/>
      <c r="N9666" s="3"/>
      <c r="O9666" s="3"/>
    </row>
    <row r="9667" spans="1:15" ht="15" customHeight="1" x14ac:dyDescent="0.25">
      <c r="A9667" s="2"/>
      <c r="B9667" s="2"/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</row>
    <row r="9668" spans="1:15" ht="15" customHeight="1" x14ac:dyDescent="0.25">
      <c r="A9668" s="3"/>
      <c r="B9668" s="3"/>
      <c r="C9668" s="3"/>
      <c r="D9668" s="3"/>
      <c r="E9668" s="3"/>
      <c r="F9668" s="3"/>
      <c r="G9668" s="3"/>
      <c r="H9668" s="3"/>
      <c r="I9668" s="3"/>
      <c r="J9668" s="3"/>
      <c r="K9668" s="3"/>
      <c r="L9668" s="3"/>
      <c r="M9668" s="3"/>
      <c r="N9668" s="3"/>
      <c r="O9668" s="3"/>
    </row>
    <row r="9669" spans="1:15" ht="15" customHeight="1" x14ac:dyDescent="0.25">
      <c r="A9669" s="2"/>
      <c r="B9669" s="2"/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</row>
    <row r="9670" spans="1:15" ht="15" customHeight="1" x14ac:dyDescent="0.25">
      <c r="A9670" s="3"/>
      <c r="B9670" s="3"/>
      <c r="C9670" s="3"/>
      <c r="D9670" s="3"/>
      <c r="E9670" s="3"/>
      <c r="F9670" s="3"/>
      <c r="G9670" s="3"/>
      <c r="H9670" s="3"/>
      <c r="I9670" s="3"/>
      <c r="J9670" s="3"/>
      <c r="K9670" s="3"/>
      <c r="L9670" s="3"/>
      <c r="M9670" s="3"/>
      <c r="N9670" s="3"/>
      <c r="O9670" s="3"/>
    </row>
    <row r="9671" spans="1:15" ht="15" customHeight="1" x14ac:dyDescent="0.25">
      <c r="A9671" s="2"/>
      <c r="B9671" s="2"/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</row>
    <row r="9672" spans="1:15" ht="15" customHeight="1" x14ac:dyDescent="0.25">
      <c r="A9672" s="3"/>
      <c r="B9672" s="3"/>
      <c r="C9672" s="3"/>
      <c r="D9672" s="3"/>
      <c r="E9672" s="3"/>
      <c r="F9672" s="3"/>
      <c r="G9672" s="3"/>
      <c r="H9672" s="3"/>
      <c r="I9672" s="3"/>
      <c r="J9672" s="3"/>
      <c r="K9672" s="3"/>
      <c r="L9672" s="3"/>
      <c r="M9672" s="3"/>
      <c r="N9672" s="3"/>
      <c r="O9672" s="3"/>
    </row>
    <row r="9673" spans="1:15" ht="15" customHeight="1" x14ac:dyDescent="0.25">
      <c r="A9673" s="2"/>
      <c r="B9673" s="2"/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</row>
    <row r="9674" spans="1:15" ht="15" customHeight="1" x14ac:dyDescent="0.25">
      <c r="A9674" s="3"/>
      <c r="B9674" s="3"/>
      <c r="C9674" s="3"/>
      <c r="D9674" s="3"/>
      <c r="E9674" s="3"/>
      <c r="F9674" s="3"/>
      <c r="G9674" s="3"/>
      <c r="H9674" s="3"/>
      <c r="I9674" s="3"/>
      <c r="J9674" s="3"/>
      <c r="K9674" s="3"/>
      <c r="L9674" s="3"/>
      <c r="M9674" s="3"/>
      <c r="N9674" s="3"/>
      <c r="O9674" s="3"/>
    </row>
    <row r="9675" spans="1:15" ht="15" customHeight="1" x14ac:dyDescent="0.25">
      <c r="A9675" s="2"/>
      <c r="B9675" s="2"/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</row>
    <row r="9676" spans="1:15" ht="15" customHeight="1" x14ac:dyDescent="0.25">
      <c r="A9676" s="3"/>
      <c r="B9676" s="3"/>
      <c r="C9676" s="3"/>
      <c r="D9676" s="3"/>
      <c r="E9676" s="3"/>
      <c r="F9676" s="3"/>
      <c r="G9676" s="3"/>
      <c r="H9676" s="3"/>
      <c r="I9676" s="3"/>
      <c r="J9676" s="3"/>
      <c r="K9676" s="3"/>
      <c r="L9676" s="3"/>
      <c r="M9676" s="3"/>
      <c r="N9676" s="3"/>
      <c r="O9676" s="3"/>
    </row>
    <row r="9677" spans="1:15" ht="15" customHeight="1" x14ac:dyDescent="0.25">
      <c r="A9677" s="2"/>
      <c r="B9677" s="2"/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</row>
    <row r="9678" spans="1:15" ht="15" customHeight="1" x14ac:dyDescent="0.25">
      <c r="A9678" s="3"/>
      <c r="B9678" s="3"/>
      <c r="C9678" s="3"/>
      <c r="D9678" s="3"/>
      <c r="E9678" s="3"/>
      <c r="F9678" s="3"/>
      <c r="G9678" s="3"/>
      <c r="H9678" s="3"/>
      <c r="I9678" s="3"/>
      <c r="J9678" s="3"/>
      <c r="K9678" s="3"/>
      <c r="L9678" s="3"/>
      <c r="M9678" s="3"/>
      <c r="N9678" s="3"/>
      <c r="O9678" s="3"/>
    </row>
    <row r="9679" spans="1:15" ht="15" customHeight="1" x14ac:dyDescent="0.25">
      <c r="A9679" s="2"/>
      <c r="B9679" s="2"/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</row>
    <row r="9680" spans="1:15" ht="15" customHeight="1" x14ac:dyDescent="0.25">
      <c r="A9680" s="3"/>
      <c r="B9680" s="3"/>
      <c r="C9680" s="3"/>
      <c r="D9680" s="3"/>
      <c r="E9680" s="3"/>
      <c r="F9680" s="3"/>
      <c r="G9680" s="3"/>
      <c r="H9680" s="3"/>
      <c r="I9680" s="3"/>
      <c r="J9680" s="3"/>
      <c r="K9680" s="3"/>
      <c r="L9680" s="3"/>
      <c r="M9680" s="3"/>
      <c r="N9680" s="3"/>
      <c r="O9680" s="3"/>
    </row>
    <row r="9681" spans="1:15" ht="15" customHeight="1" x14ac:dyDescent="0.25">
      <c r="A9681" s="2"/>
      <c r="B9681" s="2"/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</row>
    <row r="9682" spans="1:15" ht="15" customHeight="1" x14ac:dyDescent="0.25">
      <c r="A9682" s="3"/>
      <c r="B9682" s="3"/>
      <c r="C9682" s="3"/>
      <c r="D9682" s="3"/>
      <c r="E9682" s="3"/>
      <c r="F9682" s="3"/>
      <c r="G9682" s="3"/>
      <c r="H9682" s="3"/>
      <c r="I9682" s="3"/>
      <c r="J9682" s="3"/>
      <c r="K9682" s="3"/>
      <c r="L9682" s="3"/>
      <c r="M9682" s="3"/>
      <c r="N9682" s="3"/>
      <c r="O9682" s="3"/>
    </row>
    <row r="9683" spans="1:15" ht="15" customHeight="1" x14ac:dyDescent="0.25">
      <c r="A9683" s="2"/>
      <c r="B9683" s="2"/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</row>
    <row r="9684" spans="1:15" ht="15" customHeight="1" x14ac:dyDescent="0.25">
      <c r="A9684" s="3"/>
      <c r="B9684" s="3"/>
      <c r="C9684" s="3"/>
      <c r="D9684" s="3"/>
      <c r="E9684" s="3"/>
      <c r="F9684" s="3"/>
      <c r="G9684" s="3"/>
      <c r="H9684" s="3"/>
      <c r="I9684" s="3"/>
      <c r="J9684" s="3"/>
      <c r="K9684" s="3"/>
      <c r="L9684" s="3"/>
      <c r="M9684" s="3"/>
      <c r="N9684" s="3"/>
      <c r="O9684" s="3"/>
    </row>
    <row r="9685" spans="1:15" ht="15" customHeight="1" x14ac:dyDescent="0.25">
      <c r="A9685" s="2"/>
      <c r="B9685" s="2"/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</row>
    <row r="9686" spans="1:15" ht="15" customHeight="1" x14ac:dyDescent="0.25">
      <c r="A9686" s="3"/>
      <c r="B9686" s="3"/>
      <c r="C9686" s="3"/>
      <c r="D9686" s="3"/>
      <c r="E9686" s="3"/>
      <c r="F9686" s="3"/>
      <c r="G9686" s="3"/>
      <c r="H9686" s="3"/>
      <c r="I9686" s="3"/>
      <c r="J9686" s="3"/>
      <c r="K9686" s="3"/>
      <c r="L9686" s="3"/>
      <c r="M9686" s="3"/>
      <c r="N9686" s="3"/>
      <c r="O9686" s="3"/>
    </row>
    <row r="9687" spans="1:15" ht="15" customHeight="1" x14ac:dyDescent="0.25">
      <c r="A9687" s="2"/>
      <c r="B9687" s="2"/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</row>
    <row r="9688" spans="1:15" ht="15" customHeight="1" x14ac:dyDescent="0.25">
      <c r="A9688" s="3"/>
      <c r="B9688" s="3"/>
      <c r="C9688" s="3"/>
      <c r="D9688" s="3"/>
      <c r="E9688" s="3"/>
      <c r="F9688" s="3"/>
      <c r="G9688" s="3"/>
      <c r="H9688" s="3"/>
      <c r="I9688" s="3"/>
      <c r="J9688" s="3"/>
      <c r="K9688" s="3"/>
      <c r="L9688" s="3"/>
      <c r="M9688" s="3"/>
      <c r="N9688" s="3"/>
      <c r="O9688" s="3"/>
    </row>
    <row r="9689" spans="1:15" ht="15" customHeight="1" x14ac:dyDescent="0.25">
      <c r="A9689" s="2"/>
      <c r="B9689" s="2"/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</row>
    <row r="9690" spans="1:15" ht="15" customHeight="1" x14ac:dyDescent="0.25">
      <c r="A9690" s="3"/>
      <c r="B9690" s="3"/>
      <c r="C9690" s="3"/>
      <c r="D9690" s="3"/>
      <c r="E9690" s="3"/>
      <c r="F9690" s="3"/>
      <c r="G9690" s="3"/>
      <c r="H9690" s="3"/>
      <c r="I9690" s="3"/>
      <c r="J9690" s="3"/>
      <c r="K9690" s="3"/>
      <c r="L9690" s="3"/>
      <c r="M9690" s="3"/>
      <c r="N9690" s="3"/>
      <c r="O9690" s="3"/>
    </row>
    <row r="9691" spans="1:15" ht="15" customHeight="1" x14ac:dyDescent="0.25">
      <c r="A9691" s="2"/>
      <c r="B9691" s="2"/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</row>
    <row r="9692" spans="1:15" ht="15" customHeight="1" x14ac:dyDescent="0.25">
      <c r="A9692" s="3"/>
      <c r="B9692" s="3"/>
      <c r="C9692" s="3"/>
      <c r="D9692" s="3"/>
      <c r="E9692" s="3"/>
      <c r="F9692" s="3"/>
      <c r="G9692" s="3"/>
      <c r="H9692" s="3"/>
      <c r="I9692" s="3"/>
      <c r="J9692" s="3"/>
      <c r="K9692" s="3"/>
      <c r="L9692" s="3"/>
      <c r="M9692" s="3"/>
      <c r="N9692" s="3"/>
      <c r="O9692" s="3"/>
    </row>
    <row r="9693" spans="1:15" ht="15" customHeight="1" x14ac:dyDescent="0.25">
      <c r="A9693" s="2"/>
      <c r="B9693" s="2"/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</row>
    <row r="9694" spans="1:15" ht="15" customHeight="1" x14ac:dyDescent="0.25">
      <c r="A9694" s="3"/>
      <c r="B9694" s="3"/>
      <c r="C9694" s="3"/>
      <c r="D9694" s="3"/>
      <c r="E9694" s="3"/>
      <c r="F9694" s="3"/>
      <c r="G9694" s="3"/>
      <c r="H9694" s="3"/>
      <c r="I9694" s="3"/>
      <c r="J9694" s="3"/>
      <c r="K9694" s="3"/>
      <c r="L9694" s="3"/>
      <c r="M9694" s="3"/>
      <c r="N9694" s="3"/>
      <c r="O9694" s="3"/>
    </row>
    <row r="9695" spans="1:15" ht="15" customHeight="1" x14ac:dyDescent="0.25">
      <c r="A9695" s="2"/>
      <c r="B9695" s="2"/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</row>
    <row r="9696" spans="1:15" ht="15" customHeight="1" x14ac:dyDescent="0.25">
      <c r="A9696" s="3"/>
      <c r="B9696" s="3"/>
      <c r="C9696" s="3"/>
      <c r="D9696" s="3"/>
      <c r="E9696" s="3"/>
      <c r="F9696" s="3"/>
      <c r="G9696" s="3"/>
      <c r="H9696" s="3"/>
      <c r="I9696" s="3"/>
      <c r="J9696" s="3"/>
      <c r="K9696" s="3"/>
      <c r="L9696" s="3"/>
      <c r="M9696" s="3"/>
      <c r="N9696" s="3"/>
      <c r="O9696" s="3"/>
    </row>
    <row r="9697" spans="1:15" ht="15" customHeight="1" x14ac:dyDescent="0.25">
      <c r="A9697" s="2"/>
      <c r="B9697" s="2"/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</row>
    <row r="9698" spans="1:15" ht="15" customHeight="1" x14ac:dyDescent="0.25">
      <c r="A9698" s="3"/>
      <c r="B9698" s="3"/>
      <c r="C9698" s="3"/>
      <c r="D9698" s="3"/>
      <c r="E9698" s="3"/>
      <c r="F9698" s="3"/>
      <c r="G9698" s="3"/>
      <c r="H9698" s="3"/>
      <c r="I9698" s="3"/>
      <c r="J9698" s="3"/>
      <c r="K9698" s="3"/>
      <c r="L9698" s="3"/>
      <c r="M9698" s="3"/>
      <c r="N9698" s="3"/>
      <c r="O9698" s="3"/>
    </row>
    <row r="9699" spans="1:15" ht="15" customHeight="1" x14ac:dyDescent="0.25">
      <c r="A9699" s="2"/>
      <c r="B9699" s="2"/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</row>
    <row r="9700" spans="1:15" ht="15" customHeight="1" x14ac:dyDescent="0.25">
      <c r="A9700" s="3"/>
      <c r="B9700" s="3"/>
      <c r="C9700" s="3"/>
      <c r="D9700" s="3"/>
      <c r="E9700" s="3"/>
      <c r="F9700" s="3"/>
      <c r="G9700" s="3"/>
      <c r="H9700" s="3"/>
      <c r="I9700" s="3"/>
      <c r="J9700" s="3"/>
      <c r="K9700" s="3"/>
      <c r="L9700" s="3"/>
      <c r="M9700" s="3"/>
      <c r="N9700" s="3"/>
      <c r="O9700" s="3"/>
    </row>
    <row r="9701" spans="1:15" ht="15" customHeight="1" x14ac:dyDescent="0.25">
      <c r="A9701" s="2"/>
      <c r="B9701" s="2"/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</row>
    <row r="9702" spans="1:15" ht="15" customHeight="1" x14ac:dyDescent="0.25">
      <c r="A9702" s="3"/>
      <c r="B9702" s="3"/>
      <c r="C9702" s="3"/>
      <c r="D9702" s="3"/>
      <c r="E9702" s="3"/>
      <c r="F9702" s="3"/>
      <c r="G9702" s="3"/>
      <c r="H9702" s="3"/>
      <c r="I9702" s="3"/>
      <c r="J9702" s="3"/>
      <c r="K9702" s="3"/>
      <c r="L9702" s="3"/>
      <c r="M9702" s="3"/>
      <c r="N9702" s="3"/>
      <c r="O9702" s="3"/>
    </row>
    <row r="9703" spans="1:15" ht="15" customHeight="1" x14ac:dyDescent="0.25">
      <c r="A9703" s="2"/>
      <c r="B9703" s="2"/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</row>
    <row r="9704" spans="1:15" ht="15" customHeight="1" x14ac:dyDescent="0.25">
      <c r="A9704" s="3"/>
      <c r="B9704" s="3"/>
      <c r="C9704" s="3"/>
      <c r="D9704" s="3"/>
      <c r="E9704" s="3"/>
      <c r="F9704" s="3"/>
      <c r="G9704" s="3"/>
      <c r="H9704" s="3"/>
      <c r="I9704" s="3"/>
      <c r="J9704" s="3"/>
      <c r="K9704" s="3"/>
      <c r="L9704" s="3"/>
      <c r="M9704" s="3"/>
      <c r="N9704" s="3"/>
      <c r="O9704" s="3"/>
    </row>
    <row r="9705" spans="1:15" ht="15" customHeight="1" x14ac:dyDescent="0.25">
      <c r="A9705" s="2"/>
      <c r="B9705" s="2"/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</row>
    <row r="9706" spans="1:15" ht="15" customHeight="1" x14ac:dyDescent="0.25">
      <c r="A9706" s="3"/>
      <c r="B9706" s="3"/>
      <c r="C9706" s="3"/>
      <c r="D9706" s="3"/>
      <c r="E9706" s="3"/>
      <c r="F9706" s="3"/>
      <c r="G9706" s="3"/>
      <c r="H9706" s="3"/>
      <c r="I9706" s="3"/>
      <c r="J9706" s="3"/>
      <c r="K9706" s="3"/>
      <c r="L9706" s="3"/>
      <c r="M9706" s="3"/>
      <c r="N9706" s="3"/>
      <c r="O9706" s="3"/>
    </row>
    <row r="9707" spans="1:15" ht="15" customHeight="1" x14ac:dyDescent="0.25">
      <c r="A9707" s="2"/>
      <c r="B9707" s="2"/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</row>
    <row r="9708" spans="1:15" ht="15" customHeight="1" x14ac:dyDescent="0.25">
      <c r="A9708" s="3"/>
      <c r="B9708" s="3"/>
      <c r="C9708" s="3"/>
      <c r="D9708" s="3"/>
      <c r="E9708" s="3"/>
      <c r="F9708" s="3"/>
      <c r="G9708" s="3"/>
      <c r="H9708" s="3"/>
      <c r="I9708" s="3"/>
      <c r="J9708" s="3"/>
      <c r="K9708" s="3"/>
      <c r="L9708" s="3"/>
      <c r="M9708" s="3"/>
      <c r="N9708" s="3"/>
      <c r="O9708" s="3"/>
    </row>
    <row r="9709" spans="1:15" ht="15" customHeight="1" x14ac:dyDescent="0.25">
      <c r="A9709" s="2"/>
      <c r="B9709" s="2"/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</row>
    <row r="9710" spans="1:15" ht="15" customHeight="1" x14ac:dyDescent="0.25">
      <c r="A9710" s="3"/>
      <c r="B9710" s="3"/>
      <c r="C9710" s="3"/>
      <c r="D9710" s="3"/>
      <c r="E9710" s="3"/>
      <c r="F9710" s="3"/>
      <c r="G9710" s="3"/>
      <c r="H9710" s="3"/>
      <c r="I9710" s="3"/>
      <c r="J9710" s="3"/>
      <c r="K9710" s="3"/>
      <c r="L9710" s="3"/>
      <c r="M9710" s="3"/>
      <c r="N9710" s="3"/>
      <c r="O9710" s="3"/>
    </row>
    <row r="9711" spans="1:15" ht="15" customHeight="1" x14ac:dyDescent="0.25">
      <c r="A9711" s="2"/>
      <c r="B9711" s="2"/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</row>
    <row r="9712" spans="1:15" ht="15" customHeight="1" x14ac:dyDescent="0.25">
      <c r="A9712" s="3"/>
      <c r="B9712" s="3"/>
      <c r="C9712" s="3"/>
      <c r="D9712" s="3"/>
      <c r="E9712" s="3"/>
      <c r="F9712" s="3"/>
      <c r="G9712" s="3"/>
      <c r="H9712" s="3"/>
      <c r="I9712" s="3"/>
      <c r="J9712" s="3"/>
      <c r="K9712" s="3"/>
      <c r="L9712" s="3"/>
      <c r="M9712" s="3"/>
      <c r="N9712" s="3"/>
      <c r="O9712" s="3"/>
    </row>
    <row r="9713" spans="1:15" ht="15" customHeight="1" x14ac:dyDescent="0.25">
      <c r="A9713" s="2"/>
      <c r="B9713" s="2"/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</row>
    <row r="9714" spans="1:15" ht="15" customHeight="1" x14ac:dyDescent="0.25">
      <c r="A9714" s="3"/>
      <c r="B9714" s="3"/>
      <c r="C9714" s="3"/>
      <c r="D9714" s="3"/>
      <c r="E9714" s="3"/>
      <c r="F9714" s="3"/>
      <c r="G9714" s="3"/>
      <c r="H9714" s="3"/>
      <c r="I9714" s="3"/>
      <c r="J9714" s="3"/>
      <c r="K9714" s="3"/>
      <c r="L9714" s="3"/>
      <c r="M9714" s="3"/>
      <c r="N9714" s="3"/>
      <c r="O9714" s="3"/>
    </row>
    <row r="9715" spans="1:15" ht="15" customHeight="1" x14ac:dyDescent="0.25">
      <c r="A9715" s="2"/>
      <c r="B9715" s="2"/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</row>
    <row r="9716" spans="1:15" ht="15" customHeight="1" x14ac:dyDescent="0.25">
      <c r="A9716" s="3"/>
      <c r="B9716" s="3"/>
      <c r="C9716" s="3"/>
      <c r="D9716" s="3"/>
      <c r="E9716" s="3"/>
      <c r="F9716" s="3"/>
      <c r="G9716" s="3"/>
      <c r="H9716" s="3"/>
      <c r="I9716" s="3"/>
      <c r="J9716" s="3"/>
      <c r="K9716" s="3"/>
      <c r="L9716" s="3"/>
      <c r="M9716" s="3"/>
      <c r="N9716" s="3"/>
      <c r="O9716" s="3"/>
    </row>
    <row r="9717" spans="1:15" ht="15" customHeight="1" x14ac:dyDescent="0.25">
      <c r="A9717" s="2"/>
      <c r="B9717" s="2"/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</row>
    <row r="9718" spans="1:15" ht="15" customHeight="1" x14ac:dyDescent="0.25">
      <c r="A9718" s="3"/>
      <c r="B9718" s="3"/>
      <c r="C9718" s="3"/>
      <c r="D9718" s="3"/>
      <c r="E9718" s="3"/>
      <c r="F9718" s="3"/>
      <c r="G9718" s="3"/>
      <c r="H9718" s="3"/>
      <c r="I9718" s="3"/>
      <c r="J9718" s="3"/>
      <c r="K9718" s="3"/>
      <c r="L9718" s="3"/>
      <c r="M9718" s="3"/>
      <c r="N9718" s="3"/>
      <c r="O9718" s="3"/>
    </row>
    <row r="9719" spans="1:15" ht="15" customHeight="1" x14ac:dyDescent="0.25">
      <c r="A9719" s="2"/>
      <c r="B9719" s="2"/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</row>
    <row r="9720" spans="1:15" ht="15" customHeight="1" x14ac:dyDescent="0.25">
      <c r="A9720" s="3"/>
      <c r="B9720" s="3"/>
      <c r="C9720" s="3"/>
      <c r="D9720" s="3"/>
      <c r="E9720" s="3"/>
      <c r="F9720" s="3"/>
      <c r="G9720" s="3"/>
      <c r="H9720" s="3"/>
      <c r="I9720" s="3"/>
      <c r="J9720" s="3"/>
      <c r="K9720" s="3"/>
      <c r="L9720" s="3"/>
      <c r="M9720" s="3"/>
      <c r="N9720" s="3"/>
      <c r="O9720" s="3"/>
    </row>
    <row r="9721" spans="1:15" ht="15" customHeight="1" x14ac:dyDescent="0.25">
      <c r="A9721" s="2"/>
      <c r="B9721" s="2"/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</row>
    <row r="9722" spans="1:15" ht="15" customHeight="1" x14ac:dyDescent="0.25">
      <c r="A9722" s="3"/>
      <c r="B9722" s="3"/>
      <c r="C9722" s="3"/>
      <c r="D9722" s="3"/>
      <c r="E9722" s="3"/>
      <c r="F9722" s="3"/>
      <c r="G9722" s="3"/>
      <c r="H9722" s="3"/>
      <c r="I9722" s="3"/>
      <c r="J9722" s="3"/>
      <c r="K9722" s="3"/>
      <c r="L9722" s="3"/>
      <c r="M9722" s="3"/>
      <c r="N9722" s="3"/>
      <c r="O9722" s="3"/>
    </row>
    <row r="9723" spans="1:15" ht="15" customHeight="1" x14ac:dyDescent="0.25">
      <c r="A9723" s="2"/>
      <c r="B9723" s="2"/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</row>
    <row r="9724" spans="1:15" ht="15" customHeight="1" x14ac:dyDescent="0.25">
      <c r="A9724" s="3"/>
      <c r="B9724" s="3"/>
      <c r="C9724" s="3"/>
      <c r="D9724" s="3"/>
      <c r="E9724" s="3"/>
      <c r="F9724" s="3"/>
      <c r="G9724" s="3"/>
      <c r="H9724" s="3"/>
      <c r="I9724" s="3"/>
      <c r="J9724" s="3"/>
      <c r="K9724" s="3"/>
      <c r="L9724" s="3"/>
      <c r="M9724" s="3"/>
      <c r="N9724" s="3"/>
      <c r="O9724" s="3"/>
    </row>
    <row r="9725" spans="1:15" ht="15" customHeight="1" x14ac:dyDescent="0.25">
      <c r="A9725" s="2"/>
      <c r="B9725" s="2"/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</row>
    <row r="9726" spans="1:15" ht="15" customHeight="1" x14ac:dyDescent="0.25">
      <c r="A9726" s="3"/>
      <c r="B9726" s="3"/>
      <c r="C9726" s="3"/>
      <c r="D9726" s="3"/>
      <c r="E9726" s="3"/>
      <c r="F9726" s="3"/>
      <c r="G9726" s="3"/>
      <c r="H9726" s="3"/>
      <c r="I9726" s="3"/>
      <c r="J9726" s="3"/>
      <c r="K9726" s="3"/>
      <c r="L9726" s="3"/>
      <c r="M9726" s="3"/>
      <c r="N9726" s="3"/>
      <c r="O9726" s="3"/>
    </row>
    <row r="9727" spans="1:15" ht="15" customHeight="1" x14ac:dyDescent="0.25">
      <c r="A9727" s="2"/>
      <c r="B9727" s="2"/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</row>
    <row r="9728" spans="1:15" ht="15" customHeight="1" x14ac:dyDescent="0.25">
      <c r="A9728" s="3"/>
      <c r="B9728" s="3"/>
      <c r="C9728" s="3"/>
      <c r="D9728" s="3"/>
      <c r="E9728" s="3"/>
      <c r="F9728" s="3"/>
      <c r="G9728" s="3"/>
      <c r="H9728" s="3"/>
      <c r="I9728" s="3"/>
      <c r="J9728" s="3"/>
      <c r="K9728" s="3"/>
      <c r="L9728" s="3"/>
      <c r="M9728" s="3"/>
      <c r="N9728" s="3"/>
      <c r="O9728" s="3"/>
    </row>
    <row r="9729" spans="1:15" ht="15" customHeight="1" x14ac:dyDescent="0.25">
      <c r="A9729" s="2"/>
      <c r="B9729" s="2"/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</row>
    <row r="9730" spans="1:15" ht="15" customHeight="1" x14ac:dyDescent="0.25">
      <c r="A9730" s="3"/>
      <c r="B9730" s="3"/>
      <c r="C9730" s="3"/>
      <c r="D9730" s="3"/>
      <c r="E9730" s="3"/>
      <c r="F9730" s="3"/>
      <c r="G9730" s="3"/>
      <c r="H9730" s="3"/>
      <c r="I9730" s="3"/>
      <c r="J9730" s="3"/>
      <c r="K9730" s="3"/>
      <c r="L9730" s="3"/>
      <c r="M9730" s="3"/>
      <c r="N9730" s="3"/>
      <c r="O9730" s="3"/>
    </row>
    <row r="9731" spans="1:15" ht="15" customHeight="1" x14ac:dyDescent="0.25">
      <c r="A9731" s="2"/>
      <c r="B9731" s="2"/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</row>
    <row r="9732" spans="1:15" ht="15" customHeight="1" x14ac:dyDescent="0.25">
      <c r="A9732" s="3"/>
      <c r="B9732" s="3"/>
      <c r="C9732" s="3"/>
      <c r="D9732" s="3"/>
      <c r="E9732" s="3"/>
      <c r="F9732" s="3"/>
      <c r="G9732" s="3"/>
      <c r="H9732" s="3"/>
      <c r="I9732" s="3"/>
      <c r="J9732" s="3"/>
      <c r="K9732" s="3"/>
      <c r="L9732" s="3"/>
      <c r="M9732" s="3"/>
      <c r="N9732" s="3"/>
      <c r="O9732" s="3"/>
    </row>
    <row r="9733" spans="1:15" ht="15" customHeight="1" x14ac:dyDescent="0.25">
      <c r="A9733" s="2"/>
      <c r="B9733" s="2"/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</row>
    <row r="9734" spans="1:15" ht="15" customHeight="1" x14ac:dyDescent="0.25">
      <c r="A9734" s="3"/>
      <c r="B9734" s="3"/>
      <c r="C9734" s="3"/>
      <c r="D9734" s="3"/>
      <c r="E9734" s="3"/>
      <c r="F9734" s="3"/>
      <c r="G9734" s="3"/>
      <c r="H9734" s="3"/>
      <c r="I9734" s="3"/>
      <c r="J9734" s="3"/>
      <c r="K9734" s="3"/>
      <c r="L9734" s="3"/>
      <c r="M9734" s="3"/>
      <c r="N9734" s="3"/>
      <c r="O9734" s="3"/>
    </row>
    <row r="9735" spans="1:15" ht="15" customHeight="1" x14ac:dyDescent="0.25">
      <c r="A9735" s="2"/>
      <c r="B9735" s="2"/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</row>
    <row r="9736" spans="1:15" ht="15" customHeight="1" x14ac:dyDescent="0.25">
      <c r="A9736" s="3"/>
      <c r="B9736" s="3"/>
      <c r="C9736" s="3"/>
      <c r="D9736" s="3"/>
      <c r="E9736" s="3"/>
      <c r="F9736" s="3"/>
      <c r="G9736" s="3"/>
      <c r="H9736" s="3"/>
      <c r="I9736" s="3"/>
      <c r="J9736" s="3"/>
      <c r="K9736" s="3"/>
      <c r="L9736" s="3"/>
      <c r="M9736" s="3"/>
      <c r="N9736" s="3"/>
      <c r="O9736" s="3"/>
    </row>
    <row r="9737" spans="1:15" ht="15" customHeight="1" x14ac:dyDescent="0.25">
      <c r="A9737" s="2"/>
      <c r="B9737" s="2"/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</row>
    <row r="9738" spans="1:15" ht="15" customHeight="1" x14ac:dyDescent="0.25">
      <c r="A9738" s="3"/>
      <c r="B9738" s="3"/>
      <c r="C9738" s="3"/>
      <c r="D9738" s="3"/>
      <c r="E9738" s="3"/>
      <c r="F9738" s="3"/>
      <c r="G9738" s="3"/>
      <c r="H9738" s="3"/>
      <c r="I9738" s="3"/>
      <c r="J9738" s="3"/>
      <c r="K9738" s="3"/>
      <c r="L9738" s="3"/>
      <c r="M9738" s="3"/>
      <c r="N9738" s="3"/>
      <c r="O9738" s="3"/>
    </row>
    <row r="9739" spans="1:15" ht="15" customHeight="1" x14ac:dyDescent="0.25">
      <c r="A9739" s="2"/>
      <c r="B9739" s="2"/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</row>
    <row r="9740" spans="1:15" ht="15" customHeight="1" x14ac:dyDescent="0.25">
      <c r="A9740" s="3"/>
      <c r="B9740" s="3"/>
      <c r="C9740" s="3"/>
      <c r="D9740" s="3"/>
      <c r="E9740" s="3"/>
      <c r="F9740" s="3"/>
      <c r="G9740" s="3"/>
      <c r="H9740" s="3"/>
      <c r="I9740" s="3"/>
      <c r="J9740" s="3"/>
      <c r="K9740" s="3"/>
      <c r="L9740" s="3"/>
      <c r="M9740" s="3"/>
      <c r="N9740" s="3"/>
      <c r="O9740" s="3"/>
    </row>
    <row r="9741" spans="1:15" ht="15" customHeight="1" x14ac:dyDescent="0.25">
      <c r="A9741" s="2"/>
      <c r="B9741" s="2"/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</row>
    <row r="9742" spans="1:15" ht="15" customHeight="1" x14ac:dyDescent="0.25">
      <c r="A9742" s="3"/>
      <c r="B9742" s="3"/>
      <c r="C9742" s="3"/>
      <c r="D9742" s="3"/>
      <c r="E9742" s="3"/>
      <c r="F9742" s="3"/>
      <c r="G9742" s="3"/>
      <c r="H9742" s="3"/>
      <c r="I9742" s="3"/>
      <c r="J9742" s="3"/>
      <c r="K9742" s="3"/>
      <c r="L9742" s="3"/>
      <c r="M9742" s="3"/>
      <c r="N9742" s="3"/>
      <c r="O9742" s="3"/>
    </row>
    <row r="9743" spans="1:15" ht="15" customHeight="1" x14ac:dyDescent="0.25">
      <c r="A9743" s="2"/>
      <c r="B9743" s="2"/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</row>
    <row r="9744" spans="1:15" ht="15" customHeight="1" x14ac:dyDescent="0.25">
      <c r="A9744" s="3"/>
      <c r="B9744" s="3"/>
      <c r="C9744" s="3"/>
      <c r="D9744" s="3"/>
      <c r="E9744" s="3"/>
      <c r="F9744" s="3"/>
      <c r="G9744" s="3"/>
      <c r="H9744" s="3"/>
      <c r="I9744" s="3"/>
      <c r="J9744" s="3"/>
      <c r="K9744" s="3"/>
      <c r="L9744" s="3"/>
      <c r="M9744" s="3"/>
      <c r="N9744" s="3"/>
      <c r="O9744" s="3"/>
    </row>
    <row r="9745" spans="1:15" ht="15" customHeight="1" x14ac:dyDescent="0.25">
      <c r="A9745" s="2"/>
      <c r="B9745" s="2"/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</row>
    <row r="9746" spans="1:15" ht="15" customHeight="1" x14ac:dyDescent="0.25">
      <c r="A9746" s="3"/>
      <c r="B9746" s="3"/>
      <c r="C9746" s="3"/>
      <c r="D9746" s="3"/>
      <c r="E9746" s="3"/>
      <c r="F9746" s="3"/>
      <c r="G9746" s="3"/>
      <c r="H9746" s="3"/>
      <c r="I9746" s="3"/>
      <c r="J9746" s="3"/>
      <c r="K9746" s="3"/>
      <c r="L9746" s="3"/>
      <c r="M9746" s="3"/>
      <c r="N9746" s="3"/>
      <c r="O9746" s="3"/>
    </row>
    <row r="9747" spans="1:15" ht="15" customHeight="1" x14ac:dyDescent="0.25">
      <c r="A9747" s="2"/>
      <c r="B9747" s="2"/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</row>
    <row r="9748" spans="1:15" ht="15" customHeight="1" x14ac:dyDescent="0.25">
      <c r="A9748" s="3"/>
      <c r="B9748" s="3"/>
      <c r="C9748" s="3"/>
      <c r="D9748" s="3"/>
      <c r="E9748" s="3"/>
      <c r="F9748" s="3"/>
      <c r="G9748" s="3"/>
      <c r="H9748" s="3"/>
      <c r="I9748" s="3"/>
      <c r="J9748" s="3"/>
      <c r="K9748" s="3"/>
      <c r="L9748" s="3"/>
      <c r="M9748" s="3"/>
      <c r="N9748" s="3"/>
      <c r="O9748" s="3"/>
    </row>
    <row r="9749" spans="1:15" ht="15" customHeight="1" x14ac:dyDescent="0.25">
      <c r="A9749" s="2"/>
      <c r="B9749" s="2"/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</row>
    <row r="9750" spans="1:15" ht="15" customHeight="1" x14ac:dyDescent="0.25">
      <c r="A9750" s="3"/>
      <c r="B9750" s="3"/>
      <c r="C9750" s="3"/>
      <c r="D9750" s="3"/>
      <c r="E9750" s="3"/>
      <c r="F9750" s="3"/>
      <c r="G9750" s="3"/>
      <c r="H9750" s="3"/>
      <c r="I9750" s="3"/>
      <c r="J9750" s="3"/>
      <c r="K9750" s="3"/>
      <c r="L9750" s="3"/>
      <c r="M9750" s="3"/>
      <c r="N9750" s="3"/>
      <c r="O9750" s="3"/>
    </row>
    <row r="9751" spans="1:15" ht="15" customHeight="1" x14ac:dyDescent="0.25">
      <c r="A9751" s="2"/>
      <c r="B9751" s="2"/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</row>
    <row r="9752" spans="1:15" ht="15" customHeight="1" x14ac:dyDescent="0.25">
      <c r="A9752" s="3"/>
      <c r="B9752" s="3"/>
      <c r="C9752" s="3"/>
      <c r="D9752" s="3"/>
      <c r="E9752" s="3"/>
      <c r="F9752" s="3"/>
      <c r="G9752" s="3"/>
      <c r="H9752" s="3"/>
      <c r="I9752" s="3"/>
      <c r="J9752" s="3"/>
      <c r="K9752" s="3"/>
      <c r="L9752" s="3"/>
      <c r="M9752" s="3"/>
      <c r="N9752" s="3"/>
      <c r="O9752" s="3"/>
    </row>
    <row r="9753" spans="1:15" ht="15" customHeight="1" x14ac:dyDescent="0.25">
      <c r="A9753" s="2"/>
      <c r="B9753" s="2"/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</row>
    <row r="9754" spans="1:15" ht="15" customHeight="1" x14ac:dyDescent="0.25">
      <c r="A9754" s="3"/>
      <c r="B9754" s="3"/>
      <c r="C9754" s="3"/>
      <c r="D9754" s="3"/>
      <c r="E9754" s="3"/>
      <c r="F9754" s="3"/>
      <c r="G9754" s="3"/>
      <c r="H9754" s="3"/>
      <c r="I9754" s="3"/>
      <c r="J9754" s="3"/>
      <c r="K9754" s="3"/>
      <c r="L9754" s="3"/>
      <c r="M9754" s="3"/>
      <c r="N9754" s="3"/>
      <c r="O9754" s="3"/>
    </row>
    <row r="9755" spans="1:15" ht="15" customHeight="1" x14ac:dyDescent="0.25">
      <c r="A9755" s="2"/>
      <c r="B9755" s="2"/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</row>
    <row r="9756" spans="1:15" ht="15" customHeight="1" x14ac:dyDescent="0.25">
      <c r="A9756" s="3"/>
      <c r="B9756" s="3"/>
      <c r="C9756" s="3"/>
      <c r="D9756" s="3"/>
      <c r="E9756" s="3"/>
      <c r="F9756" s="3"/>
      <c r="G9756" s="3"/>
      <c r="H9756" s="3"/>
      <c r="I9756" s="3"/>
      <c r="J9756" s="3"/>
      <c r="K9756" s="3"/>
      <c r="L9756" s="3"/>
      <c r="M9756" s="3"/>
      <c r="N9756" s="3"/>
      <c r="O9756" s="3"/>
    </row>
    <row r="9757" spans="1:15" ht="15" customHeight="1" x14ac:dyDescent="0.25">
      <c r="A9757" s="2"/>
      <c r="B9757" s="2"/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</row>
    <row r="9758" spans="1:15" ht="15" customHeight="1" x14ac:dyDescent="0.25">
      <c r="A9758" s="3"/>
      <c r="B9758" s="3"/>
      <c r="C9758" s="3"/>
      <c r="D9758" s="3"/>
      <c r="E9758" s="3"/>
      <c r="F9758" s="3"/>
      <c r="G9758" s="3"/>
      <c r="H9758" s="3"/>
      <c r="I9758" s="3"/>
      <c r="J9758" s="3"/>
      <c r="K9758" s="3"/>
      <c r="L9758" s="3"/>
      <c r="M9758" s="3"/>
      <c r="N9758" s="3"/>
      <c r="O9758" s="3"/>
    </row>
    <row r="9759" spans="1:15" ht="15" customHeight="1" x14ac:dyDescent="0.25">
      <c r="A9759" s="2"/>
      <c r="B9759" s="2"/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</row>
    <row r="9760" spans="1:15" ht="15" customHeight="1" x14ac:dyDescent="0.25">
      <c r="A9760" s="3"/>
      <c r="B9760" s="3"/>
      <c r="C9760" s="3"/>
      <c r="D9760" s="3"/>
      <c r="E9760" s="3"/>
      <c r="F9760" s="3"/>
      <c r="G9760" s="3"/>
      <c r="H9760" s="3"/>
      <c r="I9760" s="3"/>
      <c r="J9760" s="3"/>
      <c r="K9760" s="3"/>
      <c r="L9760" s="3"/>
      <c r="M9760" s="3"/>
      <c r="N9760" s="3"/>
      <c r="O9760" s="3"/>
    </row>
    <row r="9761" spans="1:15" ht="15" customHeight="1" x14ac:dyDescent="0.25">
      <c r="A9761" s="2"/>
      <c r="B9761" s="2"/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</row>
    <row r="9762" spans="1:15" ht="15" customHeight="1" x14ac:dyDescent="0.25">
      <c r="A9762" s="3"/>
      <c r="B9762" s="3"/>
      <c r="C9762" s="3"/>
      <c r="D9762" s="3"/>
      <c r="E9762" s="3"/>
      <c r="F9762" s="3"/>
      <c r="G9762" s="3"/>
      <c r="H9762" s="3"/>
      <c r="I9762" s="3"/>
      <c r="J9762" s="3"/>
      <c r="K9762" s="3"/>
      <c r="L9762" s="3"/>
      <c r="M9762" s="3"/>
      <c r="N9762" s="3"/>
      <c r="O9762" s="3"/>
    </row>
    <row r="9763" spans="1:15" ht="15" customHeight="1" x14ac:dyDescent="0.25">
      <c r="A9763" s="2"/>
      <c r="B9763" s="2"/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</row>
    <row r="9764" spans="1:15" ht="15" customHeight="1" x14ac:dyDescent="0.25">
      <c r="A9764" s="3"/>
      <c r="B9764" s="3"/>
      <c r="C9764" s="3"/>
      <c r="D9764" s="3"/>
      <c r="E9764" s="3"/>
      <c r="F9764" s="3"/>
      <c r="G9764" s="3"/>
      <c r="H9764" s="3"/>
      <c r="I9764" s="3"/>
      <c r="J9764" s="3"/>
      <c r="K9764" s="3"/>
      <c r="L9764" s="3"/>
      <c r="M9764" s="3"/>
      <c r="N9764" s="3"/>
      <c r="O9764" s="3"/>
    </row>
    <row r="9765" spans="1:15" ht="15" customHeight="1" x14ac:dyDescent="0.25">
      <c r="A9765" s="2"/>
      <c r="B9765" s="2"/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</row>
    <row r="9766" spans="1:15" ht="15" customHeight="1" x14ac:dyDescent="0.25">
      <c r="A9766" s="3"/>
      <c r="B9766" s="3"/>
      <c r="C9766" s="3"/>
      <c r="D9766" s="3"/>
      <c r="E9766" s="3"/>
      <c r="F9766" s="3"/>
      <c r="G9766" s="3"/>
      <c r="H9766" s="3"/>
      <c r="I9766" s="3"/>
      <c r="J9766" s="3"/>
      <c r="K9766" s="3"/>
      <c r="L9766" s="3"/>
      <c r="M9766" s="3"/>
      <c r="N9766" s="3"/>
      <c r="O9766" s="3"/>
    </row>
    <row r="9767" spans="1:15" ht="15" customHeight="1" x14ac:dyDescent="0.25">
      <c r="A9767" s="2"/>
      <c r="B9767" s="2"/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</row>
    <row r="9768" spans="1:15" ht="15" customHeight="1" x14ac:dyDescent="0.25">
      <c r="A9768" s="3"/>
      <c r="B9768" s="3"/>
      <c r="C9768" s="3"/>
      <c r="D9768" s="3"/>
      <c r="E9768" s="3"/>
      <c r="F9768" s="3"/>
      <c r="G9768" s="3"/>
      <c r="H9768" s="3"/>
      <c r="I9768" s="3"/>
      <c r="J9768" s="3"/>
      <c r="K9768" s="3"/>
      <c r="L9768" s="3"/>
      <c r="M9768" s="3"/>
      <c r="N9768" s="3"/>
      <c r="O9768" s="3"/>
    </row>
    <row r="9769" spans="1:15" ht="15" customHeight="1" x14ac:dyDescent="0.25">
      <c r="A9769" s="2"/>
      <c r="B9769" s="2"/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</row>
    <row r="9770" spans="1:15" ht="15" customHeight="1" x14ac:dyDescent="0.25">
      <c r="A9770" s="3"/>
      <c r="B9770" s="3"/>
      <c r="C9770" s="3"/>
      <c r="D9770" s="3"/>
      <c r="E9770" s="3"/>
      <c r="F9770" s="3"/>
      <c r="G9770" s="3"/>
      <c r="H9770" s="3"/>
      <c r="I9770" s="3"/>
      <c r="J9770" s="3"/>
      <c r="K9770" s="3"/>
      <c r="L9770" s="3"/>
      <c r="M9770" s="3"/>
      <c r="N9770" s="3"/>
      <c r="O9770" s="3"/>
    </row>
    <row r="9771" spans="1:15" ht="15" customHeight="1" x14ac:dyDescent="0.25">
      <c r="A9771" s="2"/>
      <c r="B9771" s="2"/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</row>
    <row r="9772" spans="1:15" ht="15" customHeight="1" x14ac:dyDescent="0.25">
      <c r="A9772" s="3"/>
      <c r="B9772" s="3"/>
      <c r="C9772" s="3"/>
      <c r="D9772" s="3"/>
      <c r="E9772" s="3"/>
      <c r="F9772" s="3"/>
      <c r="G9772" s="3"/>
      <c r="H9772" s="3"/>
      <c r="I9772" s="3"/>
      <c r="J9772" s="3"/>
      <c r="K9772" s="3"/>
      <c r="L9772" s="3"/>
      <c r="M9772" s="3"/>
      <c r="N9772" s="3"/>
      <c r="O9772" s="3"/>
    </row>
    <row r="9773" spans="1:15" ht="15" customHeight="1" x14ac:dyDescent="0.25">
      <c r="A9773" s="2"/>
      <c r="B9773" s="2"/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</row>
    <row r="9774" spans="1:15" ht="15" customHeight="1" x14ac:dyDescent="0.25">
      <c r="A9774" s="3"/>
      <c r="B9774" s="3"/>
      <c r="C9774" s="3"/>
      <c r="D9774" s="3"/>
      <c r="E9774" s="3"/>
      <c r="F9774" s="3"/>
      <c r="G9774" s="3"/>
      <c r="H9774" s="3"/>
      <c r="I9774" s="3"/>
      <c r="J9774" s="3"/>
      <c r="K9774" s="3"/>
      <c r="L9774" s="3"/>
      <c r="M9774" s="3"/>
      <c r="N9774" s="3"/>
      <c r="O9774" s="3"/>
    </row>
    <row r="9775" spans="1:15" ht="15" customHeight="1" x14ac:dyDescent="0.25">
      <c r="A9775" s="2"/>
      <c r="B9775" s="2"/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</row>
    <row r="9776" spans="1:15" ht="15" customHeight="1" x14ac:dyDescent="0.25">
      <c r="A9776" s="3"/>
      <c r="B9776" s="3"/>
      <c r="C9776" s="3"/>
      <c r="D9776" s="3"/>
      <c r="E9776" s="3"/>
      <c r="F9776" s="3"/>
      <c r="G9776" s="3"/>
      <c r="H9776" s="3"/>
      <c r="I9776" s="3"/>
      <c r="J9776" s="3"/>
      <c r="K9776" s="3"/>
      <c r="L9776" s="3"/>
      <c r="M9776" s="3"/>
      <c r="N9776" s="3"/>
      <c r="O9776" s="3"/>
    </row>
    <row r="9777" spans="1:15" ht="15" customHeight="1" x14ac:dyDescent="0.25">
      <c r="A9777" s="2"/>
      <c r="B9777" s="2"/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</row>
    <row r="9778" spans="1:15" ht="15" customHeight="1" x14ac:dyDescent="0.25">
      <c r="A9778" s="3"/>
      <c r="B9778" s="3"/>
      <c r="C9778" s="3"/>
      <c r="D9778" s="3"/>
      <c r="E9778" s="3"/>
      <c r="F9778" s="3"/>
      <c r="G9778" s="3"/>
      <c r="H9778" s="3"/>
      <c r="I9778" s="3"/>
      <c r="J9778" s="3"/>
      <c r="K9778" s="3"/>
      <c r="L9778" s="3"/>
      <c r="M9778" s="3"/>
      <c r="N9778" s="3"/>
      <c r="O9778" s="3"/>
    </row>
    <row r="9779" spans="1:15" ht="15" customHeight="1" x14ac:dyDescent="0.25">
      <c r="A9779" s="2"/>
      <c r="B9779" s="2"/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</row>
    <row r="9780" spans="1:15" ht="15" customHeight="1" x14ac:dyDescent="0.25">
      <c r="A9780" s="3"/>
      <c r="B9780" s="3"/>
      <c r="C9780" s="3"/>
      <c r="D9780" s="3"/>
      <c r="E9780" s="3"/>
      <c r="F9780" s="3"/>
      <c r="G9780" s="3"/>
      <c r="H9780" s="3"/>
      <c r="I9780" s="3"/>
      <c r="J9780" s="3"/>
      <c r="K9780" s="3"/>
      <c r="L9780" s="3"/>
      <c r="M9780" s="3"/>
      <c r="N9780" s="3"/>
      <c r="O9780" s="3"/>
    </row>
    <row r="9781" spans="1:15" ht="15" customHeight="1" x14ac:dyDescent="0.25">
      <c r="A9781" s="2"/>
      <c r="B9781" s="2"/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</row>
    <row r="9782" spans="1:15" ht="15" customHeight="1" x14ac:dyDescent="0.25">
      <c r="A9782" s="3"/>
      <c r="B9782" s="3"/>
      <c r="C9782" s="3"/>
      <c r="D9782" s="3"/>
      <c r="E9782" s="3"/>
      <c r="F9782" s="3"/>
      <c r="G9782" s="3"/>
      <c r="H9782" s="3"/>
      <c r="I9782" s="3"/>
      <c r="J9782" s="3"/>
      <c r="K9782" s="3"/>
      <c r="L9782" s="3"/>
      <c r="M9782" s="3"/>
      <c r="N9782" s="3"/>
      <c r="O9782" s="3"/>
    </row>
    <row r="9783" spans="1:15" ht="15" customHeight="1" x14ac:dyDescent="0.25">
      <c r="A9783" s="2"/>
      <c r="B9783" s="2"/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</row>
    <row r="9784" spans="1:15" ht="15" customHeight="1" x14ac:dyDescent="0.25">
      <c r="A9784" s="3"/>
      <c r="B9784" s="3"/>
      <c r="C9784" s="3"/>
      <c r="D9784" s="3"/>
      <c r="E9784" s="3"/>
      <c r="F9784" s="3"/>
      <c r="G9784" s="3"/>
      <c r="H9784" s="3"/>
      <c r="I9784" s="3"/>
      <c r="J9784" s="3"/>
      <c r="K9784" s="3"/>
      <c r="L9784" s="3"/>
      <c r="M9784" s="3"/>
      <c r="N9784" s="3"/>
      <c r="O9784" s="3"/>
    </row>
    <row r="9785" spans="1:15" ht="15" customHeight="1" x14ac:dyDescent="0.25">
      <c r="A9785" s="2"/>
      <c r="B9785" s="2"/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</row>
    <row r="9786" spans="1:15" ht="15" customHeight="1" x14ac:dyDescent="0.25">
      <c r="A9786" s="3"/>
      <c r="B9786" s="3"/>
      <c r="C9786" s="3"/>
      <c r="D9786" s="3"/>
      <c r="E9786" s="3"/>
      <c r="F9786" s="3"/>
      <c r="G9786" s="3"/>
      <c r="H9786" s="3"/>
      <c r="I9786" s="3"/>
      <c r="J9786" s="3"/>
      <c r="K9786" s="3"/>
      <c r="L9786" s="3"/>
      <c r="M9786" s="3"/>
      <c r="N9786" s="3"/>
      <c r="O9786" s="3"/>
    </row>
    <row r="9787" spans="1:15" ht="15" customHeight="1" x14ac:dyDescent="0.25">
      <c r="A9787" s="2"/>
      <c r="B9787" s="2"/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</row>
    <row r="9788" spans="1:15" ht="15" customHeight="1" x14ac:dyDescent="0.25">
      <c r="A9788" s="3"/>
      <c r="B9788" s="3"/>
      <c r="C9788" s="3"/>
      <c r="D9788" s="3"/>
      <c r="E9788" s="3"/>
      <c r="F9788" s="3"/>
      <c r="G9788" s="3"/>
      <c r="H9788" s="3"/>
      <c r="I9788" s="3"/>
      <c r="J9788" s="3"/>
      <c r="K9788" s="3"/>
      <c r="L9788" s="3"/>
      <c r="M9788" s="3"/>
      <c r="N9788" s="3"/>
      <c r="O9788" s="3"/>
    </row>
    <row r="9789" spans="1:15" ht="15" customHeight="1" x14ac:dyDescent="0.25">
      <c r="A9789" s="2"/>
      <c r="B9789" s="2"/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</row>
    <row r="9790" spans="1:15" ht="15" customHeight="1" x14ac:dyDescent="0.25">
      <c r="A9790" s="3"/>
      <c r="B9790" s="3"/>
      <c r="C9790" s="3"/>
      <c r="D9790" s="3"/>
      <c r="E9790" s="3"/>
      <c r="F9790" s="3"/>
      <c r="G9790" s="3"/>
      <c r="H9790" s="3"/>
      <c r="I9790" s="3"/>
      <c r="J9790" s="3"/>
      <c r="K9790" s="3"/>
      <c r="L9790" s="3"/>
      <c r="M9790" s="3"/>
      <c r="N9790" s="3"/>
      <c r="O9790" s="3"/>
    </row>
    <row r="9791" spans="1:15" ht="15" customHeight="1" x14ac:dyDescent="0.25">
      <c r="A9791" s="2"/>
      <c r="B9791" s="2"/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</row>
    <row r="9792" spans="1:15" ht="15" customHeight="1" x14ac:dyDescent="0.25">
      <c r="A9792" s="3"/>
      <c r="B9792" s="3"/>
      <c r="C9792" s="3"/>
      <c r="D9792" s="3"/>
      <c r="E9792" s="3"/>
      <c r="F9792" s="3"/>
      <c r="G9792" s="3"/>
      <c r="H9792" s="3"/>
      <c r="I9792" s="3"/>
      <c r="J9792" s="3"/>
      <c r="K9792" s="3"/>
      <c r="L9792" s="3"/>
      <c r="M9792" s="3"/>
      <c r="N9792" s="3"/>
      <c r="O9792" s="3"/>
    </row>
    <row r="9793" spans="1:15" ht="15" customHeight="1" x14ac:dyDescent="0.25">
      <c r="A9793" s="2"/>
      <c r="B9793" s="2"/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</row>
    <row r="9794" spans="1:15" ht="15" customHeight="1" x14ac:dyDescent="0.25">
      <c r="A9794" s="3"/>
      <c r="B9794" s="3"/>
      <c r="C9794" s="3"/>
      <c r="D9794" s="3"/>
      <c r="E9794" s="3"/>
      <c r="F9794" s="3"/>
      <c r="G9794" s="3"/>
      <c r="H9794" s="3"/>
      <c r="I9794" s="3"/>
      <c r="J9794" s="3"/>
      <c r="K9794" s="3"/>
      <c r="L9794" s="3"/>
      <c r="M9794" s="3"/>
      <c r="N9794" s="3"/>
      <c r="O9794" s="3"/>
    </row>
    <row r="9795" spans="1:15" ht="15" customHeight="1" x14ac:dyDescent="0.25">
      <c r="A9795" s="2"/>
      <c r="B9795" s="2"/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</row>
    <row r="9796" spans="1:15" ht="15" customHeight="1" x14ac:dyDescent="0.25">
      <c r="A9796" s="3"/>
      <c r="B9796" s="3"/>
      <c r="C9796" s="3"/>
      <c r="D9796" s="3"/>
      <c r="E9796" s="3"/>
      <c r="F9796" s="3"/>
      <c r="G9796" s="3"/>
      <c r="H9796" s="3"/>
      <c r="I9796" s="3"/>
      <c r="J9796" s="3"/>
      <c r="K9796" s="3"/>
      <c r="L9796" s="3"/>
      <c r="M9796" s="3"/>
      <c r="N9796" s="3"/>
      <c r="O9796" s="3"/>
    </row>
    <row r="9797" spans="1:15" ht="15" customHeight="1" x14ac:dyDescent="0.25">
      <c r="A9797" s="2"/>
      <c r="B9797" s="2"/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</row>
    <row r="9798" spans="1:15" ht="15" customHeight="1" x14ac:dyDescent="0.25">
      <c r="A9798" s="3"/>
      <c r="B9798" s="3"/>
      <c r="C9798" s="3"/>
      <c r="D9798" s="3"/>
      <c r="E9798" s="3"/>
      <c r="F9798" s="3"/>
      <c r="G9798" s="3"/>
      <c r="H9798" s="3"/>
      <c r="I9798" s="3"/>
      <c r="J9798" s="3"/>
      <c r="K9798" s="3"/>
      <c r="L9798" s="3"/>
      <c r="M9798" s="3"/>
      <c r="N9798" s="3"/>
      <c r="O9798" s="3"/>
    </row>
    <row r="9799" spans="1:15" ht="15" customHeight="1" x14ac:dyDescent="0.25">
      <c r="A9799" s="2"/>
      <c r="B9799" s="2"/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</row>
    <row r="9800" spans="1:15" ht="15" customHeight="1" x14ac:dyDescent="0.25">
      <c r="A9800" s="3"/>
      <c r="B9800" s="3"/>
      <c r="C9800" s="3"/>
      <c r="D9800" s="3"/>
      <c r="E9800" s="3"/>
      <c r="F9800" s="3"/>
      <c r="G9800" s="3"/>
      <c r="H9800" s="3"/>
      <c r="I9800" s="3"/>
      <c r="J9800" s="3"/>
      <c r="K9800" s="3"/>
      <c r="L9800" s="3"/>
      <c r="M9800" s="3"/>
      <c r="N9800" s="3"/>
      <c r="O9800" s="3"/>
    </row>
    <row r="9801" spans="1:15" ht="15" customHeight="1" x14ac:dyDescent="0.25">
      <c r="A9801" s="2"/>
      <c r="B9801" s="2"/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</row>
    <row r="9802" spans="1:15" ht="15" customHeight="1" x14ac:dyDescent="0.25">
      <c r="A9802" s="3"/>
      <c r="B9802" s="3"/>
      <c r="C9802" s="3"/>
      <c r="D9802" s="3"/>
      <c r="E9802" s="3"/>
      <c r="F9802" s="3"/>
      <c r="G9802" s="3"/>
      <c r="H9802" s="3"/>
      <c r="I9802" s="3"/>
      <c r="J9802" s="3"/>
      <c r="K9802" s="3"/>
      <c r="L9802" s="3"/>
      <c r="M9802" s="3"/>
      <c r="N9802" s="3"/>
      <c r="O9802" s="3"/>
    </row>
    <row r="9803" spans="1:15" ht="15" customHeight="1" x14ac:dyDescent="0.25">
      <c r="A9803" s="2"/>
      <c r="B9803" s="2"/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</row>
    <row r="9804" spans="1:15" ht="15" customHeight="1" x14ac:dyDescent="0.25">
      <c r="A9804" s="3"/>
      <c r="B9804" s="3"/>
      <c r="C9804" s="3"/>
      <c r="D9804" s="3"/>
      <c r="E9804" s="3"/>
      <c r="F9804" s="3"/>
      <c r="G9804" s="3"/>
      <c r="H9804" s="3"/>
      <c r="I9804" s="3"/>
      <c r="J9804" s="3"/>
      <c r="K9804" s="3"/>
      <c r="L9804" s="3"/>
      <c r="M9804" s="3"/>
      <c r="N9804" s="3"/>
      <c r="O9804" s="3"/>
    </row>
    <row r="9805" spans="1:15" ht="15" customHeight="1" x14ac:dyDescent="0.25">
      <c r="A9805" s="2"/>
      <c r="B9805" s="2"/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</row>
    <row r="9806" spans="1:15" ht="15" customHeight="1" x14ac:dyDescent="0.25">
      <c r="A9806" s="3"/>
      <c r="B9806" s="3"/>
      <c r="C9806" s="3"/>
      <c r="D9806" s="3"/>
      <c r="E9806" s="3"/>
      <c r="F9806" s="3"/>
      <c r="G9806" s="3"/>
      <c r="H9806" s="3"/>
      <c r="I9806" s="3"/>
      <c r="J9806" s="3"/>
      <c r="K9806" s="3"/>
      <c r="L9806" s="3"/>
      <c r="M9806" s="3"/>
      <c r="N9806" s="3"/>
      <c r="O9806" s="3"/>
    </row>
    <row r="9807" spans="1:15" ht="15" customHeight="1" x14ac:dyDescent="0.25">
      <c r="A9807" s="2"/>
      <c r="B9807" s="2"/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</row>
    <row r="9808" spans="1:15" ht="15" customHeight="1" x14ac:dyDescent="0.25">
      <c r="A9808" s="3"/>
      <c r="B9808" s="3"/>
      <c r="C9808" s="3"/>
      <c r="D9808" s="3"/>
      <c r="E9808" s="3"/>
      <c r="F9808" s="3"/>
      <c r="G9808" s="3"/>
      <c r="H9808" s="3"/>
      <c r="I9808" s="3"/>
      <c r="J9808" s="3"/>
      <c r="K9808" s="3"/>
      <c r="L9808" s="3"/>
      <c r="M9808" s="3"/>
      <c r="N9808" s="3"/>
      <c r="O9808" s="3"/>
    </row>
    <row r="9809" spans="1:15" ht="15" customHeight="1" x14ac:dyDescent="0.25">
      <c r="A9809" s="2"/>
      <c r="B9809" s="2"/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</row>
    <row r="9810" spans="1:15" ht="15" customHeight="1" x14ac:dyDescent="0.25">
      <c r="A9810" s="3"/>
      <c r="B9810" s="3"/>
      <c r="C9810" s="3"/>
      <c r="D9810" s="3"/>
      <c r="E9810" s="3"/>
      <c r="F9810" s="3"/>
      <c r="G9810" s="3"/>
      <c r="H9810" s="3"/>
      <c r="I9810" s="3"/>
      <c r="J9810" s="3"/>
      <c r="K9810" s="3"/>
      <c r="L9810" s="3"/>
      <c r="M9810" s="3"/>
      <c r="N9810" s="3"/>
      <c r="O9810" s="3"/>
    </row>
    <row r="9811" spans="1:15" ht="15" customHeight="1" x14ac:dyDescent="0.25">
      <c r="A9811" s="2"/>
      <c r="B9811" s="2"/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</row>
    <row r="9812" spans="1:15" ht="15" customHeight="1" x14ac:dyDescent="0.25">
      <c r="A9812" s="3"/>
      <c r="B9812" s="3"/>
      <c r="C9812" s="3"/>
      <c r="D9812" s="3"/>
      <c r="E9812" s="3"/>
      <c r="F9812" s="3"/>
      <c r="G9812" s="3"/>
      <c r="H9812" s="3"/>
      <c r="I9812" s="3"/>
      <c r="J9812" s="3"/>
      <c r="K9812" s="3"/>
      <c r="L9812" s="3"/>
      <c r="M9812" s="3"/>
      <c r="N9812" s="3"/>
      <c r="O9812" s="3"/>
    </row>
    <row r="9813" spans="1:15" ht="15" customHeight="1" x14ac:dyDescent="0.25">
      <c r="A9813" s="2"/>
      <c r="B9813" s="2"/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</row>
    <row r="9814" spans="1:15" ht="15" customHeight="1" x14ac:dyDescent="0.25">
      <c r="A9814" s="3"/>
      <c r="B9814" s="3"/>
      <c r="C9814" s="3"/>
      <c r="D9814" s="3"/>
      <c r="E9814" s="3"/>
      <c r="F9814" s="3"/>
      <c r="G9814" s="3"/>
      <c r="H9814" s="3"/>
      <c r="I9814" s="3"/>
      <c r="J9814" s="3"/>
      <c r="K9814" s="3"/>
      <c r="L9814" s="3"/>
      <c r="M9814" s="3"/>
      <c r="N9814" s="3"/>
      <c r="O9814" s="3"/>
    </row>
    <row r="9815" spans="1:15" ht="15" customHeight="1" x14ac:dyDescent="0.25">
      <c r="A9815" s="2"/>
      <c r="B9815" s="2"/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</row>
    <row r="9816" spans="1:15" ht="15" customHeight="1" x14ac:dyDescent="0.25">
      <c r="A9816" s="3"/>
      <c r="B9816" s="3"/>
      <c r="C9816" s="3"/>
      <c r="D9816" s="3"/>
      <c r="E9816" s="3"/>
      <c r="F9816" s="3"/>
      <c r="G9816" s="3"/>
      <c r="H9816" s="3"/>
      <c r="I9816" s="3"/>
      <c r="J9816" s="3"/>
      <c r="K9816" s="3"/>
      <c r="L9816" s="3"/>
      <c r="M9816" s="3"/>
      <c r="N9816" s="3"/>
      <c r="O9816" s="3"/>
    </row>
    <row r="9817" spans="1:15" ht="15" customHeight="1" x14ac:dyDescent="0.25">
      <c r="A9817" s="2"/>
      <c r="B9817" s="2"/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</row>
    <row r="9818" spans="1:15" ht="15" customHeight="1" x14ac:dyDescent="0.25">
      <c r="A9818" s="3"/>
      <c r="B9818" s="3"/>
      <c r="C9818" s="3"/>
      <c r="D9818" s="3"/>
      <c r="E9818" s="3"/>
      <c r="F9818" s="3"/>
      <c r="G9818" s="3"/>
      <c r="H9818" s="3"/>
      <c r="I9818" s="3"/>
      <c r="J9818" s="3"/>
      <c r="K9818" s="3"/>
      <c r="L9818" s="3"/>
      <c r="M9818" s="3"/>
      <c r="N9818" s="3"/>
      <c r="O9818" s="3"/>
    </row>
    <row r="9819" spans="1:15" ht="15" customHeight="1" x14ac:dyDescent="0.25">
      <c r="A9819" s="2"/>
      <c r="B9819" s="2"/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</row>
    <row r="9820" spans="1:15" ht="15" customHeight="1" x14ac:dyDescent="0.25">
      <c r="A9820" s="3"/>
      <c r="B9820" s="3"/>
      <c r="C9820" s="3"/>
      <c r="D9820" s="3"/>
      <c r="E9820" s="3"/>
      <c r="F9820" s="3"/>
      <c r="G9820" s="3"/>
      <c r="H9820" s="3"/>
      <c r="I9820" s="3"/>
      <c r="J9820" s="3"/>
      <c r="K9820" s="3"/>
      <c r="L9820" s="3"/>
      <c r="M9820" s="3"/>
      <c r="N9820" s="3"/>
      <c r="O9820" s="3"/>
    </row>
    <row r="9821" spans="1:15" ht="15" customHeight="1" x14ac:dyDescent="0.25">
      <c r="A9821" s="2"/>
      <c r="B9821" s="2"/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</row>
    <row r="9822" spans="1:15" ht="15" customHeight="1" x14ac:dyDescent="0.25">
      <c r="A9822" s="3"/>
      <c r="B9822" s="3"/>
      <c r="C9822" s="3"/>
      <c r="D9822" s="3"/>
      <c r="E9822" s="3"/>
      <c r="F9822" s="3"/>
      <c r="G9822" s="3"/>
      <c r="H9822" s="3"/>
      <c r="I9822" s="3"/>
      <c r="J9822" s="3"/>
      <c r="K9822" s="3"/>
      <c r="L9822" s="3"/>
      <c r="M9822" s="3"/>
      <c r="N9822" s="3"/>
      <c r="O9822" s="3"/>
    </row>
    <row r="9823" spans="1:15" ht="15" customHeight="1" x14ac:dyDescent="0.25">
      <c r="A9823" s="2"/>
      <c r="B9823" s="2"/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</row>
    <row r="9824" spans="1:15" ht="15" customHeight="1" x14ac:dyDescent="0.25">
      <c r="A9824" s="3"/>
      <c r="B9824" s="3"/>
      <c r="C9824" s="3"/>
      <c r="D9824" s="3"/>
      <c r="E9824" s="3"/>
      <c r="F9824" s="3"/>
      <c r="G9824" s="3"/>
      <c r="H9824" s="3"/>
      <c r="I9824" s="3"/>
      <c r="J9824" s="3"/>
      <c r="K9824" s="3"/>
      <c r="L9824" s="3"/>
      <c r="M9824" s="3"/>
      <c r="N9824" s="3"/>
      <c r="O9824" s="3"/>
    </row>
    <row r="9825" spans="1:15" ht="15" customHeight="1" x14ac:dyDescent="0.25">
      <c r="A9825" s="2"/>
      <c r="B9825" s="2"/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</row>
    <row r="9826" spans="1:15" ht="15" customHeight="1" x14ac:dyDescent="0.25">
      <c r="A9826" s="3"/>
      <c r="B9826" s="3"/>
      <c r="C9826" s="3"/>
      <c r="D9826" s="3"/>
      <c r="E9826" s="3"/>
      <c r="F9826" s="3"/>
      <c r="G9826" s="3"/>
      <c r="H9826" s="3"/>
      <c r="I9826" s="3"/>
      <c r="J9826" s="3"/>
      <c r="K9826" s="3"/>
      <c r="L9826" s="3"/>
      <c r="M9826" s="3"/>
      <c r="N9826" s="3"/>
      <c r="O9826" s="3"/>
    </row>
    <row r="9827" spans="1:15" ht="15" customHeight="1" x14ac:dyDescent="0.25">
      <c r="A9827" s="2"/>
      <c r="B9827" s="2"/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</row>
    <row r="9828" spans="1:15" ht="15" customHeight="1" x14ac:dyDescent="0.25">
      <c r="A9828" s="3"/>
      <c r="B9828" s="3"/>
      <c r="C9828" s="3"/>
      <c r="D9828" s="3"/>
      <c r="E9828" s="3"/>
      <c r="F9828" s="3"/>
      <c r="G9828" s="3"/>
      <c r="H9828" s="3"/>
      <c r="I9828" s="3"/>
      <c r="J9828" s="3"/>
      <c r="K9828" s="3"/>
      <c r="L9828" s="3"/>
      <c r="M9828" s="3"/>
      <c r="N9828" s="3"/>
      <c r="O9828" s="3"/>
    </row>
    <row r="9829" spans="1:15" ht="15" customHeight="1" x14ac:dyDescent="0.25">
      <c r="A9829" s="2"/>
      <c r="B9829" s="2"/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</row>
    <row r="9830" spans="1:15" ht="15" customHeight="1" x14ac:dyDescent="0.25">
      <c r="A9830" s="3"/>
      <c r="B9830" s="3"/>
      <c r="C9830" s="3"/>
      <c r="D9830" s="3"/>
      <c r="E9830" s="3"/>
      <c r="F9830" s="3"/>
      <c r="G9830" s="3"/>
      <c r="H9830" s="3"/>
      <c r="I9830" s="3"/>
      <c r="J9830" s="3"/>
      <c r="K9830" s="3"/>
      <c r="L9830" s="3"/>
      <c r="M9830" s="3"/>
      <c r="N9830" s="3"/>
      <c r="O9830" s="3"/>
    </row>
    <row r="9831" spans="1:15" ht="15" customHeight="1" x14ac:dyDescent="0.25">
      <c r="A9831" s="2"/>
      <c r="B9831" s="2"/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</row>
    <row r="9832" spans="1:15" ht="15" customHeight="1" x14ac:dyDescent="0.25">
      <c r="A9832" s="3"/>
      <c r="B9832" s="3"/>
      <c r="C9832" s="3"/>
      <c r="D9832" s="3"/>
      <c r="E9832" s="3"/>
      <c r="F9832" s="3"/>
      <c r="G9832" s="3"/>
      <c r="H9832" s="3"/>
      <c r="I9832" s="3"/>
      <c r="J9832" s="3"/>
      <c r="K9832" s="3"/>
      <c r="L9832" s="3"/>
      <c r="M9832" s="3"/>
      <c r="N9832" s="3"/>
      <c r="O9832" s="3"/>
    </row>
    <row r="9833" spans="1:15" ht="15" customHeight="1" x14ac:dyDescent="0.25">
      <c r="A9833" s="2"/>
      <c r="B9833" s="2"/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</row>
    <row r="9834" spans="1:15" ht="15" customHeight="1" x14ac:dyDescent="0.25">
      <c r="A9834" s="3"/>
      <c r="B9834" s="3"/>
      <c r="C9834" s="3"/>
      <c r="D9834" s="3"/>
      <c r="E9834" s="3"/>
      <c r="F9834" s="3"/>
      <c r="G9834" s="3"/>
      <c r="H9834" s="3"/>
      <c r="I9834" s="3"/>
      <c r="J9834" s="3"/>
      <c r="K9834" s="3"/>
      <c r="L9834" s="3"/>
      <c r="M9834" s="3"/>
      <c r="N9834" s="3"/>
      <c r="O9834" s="3"/>
    </row>
    <row r="9835" spans="1:15" ht="15" customHeight="1" x14ac:dyDescent="0.25">
      <c r="A9835" s="2"/>
      <c r="B9835" s="2"/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</row>
    <row r="9836" spans="1:15" ht="15" customHeight="1" x14ac:dyDescent="0.25">
      <c r="A9836" s="3"/>
      <c r="B9836" s="3"/>
      <c r="C9836" s="3"/>
      <c r="D9836" s="3"/>
      <c r="E9836" s="3"/>
      <c r="F9836" s="3"/>
      <c r="G9836" s="3"/>
      <c r="H9836" s="3"/>
      <c r="I9836" s="3"/>
      <c r="J9836" s="3"/>
      <c r="K9836" s="3"/>
      <c r="L9836" s="3"/>
      <c r="M9836" s="3"/>
      <c r="N9836" s="3"/>
      <c r="O9836" s="3"/>
    </row>
    <row r="9837" spans="1:15" ht="15" customHeight="1" x14ac:dyDescent="0.25">
      <c r="A9837" s="2"/>
      <c r="B9837" s="2"/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</row>
    <row r="9838" spans="1:15" ht="15" customHeight="1" x14ac:dyDescent="0.25">
      <c r="A9838" s="3"/>
      <c r="B9838" s="3"/>
      <c r="C9838" s="3"/>
      <c r="D9838" s="3"/>
      <c r="E9838" s="3"/>
      <c r="F9838" s="3"/>
      <c r="G9838" s="3"/>
      <c r="H9838" s="3"/>
      <c r="I9838" s="3"/>
      <c r="J9838" s="3"/>
      <c r="K9838" s="3"/>
      <c r="L9838" s="3"/>
      <c r="M9838" s="3"/>
      <c r="N9838" s="3"/>
      <c r="O9838" s="3"/>
    </row>
    <row r="9839" spans="1:15" ht="15" customHeight="1" x14ac:dyDescent="0.25">
      <c r="A9839" s="2"/>
      <c r="B9839" s="2"/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</row>
    <row r="9840" spans="1:15" ht="15" customHeight="1" x14ac:dyDescent="0.25">
      <c r="A9840" s="3"/>
      <c r="B9840" s="3"/>
      <c r="C9840" s="3"/>
      <c r="D9840" s="3"/>
      <c r="E9840" s="3"/>
      <c r="F9840" s="3"/>
      <c r="G9840" s="3"/>
      <c r="H9840" s="3"/>
      <c r="I9840" s="3"/>
      <c r="J9840" s="3"/>
      <c r="K9840" s="3"/>
      <c r="L9840" s="3"/>
      <c r="M9840" s="3"/>
      <c r="N9840" s="3"/>
      <c r="O9840" s="3"/>
    </row>
    <row r="9841" spans="1:15" ht="15" customHeight="1" x14ac:dyDescent="0.25">
      <c r="A9841" s="2"/>
      <c r="B9841" s="2"/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</row>
    <row r="9842" spans="1:15" ht="15" customHeight="1" x14ac:dyDescent="0.25">
      <c r="A9842" s="3"/>
      <c r="B9842" s="3"/>
      <c r="C9842" s="3"/>
      <c r="D9842" s="3"/>
      <c r="E9842" s="3"/>
      <c r="F9842" s="3"/>
      <c r="G9842" s="3"/>
      <c r="H9842" s="3"/>
      <c r="I9842" s="3"/>
      <c r="J9842" s="3"/>
      <c r="K9842" s="3"/>
      <c r="L9842" s="3"/>
      <c r="M9842" s="3"/>
      <c r="N9842" s="3"/>
      <c r="O9842" s="3"/>
    </row>
    <row r="9843" spans="1:15" ht="15" customHeight="1" x14ac:dyDescent="0.25">
      <c r="A9843" s="2"/>
      <c r="B9843" s="2"/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</row>
    <row r="9844" spans="1:15" ht="15" customHeight="1" x14ac:dyDescent="0.25">
      <c r="A9844" s="3"/>
      <c r="B9844" s="3"/>
      <c r="C9844" s="3"/>
      <c r="D9844" s="3"/>
      <c r="E9844" s="3"/>
      <c r="F9844" s="3"/>
      <c r="G9844" s="3"/>
      <c r="H9844" s="3"/>
      <c r="I9844" s="3"/>
      <c r="J9844" s="3"/>
      <c r="K9844" s="3"/>
      <c r="L9844" s="3"/>
      <c r="M9844" s="3"/>
      <c r="N9844" s="3"/>
      <c r="O9844" s="3"/>
    </row>
    <row r="9845" spans="1:15" ht="15" customHeight="1" x14ac:dyDescent="0.25">
      <c r="A9845" s="2"/>
      <c r="B9845" s="2"/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</row>
    <row r="9846" spans="1:15" ht="15" customHeight="1" x14ac:dyDescent="0.25">
      <c r="A9846" s="3"/>
      <c r="B9846" s="3"/>
      <c r="C9846" s="3"/>
      <c r="D9846" s="3"/>
      <c r="E9846" s="3"/>
      <c r="F9846" s="3"/>
      <c r="G9846" s="3"/>
      <c r="H9846" s="3"/>
      <c r="I9846" s="3"/>
      <c r="J9846" s="3"/>
      <c r="K9846" s="3"/>
      <c r="L9846" s="3"/>
      <c r="M9846" s="3"/>
      <c r="N9846" s="3"/>
      <c r="O9846" s="3"/>
    </row>
    <row r="9847" spans="1:15" ht="15" customHeight="1" x14ac:dyDescent="0.25">
      <c r="A9847" s="2"/>
      <c r="B9847" s="2"/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</row>
    <row r="9848" spans="1:15" ht="15" customHeight="1" x14ac:dyDescent="0.25">
      <c r="A9848" s="3"/>
      <c r="B9848" s="3"/>
      <c r="C9848" s="3"/>
      <c r="D9848" s="3"/>
      <c r="E9848" s="3"/>
      <c r="F9848" s="3"/>
      <c r="G9848" s="3"/>
      <c r="H9848" s="3"/>
      <c r="I9848" s="3"/>
      <c r="J9848" s="3"/>
      <c r="K9848" s="3"/>
      <c r="L9848" s="3"/>
      <c r="M9848" s="3"/>
      <c r="N9848" s="3"/>
      <c r="O9848" s="3"/>
    </row>
    <row r="9849" spans="1:15" ht="15" customHeight="1" x14ac:dyDescent="0.25">
      <c r="A9849" s="2"/>
      <c r="B9849" s="2"/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</row>
    <row r="9850" spans="1:15" ht="15" customHeight="1" x14ac:dyDescent="0.25">
      <c r="A9850" s="3"/>
      <c r="B9850" s="3"/>
      <c r="C9850" s="3"/>
      <c r="D9850" s="3"/>
      <c r="E9850" s="3"/>
      <c r="F9850" s="3"/>
      <c r="G9850" s="3"/>
      <c r="H9850" s="3"/>
      <c r="I9850" s="3"/>
      <c r="J9850" s="3"/>
      <c r="K9850" s="3"/>
      <c r="L9850" s="3"/>
      <c r="M9850" s="3"/>
      <c r="N9850" s="3"/>
      <c r="O9850" s="3"/>
    </row>
    <row r="9851" spans="1:15" ht="15" customHeight="1" x14ac:dyDescent="0.25">
      <c r="A9851" s="2"/>
      <c r="B9851" s="2"/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</row>
    <row r="9852" spans="1:15" ht="15" customHeight="1" x14ac:dyDescent="0.25">
      <c r="A9852" s="3"/>
      <c r="B9852" s="3"/>
      <c r="C9852" s="3"/>
      <c r="D9852" s="3"/>
      <c r="E9852" s="3"/>
      <c r="F9852" s="3"/>
      <c r="G9852" s="3"/>
      <c r="H9852" s="3"/>
      <c r="I9852" s="3"/>
      <c r="J9852" s="3"/>
      <c r="K9852" s="3"/>
      <c r="L9852" s="3"/>
      <c r="M9852" s="3"/>
      <c r="N9852" s="3"/>
      <c r="O9852" s="3"/>
    </row>
    <row r="9853" spans="1:15" ht="15" customHeight="1" x14ac:dyDescent="0.25">
      <c r="A9853" s="2"/>
      <c r="B9853" s="2"/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</row>
    <row r="9854" spans="1:15" ht="15" customHeight="1" x14ac:dyDescent="0.25">
      <c r="A9854" s="3"/>
      <c r="B9854" s="3"/>
      <c r="C9854" s="3"/>
      <c r="D9854" s="3"/>
      <c r="E9854" s="3"/>
      <c r="F9854" s="3"/>
      <c r="G9854" s="3"/>
      <c r="H9854" s="3"/>
      <c r="I9854" s="3"/>
      <c r="J9854" s="3"/>
      <c r="K9854" s="3"/>
      <c r="L9854" s="3"/>
      <c r="M9854" s="3"/>
      <c r="N9854" s="3"/>
      <c r="O9854" s="3"/>
    </row>
    <row r="9855" spans="1:15" ht="15" customHeight="1" x14ac:dyDescent="0.25">
      <c r="A9855" s="2"/>
      <c r="B9855" s="2"/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</row>
    <row r="9856" spans="1:15" ht="15" customHeight="1" x14ac:dyDescent="0.25">
      <c r="A9856" s="3"/>
      <c r="B9856" s="3"/>
      <c r="C9856" s="3"/>
      <c r="D9856" s="3"/>
      <c r="E9856" s="3"/>
      <c r="F9856" s="3"/>
      <c r="G9856" s="3"/>
      <c r="H9856" s="3"/>
      <c r="I9856" s="3"/>
      <c r="J9856" s="3"/>
      <c r="K9856" s="3"/>
      <c r="L9856" s="3"/>
      <c r="M9856" s="3"/>
      <c r="N9856" s="3"/>
      <c r="O9856" s="3"/>
    </row>
    <row r="9857" spans="1:15" ht="15" customHeight="1" x14ac:dyDescent="0.25">
      <c r="A9857" s="2"/>
      <c r="B9857" s="2"/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</row>
    <row r="9858" spans="1:15" ht="15" customHeight="1" x14ac:dyDescent="0.25">
      <c r="A9858" s="3"/>
      <c r="B9858" s="3"/>
      <c r="C9858" s="3"/>
      <c r="D9858" s="3"/>
      <c r="E9858" s="3"/>
      <c r="F9858" s="3"/>
      <c r="G9858" s="3"/>
      <c r="H9858" s="3"/>
      <c r="I9858" s="3"/>
      <c r="J9858" s="3"/>
      <c r="K9858" s="3"/>
      <c r="L9858" s="3"/>
      <c r="M9858" s="3"/>
      <c r="N9858" s="3"/>
      <c r="O9858" s="3"/>
    </row>
    <row r="9859" spans="1:15" ht="15" customHeight="1" x14ac:dyDescent="0.25">
      <c r="A9859" s="2"/>
      <c r="B9859" s="2"/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</row>
    <row r="9860" spans="1:15" ht="15" customHeight="1" x14ac:dyDescent="0.25">
      <c r="A9860" s="3"/>
      <c r="B9860" s="3"/>
      <c r="C9860" s="3"/>
      <c r="D9860" s="3"/>
      <c r="E9860" s="3"/>
      <c r="F9860" s="3"/>
      <c r="G9860" s="3"/>
      <c r="H9860" s="3"/>
      <c r="I9860" s="3"/>
      <c r="J9860" s="3"/>
      <c r="K9860" s="3"/>
      <c r="L9860" s="3"/>
      <c r="M9860" s="3"/>
      <c r="N9860" s="3"/>
      <c r="O9860" s="3"/>
    </row>
    <row r="9861" spans="1:15" ht="15" customHeight="1" x14ac:dyDescent="0.25">
      <c r="A9861" s="2"/>
      <c r="B9861" s="2"/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</row>
    <row r="9862" spans="1:15" ht="15" customHeight="1" x14ac:dyDescent="0.25">
      <c r="A9862" s="3"/>
      <c r="B9862" s="3"/>
      <c r="C9862" s="3"/>
      <c r="D9862" s="3"/>
      <c r="E9862" s="3"/>
      <c r="F9862" s="3"/>
      <c r="G9862" s="3"/>
      <c r="H9862" s="3"/>
      <c r="I9862" s="3"/>
      <c r="J9862" s="3"/>
      <c r="K9862" s="3"/>
      <c r="L9862" s="3"/>
      <c r="M9862" s="3"/>
      <c r="N9862" s="3"/>
      <c r="O9862" s="3"/>
    </row>
    <row r="9863" spans="1:15" ht="15" customHeight="1" x14ac:dyDescent="0.25">
      <c r="A9863" s="2"/>
      <c r="B9863" s="2"/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</row>
    <row r="9864" spans="1:15" ht="15" customHeight="1" x14ac:dyDescent="0.25">
      <c r="A9864" s="3"/>
      <c r="B9864" s="3"/>
      <c r="C9864" s="3"/>
      <c r="D9864" s="3"/>
      <c r="E9864" s="3"/>
      <c r="F9864" s="3"/>
      <c r="G9864" s="3"/>
      <c r="H9864" s="3"/>
      <c r="I9864" s="3"/>
      <c r="J9864" s="3"/>
      <c r="K9864" s="3"/>
      <c r="L9864" s="3"/>
      <c r="M9864" s="3"/>
      <c r="N9864" s="3"/>
      <c r="O9864" s="3"/>
    </row>
    <row r="9865" spans="1:15" ht="15" customHeight="1" x14ac:dyDescent="0.25">
      <c r="A9865" s="2"/>
      <c r="B9865" s="2"/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</row>
    <row r="9866" spans="1:15" ht="15" customHeight="1" x14ac:dyDescent="0.25">
      <c r="A9866" s="3"/>
      <c r="B9866" s="3"/>
      <c r="C9866" s="3"/>
      <c r="D9866" s="3"/>
      <c r="E9866" s="3"/>
      <c r="F9866" s="3"/>
      <c r="G9866" s="3"/>
      <c r="H9866" s="3"/>
      <c r="I9866" s="3"/>
      <c r="J9866" s="3"/>
      <c r="K9866" s="3"/>
      <c r="L9866" s="3"/>
      <c r="M9866" s="3"/>
      <c r="N9866" s="3"/>
      <c r="O9866" s="3"/>
    </row>
    <row r="9867" spans="1:15" ht="15" customHeight="1" x14ac:dyDescent="0.25">
      <c r="A9867" s="2"/>
      <c r="B9867" s="2"/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</row>
    <row r="9868" spans="1:15" ht="15" customHeight="1" x14ac:dyDescent="0.25">
      <c r="A9868" s="3"/>
      <c r="B9868" s="3"/>
      <c r="C9868" s="3"/>
      <c r="D9868" s="3"/>
      <c r="E9868" s="3"/>
      <c r="F9868" s="3"/>
      <c r="G9868" s="3"/>
      <c r="H9868" s="3"/>
      <c r="I9868" s="3"/>
      <c r="J9868" s="3"/>
      <c r="K9868" s="3"/>
      <c r="L9868" s="3"/>
      <c r="M9868" s="3"/>
      <c r="N9868" s="3"/>
      <c r="O9868" s="3"/>
    </row>
    <row r="9869" spans="1:15" ht="15" customHeight="1" x14ac:dyDescent="0.25">
      <c r="A9869" s="2"/>
      <c r="B9869" s="2"/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</row>
    <row r="9870" spans="1:15" ht="15" customHeight="1" x14ac:dyDescent="0.25">
      <c r="A9870" s="3"/>
      <c r="B9870" s="3"/>
      <c r="C9870" s="3"/>
      <c r="D9870" s="3"/>
      <c r="E9870" s="3"/>
      <c r="F9870" s="3"/>
      <c r="G9870" s="3"/>
      <c r="H9870" s="3"/>
      <c r="I9870" s="3"/>
      <c r="J9870" s="3"/>
      <c r="K9870" s="3"/>
      <c r="L9870" s="3"/>
      <c r="M9870" s="3"/>
      <c r="N9870" s="3"/>
      <c r="O9870" s="3"/>
    </row>
    <row r="9871" spans="1:15" ht="15" customHeight="1" x14ac:dyDescent="0.25">
      <c r="A9871" s="2"/>
      <c r="B9871" s="2"/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</row>
    <row r="9872" spans="1:15" ht="15" customHeight="1" x14ac:dyDescent="0.25">
      <c r="A9872" s="3"/>
      <c r="B9872" s="3"/>
      <c r="C9872" s="3"/>
      <c r="D9872" s="3"/>
      <c r="E9872" s="3"/>
      <c r="F9872" s="3"/>
      <c r="G9872" s="3"/>
      <c r="H9872" s="3"/>
      <c r="I9872" s="3"/>
      <c r="J9872" s="3"/>
      <c r="K9872" s="3"/>
      <c r="L9872" s="3"/>
      <c r="M9872" s="3"/>
      <c r="N9872" s="3"/>
      <c r="O9872" s="3"/>
    </row>
    <row r="9873" spans="1:15" ht="15" customHeight="1" x14ac:dyDescent="0.25">
      <c r="A9873" s="2"/>
      <c r="B9873" s="2"/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</row>
    <row r="9874" spans="1:15" ht="15" customHeight="1" x14ac:dyDescent="0.25">
      <c r="A9874" s="3"/>
      <c r="B9874" s="3"/>
      <c r="C9874" s="3"/>
      <c r="D9874" s="3"/>
      <c r="E9874" s="3"/>
      <c r="F9874" s="3"/>
      <c r="G9874" s="3"/>
      <c r="H9874" s="3"/>
      <c r="I9874" s="3"/>
      <c r="J9874" s="3"/>
      <c r="K9874" s="3"/>
      <c r="L9874" s="3"/>
      <c r="M9874" s="3"/>
      <c r="N9874" s="3"/>
      <c r="O9874" s="3"/>
    </row>
    <row r="9875" spans="1:15" ht="15" customHeight="1" x14ac:dyDescent="0.25">
      <c r="A9875" s="2"/>
      <c r="B9875" s="2"/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</row>
    <row r="9876" spans="1:15" ht="15" customHeight="1" x14ac:dyDescent="0.25">
      <c r="A9876" s="3"/>
      <c r="B9876" s="3"/>
      <c r="C9876" s="3"/>
      <c r="D9876" s="3"/>
      <c r="E9876" s="3"/>
      <c r="F9876" s="3"/>
      <c r="G9876" s="3"/>
      <c r="H9876" s="3"/>
      <c r="I9876" s="3"/>
      <c r="J9876" s="3"/>
      <c r="K9876" s="3"/>
      <c r="L9876" s="3"/>
      <c r="M9876" s="3"/>
      <c r="N9876" s="3"/>
      <c r="O9876" s="3"/>
    </row>
    <row r="9877" spans="1:15" ht="15" customHeight="1" x14ac:dyDescent="0.25">
      <c r="A9877" s="2"/>
      <c r="B9877" s="2"/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</row>
    <row r="9878" spans="1:15" ht="15" customHeight="1" x14ac:dyDescent="0.25">
      <c r="A9878" s="3"/>
      <c r="B9878" s="3"/>
      <c r="C9878" s="3"/>
      <c r="D9878" s="3"/>
      <c r="E9878" s="3"/>
      <c r="F9878" s="3"/>
      <c r="G9878" s="3"/>
      <c r="H9878" s="3"/>
      <c r="I9878" s="3"/>
      <c r="J9878" s="3"/>
      <c r="K9878" s="3"/>
      <c r="L9878" s="3"/>
      <c r="M9878" s="3"/>
      <c r="N9878" s="3"/>
      <c r="O9878" s="3"/>
    </row>
    <row r="9879" spans="1:15" ht="15" customHeight="1" x14ac:dyDescent="0.25">
      <c r="A9879" s="2"/>
      <c r="B9879" s="2"/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</row>
    <row r="9880" spans="1:15" ht="15" customHeight="1" x14ac:dyDescent="0.25">
      <c r="A9880" s="3"/>
      <c r="B9880" s="3"/>
      <c r="C9880" s="3"/>
      <c r="D9880" s="3"/>
      <c r="E9880" s="3"/>
      <c r="F9880" s="3"/>
      <c r="G9880" s="3"/>
      <c r="H9880" s="3"/>
      <c r="I9880" s="3"/>
      <c r="J9880" s="3"/>
      <c r="K9880" s="3"/>
      <c r="L9880" s="3"/>
      <c r="M9880" s="3"/>
      <c r="N9880" s="3"/>
      <c r="O9880" s="3"/>
    </row>
    <row r="9881" spans="1:15" ht="15" customHeight="1" x14ac:dyDescent="0.25">
      <c r="A9881" s="2"/>
      <c r="B9881" s="2"/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</row>
    <row r="9882" spans="1:15" ht="15" customHeight="1" x14ac:dyDescent="0.25">
      <c r="A9882" s="3"/>
      <c r="B9882" s="3"/>
      <c r="C9882" s="3"/>
      <c r="D9882" s="3"/>
      <c r="E9882" s="3"/>
      <c r="F9882" s="3"/>
      <c r="G9882" s="3"/>
      <c r="H9882" s="3"/>
      <c r="I9882" s="3"/>
      <c r="J9882" s="3"/>
      <c r="K9882" s="3"/>
      <c r="L9882" s="3"/>
      <c r="M9882" s="3"/>
      <c r="N9882" s="3"/>
      <c r="O9882" s="3"/>
    </row>
    <row r="9883" spans="1:15" ht="15" customHeight="1" x14ac:dyDescent="0.25">
      <c r="A9883" s="2"/>
      <c r="B9883" s="2"/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</row>
    <row r="9884" spans="1:15" ht="15" customHeight="1" x14ac:dyDescent="0.25">
      <c r="A9884" s="3"/>
      <c r="B9884" s="3"/>
      <c r="C9884" s="3"/>
      <c r="D9884" s="3"/>
      <c r="E9884" s="3"/>
      <c r="F9884" s="3"/>
      <c r="G9884" s="3"/>
      <c r="H9884" s="3"/>
      <c r="I9884" s="3"/>
      <c r="J9884" s="3"/>
      <c r="K9884" s="3"/>
      <c r="L9884" s="3"/>
      <c r="M9884" s="3"/>
      <c r="N9884" s="3"/>
      <c r="O9884" s="3"/>
    </row>
    <row r="9885" spans="1:15" ht="15" customHeight="1" x14ac:dyDescent="0.25">
      <c r="A9885" s="2"/>
      <c r="B9885" s="2"/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</row>
    <row r="9886" spans="1:15" ht="15" customHeight="1" x14ac:dyDescent="0.25">
      <c r="A9886" s="3"/>
      <c r="B9886" s="3"/>
      <c r="C9886" s="3"/>
      <c r="D9886" s="3"/>
      <c r="E9886" s="3"/>
      <c r="F9886" s="3"/>
      <c r="G9886" s="3"/>
      <c r="H9886" s="3"/>
      <c r="I9886" s="3"/>
      <c r="J9886" s="3"/>
      <c r="K9886" s="3"/>
      <c r="L9886" s="3"/>
      <c r="M9886" s="3"/>
      <c r="N9886" s="3"/>
      <c r="O9886" s="3"/>
    </row>
    <row r="9887" spans="1:15" ht="15" customHeight="1" x14ac:dyDescent="0.25">
      <c r="A9887" s="2"/>
      <c r="B9887" s="2"/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</row>
    <row r="9888" spans="1:15" ht="15" customHeight="1" x14ac:dyDescent="0.25">
      <c r="A9888" s="3"/>
      <c r="B9888" s="3"/>
      <c r="C9888" s="3"/>
      <c r="D9888" s="3"/>
      <c r="E9888" s="3"/>
      <c r="F9888" s="3"/>
      <c r="G9888" s="3"/>
      <c r="H9888" s="3"/>
      <c r="I9888" s="3"/>
      <c r="J9888" s="3"/>
      <c r="K9888" s="3"/>
      <c r="L9888" s="3"/>
      <c r="M9888" s="3"/>
      <c r="N9888" s="3"/>
      <c r="O9888" s="3"/>
    </row>
    <row r="9889" spans="1:15" ht="15" customHeight="1" x14ac:dyDescent="0.25">
      <c r="A9889" s="2"/>
      <c r="B9889" s="2"/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</row>
    <row r="9890" spans="1:15" ht="15" customHeight="1" x14ac:dyDescent="0.25">
      <c r="A9890" s="3"/>
      <c r="B9890" s="3"/>
      <c r="C9890" s="3"/>
      <c r="D9890" s="3"/>
      <c r="E9890" s="3"/>
      <c r="F9890" s="3"/>
      <c r="G9890" s="3"/>
      <c r="H9890" s="3"/>
      <c r="I9890" s="3"/>
      <c r="J9890" s="3"/>
      <c r="K9890" s="3"/>
      <c r="L9890" s="3"/>
      <c r="M9890" s="3"/>
      <c r="N9890" s="3"/>
      <c r="O9890" s="3"/>
    </row>
    <row r="9891" spans="1:15" ht="15" customHeight="1" x14ac:dyDescent="0.25">
      <c r="A9891" s="2"/>
      <c r="B9891" s="2"/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</row>
    <row r="9892" spans="1:15" ht="15" customHeight="1" x14ac:dyDescent="0.25">
      <c r="A9892" s="3"/>
      <c r="B9892" s="3"/>
      <c r="C9892" s="3"/>
      <c r="D9892" s="3"/>
      <c r="E9892" s="3"/>
      <c r="F9892" s="3"/>
      <c r="G9892" s="3"/>
      <c r="H9892" s="3"/>
      <c r="I9892" s="3"/>
      <c r="J9892" s="3"/>
      <c r="K9892" s="3"/>
      <c r="L9892" s="3"/>
      <c r="M9892" s="3"/>
      <c r="N9892" s="3"/>
      <c r="O9892" s="3"/>
    </row>
    <row r="9893" spans="1:15" ht="15" customHeight="1" x14ac:dyDescent="0.25">
      <c r="A9893" s="2"/>
      <c r="B9893" s="2"/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</row>
    <row r="9894" spans="1:15" ht="15" customHeight="1" x14ac:dyDescent="0.25">
      <c r="A9894" s="3"/>
      <c r="B9894" s="3"/>
      <c r="C9894" s="3"/>
      <c r="D9894" s="3"/>
      <c r="E9894" s="3"/>
      <c r="F9894" s="3"/>
      <c r="G9894" s="3"/>
      <c r="H9894" s="3"/>
      <c r="I9894" s="3"/>
      <c r="J9894" s="3"/>
      <c r="K9894" s="3"/>
      <c r="L9894" s="3"/>
      <c r="M9894" s="3"/>
      <c r="N9894" s="3"/>
      <c r="O9894" s="3"/>
    </row>
    <row r="9895" spans="1:15" ht="15" customHeight="1" x14ac:dyDescent="0.25">
      <c r="A9895" s="2"/>
      <c r="B9895" s="2"/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</row>
    <row r="9896" spans="1:15" ht="15" customHeight="1" x14ac:dyDescent="0.25">
      <c r="A9896" s="3"/>
      <c r="B9896" s="3"/>
      <c r="C9896" s="3"/>
      <c r="D9896" s="3"/>
      <c r="E9896" s="3"/>
      <c r="F9896" s="3"/>
      <c r="G9896" s="3"/>
      <c r="H9896" s="3"/>
      <c r="I9896" s="3"/>
      <c r="J9896" s="3"/>
      <c r="K9896" s="3"/>
      <c r="L9896" s="3"/>
      <c r="M9896" s="3"/>
      <c r="N9896" s="3"/>
      <c r="O9896" s="3"/>
    </row>
    <row r="9897" spans="1:15" ht="15" customHeight="1" x14ac:dyDescent="0.25">
      <c r="A9897" s="2"/>
      <c r="B9897" s="2"/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</row>
    <row r="9898" spans="1:15" ht="15" customHeight="1" x14ac:dyDescent="0.25">
      <c r="A9898" s="3"/>
      <c r="B9898" s="3"/>
      <c r="C9898" s="3"/>
      <c r="D9898" s="3"/>
      <c r="E9898" s="3"/>
      <c r="F9898" s="3"/>
      <c r="G9898" s="3"/>
      <c r="H9898" s="3"/>
      <c r="I9898" s="3"/>
      <c r="J9898" s="3"/>
      <c r="K9898" s="3"/>
      <c r="L9898" s="3"/>
      <c r="M9898" s="3"/>
      <c r="N9898" s="3"/>
      <c r="O9898" s="3"/>
    </row>
    <row r="9899" spans="1:15" ht="15" customHeight="1" x14ac:dyDescent="0.25">
      <c r="A9899" s="2"/>
      <c r="B9899" s="2"/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</row>
    <row r="9900" spans="1:15" ht="15" customHeight="1" x14ac:dyDescent="0.25">
      <c r="A9900" s="3"/>
      <c r="B9900" s="3"/>
      <c r="C9900" s="3"/>
      <c r="D9900" s="3"/>
      <c r="E9900" s="3"/>
      <c r="F9900" s="3"/>
      <c r="G9900" s="3"/>
      <c r="H9900" s="3"/>
      <c r="I9900" s="3"/>
      <c r="J9900" s="3"/>
      <c r="K9900" s="3"/>
      <c r="L9900" s="3"/>
      <c r="M9900" s="3"/>
      <c r="N9900" s="3"/>
      <c r="O9900" s="3"/>
    </row>
    <row r="9901" spans="1:15" ht="15" customHeight="1" x14ac:dyDescent="0.25">
      <c r="A9901" s="2"/>
      <c r="B9901" s="2"/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</row>
    <row r="9902" spans="1:15" ht="15" customHeight="1" x14ac:dyDescent="0.25">
      <c r="A9902" s="3"/>
      <c r="B9902" s="3"/>
      <c r="C9902" s="3"/>
      <c r="D9902" s="3"/>
      <c r="E9902" s="3"/>
      <c r="F9902" s="3"/>
      <c r="G9902" s="3"/>
      <c r="H9902" s="3"/>
      <c r="I9902" s="3"/>
      <c r="J9902" s="3"/>
      <c r="K9902" s="3"/>
      <c r="L9902" s="3"/>
      <c r="M9902" s="3"/>
      <c r="N9902" s="3"/>
      <c r="O9902" s="3"/>
    </row>
    <row r="9903" spans="1:15" ht="15" customHeight="1" x14ac:dyDescent="0.25">
      <c r="A9903" s="2"/>
      <c r="B9903" s="2"/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</row>
    <row r="9904" spans="1:15" ht="15" customHeight="1" x14ac:dyDescent="0.25">
      <c r="A9904" s="3"/>
      <c r="B9904" s="3"/>
      <c r="C9904" s="3"/>
      <c r="D9904" s="3"/>
      <c r="E9904" s="3"/>
      <c r="F9904" s="3"/>
      <c r="G9904" s="3"/>
      <c r="H9904" s="3"/>
      <c r="I9904" s="3"/>
      <c r="J9904" s="3"/>
      <c r="K9904" s="3"/>
      <c r="L9904" s="3"/>
      <c r="M9904" s="3"/>
      <c r="N9904" s="3"/>
      <c r="O9904" s="3"/>
    </row>
    <row r="9905" spans="1:15" ht="15" customHeight="1" x14ac:dyDescent="0.25">
      <c r="A9905" s="2"/>
      <c r="B9905" s="2"/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</row>
    <row r="9906" spans="1:15" ht="15" customHeight="1" x14ac:dyDescent="0.25">
      <c r="A9906" s="3"/>
      <c r="B9906" s="3"/>
      <c r="C9906" s="3"/>
      <c r="D9906" s="3"/>
      <c r="E9906" s="3"/>
      <c r="F9906" s="3"/>
      <c r="G9906" s="3"/>
      <c r="H9906" s="3"/>
      <c r="I9906" s="3"/>
      <c r="J9906" s="3"/>
      <c r="K9906" s="3"/>
      <c r="L9906" s="3"/>
      <c r="M9906" s="3"/>
      <c r="N9906" s="3"/>
      <c r="O9906" s="3"/>
    </row>
    <row r="9907" spans="1:15" ht="15" customHeight="1" x14ac:dyDescent="0.25">
      <c r="A9907" s="2"/>
      <c r="B9907" s="2"/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</row>
    <row r="9908" spans="1:15" ht="15" customHeight="1" x14ac:dyDescent="0.25">
      <c r="A9908" s="3"/>
      <c r="B9908" s="3"/>
      <c r="C9908" s="3"/>
      <c r="D9908" s="3"/>
      <c r="E9908" s="3"/>
      <c r="F9908" s="3"/>
      <c r="G9908" s="3"/>
      <c r="H9908" s="3"/>
      <c r="I9908" s="3"/>
      <c r="J9908" s="3"/>
      <c r="K9908" s="3"/>
      <c r="L9908" s="3"/>
      <c r="M9908" s="3"/>
      <c r="N9908" s="3"/>
      <c r="O9908" s="3"/>
    </row>
    <row r="9909" spans="1:15" ht="15" customHeight="1" x14ac:dyDescent="0.25">
      <c r="A9909" s="2"/>
      <c r="B9909" s="2"/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</row>
    <row r="9910" spans="1:15" ht="15" customHeight="1" x14ac:dyDescent="0.25">
      <c r="A9910" s="3"/>
      <c r="B9910" s="3"/>
      <c r="C9910" s="3"/>
      <c r="D9910" s="3"/>
      <c r="E9910" s="3"/>
      <c r="F9910" s="3"/>
      <c r="G9910" s="3"/>
      <c r="H9910" s="3"/>
      <c r="I9910" s="3"/>
      <c r="J9910" s="3"/>
      <c r="K9910" s="3"/>
      <c r="L9910" s="3"/>
      <c r="M9910" s="3"/>
      <c r="N9910" s="3"/>
      <c r="O9910" s="3"/>
    </row>
    <row r="9911" spans="1:15" ht="15" customHeight="1" x14ac:dyDescent="0.25">
      <c r="A9911" s="2"/>
      <c r="B9911" s="2"/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</row>
    <row r="9912" spans="1:15" ht="15" customHeight="1" x14ac:dyDescent="0.25">
      <c r="A9912" s="3"/>
      <c r="B9912" s="3"/>
      <c r="C9912" s="3"/>
      <c r="D9912" s="3"/>
      <c r="E9912" s="3"/>
      <c r="F9912" s="3"/>
      <c r="G9912" s="3"/>
      <c r="H9912" s="3"/>
      <c r="I9912" s="3"/>
      <c r="J9912" s="3"/>
      <c r="K9912" s="3"/>
      <c r="L9912" s="3"/>
      <c r="M9912" s="3"/>
      <c r="N9912" s="3"/>
      <c r="O9912" s="3"/>
    </row>
    <row r="9913" spans="1:15" ht="15" customHeight="1" x14ac:dyDescent="0.25">
      <c r="A9913" s="2"/>
      <c r="B9913" s="2"/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</row>
    <row r="9914" spans="1:15" ht="15" customHeight="1" x14ac:dyDescent="0.25">
      <c r="A9914" s="3"/>
      <c r="B9914" s="3"/>
      <c r="C9914" s="3"/>
      <c r="D9914" s="3"/>
      <c r="E9914" s="3"/>
      <c r="F9914" s="3"/>
      <c r="G9914" s="3"/>
      <c r="H9914" s="3"/>
      <c r="I9914" s="3"/>
      <c r="J9914" s="3"/>
      <c r="K9914" s="3"/>
      <c r="L9914" s="3"/>
      <c r="M9914" s="3"/>
      <c r="N9914" s="3"/>
      <c r="O9914" s="3"/>
    </row>
    <row r="9915" spans="1:15" ht="15" customHeight="1" x14ac:dyDescent="0.25">
      <c r="A9915" s="2"/>
      <c r="B9915" s="2"/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</row>
    <row r="9916" spans="1:15" ht="15" customHeight="1" x14ac:dyDescent="0.25">
      <c r="A9916" s="3"/>
      <c r="B9916" s="3"/>
      <c r="C9916" s="3"/>
      <c r="D9916" s="3"/>
      <c r="E9916" s="3"/>
      <c r="F9916" s="3"/>
      <c r="G9916" s="3"/>
      <c r="H9916" s="3"/>
      <c r="I9916" s="3"/>
      <c r="J9916" s="3"/>
      <c r="K9916" s="3"/>
      <c r="L9916" s="3"/>
      <c r="M9916" s="3"/>
      <c r="N9916" s="3"/>
      <c r="O9916" s="3"/>
    </row>
    <row r="9917" spans="1:15" ht="15" customHeight="1" x14ac:dyDescent="0.25">
      <c r="A9917" s="2"/>
      <c r="B9917" s="2"/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</row>
    <row r="9918" spans="1:15" ht="15" customHeight="1" x14ac:dyDescent="0.25">
      <c r="A9918" s="3"/>
      <c r="B9918" s="3"/>
      <c r="C9918" s="3"/>
      <c r="D9918" s="3"/>
      <c r="E9918" s="3"/>
      <c r="F9918" s="3"/>
      <c r="G9918" s="3"/>
      <c r="H9918" s="3"/>
      <c r="I9918" s="3"/>
      <c r="J9918" s="3"/>
      <c r="K9918" s="3"/>
      <c r="L9918" s="3"/>
      <c r="M9918" s="3"/>
      <c r="N9918" s="3"/>
      <c r="O9918" s="3"/>
    </row>
    <row r="9919" spans="1:15" ht="15" customHeight="1" x14ac:dyDescent="0.25">
      <c r="A9919" s="2"/>
      <c r="B9919" s="2"/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</row>
    <row r="9920" spans="1:15" ht="15" customHeight="1" x14ac:dyDescent="0.25">
      <c r="A9920" s="3"/>
      <c r="B9920" s="3"/>
      <c r="C9920" s="3"/>
      <c r="D9920" s="3"/>
      <c r="E9920" s="3"/>
      <c r="F9920" s="3"/>
      <c r="G9920" s="3"/>
      <c r="H9920" s="3"/>
      <c r="I9920" s="3"/>
      <c r="J9920" s="3"/>
      <c r="K9920" s="3"/>
      <c r="L9920" s="3"/>
      <c r="M9920" s="3"/>
      <c r="N9920" s="3"/>
      <c r="O9920" s="3"/>
    </row>
    <row r="9921" spans="1:15" ht="15" customHeight="1" x14ac:dyDescent="0.25">
      <c r="A9921" s="2"/>
      <c r="B9921" s="2"/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</row>
    <row r="9922" spans="1:15" ht="15" customHeight="1" x14ac:dyDescent="0.25">
      <c r="A9922" s="3"/>
      <c r="B9922" s="3"/>
      <c r="C9922" s="3"/>
      <c r="D9922" s="3"/>
      <c r="E9922" s="3"/>
      <c r="F9922" s="3"/>
      <c r="G9922" s="3"/>
      <c r="H9922" s="3"/>
      <c r="I9922" s="3"/>
      <c r="J9922" s="3"/>
      <c r="K9922" s="3"/>
      <c r="L9922" s="3"/>
      <c r="M9922" s="3"/>
      <c r="N9922" s="3"/>
      <c r="O9922" s="3"/>
    </row>
    <row r="9923" spans="1:15" ht="15" customHeight="1" x14ac:dyDescent="0.25">
      <c r="A9923" s="2"/>
      <c r="B9923" s="2"/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</row>
    <row r="9924" spans="1:15" ht="15" customHeight="1" x14ac:dyDescent="0.25">
      <c r="A9924" s="3"/>
      <c r="B9924" s="3"/>
      <c r="C9924" s="3"/>
      <c r="D9924" s="3"/>
      <c r="E9924" s="3"/>
      <c r="F9924" s="3"/>
      <c r="G9924" s="3"/>
      <c r="H9924" s="3"/>
      <c r="I9924" s="3"/>
      <c r="J9924" s="3"/>
      <c r="K9924" s="3"/>
      <c r="L9924" s="3"/>
      <c r="M9924" s="3"/>
      <c r="N9924" s="3"/>
      <c r="O9924" s="3"/>
    </row>
    <row r="9925" spans="1:15" ht="15" customHeight="1" x14ac:dyDescent="0.25">
      <c r="A9925" s="2"/>
      <c r="B9925" s="2"/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</row>
    <row r="9926" spans="1:15" ht="15" customHeight="1" x14ac:dyDescent="0.25">
      <c r="A9926" s="3"/>
      <c r="B9926" s="3"/>
      <c r="C9926" s="3"/>
      <c r="D9926" s="3"/>
      <c r="E9926" s="3"/>
      <c r="F9926" s="3"/>
      <c r="G9926" s="3"/>
      <c r="H9926" s="3"/>
      <c r="I9926" s="3"/>
      <c r="J9926" s="3"/>
      <c r="K9926" s="3"/>
      <c r="L9926" s="3"/>
      <c r="M9926" s="3"/>
      <c r="N9926" s="3"/>
      <c r="O9926" s="3"/>
    </row>
    <row r="9927" spans="1:15" ht="15" customHeight="1" x14ac:dyDescent="0.25">
      <c r="A9927" s="2"/>
      <c r="B9927" s="2"/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</row>
    <row r="9928" spans="1:15" ht="15" customHeight="1" x14ac:dyDescent="0.25">
      <c r="A9928" s="3"/>
      <c r="B9928" s="3"/>
      <c r="C9928" s="3"/>
      <c r="D9928" s="3"/>
      <c r="E9928" s="3"/>
      <c r="F9928" s="3"/>
      <c r="G9928" s="3"/>
      <c r="H9928" s="3"/>
      <c r="I9928" s="3"/>
      <c r="J9928" s="3"/>
      <c r="K9928" s="3"/>
      <c r="L9928" s="3"/>
      <c r="M9928" s="3"/>
      <c r="N9928" s="3"/>
      <c r="O9928" s="3"/>
    </row>
    <row r="9929" spans="1:15" ht="15" customHeight="1" x14ac:dyDescent="0.25">
      <c r="A9929" s="2"/>
      <c r="B9929" s="2"/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</row>
    <row r="9930" spans="1:15" ht="15" customHeight="1" x14ac:dyDescent="0.25">
      <c r="A9930" s="3"/>
      <c r="B9930" s="3"/>
      <c r="C9930" s="3"/>
      <c r="D9930" s="3"/>
      <c r="E9930" s="3"/>
      <c r="F9930" s="3"/>
      <c r="G9930" s="3"/>
      <c r="H9930" s="3"/>
      <c r="I9930" s="3"/>
      <c r="J9930" s="3"/>
      <c r="K9930" s="3"/>
      <c r="L9930" s="3"/>
      <c r="M9930" s="3"/>
      <c r="N9930" s="3"/>
      <c r="O9930" s="3"/>
    </row>
    <row r="9931" spans="1:15" ht="15" customHeight="1" x14ac:dyDescent="0.25">
      <c r="A9931" s="2"/>
      <c r="B9931" s="2"/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</row>
    <row r="9932" spans="1:15" ht="15" customHeight="1" x14ac:dyDescent="0.25">
      <c r="A9932" s="3"/>
      <c r="B9932" s="3"/>
      <c r="C9932" s="3"/>
      <c r="D9932" s="3"/>
      <c r="E9932" s="3"/>
      <c r="F9932" s="3"/>
      <c r="G9932" s="3"/>
      <c r="H9932" s="3"/>
      <c r="I9932" s="3"/>
      <c r="J9932" s="3"/>
      <c r="K9932" s="3"/>
      <c r="L9932" s="3"/>
      <c r="M9932" s="3"/>
      <c r="N9932" s="3"/>
      <c r="O9932" s="3"/>
    </row>
    <row r="9933" spans="1:15" ht="15" customHeight="1" x14ac:dyDescent="0.25">
      <c r="A9933" s="2"/>
      <c r="B9933" s="2"/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</row>
    <row r="9934" spans="1:15" ht="15" customHeight="1" x14ac:dyDescent="0.25">
      <c r="A9934" s="3"/>
      <c r="B9934" s="3"/>
      <c r="C9934" s="3"/>
      <c r="D9934" s="3"/>
      <c r="E9934" s="3"/>
      <c r="F9934" s="3"/>
      <c r="G9934" s="3"/>
      <c r="H9934" s="3"/>
      <c r="I9934" s="3"/>
      <c r="J9934" s="3"/>
      <c r="K9934" s="3"/>
      <c r="L9934" s="3"/>
      <c r="M9934" s="3"/>
      <c r="N9934" s="3"/>
      <c r="O9934" s="3"/>
    </row>
    <row r="9935" spans="1:15" ht="15" customHeight="1" x14ac:dyDescent="0.25">
      <c r="A9935" s="2"/>
      <c r="B9935" s="2"/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</row>
    <row r="9936" spans="1:15" ht="15" customHeight="1" x14ac:dyDescent="0.25">
      <c r="A9936" s="3"/>
      <c r="B9936" s="3"/>
      <c r="C9936" s="3"/>
      <c r="D9936" s="3"/>
      <c r="E9936" s="3"/>
      <c r="F9936" s="3"/>
      <c r="G9936" s="3"/>
      <c r="H9936" s="3"/>
      <c r="I9936" s="3"/>
      <c r="J9936" s="3"/>
      <c r="K9936" s="3"/>
      <c r="L9936" s="3"/>
      <c r="M9936" s="3"/>
      <c r="N9936" s="3"/>
      <c r="O9936" s="3"/>
    </row>
    <row r="9937" spans="1:15" ht="15" customHeight="1" x14ac:dyDescent="0.25">
      <c r="A9937" s="2"/>
      <c r="B9937" s="2"/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</row>
    <row r="9938" spans="1:15" ht="15" customHeight="1" x14ac:dyDescent="0.25">
      <c r="A9938" s="3"/>
      <c r="B9938" s="3"/>
      <c r="C9938" s="3"/>
      <c r="D9938" s="3"/>
      <c r="E9938" s="3"/>
      <c r="F9938" s="3"/>
      <c r="G9938" s="3"/>
      <c r="H9938" s="3"/>
      <c r="I9938" s="3"/>
      <c r="J9938" s="3"/>
      <c r="K9938" s="3"/>
      <c r="L9938" s="3"/>
      <c r="M9938" s="3"/>
      <c r="N9938" s="3"/>
      <c r="O9938" s="3"/>
    </row>
    <row r="9939" spans="1:15" ht="15" customHeight="1" x14ac:dyDescent="0.25">
      <c r="A9939" s="2"/>
      <c r="B9939" s="2"/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</row>
    <row r="9940" spans="1:15" ht="15" customHeight="1" x14ac:dyDescent="0.25">
      <c r="A9940" s="3"/>
      <c r="B9940" s="3"/>
      <c r="C9940" s="3"/>
      <c r="D9940" s="3"/>
      <c r="E9940" s="3"/>
      <c r="F9940" s="3"/>
      <c r="G9940" s="3"/>
      <c r="H9940" s="3"/>
      <c r="I9940" s="3"/>
      <c r="J9940" s="3"/>
      <c r="K9940" s="3"/>
      <c r="L9940" s="3"/>
      <c r="M9940" s="3"/>
      <c r="N9940" s="3"/>
      <c r="O9940" s="3"/>
    </row>
    <row r="9941" spans="1:15" ht="15" customHeight="1" x14ac:dyDescent="0.25">
      <c r="A9941" s="2"/>
      <c r="B9941" s="2"/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</row>
    <row r="9942" spans="1:15" ht="15" customHeight="1" x14ac:dyDescent="0.25">
      <c r="A9942" s="3"/>
      <c r="B9942" s="3"/>
      <c r="C9942" s="3"/>
      <c r="D9942" s="3"/>
      <c r="E9942" s="3"/>
      <c r="F9942" s="3"/>
      <c r="G9942" s="3"/>
      <c r="H9942" s="3"/>
      <c r="I9942" s="3"/>
      <c r="J9942" s="3"/>
      <c r="K9942" s="3"/>
      <c r="L9942" s="3"/>
      <c r="M9942" s="3"/>
      <c r="N9942" s="3"/>
      <c r="O9942" s="3"/>
    </row>
    <row r="9943" spans="1:15" ht="15" customHeight="1" x14ac:dyDescent="0.25">
      <c r="A9943" s="2"/>
      <c r="B9943" s="2"/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</row>
    <row r="9944" spans="1:15" ht="15" customHeight="1" x14ac:dyDescent="0.25">
      <c r="A9944" s="3"/>
      <c r="B9944" s="3"/>
      <c r="C9944" s="3"/>
      <c r="D9944" s="3"/>
      <c r="E9944" s="3"/>
      <c r="F9944" s="3"/>
      <c r="G9944" s="3"/>
      <c r="H9944" s="3"/>
      <c r="I9944" s="3"/>
      <c r="J9944" s="3"/>
      <c r="K9944" s="3"/>
      <c r="L9944" s="3"/>
      <c r="M9944" s="3"/>
      <c r="N9944" s="3"/>
      <c r="O9944" s="3"/>
    </row>
    <row r="9945" spans="1:15" ht="15" customHeight="1" x14ac:dyDescent="0.25">
      <c r="A9945" s="2"/>
      <c r="B9945" s="2"/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</row>
    <row r="9946" spans="1:15" ht="15" customHeight="1" x14ac:dyDescent="0.25">
      <c r="A9946" s="3"/>
      <c r="B9946" s="3"/>
      <c r="C9946" s="3"/>
      <c r="D9946" s="3"/>
      <c r="E9946" s="3"/>
      <c r="F9946" s="3"/>
      <c r="G9946" s="3"/>
      <c r="H9946" s="3"/>
      <c r="I9946" s="3"/>
      <c r="J9946" s="3"/>
      <c r="K9946" s="3"/>
      <c r="L9946" s="3"/>
      <c r="M9946" s="3"/>
      <c r="N9946" s="3"/>
      <c r="O9946" s="3"/>
    </row>
    <row r="9947" spans="1:15" ht="15" customHeight="1" x14ac:dyDescent="0.25">
      <c r="A9947" s="2"/>
      <c r="B9947" s="2"/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</row>
    <row r="9948" spans="1:15" ht="15" customHeight="1" x14ac:dyDescent="0.25">
      <c r="A9948" s="3"/>
      <c r="B9948" s="3"/>
      <c r="C9948" s="3"/>
      <c r="D9948" s="3"/>
      <c r="E9948" s="3"/>
      <c r="F9948" s="3"/>
      <c r="G9948" s="3"/>
      <c r="H9948" s="3"/>
      <c r="I9948" s="3"/>
      <c r="J9948" s="3"/>
      <c r="K9948" s="3"/>
      <c r="L9948" s="3"/>
      <c r="M9948" s="3"/>
      <c r="N9948" s="3"/>
      <c r="O9948" s="3"/>
    </row>
    <row r="9949" spans="1:15" ht="15" customHeight="1" x14ac:dyDescent="0.25">
      <c r="A9949" s="2"/>
      <c r="B9949" s="2"/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</row>
    <row r="9950" spans="1:15" ht="15" customHeight="1" x14ac:dyDescent="0.25">
      <c r="A9950" s="3"/>
      <c r="B9950" s="3"/>
      <c r="C9950" s="3"/>
      <c r="D9950" s="3"/>
      <c r="E9950" s="3"/>
      <c r="F9950" s="3"/>
      <c r="G9950" s="3"/>
      <c r="H9950" s="3"/>
      <c r="I9950" s="3"/>
      <c r="J9950" s="3"/>
      <c r="K9950" s="3"/>
      <c r="L9950" s="3"/>
      <c r="M9950" s="3"/>
      <c r="N9950" s="3"/>
      <c r="O9950" s="3"/>
    </row>
    <row r="9951" spans="1:15" ht="15" customHeight="1" x14ac:dyDescent="0.25">
      <c r="A9951" s="2"/>
      <c r="B9951" s="2"/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</row>
    <row r="9952" spans="1:15" ht="15" customHeight="1" x14ac:dyDescent="0.25">
      <c r="A9952" s="3"/>
      <c r="B9952" s="3"/>
      <c r="C9952" s="3"/>
      <c r="D9952" s="3"/>
      <c r="E9952" s="3"/>
      <c r="F9952" s="3"/>
      <c r="G9952" s="3"/>
      <c r="H9952" s="3"/>
      <c r="I9952" s="3"/>
      <c r="J9952" s="3"/>
      <c r="K9952" s="3"/>
      <c r="L9952" s="3"/>
      <c r="M9952" s="3"/>
      <c r="N9952" s="3"/>
      <c r="O9952" s="3"/>
    </row>
    <row r="9953" spans="1:15" ht="15" customHeight="1" x14ac:dyDescent="0.25">
      <c r="A9953" s="2"/>
      <c r="B9953" s="2"/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</row>
    <row r="9954" spans="1:15" ht="15" customHeight="1" x14ac:dyDescent="0.25">
      <c r="A9954" s="3"/>
      <c r="B9954" s="3"/>
      <c r="C9954" s="3"/>
      <c r="D9954" s="3"/>
      <c r="E9954" s="3"/>
      <c r="F9954" s="3"/>
      <c r="G9954" s="3"/>
      <c r="H9954" s="3"/>
      <c r="I9954" s="3"/>
      <c r="J9954" s="3"/>
      <c r="K9954" s="3"/>
      <c r="L9954" s="3"/>
      <c r="M9954" s="3"/>
      <c r="N9954" s="3"/>
      <c r="O9954" s="3"/>
    </row>
    <row r="9955" spans="1:15" ht="15" customHeight="1" x14ac:dyDescent="0.25">
      <c r="A9955" s="2"/>
      <c r="B9955" s="2"/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</row>
    <row r="9956" spans="1:15" ht="15" customHeight="1" x14ac:dyDescent="0.25">
      <c r="A9956" s="3"/>
      <c r="B9956" s="3"/>
      <c r="C9956" s="3"/>
      <c r="D9956" s="3"/>
      <c r="E9956" s="3"/>
      <c r="F9956" s="3"/>
      <c r="G9956" s="3"/>
      <c r="H9956" s="3"/>
      <c r="I9956" s="3"/>
      <c r="J9956" s="3"/>
      <c r="K9956" s="3"/>
      <c r="L9956" s="3"/>
      <c r="M9956" s="3"/>
      <c r="N9956" s="3"/>
      <c r="O9956" s="3"/>
    </row>
    <row r="9957" spans="1:15" ht="15" customHeight="1" x14ac:dyDescent="0.25">
      <c r="A9957" s="2"/>
      <c r="B9957" s="2"/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</row>
    <row r="9958" spans="1:15" ht="15" customHeight="1" x14ac:dyDescent="0.25">
      <c r="A9958" s="3"/>
      <c r="B9958" s="3"/>
      <c r="C9958" s="3"/>
      <c r="D9958" s="3"/>
      <c r="E9958" s="3"/>
      <c r="F9958" s="3"/>
      <c r="G9958" s="3"/>
      <c r="H9958" s="3"/>
      <c r="I9958" s="3"/>
      <c r="J9958" s="3"/>
      <c r="K9958" s="3"/>
      <c r="L9958" s="3"/>
      <c r="M9958" s="3"/>
      <c r="N9958" s="3"/>
      <c r="O9958" s="3"/>
    </row>
    <row r="9959" spans="1:15" ht="15" customHeight="1" x14ac:dyDescent="0.25">
      <c r="A9959" s="2"/>
      <c r="B9959" s="2"/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</row>
    <row r="9960" spans="1:15" ht="15" customHeight="1" x14ac:dyDescent="0.25">
      <c r="A9960" s="3"/>
      <c r="B9960" s="3"/>
      <c r="C9960" s="3"/>
      <c r="D9960" s="3"/>
      <c r="E9960" s="3"/>
      <c r="F9960" s="3"/>
      <c r="G9960" s="3"/>
      <c r="H9960" s="3"/>
      <c r="I9960" s="3"/>
      <c r="J9960" s="3"/>
      <c r="K9960" s="3"/>
      <c r="L9960" s="3"/>
      <c r="M9960" s="3"/>
      <c r="N9960" s="3"/>
      <c r="O9960" s="3"/>
    </row>
    <row r="9961" spans="1:15" ht="15" customHeight="1" x14ac:dyDescent="0.25">
      <c r="A9961" s="2"/>
      <c r="B9961" s="2"/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</row>
    <row r="9962" spans="1:15" ht="15" customHeight="1" x14ac:dyDescent="0.25">
      <c r="A9962" s="3"/>
      <c r="B9962" s="3"/>
      <c r="C9962" s="3"/>
      <c r="D9962" s="3"/>
      <c r="E9962" s="3"/>
      <c r="F9962" s="3"/>
      <c r="G9962" s="3"/>
      <c r="H9962" s="3"/>
      <c r="I9962" s="3"/>
      <c r="J9962" s="3"/>
      <c r="K9962" s="3"/>
      <c r="L9962" s="3"/>
      <c r="M9962" s="3"/>
      <c r="N9962" s="3"/>
      <c r="O9962" s="3"/>
    </row>
    <row r="9963" spans="1:15" ht="15" customHeight="1" x14ac:dyDescent="0.25">
      <c r="A9963" s="2"/>
      <c r="B9963" s="2"/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</row>
    <row r="9964" spans="1:15" ht="15" customHeight="1" x14ac:dyDescent="0.25">
      <c r="A9964" s="3"/>
      <c r="B9964" s="3"/>
      <c r="C9964" s="3"/>
      <c r="D9964" s="3"/>
      <c r="E9964" s="3"/>
      <c r="F9964" s="3"/>
      <c r="G9964" s="3"/>
      <c r="H9964" s="3"/>
      <c r="I9964" s="3"/>
      <c r="J9964" s="3"/>
      <c r="K9964" s="3"/>
      <c r="L9964" s="3"/>
      <c r="M9964" s="3"/>
      <c r="N9964" s="3"/>
      <c r="O9964" s="3"/>
    </row>
    <row r="9965" spans="1:15" ht="15" customHeight="1" x14ac:dyDescent="0.25">
      <c r="A9965" s="2"/>
      <c r="B9965" s="2"/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</row>
    <row r="9966" spans="1:15" ht="15" customHeight="1" x14ac:dyDescent="0.25">
      <c r="A9966" s="3"/>
      <c r="B9966" s="3"/>
      <c r="C9966" s="3"/>
      <c r="D9966" s="3"/>
      <c r="E9966" s="3"/>
      <c r="F9966" s="3"/>
      <c r="G9966" s="3"/>
      <c r="H9966" s="3"/>
      <c r="I9966" s="3"/>
      <c r="J9966" s="3"/>
      <c r="K9966" s="3"/>
      <c r="L9966" s="3"/>
      <c r="M9966" s="3"/>
      <c r="N9966" s="3"/>
      <c r="O9966" s="3"/>
    </row>
    <row r="9967" spans="1:15" ht="15" customHeight="1" x14ac:dyDescent="0.25">
      <c r="A9967" s="2"/>
      <c r="B9967" s="2"/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</row>
    <row r="9968" spans="1:15" ht="15" customHeight="1" x14ac:dyDescent="0.25">
      <c r="A9968" s="3"/>
      <c r="B9968" s="3"/>
      <c r="C9968" s="3"/>
      <c r="D9968" s="3"/>
      <c r="E9968" s="3"/>
      <c r="F9968" s="3"/>
      <c r="G9968" s="3"/>
      <c r="H9968" s="3"/>
      <c r="I9968" s="3"/>
      <c r="J9968" s="3"/>
      <c r="K9968" s="3"/>
      <c r="L9968" s="3"/>
      <c r="M9968" s="3"/>
      <c r="N9968" s="3"/>
      <c r="O9968" s="3"/>
    </row>
    <row r="9969" spans="1:15" ht="15" customHeight="1" x14ac:dyDescent="0.25">
      <c r="A9969" s="2"/>
      <c r="B9969" s="2"/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</row>
    <row r="9970" spans="1:15" ht="15" customHeight="1" x14ac:dyDescent="0.25">
      <c r="A9970" s="3"/>
      <c r="B9970" s="3"/>
      <c r="C9970" s="3"/>
      <c r="D9970" s="3"/>
      <c r="E9970" s="3"/>
      <c r="F9970" s="3"/>
      <c r="G9970" s="3"/>
      <c r="H9970" s="3"/>
      <c r="I9970" s="3"/>
      <c r="J9970" s="3"/>
      <c r="K9970" s="3"/>
      <c r="L9970" s="3"/>
      <c r="M9970" s="3"/>
      <c r="N9970" s="3"/>
      <c r="O9970" s="3"/>
    </row>
    <row r="9971" spans="1:15" ht="15" customHeight="1" x14ac:dyDescent="0.25">
      <c r="A9971" s="2"/>
      <c r="B9971" s="2"/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</row>
    <row r="9972" spans="1:15" ht="15" customHeight="1" x14ac:dyDescent="0.25">
      <c r="A9972" s="3"/>
      <c r="B9972" s="3"/>
      <c r="C9972" s="3"/>
      <c r="D9972" s="3"/>
      <c r="E9972" s="3"/>
      <c r="F9972" s="3"/>
      <c r="G9972" s="3"/>
      <c r="H9972" s="3"/>
      <c r="I9972" s="3"/>
      <c r="J9972" s="3"/>
      <c r="K9972" s="3"/>
      <c r="L9972" s="3"/>
      <c r="M9972" s="3"/>
      <c r="N9972" s="3"/>
      <c r="O9972" s="3"/>
    </row>
    <row r="9973" spans="1:15" ht="15" customHeight="1" x14ac:dyDescent="0.25">
      <c r="A9973" s="2"/>
      <c r="B9973" s="2"/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</row>
    <row r="9974" spans="1:15" ht="15" customHeight="1" x14ac:dyDescent="0.25">
      <c r="A9974" s="3"/>
      <c r="B9974" s="3"/>
      <c r="C9974" s="3"/>
      <c r="D9974" s="3"/>
      <c r="E9974" s="3"/>
      <c r="F9974" s="3"/>
      <c r="G9974" s="3"/>
      <c r="H9974" s="3"/>
      <c r="I9974" s="3"/>
      <c r="J9974" s="3"/>
      <c r="K9974" s="3"/>
      <c r="L9974" s="3"/>
      <c r="M9974" s="3"/>
      <c r="N9974" s="3"/>
      <c r="O9974" s="3"/>
    </row>
    <row r="9975" spans="1:15" ht="15" customHeight="1" x14ac:dyDescent="0.25">
      <c r="A9975" s="2"/>
      <c r="B9975" s="2"/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</row>
    <row r="9976" spans="1:15" ht="15" customHeight="1" x14ac:dyDescent="0.25">
      <c r="A9976" s="3"/>
      <c r="B9976" s="3"/>
      <c r="C9976" s="3"/>
      <c r="D9976" s="3"/>
      <c r="E9976" s="3"/>
      <c r="F9976" s="3"/>
      <c r="G9976" s="3"/>
      <c r="H9976" s="3"/>
      <c r="I9976" s="3"/>
      <c r="J9976" s="3"/>
      <c r="K9976" s="3"/>
      <c r="L9976" s="3"/>
      <c r="M9976" s="3"/>
      <c r="N9976" s="3"/>
      <c r="O9976" s="3"/>
    </row>
    <row r="9977" spans="1:15" ht="15" customHeight="1" x14ac:dyDescent="0.25">
      <c r="A9977" s="2"/>
      <c r="B9977" s="2"/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</row>
    <row r="9978" spans="1:15" ht="15" customHeight="1" x14ac:dyDescent="0.25">
      <c r="A9978" s="3"/>
      <c r="B9978" s="3"/>
      <c r="C9978" s="3"/>
      <c r="D9978" s="3"/>
      <c r="E9978" s="3"/>
      <c r="F9978" s="3"/>
      <c r="G9978" s="3"/>
      <c r="H9978" s="3"/>
      <c r="I9978" s="3"/>
      <c r="J9978" s="3"/>
      <c r="K9978" s="3"/>
      <c r="L9978" s="3"/>
      <c r="M9978" s="3"/>
      <c r="N9978" s="3"/>
      <c r="O9978" s="3"/>
    </row>
    <row r="9979" spans="1:15" ht="15" customHeight="1" x14ac:dyDescent="0.25">
      <c r="A9979" s="2"/>
      <c r="B9979" s="2"/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</row>
    <row r="9980" spans="1:15" ht="15" customHeight="1" x14ac:dyDescent="0.25">
      <c r="A9980" s="3"/>
      <c r="B9980" s="3"/>
      <c r="C9980" s="3"/>
      <c r="D9980" s="3"/>
      <c r="E9980" s="3"/>
      <c r="F9980" s="3"/>
      <c r="G9980" s="3"/>
      <c r="H9980" s="3"/>
      <c r="I9980" s="3"/>
      <c r="J9980" s="3"/>
      <c r="K9980" s="3"/>
      <c r="L9980" s="3"/>
      <c r="M9980" s="3"/>
      <c r="N9980" s="3"/>
      <c r="O9980" s="3"/>
    </row>
    <row r="9981" spans="1:15" ht="15" customHeight="1" x14ac:dyDescent="0.25">
      <c r="A9981" s="2"/>
      <c r="B9981" s="2"/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</row>
    <row r="9982" spans="1:15" ht="15" customHeight="1" x14ac:dyDescent="0.25">
      <c r="A9982" s="3"/>
      <c r="B9982" s="3"/>
      <c r="C9982" s="3"/>
      <c r="D9982" s="3"/>
      <c r="E9982" s="3"/>
      <c r="F9982" s="3"/>
      <c r="G9982" s="3"/>
      <c r="H9982" s="3"/>
      <c r="I9982" s="3"/>
      <c r="J9982" s="3"/>
      <c r="K9982" s="3"/>
      <c r="L9982" s="3"/>
      <c r="M9982" s="3"/>
      <c r="N9982" s="3"/>
      <c r="O9982" s="3"/>
    </row>
    <row r="9983" spans="1:15" ht="15" customHeight="1" x14ac:dyDescent="0.25">
      <c r="A9983" s="2"/>
      <c r="B9983" s="2"/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</row>
    <row r="9984" spans="1:15" ht="15" customHeight="1" x14ac:dyDescent="0.25">
      <c r="A9984" s="3"/>
      <c r="B9984" s="3"/>
      <c r="C9984" s="3"/>
      <c r="D9984" s="3"/>
      <c r="E9984" s="3"/>
      <c r="F9984" s="3"/>
      <c r="G9984" s="3"/>
      <c r="H9984" s="3"/>
      <c r="I9984" s="3"/>
      <c r="J9984" s="3"/>
      <c r="K9984" s="3"/>
      <c r="L9984" s="3"/>
      <c r="M9984" s="3"/>
      <c r="N9984" s="3"/>
      <c r="O9984" s="3"/>
    </row>
    <row r="9985" spans="1:15" ht="15" customHeight="1" x14ac:dyDescent="0.25">
      <c r="A9985" s="2"/>
      <c r="B9985" s="2"/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</row>
    <row r="9986" spans="1:15" ht="15" customHeight="1" x14ac:dyDescent="0.25">
      <c r="A9986" s="3"/>
      <c r="B9986" s="3"/>
      <c r="C9986" s="3"/>
      <c r="D9986" s="3"/>
      <c r="E9986" s="3"/>
      <c r="F9986" s="3"/>
      <c r="G9986" s="3"/>
      <c r="H9986" s="3"/>
      <c r="I9986" s="3"/>
      <c r="J9986" s="3"/>
      <c r="K9986" s="3"/>
      <c r="L9986" s="3"/>
      <c r="M9986" s="3"/>
      <c r="N9986" s="3"/>
      <c r="O9986" s="3"/>
    </row>
    <row r="9987" spans="1:15" ht="15" customHeight="1" x14ac:dyDescent="0.25">
      <c r="A9987" s="2"/>
      <c r="B9987" s="2"/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</row>
    <row r="9988" spans="1:15" ht="15" customHeight="1" x14ac:dyDescent="0.25">
      <c r="A9988" s="3"/>
      <c r="B9988" s="3"/>
      <c r="C9988" s="3"/>
      <c r="D9988" s="3"/>
      <c r="E9988" s="3"/>
      <c r="F9988" s="3"/>
      <c r="G9988" s="3"/>
      <c r="H9988" s="3"/>
      <c r="I9988" s="3"/>
      <c r="J9988" s="3"/>
      <c r="K9988" s="3"/>
      <c r="L9988" s="3"/>
      <c r="M9988" s="3"/>
      <c r="N9988" s="3"/>
      <c r="O9988" s="3"/>
    </row>
    <row r="9989" spans="1:15" ht="15" customHeight="1" x14ac:dyDescent="0.25">
      <c r="A9989" s="2"/>
      <c r="B9989" s="2"/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</row>
    <row r="9990" spans="1:15" ht="15" customHeight="1" x14ac:dyDescent="0.25">
      <c r="A9990" s="3"/>
      <c r="B9990" s="3"/>
      <c r="C9990" s="3"/>
      <c r="D9990" s="3"/>
      <c r="E9990" s="3"/>
      <c r="F9990" s="3"/>
      <c r="G9990" s="3"/>
      <c r="H9990" s="3"/>
      <c r="I9990" s="3"/>
      <c r="J9990" s="3"/>
      <c r="K9990" s="3"/>
      <c r="L9990" s="3"/>
      <c r="M9990" s="3"/>
      <c r="N9990" s="3"/>
      <c r="O9990" s="3"/>
    </row>
    <row r="9991" spans="1:15" ht="15" customHeight="1" x14ac:dyDescent="0.25">
      <c r="A9991" s="2"/>
      <c r="B9991" s="2"/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</row>
    <row r="9992" spans="1:15" ht="15" customHeight="1" x14ac:dyDescent="0.25">
      <c r="A9992" s="3"/>
      <c r="B9992" s="3"/>
      <c r="C9992" s="3"/>
      <c r="D9992" s="3"/>
      <c r="E9992" s="3"/>
      <c r="F9992" s="3"/>
      <c r="G9992" s="3"/>
      <c r="H9992" s="3"/>
      <c r="I9992" s="3"/>
      <c r="J9992" s="3"/>
      <c r="K9992" s="3"/>
      <c r="L9992" s="3"/>
      <c r="M9992" s="3"/>
      <c r="N9992" s="3"/>
      <c r="O9992" s="3"/>
    </row>
    <row r="9993" spans="1:15" ht="15" customHeight="1" x14ac:dyDescent="0.25">
      <c r="A9993" s="2"/>
      <c r="B9993" s="2"/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</row>
    <row r="9994" spans="1:15" ht="15" customHeight="1" x14ac:dyDescent="0.25">
      <c r="A9994" s="3"/>
      <c r="B9994" s="3"/>
      <c r="C9994" s="3"/>
      <c r="D9994" s="3"/>
      <c r="E9994" s="3"/>
      <c r="F9994" s="3"/>
      <c r="G9994" s="3"/>
      <c r="H9994" s="3"/>
      <c r="I9994" s="3"/>
      <c r="J9994" s="3"/>
      <c r="K9994" s="3"/>
      <c r="L9994" s="3"/>
      <c r="M9994" s="3"/>
      <c r="N9994" s="3"/>
      <c r="O9994" s="3"/>
    </row>
    <row r="9995" spans="1:15" ht="15" customHeight="1" x14ac:dyDescent="0.25">
      <c r="A9995" s="2"/>
      <c r="B9995" s="2"/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</row>
    <row r="9996" spans="1:15" ht="15" customHeight="1" x14ac:dyDescent="0.25">
      <c r="A9996" s="3"/>
      <c r="B9996" s="3"/>
      <c r="C9996" s="3"/>
      <c r="D9996" s="3"/>
      <c r="E9996" s="3"/>
      <c r="F9996" s="3"/>
      <c r="G9996" s="3"/>
      <c r="H9996" s="3"/>
      <c r="I9996" s="3"/>
      <c r="J9996" s="3"/>
      <c r="K9996" s="3"/>
      <c r="L9996" s="3"/>
      <c r="M9996" s="3"/>
      <c r="N9996" s="3"/>
      <c r="O9996" s="3"/>
    </row>
    <row r="9997" spans="1:15" ht="15" customHeight="1" x14ac:dyDescent="0.25">
      <c r="A9997" s="2"/>
      <c r="B9997" s="2"/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</row>
    <row r="9998" spans="1:15" ht="15" customHeight="1" x14ac:dyDescent="0.25">
      <c r="A9998" s="3"/>
      <c r="B9998" s="3"/>
      <c r="C9998" s="3"/>
      <c r="D9998" s="3"/>
      <c r="E9998" s="3"/>
      <c r="F9998" s="3"/>
      <c r="G9998" s="3"/>
      <c r="H9998" s="3"/>
      <c r="I9998" s="3"/>
      <c r="J9998" s="3"/>
      <c r="K9998" s="3"/>
      <c r="L9998" s="3"/>
      <c r="M9998" s="3"/>
      <c r="N9998" s="3"/>
      <c r="O9998" s="3"/>
    </row>
  </sheetData>
  <dataValidations count="18">
    <dataValidation type="list" allowBlank="1" sqref="I2 E1:E1048576" xr:uid="{A8D91937-A053-4DF5-8527-1E10DF105C1A}">
      <formula1>"1,2,3"</formula1>
    </dataValidation>
    <dataValidation type="list" allowBlank="1" sqref="A2:A607 A609:A1631 A1633:A2451 A2579:A9998" xr:uid="{00000000-0002-0000-0000-000000000000}">
      <formula1>"0,5,10,20,30"</formula1>
      <formula2>0</formula2>
    </dataValidation>
    <dataValidation type="list" allowBlank="1" sqref="B2:B607 A608 B609:B2451 B2579:B9998" xr:uid="{00000000-0002-0000-0000-000001000000}">
      <formula1>"F,N,B"</formula1>
      <formula2>0</formula2>
    </dataValidation>
    <dataValidation type="list" allowBlank="1" sqref="B608 C2:C607 C609:C2451 C2579:C9998" xr:uid="{00000000-0002-0000-0000-000002000000}">
      <formula1>"A,M,D"</formula1>
      <formula2>0</formula2>
    </dataValidation>
    <dataValidation type="list" allowBlank="1" sqref="F2:F2451 F2579:F9998" xr:uid="{00000000-0002-0000-0000-000003000000}">
      <formula1>"0,1,2,3"</formula1>
      <formula2>0</formula2>
    </dataValidation>
    <dataValidation type="list" allowBlank="1" sqref="G2:G2451 G2579:G9998" xr:uid="{00000000-0002-0000-0000-000004000000}">
      <formula1>"F,H,B"</formula1>
      <formula2>0</formula2>
    </dataValidation>
    <dataValidation type="list" allowBlank="1" sqref="I3:I2451 I2579:I9998" xr:uid="{00000000-0002-0000-0000-000006000000}">
      <formula1>"1,2,3+"</formula1>
      <formula2>0</formula2>
    </dataValidation>
    <dataValidation type="list" allowBlank="1" sqref="J2:N2451 J2579:N9998" xr:uid="{00000000-0002-0000-0000-000007000000}">
      <formula1>"Y,N"</formula1>
      <formula2>0</formula2>
    </dataValidation>
    <dataValidation type="list" allowBlank="1" sqref="O1:O1048576" xr:uid="{18C1DE76-5A32-49F5-A1F0-4CFFE0BE759E}">
      <formula1>"0,1"</formula1>
    </dataValidation>
    <dataValidation type="list" allowBlank="1" sqref="H1:H1048576" xr:uid="{E6A5B0DE-391E-4489-94A2-C996D10896D1}">
      <formula1>"S,W, NA"</formula1>
    </dataValidation>
    <dataValidation type="list" allowBlank="1" sqref="D1:D1048576" xr:uid="{E2CFC19B-3BB7-4CE0-A6DC-5921042D1F8C}">
      <formula1>"A,M,D,NA"</formula1>
    </dataValidation>
    <dataValidation type="list" allowBlank="1" sqref="I2452:I2578" xr:uid="{A2543C9B-0387-4728-8EEF-E7E0FB512054}">
      <formula1>"1,2,3+"</formula1>
    </dataValidation>
    <dataValidation type="list" allowBlank="1" sqref="J2452:N2578" xr:uid="{AE4ECFAD-15AC-46B3-B35F-C789413BF406}">
      <formula1>"Y,N"</formula1>
    </dataValidation>
    <dataValidation type="list" allowBlank="1" sqref="G2452:G2578" xr:uid="{7E5A7A6D-904E-4E7A-9DAB-8DE21E975F2C}">
      <formula1>"F,H,B"</formula1>
    </dataValidation>
    <dataValidation type="list" allowBlank="1" sqref="F2452:F2578" xr:uid="{DDD0528F-940E-48FF-AD6B-70679B3ED2EE}">
      <formula1>"0,1,2,3"</formula1>
    </dataValidation>
    <dataValidation type="list" allowBlank="1" sqref="C2452:C2578" xr:uid="{48D53227-7BCB-47A0-8E6C-C11FB745A5DB}">
      <formula1>"A,M,D"</formula1>
    </dataValidation>
    <dataValidation type="list" allowBlank="1" sqref="B2452:B2578" xr:uid="{CFB78BB6-26B8-4E03-8EF7-1C44F05EDD4D}">
      <formula1>"F,N,B"</formula1>
    </dataValidation>
    <dataValidation type="list" allowBlank="1" sqref="A2452:A2578" xr:uid="{D2A65B04-822A-43DC-B9CB-A167D1091471}">
      <formula1>"0,5,10,20,30"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6EE7-DDF2-435E-9CC9-73AEDDD07310}">
  <dimension ref="A1:Y147"/>
  <sheetViews>
    <sheetView workbookViewId="0">
      <pane ySplit="1" topLeftCell="A49" activePane="bottomLeft" state="frozen"/>
      <selection pane="bottomLeft" activeCell="O65" sqref="O65"/>
    </sheetView>
  </sheetViews>
  <sheetFormatPr defaultRowHeight="15" x14ac:dyDescent="0.25"/>
  <cols>
    <col min="1" max="1" width="12.85546875" style="11" bestFit="1" customWidth="1"/>
    <col min="2" max="17" width="9.140625" style="11"/>
    <col min="18" max="18" width="11.28515625" style="11" customWidth="1"/>
    <col min="19" max="19" width="10.28515625" style="11" customWidth="1"/>
    <col min="20" max="25" width="9.140625" style="11"/>
  </cols>
  <sheetData>
    <row r="1" spans="1:25" x14ac:dyDescent="0.25">
      <c r="A1" s="11" t="s">
        <v>110</v>
      </c>
      <c r="B1" s="11" t="s">
        <v>111</v>
      </c>
      <c r="C1" s="1" t="s">
        <v>0</v>
      </c>
      <c r="D1" s="1" t="s">
        <v>1</v>
      </c>
      <c r="E1" s="1" t="s">
        <v>2</v>
      </c>
      <c r="F1" s="1" t="s">
        <v>109</v>
      </c>
      <c r="G1" s="1" t="s">
        <v>88</v>
      </c>
      <c r="H1" s="18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99</v>
      </c>
      <c r="N1" s="1" t="s">
        <v>80</v>
      </c>
      <c r="O1" s="1" t="s">
        <v>79</v>
      </c>
      <c r="P1" s="1" t="s">
        <v>8</v>
      </c>
      <c r="Q1" s="1" t="s">
        <v>96</v>
      </c>
      <c r="R1" s="26" t="s">
        <v>126</v>
      </c>
      <c r="S1" s="26" t="s">
        <v>127</v>
      </c>
      <c r="T1" s="26" t="s">
        <v>128</v>
      </c>
      <c r="U1" s="26" t="s">
        <v>129</v>
      </c>
      <c r="V1" s="26" t="s">
        <v>132</v>
      </c>
      <c r="W1" s="26" t="s">
        <v>130</v>
      </c>
      <c r="X1" s="26" t="s">
        <v>131</v>
      </c>
      <c r="Y1" s="26" t="s">
        <v>124</v>
      </c>
    </row>
    <row r="2" spans="1:25" x14ac:dyDescent="0.25">
      <c r="A2" s="11" t="str">
        <f>_xlfn.XLOOKUP(B:B,StatsCP!B:B,StatsCP!A:A,"")</f>
        <v>Richards</v>
      </c>
      <c r="B2" s="11">
        <v>26</v>
      </c>
      <c r="C2" s="28">
        <v>20</v>
      </c>
      <c r="D2" s="28" t="s">
        <v>10</v>
      </c>
      <c r="E2" s="28" t="s">
        <v>19</v>
      </c>
      <c r="F2" s="28" t="s">
        <v>20</v>
      </c>
      <c r="G2" s="28">
        <v>1</v>
      </c>
      <c r="H2" s="28">
        <v>0</v>
      </c>
      <c r="I2" s="28" t="s">
        <v>10</v>
      </c>
      <c r="J2" s="28" t="s">
        <v>12</v>
      </c>
      <c r="K2" s="28">
        <v>2</v>
      </c>
      <c r="L2" s="28" t="s">
        <v>14</v>
      </c>
      <c r="M2" s="28" t="s">
        <v>13</v>
      </c>
      <c r="N2" s="28" t="s">
        <v>13</v>
      </c>
      <c r="O2" s="28" t="s">
        <v>13</v>
      </c>
      <c r="P2" s="28" t="s">
        <v>14</v>
      </c>
      <c r="Q2" s="28">
        <v>0</v>
      </c>
      <c r="R2" s="28"/>
      <c r="S2" s="28"/>
      <c r="T2" s="28"/>
      <c r="U2" s="28"/>
      <c r="V2" s="28"/>
      <c r="W2" s="28"/>
      <c r="X2" s="28"/>
      <c r="Y2" s="11">
        <f>(R2*0.1)+(S2*0.05)+(T2*0.5)+(U2*0.2)-(W2*0.1)-(X2*0.5)+(V2*0.05)</f>
        <v>0</v>
      </c>
    </row>
    <row r="3" spans="1:25" x14ac:dyDescent="0.25">
      <c r="A3" s="11" t="str">
        <f>_xlfn.XLOOKUP(B:B,StatsCP!B:B,StatsCP!A:A,"")</f>
        <v>Canvot</v>
      </c>
      <c r="B3" s="11">
        <v>23</v>
      </c>
      <c r="C3" s="11">
        <v>10</v>
      </c>
      <c r="D3" s="11" t="s">
        <v>10</v>
      </c>
      <c r="E3" s="11" t="s">
        <v>19</v>
      </c>
      <c r="F3" s="11" t="s">
        <v>19</v>
      </c>
      <c r="G3" s="11">
        <v>0</v>
      </c>
      <c r="H3" s="11">
        <v>2</v>
      </c>
      <c r="I3" s="11" t="s">
        <v>10</v>
      </c>
      <c r="J3" s="11" t="s">
        <v>12</v>
      </c>
      <c r="K3" s="11">
        <v>1</v>
      </c>
      <c r="L3" s="11" t="s">
        <v>14</v>
      </c>
      <c r="M3" s="11" t="s">
        <v>13</v>
      </c>
      <c r="N3" s="11" t="s">
        <v>13</v>
      </c>
      <c r="O3" s="11" t="s">
        <v>13</v>
      </c>
      <c r="P3" s="11" t="s">
        <v>14</v>
      </c>
      <c r="Q3" s="11">
        <v>0</v>
      </c>
      <c r="W3" s="11">
        <v>1</v>
      </c>
      <c r="X3" s="28"/>
      <c r="Y3" s="11">
        <f t="shared" ref="Y3:Y66" si="0">(R3*0.1)+(S3*0.05)+(T3*0.5)+(U3*0.2)-(W3*0.1)-(X3*0.5)+(V3*0.05)</f>
        <v>-0.1</v>
      </c>
    </row>
    <row r="4" spans="1:25" x14ac:dyDescent="0.25">
      <c r="A4" s="11" t="str">
        <f>_xlfn.XLOOKUP(B:B,StatsCP!B:B,StatsCP!A:A,"")</f>
        <v>Mitchell</v>
      </c>
      <c r="B4" s="11">
        <v>3</v>
      </c>
      <c r="C4" s="11">
        <v>0</v>
      </c>
      <c r="D4" s="11" t="s">
        <v>10</v>
      </c>
      <c r="E4" s="11" t="s">
        <v>19</v>
      </c>
      <c r="F4" s="11" t="s">
        <v>19</v>
      </c>
      <c r="G4" s="11">
        <v>0</v>
      </c>
      <c r="H4" s="11">
        <v>1</v>
      </c>
      <c r="I4" s="11" t="s">
        <v>10</v>
      </c>
      <c r="J4" s="11" t="s">
        <v>12</v>
      </c>
      <c r="K4" s="11">
        <v>1</v>
      </c>
      <c r="L4" s="11" t="s">
        <v>14</v>
      </c>
      <c r="M4" s="11" t="s">
        <v>14</v>
      </c>
      <c r="N4" s="11" t="s">
        <v>14</v>
      </c>
      <c r="O4" s="11" t="s">
        <v>14</v>
      </c>
      <c r="P4" s="11" t="s">
        <v>14</v>
      </c>
      <c r="Q4" s="11">
        <v>1</v>
      </c>
      <c r="X4" s="28"/>
      <c r="Y4" s="11">
        <f t="shared" si="0"/>
        <v>0</v>
      </c>
    </row>
    <row r="5" spans="1:25" x14ac:dyDescent="0.25">
      <c r="A5" s="11" t="str">
        <f>_xlfn.XLOOKUP(B:B,StatsCP!B:B,StatsCP!A:A,"")</f>
        <v>Pino</v>
      </c>
      <c r="B5" s="11">
        <v>10</v>
      </c>
      <c r="C5" s="11">
        <v>5</v>
      </c>
      <c r="D5" s="11" t="s">
        <v>18</v>
      </c>
      <c r="E5" s="11" t="s">
        <v>19</v>
      </c>
      <c r="F5" s="11" t="s">
        <v>19</v>
      </c>
      <c r="G5" s="11">
        <v>0</v>
      </c>
      <c r="H5" s="11">
        <v>0</v>
      </c>
      <c r="I5" s="11" t="s">
        <v>10</v>
      </c>
      <c r="J5" s="11" t="s">
        <v>12</v>
      </c>
      <c r="K5" s="11">
        <v>1</v>
      </c>
      <c r="L5" s="11" t="s">
        <v>14</v>
      </c>
      <c r="M5" s="11" t="s">
        <v>14</v>
      </c>
      <c r="N5" s="11" t="s">
        <v>14</v>
      </c>
      <c r="O5" s="11" t="s">
        <v>14</v>
      </c>
      <c r="P5" s="11" t="s">
        <v>14</v>
      </c>
      <c r="Q5" s="11">
        <v>1</v>
      </c>
      <c r="X5" s="28"/>
      <c r="Y5" s="11">
        <f t="shared" si="0"/>
        <v>0</v>
      </c>
    </row>
    <row r="6" spans="1:25" x14ac:dyDescent="0.25">
      <c r="A6" s="11" t="str">
        <f>_xlfn.XLOOKUP(B:B,StatsCP!B:B,StatsCP!A:A,"")</f>
        <v>Hughes</v>
      </c>
      <c r="B6" s="11">
        <v>19</v>
      </c>
      <c r="C6" s="11">
        <v>10</v>
      </c>
      <c r="D6" s="11" t="s">
        <v>10</v>
      </c>
      <c r="E6" s="11" t="s">
        <v>11</v>
      </c>
      <c r="F6" s="11" t="s">
        <v>19</v>
      </c>
      <c r="G6" s="11">
        <v>0</v>
      </c>
      <c r="H6" s="11">
        <v>0</v>
      </c>
      <c r="I6" s="11" t="s">
        <v>10</v>
      </c>
      <c r="J6" s="11" t="s">
        <v>12</v>
      </c>
      <c r="K6" s="11" t="s">
        <v>15</v>
      </c>
      <c r="L6" s="11" t="s">
        <v>14</v>
      </c>
      <c r="M6" s="11" t="s">
        <v>14</v>
      </c>
      <c r="N6" s="11" t="s">
        <v>14</v>
      </c>
      <c r="O6" s="11" t="s">
        <v>14</v>
      </c>
      <c r="P6" s="11" t="s">
        <v>14</v>
      </c>
      <c r="Q6" s="11">
        <v>1</v>
      </c>
      <c r="Y6" s="11">
        <f t="shared" si="0"/>
        <v>0</v>
      </c>
    </row>
    <row r="7" spans="1:25" x14ac:dyDescent="0.25">
      <c r="A7" s="11" t="str">
        <f>_xlfn.XLOOKUP(B:B,StatsCP!B:B,StatsCP!A:A,"")</f>
        <v>Mitchell</v>
      </c>
      <c r="B7" s="11">
        <v>3</v>
      </c>
      <c r="C7" s="11">
        <v>5</v>
      </c>
      <c r="D7" s="11" t="s">
        <v>18</v>
      </c>
      <c r="E7" s="11" t="s">
        <v>11</v>
      </c>
      <c r="F7" s="11" t="s">
        <v>11</v>
      </c>
      <c r="G7" s="11">
        <v>0</v>
      </c>
      <c r="H7" s="11">
        <v>0</v>
      </c>
      <c r="I7" s="11" t="s">
        <v>10</v>
      </c>
      <c r="J7" s="11" t="s">
        <v>12</v>
      </c>
      <c r="K7" s="11" t="s">
        <v>15</v>
      </c>
      <c r="L7" s="11" t="s">
        <v>14</v>
      </c>
      <c r="M7" s="11" t="s">
        <v>14</v>
      </c>
      <c r="N7" s="11" t="s">
        <v>14</v>
      </c>
      <c r="O7" s="11" t="s">
        <v>14</v>
      </c>
      <c r="P7" s="11" t="s">
        <v>14</v>
      </c>
      <c r="Q7" s="11">
        <v>1</v>
      </c>
      <c r="Y7" s="11">
        <f t="shared" si="0"/>
        <v>0</v>
      </c>
    </row>
    <row r="8" spans="1:25" x14ac:dyDescent="0.25">
      <c r="A8" s="11" t="str">
        <f>_xlfn.XLOOKUP(B:B,StatsCP!B:B,StatsCP!A:A,"")</f>
        <v>Pino</v>
      </c>
      <c r="B8" s="11">
        <v>10</v>
      </c>
      <c r="C8" s="27">
        <v>10</v>
      </c>
      <c r="D8" s="27" t="s">
        <v>10</v>
      </c>
      <c r="E8" s="27" t="s">
        <v>11</v>
      </c>
      <c r="F8" s="27" t="s">
        <v>11</v>
      </c>
      <c r="G8" s="27">
        <v>1</v>
      </c>
      <c r="H8" s="27">
        <v>1</v>
      </c>
      <c r="I8" s="27" t="s">
        <v>10</v>
      </c>
      <c r="J8" s="27" t="s">
        <v>12</v>
      </c>
      <c r="K8" s="27" t="s">
        <v>15</v>
      </c>
      <c r="L8" s="27" t="s">
        <v>14</v>
      </c>
      <c r="M8" s="27" t="s">
        <v>14</v>
      </c>
      <c r="N8" s="27" t="s">
        <v>14</v>
      </c>
      <c r="O8" s="27" t="s">
        <v>13</v>
      </c>
      <c r="P8" s="27" t="s">
        <v>13</v>
      </c>
      <c r="Q8" s="27">
        <v>0</v>
      </c>
      <c r="W8" s="11">
        <v>1</v>
      </c>
      <c r="Y8" s="11">
        <f t="shared" si="0"/>
        <v>-0.1</v>
      </c>
    </row>
    <row r="9" spans="1:25" x14ac:dyDescent="0.25">
      <c r="A9" s="11" t="str">
        <f>_xlfn.XLOOKUP(B:B,StatsCP!B:B,StatsCP!A:A,"")</f>
        <v>Lacroix</v>
      </c>
      <c r="B9" s="11">
        <v>5</v>
      </c>
      <c r="C9" s="27">
        <v>30</v>
      </c>
      <c r="D9" s="27" t="s">
        <v>18</v>
      </c>
      <c r="E9" s="27" t="s">
        <v>20</v>
      </c>
      <c r="F9" s="27" t="s">
        <v>20</v>
      </c>
      <c r="G9" s="27">
        <v>0</v>
      </c>
      <c r="H9" s="27">
        <v>0</v>
      </c>
      <c r="I9" s="27" t="s">
        <v>10</v>
      </c>
      <c r="J9" s="27" t="s">
        <v>12</v>
      </c>
      <c r="K9" s="27">
        <v>1</v>
      </c>
      <c r="L9" s="27" t="s">
        <v>14</v>
      </c>
      <c r="M9" s="27" t="s">
        <v>13</v>
      </c>
      <c r="N9" s="27" t="s">
        <v>13</v>
      </c>
      <c r="O9" s="27" t="s">
        <v>14</v>
      </c>
      <c r="P9" s="27" t="s">
        <v>14</v>
      </c>
      <c r="Q9" s="27">
        <v>1</v>
      </c>
      <c r="Y9" s="11">
        <f t="shared" si="0"/>
        <v>0</v>
      </c>
    </row>
    <row r="10" spans="1:25" x14ac:dyDescent="0.25">
      <c r="A10" s="11" t="str">
        <f>_xlfn.XLOOKUP(B:B,StatsCP!B:B,StatsCP!A:A,"")</f>
        <v>Henderson</v>
      </c>
      <c r="B10" s="11">
        <v>1</v>
      </c>
      <c r="C10" s="27">
        <v>10</v>
      </c>
      <c r="D10" s="27" t="s">
        <v>10</v>
      </c>
      <c r="E10" s="27" t="s">
        <v>20</v>
      </c>
      <c r="F10" s="27" t="s">
        <v>20</v>
      </c>
      <c r="G10" s="27">
        <v>0</v>
      </c>
      <c r="H10" s="27">
        <v>0</v>
      </c>
      <c r="I10" s="27" t="s">
        <v>10</v>
      </c>
      <c r="J10" s="27" t="s">
        <v>12</v>
      </c>
      <c r="K10" s="27">
        <v>2</v>
      </c>
      <c r="L10" s="27" t="s">
        <v>14</v>
      </c>
      <c r="M10" s="27" t="s">
        <v>14</v>
      </c>
      <c r="N10" s="27" t="s">
        <v>14</v>
      </c>
      <c r="O10" s="27" t="s">
        <v>14</v>
      </c>
      <c r="P10" s="27" t="s">
        <v>14</v>
      </c>
      <c r="Q10" s="27">
        <v>1</v>
      </c>
      <c r="Y10" s="11">
        <f t="shared" si="0"/>
        <v>0</v>
      </c>
    </row>
    <row r="11" spans="1:25" x14ac:dyDescent="0.25">
      <c r="A11" s="11" t="str">
        <f>_xlfn.XLOOKUP(B:B,StatsCP!B:B,StatsCP!A:A,"")</f>
        <v>Mitchell</v>
      </c>
      <c r="B11" s="11">
        <v>3</v>
      </c>
      <c r="C11" s="27">
        <v>10</v>
      </c>
      <c r="D11" s="27" t="s">
        <v>18</v>
      </c>
      <c r="E11" s="27" t="s">
        <v>20</v>
      </c>
      <c r="F11" s="27" t="s">
        <v>20</v>
      </c>
      <c r="G11" s="27">
        <v>0</v>
      </c>
      <c r="H11" s="27">
        <v>0</v>
      </c>
      <c r="I11" s="27" t="s">
        <v>10</v>
      </c>
      <c r="J11" s="27" t="s">
        <v>12</v>
      </c>
      <c r="K11" s="27">
        <v>2</v>
      </c>
      <c r="L11" s="27" t="s">
        <v>14</v>
      </c>
      <c r="M11" s="27" t="s">
        <v>14</v>
      </c>
      <c r="N11" s="27" t="s">
        <v>14</v>
      </c>
      <c r="O11" s="27" t="s">
        <v>14</v>
      </c>
      <c r="P11" s="27" t="s">
        <v>14</v>
      </c>
      <c r="Q11" s="27">
        <v>1</v>
      </c>
      <c r="Y11" s="11">
        <f t="shared" si="0"/>
        <v>0</v>
      </c>
    </row>
    <row r="12" spans="1:25" x14ac:dyDescent="0.25">
      <c r="A12" s="11" t="str">
        <f>_xlfn.XLOOKUP(B:B,StatsCP!B:B,StatsCP!A:A,"")</f>
        <v>Henderson</v>
      </c>
      <c r="B12" s="11">
        <v>1</v>
      </c>
      <c r="C12" s="27">
        <v>20</v>
      </c>
      <c r="D12" s="27" t="s">
        <v>14</v>
      </c>
      <c r="E12" s="27" t="s">
        <v>20</v>
      </c>
      <c r="F12" s="27" t="s">
        <v>20</v>
      </c>
      <c r="G12" s="27">
        <v>0</v>
      </c>
      <c r="H12" s="27">
        <v>0</v>
      </c>
      <c r="I12" s="27" t="s">
        <v>10</v>
      </c>
      <c r="J12" s="27" t="s">
        <v>16</v>
      </c>
      <c r="K12" s="27" t="s">
        <v>15</v>
      </c>
      <c r="L12" s="27" t="s">
        <v>14</v>
      </c>
      <c r="M12" s="27" t="s">
        <v>14</v>
      </c>
      <c r="N12" s="27" t="s">
        <v>14</v>
      </c>
      <c r="O12" s="27" t="s">
        <v>14</v>
      </c>
      <c r="P12" s="27" t="s">
        <v>14</v>
      </c>
      <c r="Q12" s="27">
        <v>1</v>
      </c>
      <c r="Y12" s="11">
        <f t="shared" si="0"/>
        <v>0</v>
      </c>
    </row>
    <row r="13" spans="1:25" x14ac:dyDescent="0.25">
      <c r="A13" s="11" t="str">
        <f>_xlfn.XLOOKUP(B:B,StatsCP!B:B,StatsCP!A:A,"")</f>
        <v>Lacroix</v>
      </c>
      <c r="B13" s="11">
        <v>5</v>
      </c>
      <c r="C13" s="27">
        <v>10</v>
      </c>
      <c r="D13" s="27" t="s">
        <v>18</v>
      </c>
      <c r="E13" s="27" t="s">
        <v>20</v>
      </c>
      <c r="F13" s="27" t="s">
        <v>20</v>
      </c>
      <c r="G13" s="27">
        <v>0</v>
      </c>
      <c r="H13" s="27">
        <v>0</v>
      </c>
      <c r="I13" s="27" t="s">
        <v>10</v>
      </c>
      <c r="J13" s="27" t="s">
        <v>12</v>
      </c>
      <c r="K13" s="27">
        <v>2</v>
      </c>
      <c r="L13" s="27" t="s">
        <v>14</v>
      </c>
      <c r="M13" s="27" t="s">
        <v>14</v>
      </c>
      <c r="N13" s="27" t="s">
        <v>14</v>
      </c>
      <c r="O13" s="27" t="s">
        <v>14</v>
      </c>
      <c r="P13" s="27" t="s">
        <v>14</v>
      </c>
      <c r="Q13" s="27">
        <v>1</v>
      </c>
      <c r="Y13" s="11">
        <f t="shared" si="0"/>
        <v>0</v>
      </c>
    </row>
    <row r="14" spans="1:25" x14ac:dyDescent="0.25">
      <c r="A14" s="11" t="str">
        <f>_xlfn.XLOOKUP(B:B,StatsCP!B:B,StatsCP!A:A,"")</f>
        <v>Henderson</v>
      </c>
      <c r="B14" s="11">
        <v>1</v>
      </c>
      <c r="C14" s="27">
        <v>30</v>
      </c>
      <c r="D14" s="27" t="s">
        <v>10</v>
      </c>
      <c r="E14" s="27" t="s">
        <v>19</v>
      </c>
      <c r="F14" s="27" t="s">
        <v>20</v>
      </c>
      <c r="G14" s="27">
        <v>1</v>
      </c>
      <c r="H14" s="27">
        <v>0</v>
      </c>
      <c r="I14" s="27" t="s">
        <v>10</v>
      </c>
      <c r="J14" s="27" t="s">
        <v>16</v>
      </c>
      <c r="K14" s="27">
        <v>2</v>
      </c>
      <c r="L14" s="27" t="s">
        <v>14</v>
      </c>
      <c r="M14" s="27" t="s">
        <v>14</v>
      </c>
      <c r="N14" s="27" t="s">
        <v>14</v>
      </c>
      <c r="O14" s="27" t="s">
        <v>13</v>
      </c>
      <c r="P14" s="27" t="s">
        <v>14</v>
      </c>
      <c r="Q14" s="27">
        <v>0</v>
      </c>
      <c r="W14" s="11">
        <v>1</v>
      </c>
      <c r="Y14" s="11">
        <f t="shared" si="0"/>
        <v>-0.1</v>
      </c>
    </row>
    <row r="15" spans="1:25" x14ac:dyDescent="0.25">
      <c r="A15" s="11" t="str">
        <f>_xlfn.XLOOKUP(B:B,StatsCP!B:B,StatsCP!A:A,"")</f>
        <v>Lerma</v>
      </c>
      <c r="B15" s="11">
        <v>8</v>
      </c>
      <c r="C15" s="27">
        <v>10</v>
      </c>
      <c r="D15" s="27" t="s">
        <v>10</v>
      </c>
      <c r="E15" s="27" t="s">
        <v>19</v>
      </c>
      <c r="F15" s="27" t="s">
        <v>19</v>
      </c>
      <c r="G15" s="27">
        <v>0</v>
      </c>
      <c r="H15" s="27">
        <v>1</v>
      </c>
      <c r="I15" s="27" t="s">
        <v>10</v>
      </c>
      <c r="J15" s="27" t="s">
        <v>12</v>
      </c>
      <c r="K15" s="27">
        <v>1</v>
      </c>
      <c r="L15" s="27" t="s">
        <v>14</v>
      </c>
      <c r="M15" s="27" t="s">
        <v>13</v>
      </c>
      <c r="N15" s="27" t="s">
        <v>13</v>
      </c>
      <c r="O15" s="27" t="s">
        <v>13</v>
      </c>
      <c r="P15" s="27" t="s">
        <v>14</v>
      </c>
      <c r="Q15" s="27">
        <v>0</v>
      </c>
      <c r="Y15" s="11">
        <f t="shared" si="0"/>
        <v>0</v>
      </c>
    </row>
    <row r="16" spans="1:25" x14ac:dyDescent="0.25">
      <c r="A16" s="11" t="str">
        <f>_xlfn.XLOOKUP(B:B,StatsCP!B:B,StatsCP!A:A,"")</f>
        <v>Lacroix</v>
      </c>
      <c r="B16" s="11">
        <v>5</v>
      </c>
      <c r="C16" s="27">
        <v>10</v>
      </c>
      <c r="D16" s="27" t="s">
        <v>10</v>
      </c>
      <c r="E16" s="27" t="s">
        <v>19</v>
      </c>
      <c r="F16" s="27" t="s">
        <v>19</v>
      </c>
      <c r="G16" s="27">
        <v>0</v>
      </c>
      <c r="H16" s="27">
        <v>0</v>
      </c>
      <c r="I16" s="27" t="s">
        <v>17</v>
      </c>
      <c r="J16" s="27" t="s">
        <v>106</v>
      </c>
      <c r="K16" s="27">
        <v>1</v>
      </c>
      <c r="L16" s="27" t="s">
        <v>14</v>
      </c>
      <c r="M16" s="27" t="s">
        <v>13</v>
      </c>
      <c r="N16" s="27" t="s">
        <v>13</v>
      </c>
      <c r="O16" s="27" t="s">
        <v>13</v>
      </c>
      <c r="P16" s="27" t="s">
        <v>14</v>
      </c>
      <c r="Q16" s="27">
        <v>1</v>
      </c>
      <c r="Y16" s="11">
        <f t="shared" si="0"/>
        <v>0</v>
      </c>
    </row>
    <row r="17" spans="1:25" x14ac:dyDescent="0.25">
      <c r="A17" s="11" t="str">
        <f>_xlfn.XLOOKUP(B:B,StatsCP!B:B,StatsCP!A:A,"")</f>
        <v>Hughes</v>
      </c>
      <c r="B17" s="11">
        <v>19</v>
      </c>
      <c r="C17" s="27">
        <v>5</v>
      </c>
      <c r="D17" s="27" t="s">
        <v>10</v>
      </c>
      <c r="E17" s="27" t="s">
        <v>19</v>
      </c>
      <c r="F17" s="27" t="s">
        <v>19</v>
      </c>
      <c r="G17" s="27">
        <v>0</v>
      </c>
      <c r="H17" s="27">
        <v>0</v>
      </c>
      <c r="I17" s="27" t="s">
        <v>10</v>
      </c>
      <c r="J17" s="27" t="s">
        <v>12</v>
      </c>
      <c r="K17" s="27">
        <v>1</v>
      </c>
      <c r="L17" s="27" t="s">
        <v>14</v>
      </c>
      <c r="M17" s="27" t="s">
        <v>13</v>
      </c>
      <c r="N17" s="27" t="s">
        <v>13</v>
      </c>
      <c r="O17" s="27" t="s">
        <v>13</v>
      </c>
      <c r="P17" s="27" t="s">
        <v>14</v>
      </c>
      <c r="Q17" s="27">
        <v>1</v>
      </c>
      <c r="Y17" s="11">
        <f t="shared" si="0"/>
        <v>0</v>
      </c>
    </row>
    <row r="18" spans="1:25" x14ac:dyDescent="0.25">
      <c r="A18" s="11" t="str">
        <f>_xlfn.XLOOKUP(B:B,StatsCP!B:B,StatsCP!A:A,"")</f>
        <v>Pino</v>
      </c>
      <c r="B18" s="11">
        <v>10</v>
      </c>
      <c r="C18" s="27">
        <v>0</v>
      </c>
      <c r="D18" s="27" t="s">
        <v>10</v>
      </c>
      <c r="E18" s="27" t="s">
        <v>19</v>
      </c>
      <c r="F18" s="27" t="s">
        <v>19</v>
      </c>
      <c r="G18" s="27">
        <v>0</v>
      </c>
      <c r="H18" s="27">
        <v>2</v>
      </c>
      <c r="I18" s="27" t="s">
        <v>10</v>
      </c>
      <c r="J18" s="27" t="s">
        <v>12</v>
      </c>
      <c r="K18" s="27" t="s">
        <v>15</v>
      </c>
      <c r="L18" s="27" t="s">
        <v>14</v>
      </c>
      <c r="M18" s="27" t="s">
        <v>13</v>
      </c>
      <c r="N18" s="27" t="s">
        <v>14</v>
      </c>
      <c r="O18" s="27" t="s">
        <v>14</v>
      </c>
      <c r="P18" s="27" t="s">
        <v>14</v>
      </c>
      <c r="Q18" s="27">
        <v>1</v>
      </c>
      <c r="Y18" s="11">
        <f t="shared" si="0"/>
        <v>0</v>
      </c>
    </row>
    <row r="19" spans="1:25" x14ac:dyDescent="0.25">
      <c r="A19" s="11" t="str">
        <f>_xlfn.XLOOKUP(B:B,StatsCP!B:B,StatsCP!A:A,"")</f>
        <v>Strand Larsen</v>
      </c>
      <c r="B19" s="11">
        <v>22</v>
      </c>
      <c r="C19" s="27">
        <v>0</v>
      </c>
      <c r="D19" s="27" t="s">
        <v>18</v>
      </c>
      <c r="E19" s="27" t="s">
        <v>19</v>
      </c>
      <c r="F19" s="27" t="s">
        <v>19</v>
      </c>
      <c r="G19" s="27">
        <v>0</v>
      </c>
      <c r="H19" s="27">
        <v>0</v>
      </c>
      <c r="I19" s="27" t="s">
        <v>10</v>
      </c>
      <c r="J19" s="27" t="s">
        <v>12</v>
      </c>
      <c r="K19" s="27">
        <v>1</v>
      </c>
      <c r="L19" s="27" t="s">
        <v>14</v>
      </c>
      <c r="M19" s="27" t="s">
        <v>14</v>
      </c>
      <c r="N19" s="27" t="s">
        <v>14</v>
      </c>
      <c r="O19" s="27" t="s">
        <v>14</v>
      </c>
      <c r="P19" s="27" t="s">
        <v>14</v>
      </c>
      <c r="Q19" s="27">
        <v>1</v>
      </c>
      <c r="Y19" s="11">
        <f t="shared" si="0"/>
        <v>0</v>
      </c>
    </row>
    <row r="20" spans="1:25" x14ac:dyDescent="0.25">
      <c r="A20" s="11" t="str">
        <f>_xlfn.XLOOKUP(B:B,StatsCP!B:B,StatsCP!A:A,"")</f>
        <v>Pino</v>
      </c>
      <c r="B20" s="11">
        <v>10</v>
      </c>
      <c r="C20" s="27">
        <v>0</v>
      </c>
      <c r="D20" s="27" t="s">
        <v>10</v>
      </c>
      <c r="E20" s="27" t="s">
        <v>11</v>
      </c>
      <c r="F20" s="27" t="s">
        <v>11</v>
      </c>
      <c r="G20" s="27">
        <v>0</v>
      </c>
      <c r="H20" s="27">
        <v>1</v>
      </c>
      <c r="I20" s="27" t="s">
        <v>10</v>
      </c>
      <c r="J20" s="27" t="s">
        <v>12</v>
      </c>
      <c r="K20" s="27">
        <v>2</v>
      </c>
      <c r="L20" s="27" t="s">
        <v>14</v>
      </c>
      <c r="M20" s="27" t="s">
        <v>14</v>
      </c>
      <c r="N20" s="27" t="s">
        <v>14</v>
      </c>
      <c r="O20" s="27" t="s">
        <v>14</v>
      </c>
      <c r="P20" s="27" t="s">
        <v>14</v>
      </c>
      <c r="Q20" s="27">
        <v>0</v>
      </c>
      <c r="W20" s="11">
        <v>1</v>
      </c>
      <c r="Y20" s="11">
        <f t="shared" si="0"/>
        <v>-0.1</v>
      </c>
    </row>
    <row r="21" spans="1:25" x14ac:dyDescent="0.25">
      <c r="A21" s="11" t="str">
        <f>_xlfn.XLOOKUP(B:B,StatsCP!B:B,StatsCP!A:A,"")</f>
        <v>Richards</v>
      </c>
      <c r="B21" s="11">
        <v>26</v>
      </c>
      <c r="C21" s="11">
        <v>5</v>
      </c>
      <c r="D21" s="11" t="s">
        <v>14</v>
      </c>
      <c r="E21" s="11" t="s">
        <v>19</v>
      </c>
      <c r="F21" s="11" t="s">
        <v>19</v>
      </c>
      <c r="G21" s="11">
        <v>0</v>
      </c>
      <c r="H21" s="11">
        <v>0</v>
      </c>
      <c r="I21" s="11" t="s">
        <v>17</v>
      </c>
      <c r="J21" s="11" t="s">
        <v>106</v>
      </c>
      <c r="K21" s="11">
        <v>1</v>
      </c>
      <c r="L21" s="11" t="s">
        <v>14</v>
      </c>
      <c r="M21" s="11" t="s">
        <v>13</v>
      </c>
      <c r="N21" s="11" t="s">
        <v>13</v>
      </c>
      <c r="O21" s="11" t="s">
        <v>14</v>
      </c>
      <c r="P21" s="11" t="s">
        <v>14</v>
      </c>
      <c r="Q21" s="11">
        <v>1</v>
      </c>
      <c r="Y21" s="11">
        <f t="shared" si="0"/>
        <v>0</v>
      </c>
    </row>
    <row r="22" spans="1:25" x14ac:dyDescent="0.25">
      <c r="A22" s="11" t="str">
        <f>_xlfn.XLOOKUP(B:B,StatsCP!B:B,StatsCP!A:A,"")</f>
        <v>Lerma</v>
      </c>
      <c r="B22" s="11">
        <v>8</v>
      </c>
      <c r="C22" s="11">
        <v>0</v>
      </c>
      <c r="D22" s="11" t="s">
        <v>14</v>
      </c>
      <c r="E22" s="11" t="s">
        <v>19</v>
      </c>
      <c r="F22" s="11" t="s">
        <v>19</v>
      </c>
      <c r="G22" s="11">
        <v>0</v>
      </c>
      <c r="H22" s="11">
        <v>0</v>
      </c>
      <c r="I22" s="11" t="s">
        <v>10</v>
      </c>
      <c r="J22" s="11" t="s">
        <v>12</v>
      </c>
      <c r="K22" s="11" t="s">
        <v>15</v>
      </c>
      <c r="L22" s="11" t="s">
        <v>14</v>
      </c>
      <c r="M22" s="11" t="s">
        <v>14</v>
      </c>
      <c r="N22" s="11" t="s">
        <v>14</v>
      </c>
      <c r="O22" s="11" t="s">
        <v>14</v>
      </c>
      <c r="P22" s="11" t="s">
        <v>14</v>
      </c>
      <c r="Q22" s="11">
        <v>1</v>
      </c>
      <c r="Y22" s="11">
        <f t="shared" si="0"/>
        <v>0</v>
      </c>
    </row>
    <row r="23" spans="1:25" x14ac:dyDescent="0.25">
      <c r="A23" s="11" t="str">
        <f>_xlfn.XLOOKUP(B:B,StatsCP!B:B,StatsCP!A:A,"")</f>
        <v>Hughes</v>
      </c>
      <c r="B23" s="11">
        <v>19</v>
      </c>
      <c r="C23" s="11">
        <v>10</v>
      </c>
      <c r="D23" s="11" t="s">
        <v>18</v>
      </c>
      <c r="E23" s="11" t="s">
        <v>19</v>
      </c>
      <c r="F23" s="11" t="s">
        <v>19</v>
      </c>
      <c r="G23" s="11">
        <v>0</v>
      </c>
      <c r="H23" s="11">
        <v>0</v>
      </c>
      <c r="I23" s="11" t="s">
        <v>10</v>
      </c>
      <c r="J23" s="11" t="s">
        <v>12</v>
      </c>
      <c r="K23" s="11" t="s">
        <v>15</v>
      </c>
      <c r="Q23" s="11">
        <v>1</v>
      </c>
      <c r="Y23" s="11">
        <f t="shared" si="0"/>
        <v>0</v>
      </c>
    </row>
    <row r="24" spans="1:25" x14ac:dyDescent="0.25">
      <c r="A24" s="11" t="str">
        <f>_xlfn.XLOOKUP(B:B,StatsCP!B:B,StatsCP!A:A,"")</f>
        <v>Lacroix</v>
      </c>
      <c r="B24" s="11">
        <v>5</v>
      </c>
      <c r="C24" s="11">
        <v>10</v>
      </c>
      <c r="D24" s="11" t="s">
        <v>10</v>
      </c>
      <c r="E24" s="11" t="s">
        <v>19</v>
      </c>
      <c r="F24" s="11" t="s">
        <v>19</v>
      </c>
      <c r="G24" s="11">
        <v>0</v>
      </c>
      <c r="H24" s="11">
        <v>0</v>
      </c>
      <c r="I24" s="11" t="s">
        <v>10</v>
      </c>
      <c r="J24" s="11" t="s">
        <v>12</v>
      </c>
      <c r="K24" s="11">
        <v>2</v>
      </c>
      <c r="Q24" s="11">
        <v>1</v>
      </c>
      <c r="Y24" s="11">
        <f t="shared" si="0"/>
        <v>0</v>
      </c>
    </row>
    <row r="25" spans="1:25" x14ac:dyDescent="0.25">
      <c r="A25" s="11" t="str">
        <f>_xlfn.XLOOKUP(B:B,StatsCP!B:B,StatsCP!A:A,"")</f>
        <v>Mitchell</v>
      </c>
      <c r="B25" s="11">
        <v>3</v>
      </c>
      <c r="C25" s="11">
        <v>0</v>
      </c>
      <c r="D25" s="11" t="s">
        <v>18</v>
      </c>
      <c r="E25" s="11" t="s">
        <v>19</v>
      </c>
      <c r="F25" s="11" t="s">
        <v>19</v>
      </c>
      <c r="G25" s="11">
        <v>0</v>
      </c>
      <c r="H25" s="11">
        <v>0</v>
      </c>
      <c r="I25" s="11" t="s">
        <v>10</v>
      </c>
      <c r="J25" s="11" t="s">
        <v>12</v>
      </c>
      <c r="K25" s="11" t="s">
        <v>15</v>
      </c>
      <c r="Q25" s="11">
        <v>1</v>
      </c>
      <c r="Y25" s="11">
        <f t="shared" si="0"/>
        <v>0</v>
      </c>
    </row>
    <row r="26" spans="1:25" x14ac:dyDescent="0.25">
      <c r="A26" s="11" t="str">
        <f>_xlfn.XLOOKUP(B:B,StatsCP!B:B,StatsCP!A:A,"")</f>
        <v>Lerma</v>
      </c>
      <c r="B26" s="11">
        <v>8</v>
      </c>
      <c r="C26" s="11">
        <v>30</v>
      </c>
      <c r="D26" s="11" t="s">
        <v>10</v>
      </c>
      <c r="E26" s="11" t="s">
        <v>11</v>
      </c>
      <c r="F26" s="11" t="s">
        <v>19</v>
      </c>
      <c r="G26" s="11">
        <v>0</v>
      </c>
      <c r="H26" s="11">
        <v>1</v>
      </c>
      <c r="I26" s="11" t="s">
        <v>10</v>
      </c>
      <c r="J26" s="11" t="s">
        <v>12</v>
      </c>
      <c r="K26" s="11">
        <v>2</v>
      </c>
      <c r="N26" s="11" t="s">
        <v>13</v>
      </c>
      <c r="O26" s="11" t="s">
        <v>13</v>
      </c>
      <c r="P26" s="11" t="s">
        <v>13</v>
      </c>
      <c r="Q26" s="11">
        <v>1</v>
      </c>
      <c r="V26" s="11">
        <v>1</v>
      </c>
      <c r="Y26" s="11">
        <f t="shared" si="0"/>
        <v>0.05</v>
      </c>
    </row>
    <row r="27" spans="1:25" x14ac:dyDescent="0.25">
      <c r="A27" s="11" t="str">
        <f>_xlfn.XLOOKUP(B:B,StatsCP!B:B,StatsCP!A:A,"")</f>
        <v>Munoz</v>
      </c>
      <c r="B27" s="11">
        <v>2</v>
      </c>
      <c r="C27" s="11">
        <v>10</v>
      </c>
      <c r="D27" s="11" t="s">
        <v>18</v>
      </c>
      <c r="E27" s="11" t="s">
        <v>11</v>
      </c>
      <c r="F27" s="11" t="s">
        <v>11</v>
      </c>
      <c r="G27" s="11">
        <v>0</v>
      </c>
      <c r="H27" s="11">
        <v>0</v>
      </c>
      <c r="I27" s="11" t="s">
        <v>10</v>
      </c>
      <c r="J27" s="11" t="s">
        <v>12</v>
      </c>
      <c r="K27" s="11">
        <v>2</v>
      </c>
      <c r="L27" s="11" t="s">
        <v>14</v>
      </c>
      <c r="M27" s="11" t="s">
        <v>13</v>
      </c>
      <c r="N27" s="11" t="s">
        <v>14</v>
      </c>
      <c r="O27" s="11" t="s">
        <v>14</v>
      </c>
      <c r="P27" s="11" t="s">
        <v>14</v>
      </c>
      <c r="Q27" s="11">
        <v>1</v>
      </c>
      <c r="Y27" s="11">
        <f t="shared" si="0"/>
        <v>0</v>
      </c>
    </row>
    <row r="28" spans="1:25" x14ac:dyDescent="0.25">
      <c r="A28" s="11" t="str">
        <f>_xlfn.XLOOKUP(B:B,StatsCP!B:B,StatsCP!A:A,"")</f>
        <v>Johnson</v>
      </c>
      <c r="B28" s="11">
        <v>11</v>
      </c>
      <c r="C28" s="11">
        <v>5</v>
      </c>
      <c r="D28" s="11" t="s">
        <v>14</v>
      </c>
      <c r="E28" s="11" t="s">
        <v>11</v>
      </c>
      <c r="F28" s="11" t="s">
        <v>11</v>
      </c>
      <c r="G28" s="11">
        <v>0</v>
      </c>
      <c r="H28" s="11">
        <v>0</v>
      </c>
      <c r="I28" s="11" t="s">
        <v>10</v>
      </c>
      <c r="J28" s="11" t="s">
        <v>12</v>
      </c>
      <c r="K28" s="11">
        <v>1</v>
      </c>
      <c r="Q28" s="11">
        <v>1</v>
      </c>
      <c r="Y28" s="11">
        <f t="shared" si="0"/>
        <v>0</v>
      </c>
    </row>
    <row r="29" spans="1:25" x14ac:dyDescent="0.25">
      <c r="A29" s="11" t="str">
        <f>_xlfn.XLOOKUP(B:B,StatsCP!B:B,StatsCP!A:A,"")</f>
        <v>Munoz</v>
      </c>
      <c r="B29" s="11">
        <v>2</v>
      </c>
      <c r="C29" s="11">
        <v>10</v>
      </c>
      <c r="D29" s="11" t="s">
        <v>18</v>
      </c>
      <c r="E29" s="11" t="s">
        <v>19</v>
      </c>
      <c r="F29" s="11" t="s">
        <v>11</v>
      </c>
      <c r="G29" s="11">
        <v>0</v>
      </c>
      <c r="H29" s="11">
        <v>0</v>
      </c>
      <c r="I29" s="11" t="s">
        <v>10</v>
      </c>
      <c r="J29" s="11" t="s">
        <v>16</v>
      </c>
      <c r="K29" s="11">
        <v>2</v>
      </c>
      <c r="Q29" s="11">
        <v>1</v>
      </c>
      <c r="Y29" s="11">
        <f t="shared" si="0"/>
        <v>0</v>
      </c>
    </row>
    <row r="30" spans="1:25" x14ac:dyDescent="0.25">
      <c r="A30" s="11" t="str">
        <f>_xlfn.XLOOKUP(B:B,StatsCP!B:B,StatsCP!A:A,"")</f>
        <v>Richards</v>
      </c>
      <c r="B30" s="11">
        <v>26</v>
      </c>
      <c r="C30" s="11">
        <v>10</v>
      </c>
      <c r="D30" s="11" t="s">
        <v>14</v>
      </c>
      <c r="E30" s="11" t="s">
        <v>19</v>
      </c>
      <c r="F30" s="11" t="s">
        <v>19</v>
      </c>
      <c r="G30" s="11">
        <v>0</v>
      </c>
      <c r="H30" s="11">
        <v>0</v>
      </c>
      <c r="I30" s="11" t="s">
        <v>10</v>
      </c>
      <c r="J30" s="11" t="s">
        <v>12</v>
      </c>
      <c r="K30" s="11">
        <v>2</v>
      </c>
      <c r="Q30" s="11">
        <v>1</v>
      </c>
      <c r="Y30" s="11">
        <f t="shared" si="0"/>
        <v>0</v>
      </c>
    </row>
    <row r="31" spans="1:25" x14ac:dyDescent="0.25">
      <c r="A31" s="11" t="str">
        <f>_xlfn.XLOOKUP(B:B,StatsCP!B:B,StatsCP!A:A,"")</f>
        <v>Lerma</v>
      </c>
      <c r="B31" s="11">
        <v>8</v>
      </c>
      <c r="C31" s="11">
        <v>5</v>
      </c>
      <c r="D31" s="11" t="s">
        <v>18</v>
      </c>
      <c r="E31" s="11" t="s">
        <v>19</v>
      </c>
      <c r="F31" s="11" t="s">
        <v>19</v>
      </c>
      <c r="G31" s="11">
        <v>0</v>
      </c>
      <c r="H31" s="11">
        <v>0</v>
      </c>
      <c r="I31" s="11" t="s">
        <v>10</v>
      </c>
      <c r="J31" s="11" t="s">
        <v>12</v>
      </c>
      <c r="K31" s="11">
        <v>2</v>
      </c>
      <c r="Q31" s="11">
        <v>1</v>
      </c>
      <c r="Y31" s="11">
        <f t="shared" si="0"/>
        <v>0</v>
      </c>
    </row>
    <row r="32" spans="1:25" x14ac:dyDescent="0.25">
      <c r="A32" s="11" t="str">
        <f>_xlfn.XLOOKUP(B:B,StatsCP!B:B,StatsCP!A:A,"")</f>
        <v>Richards</v>
      </c>
      <c r="B32" s="11">
        <v>26</v>
      </c>
      <c r="C32" s="11">
        <v>20</v>
      </c>
      <c r="D32" s="11" t="s">
        <v>14</v>
      </c>
      <c r="E32" s="11" t="s">
        <v>19</v>
      </c>
      <c r="F32" s="11" t="s">
        <v>19</v>
      </c>
      <c r="G32" s="11">
        <v>0</v>
      </c>
      <c r="H32" s="11">
        <v>0</v>
      </c>
      <c r="I32" s="11" t="s">
        <v>10</v>
      </c>
      <c r="J32" s="11" t="s">
        <v>16</v>
      </c>
      <c r="K32" s="11">
        <v>2</v>
      </c>
      <c r="Q32" s="11">
        <v>1</v>
      </c>
      <c r="Y32" s="11">
        <f t="shared" si="0"/>
        <v>0</v>
      </c>
    </row>
    <row r="33" spans="1:25" x14ac:dyDescent="0.25">
      <c r="A33" s="11" t="str">
        <f>_xlfn.XLOOKUP(B:B,StatsCP!B:B,StatsCP!A:A,"")</f>
        <v>Lacroix</v>
      </c>
      <c r="B33" s="11">
        <v>5</v>
      </c>
      <c r="C33" s="11">
        <v>10</v>
      </c>
      <c r="D33" s="11" t="s">
        <v>10</v>
      </c>
      <c r="E33" s="11" t="s">
        <v>19</v>
      </c>
      <c r="F33" s="11" t="s">
        <v>19</v>
      </c>
      <c r="G33" s="11">
        <v>0</v>
      </c>
      <c r="H33" s="11">
        <v>0</v>
      </c>
      <c r="I33" s="11" t="s">
        <v>10</v>
      </c>
      <c r="J33" s="11" t="s">
        <v>12</v>
      </c>
      <c r="K33" s="11" t="s">
        <v>15</v>
      </c>
      <c r="Q33" s="11">
        <v>1</v>
      </c>
      <c r="Y33" s="11">
        <f t="shared" si="0"/>
        <v>0</v>
      </c>
    </row>
    <row r="34" spans="1:25" x14ac:dyDescent="0.25">
      <c r="A34" s="11" t="str">
        <f>_xlfn.XLOOKUP(B:B,StatsCP!B:B,StatsCP!A:A,"")</f>
        <v>Canvot</v>
      </c>
      <c r="B34" s="11">
        <v>23</v>
      </c>
      <c r="C34" s="11">
        <v>10</v>
      </c>
      <c r="D34" s="11" t="s">
        <v>10</v>
      </c>
      <c r="E34" s="11" t="s">
        <v>19</v>
      </c>
      <c r="F34" s="11" t="s">
        <v>19</v>
      </c>
      <c r="G34" s="11">
        <v>0</v>
      </c>
      <c r="H34" s="11">
        <v>0</v>
      </c>
      <c r="I34" s="11" t="s">
        <v>10</v>
      </c>
      <c r="J34" s="11" t="s">
        <v>16</v>
      </c>
      <c r="K34" s="11">
        <v>2</v>
      </c>
      <c r="Q34" s="11">
        <v>1</v>
      </c>
      <c r="Y34" s="11">
        <f t="shared" si="0"/>
        <v>0</v>
      </c>
    </row>
    <row r="35" spans="1:25" x14ac:dyDescent="0.25">
      <c r="A35" s="11" t="str">
        <f>_xlfn.XLOOKUP(B:B,StatsCP!B:B,StatsCP!A:A,"")</f>
        <v>Mitchell</v>
      </c>
      <c r="B35" s="11">
        <v>3</v>
      </c>
      <c r="C35" s="11">
        <v>0</v>
      </c>
      <c r="D35" s="11" t="s">
        <v>14</v>
      </c>
      <c r="E35" s="11" t="s">
        <v>19</v>
      </c>
      <c r="F35" s="11" t="s">
        <v>19</v>
      </c>
      <c r="G35" s="11">
        <v>0</v>
      </c>
      <c r="H35" s="11">
        <v>1</v>
      </c>
      <c r="I35" s="11" t="s">
        <v>10</v>
      </c>
      <c r="J35" s="11" t="s">
        <v>12</v>
      </c>
      <c r="K35" s="11">
        <v>1</v>
      </c>
      <c r="L35" s="11" t="s">
        <v>14</v>
      </c>
      <c r="M35" s="11" t="s">
        <v>14</v>
      </c>
      <c r="N35" s="11" t="s">
        <v>14</v>
      </c>
      <c r="O35" s="11" t="s">
        <v>14</v>
      </c>
      <c r="P35" s="11" t="s">
        <v>14</v>
      </c>
      <c r="Q35" s="11">
        <v>1</v>
      </c>
      <c r="Y35" s="11">
        <f t="shared" si="0"/>
        <v>0</v>
      </c>
    </row>
    <row r="36" spans="1:25" x14ac:dyDescent="0.25">
      <c r="A36" s="11" t="str">
        <f>_xlfn.XLOOKUP(B:B,StatsCP!B:B,StatsCP!A:A,"")</f>
        <v>Pino</v>
      </c>
      <c r="B36" s="11">
        <v>10</v>
      </c>
      <c r="C36" s="11">
        <v>5</v>
      </c>
      <c r="D36" s="11" t="s">
        <v>18</v>
      </c>
      <c r="E36" s="11" t="s">
        <v>19</v>
      </c>
      <c r="F36" s="11" t="s">
        <v>19</v>
      </c>
      <c r="G36" s="11">
        <v>0</v>
      </c>
      <c r="H36" s="11">
        <v>1</v>
      </c>
      <c r="I36" s="11" t="s">
        <v>10</v>
      </c>
      <c r="J36" s="11" t="s">
        <v>12</v>
      </c>
      <c r="K36" s="11">
        <v>2</v>
      </c>
      <c r="Q36" s="11">
        <v>1</v>
      </c>
      <c r="Y36" s="11">
        <f t="shared" si="0"/>
        <v>0</v>
      </c>
    </row>
    <row r="37" spans="1:25" x14ac:dyDescent="0.25">
      <c r="A37" s="11" t="str">
        <f>_xlfn.XLOOKUP(B:B,StatsCP!B:B,StatsCP!A:A,"")</f>
        <v>Lerma</v>
      </c>
      <c r="B37" s="11">
        <v>8</v>
      </c>
      <c r="C37" s="11">
        <v>10</v>
      </c>
      <c r="D37" s="11" t="s">
        <v>10</v>
      </c>
      <c r="E37" s="11" t="s">
        <v>19</v>
      </c>
      <c r="F37" s="11" t="s">
        <v>19</v>
      </c>
      <c r="G37" s="11">
        <v>1</v>
      </c>
      <c r="H37" s="11">
        <v>0</v>
      </c>
      <c r="I37" s="11" t="s">
        <v>10</v>
      </c>
      <c r="J37" s="11" t="s">
        <v>12</v>
      </c>
      <c r="K37" s="11">
        <v>2</v>
      </c>
      <c r="Q37" s="11">
        <v>1</v>
      </c>
      <c r="Y37" s="11">
        <f t="shared" si="0"/>
        <v>0</v>
      </c>
    </row>
    <row r="38" spans="1:25" x14ac:dyDescent="0.25">
      <c r="A38" s="11" t="str">
        <f>_xlfn.XLOOKUP(B:B,StatsCP!B:B,StatsCP!A:A,"")</f>
        <v>Strand Larsen</v>
      </c>
      <c r="B38" s="11">
        <v>22</v>
      </c>
      <c r="C38" s="11">
        <v>5</v>
      </c>
      <c r="D38" s="11" t="s">
        <v>18</v>
      </c>
      <c r="E38" s="11" t="s">
        <v>19</v>
      </c>
      <c r="F38" s="11" t="s">
        <v>19</v>
      </c>
      <c r="G38" s="11">
        <v>0</v>
      </c>
      <c r="H38" s="11">
        <v>1</v>
      </c>
      <c r="I38" s="11" t="s">
        <v>10</v>
      </c>
      <c r="J38" s="11" t="s">
        <v>12</v>
      </c>
      <c r="K38" s="11">
        <v>2</v>
      </c>
      <c r="Q38" s="11">
        <v>0</v>
      </c>
      <c r="W38" s="11">
        <v>1</v>
      </c>
      <c r="Y38" s="11">
        <f t="shared" si="0"/>
        <v>-0.1</v>
      </c>
    </row>
    <row r="39" spans="1:25" x14ac:dyDescent="0.25">
      <c r="A39" s="11" t="str">
        <f>_xlfn.XLOOKUP(B:B,StatsCP!B:B,StatsCP!A:A,"")</f>
        <v>Lacroix</v>
      </c>
      <c r="B39" s="11">
        <v>5</v>
      </c>
      <c r="C39" s="11">
        <v>5</v>
      </c>
      <c r="D39" s="11" t="s">
        <v>10</v>
      </c>
      <c r="E39" s="11" t="s">
        <v>19</v>
      </c>
      <c r="F39" s="11" t="s">
        <v>19</v>
      </c>
      <c r="G39" s="11">
        <v>0</v>
      </c>
      <c r="H39" s="11">
        <v>0</v>
      </c>
      <c r="I39" s="11" t="s">
        <v>17</v>
      </c>
      <c r="J39" s="11" t="s">
        <v>106</v>
      </c>
      <c r="K39" s="11">
        <v>1</v>
      </c>
      <c r="M39" s="11" t="s">
        <v>13</v>
      </c>
      <c r="N39" s="11" t="s">
        <v>13</v>
      </c>
      <c r="O39" s="11" t="s">
        <v>14</v>
      </c>
      <c r="Q39" s="11">
        <v>1</v>
      </c>
      <c r="Y39" s="11">
        <f t="shared" si="0"/>
        <v>0</v>
      </c>
    </row>
    <row r="40" spans="1:25" x14ac:dyDescent="0.25">
      <c r="A40" s="11" t="str">
        <f>_xlfn.XLOOKUP(B:B,StatsCP!B:B,StatsCP!A:A,"")</f>
        <v>Canvot</v>
      </c>
      <c r="B40" s="11">
        <v>23</v>
      </c>
      <c r="C40" s="11">
        <v>10</v>
      </c>
      <c r="D40" s="11" t="s">
        <v>18</v>
      </c>
      <c r="E40" s="11" t="s">
        <v>19</v>
      </c>
      <c r="F40" s="11" t="s">
        <v>19</v>
      </c>
      <c r="G40" s="11">
        <v>0</v>
      </c>
      <c r="H40" s="11">
        <v>0</v>
      </c>
      <c r="I40" s="11" t="s">
        <v>10</v>
      </c>
      <c r="J40" s="11" t="s">
        <v>12</v>
      </c>
      <c r="K40" s="11" t="s">
        <v>15</v>
      </c>
      <c r="Q40" s="11">
        <v>1</v>
      </c>
      <c r="Y40" s="11">
        <f t="shared" si="0"/>
        <v>0</v>
      </c>
    </row>
    <row r="41" spans="1:25" x14ac:dyDescent="0.25">
      <c r="A41" s="11" t="str">
        <f>_xlfn.XLOOKUP(B:B,StatsCP!B:B,StatsCP!A:A,"")</f>
        <v>Lacroix</v>
      </c>
      <c r="B41" s="11">
        <v>5</v>
      </c>
      <c r="C41" s="11">
        <v>10</v>
      </c>
      <c r="D41" s="11" t="s">
        <v>10</v>
      </c>
      <c r="E41" s="11" t="s">
        <v>19</v>
      </c>
      <c r="F41" s="11" t="s">
        <v>19</v>
      </c>
      <c r="G41" s="11">
        <v>0</v>
      </c>
      <c r="H41" s="11">
        <v>0</v>
      </c>
      <c r="I41" s="11" t="s">
        <v>10</v>
      </c>
      <c r="J41" s="11" t="s">
        <v>12</v>
      </c>
      <c r="K41" s="11">
        <v>2</v>
      </c>
      <c r="Q41" s="11">
        <v>1</v>
      </c>
      <c r="Y41" s="11">
        <f t="shared" si="0"/>
        <v>0</v>
      </c>
    </row>
    <row r="42" spans="1:25" x14ac:dyDescent="0.25">
      <c r="A42" s="11" t="str">
        <f>_xlfn.XLOOKUP(B:B,StatsCP!B:B,StatsCP!A:A,"")</f>
        <v>Canvot</v>
      </c>
      <c r="B42" s="11">
        <v>23</v>
      </c>
      <c r="C42" s="11">
        <v>10</v>
      </c>
      <c r="D42" s="11" t="s">
        <v>18</v>
      </c>
      <c r="E42" s="11" t="s">
        <v>19</v>
      </c>
      <c r="F42" s="11" t="s">
        <v>19</v>
      </c>
      <c r="G42" s="11">
        <v>0</v>
      </c>
      <c r="H42" s="11">
        <v>0</v>
      </c>
      <c r="I42" s="11" t="s">
        <v>10</v>
      </c>
      <c r="J42" s="11" t="s">
        <v>12</v>
      </c>
      <c r="K42" s="11" t="s">
        <v>15</v>
      </c>
      <c r="Q42" s="11">
        <v>1</v>
      </c>
      <c r="Y42" s="11">
        <f t="shared" si="0"/>
        <v>0</v>
      </c>
    </row>
    <row r="43" spans="1:25" x14ac:dyDescent="0.25">
      <c r="A43" s="11" t="str">
        <f>_xlfn.XLOOKUP(B:B,StatsCP!B:B,StatsCP!A:A,"")</f>
        <v>Lacroix</v>
      </c>
      <c r="B43" s="11">
        <v>5</v>
      </c>
      <c r="C43" s="11">
        <v>10</v>
      </c>
      <c r="D43" s="11" t="s">
        <v>10</v>
      </c>
      <c r="E43" s="11" t="s">
        <v>19</v>
      </c>
      <c r="F43" s="11" t="s">
        <v>19</v>
      </c>
      <c r="G43" s="11">
        <v>0</v>
      </c>
      <c r="H43" s="11">
        <v>0</v>
      </c>
      <c r="I43" s="11" t="s">
        <v>10</v>
      </c>
      <c r="J43" s="11" t="s">
        <v>12</v>
      </c>
      <c r="K43" s="11">
        <v>2</v>
      </c>
      <c r="Q43" s="11">
        <v>1</v>
      </c>
      <c r="Y43" s="11">
        <f t="shared" si="0"/>
        <v>0</v>
      </c>
    </row>
    <row r="44" spans="1:25" x14ac:dyDescent="0.25">
      <c r="A44" s="11" t="str">
        <f>_xlfn.XLOOKUP(B:B,StatsCP!B:B,StatsCP!A:A,"")</f>
        <v>Pino</v>
      </c>
      <c r="B44" s="11">
        <v>10</v>
      </c>
      <c r="C44" s="11">
        <v>0</v>
      </c>
      <c r="D44" s="11" t="s">
        <v>18</v>
      </c>
      <c r="E44" s="11" t="s">
        <v>19</v>
      </c>
      <c r="F44" s="11" t="s">
        <v>19</v>
      </c>
      <c r="G44" s="11">
        <v>0</v>
      </c>
      <c r="H44" s="11">
        <v>0</v>
      </c>
      <c r="I44" s="11" t="s">
        <v>10</v>
      </c>
      <c r="J44" s="11" t="s">
        <v>12</v>
      </c>
      <c r="K44" s="11">
        <v>2</v>
      </c>
      <c r="Q44" s="11">
        <v>1</v>
      </c>
      <c r="Y44" s="11">
        <f t="shared" si="0"/>
        <v>0</v>
      </c>
    </row>
    <row r="45" spans="1:25" x14ac:dyDescent="0.25">
      <c r="A45" s="11" t="str">
        <f>_xlfn.XLOOKUP(B:B,StatsCP!B:B,StatsCP!A:A,"")</f>
        <v>Lerma</v>
      </c>
      <c r="B45" s="11">
        <v>8</v>
      </c>
      <c r="C45" s="11">
        <v>0</v>
      </c>
      <c r="D45" s="11" t="s">
        <v>10</v>
      </c>
      <c r="E45" s="11" t="s">
        <v>19</v>
      </c>
      <c r="F45" s="11" t="s">
        <v>19</v>
      </c>
      <c r="G45" s="11">
        <v>0</v>
      </c>
      <c r="H45" s="11">
        <v>1</v>
      </c>
      <c r="I45" s="11" t="s">
        <v>10</v>
      </c>
      <c r="J45" s="11" t="s">
        <v>16</v>
      </c>
      <c r="K45" s="11">
        <v>1</v>
      </c>
      <c r="Q45" s="11">
        <v>0</v>
      </c>
      <c r="W45" s="11">
        <v>1</v>
      </c>
      <c r="Y45" s="11">
        <f t="shared" si="0"/>
        <v>-0.1</v>
      </c>
    </row>
    <row r="46" spans="1:25" x14ac:dyDescent="0.25">
      <c r="A46" s="11" t="str">
        <f>_xlfn.XLOOKUP(B:B,StatsCP!B:B,StatsCP!A:A,"")</f>
        <v>Hughes</v>
      </c>
      <c r="B46" s="11">
        <v>19</v>
      </c>
      <c r="C46" s="11">
        <v>5</v>
      </c>
      <c r="D46" s="11" t="s">
        <v>10</v>
      </c>
      <c r="E46" s="11" t="s">
        <v>19</v>
      </c>
      <c r="F46" s="11" t="s">
        <v>19</v>
      </c>
      <c r="G46" s="11">
        <v>0</v>
      </c>
      <c r="H46" s="11">
        <v>2</v>
      </c>
      <c r="I46" s="11" t="s">
        <v>10</v>
      </c>
      <c r="J46" s="11" t="s">
        <v>16</v>
      </c>
      <c r="K46" s="11" t="s">
        <v>15</v>
      </c>
      <c r="Q46" s="11">
        <v>1</v>
      </c>
      <c r="V46" s="11">
        <v>1</v>
      </c>
      <c r="Y46" s="11">
        <f t="shared" si="0"/>
        <v>0.05</v>
      </c>
    </row>
    <row r="47" spans="1:25" x14ac:dyDescent="0.25">
      <c r="A47" s="11" t="str">
        <f>_xlfn.XLOOKUP(B:B,StatsCP!B:B,StatsCP!A:A,"")</f>
        <v>Pino</v>
      </c>
      <c r="B47" s="11">
        <v>10</v>
      </c>
      <c r="C47" s="11">
        <v>5</v>
      </c>
      <c r="D47" s="11" t="s">
        <v>18</v>
      </c>
      <c r="E47" s="11" t="s">
        <v>19</v>
      </c>
      <c r="F47" s="11" t="s">
        <v>11</v>
      </c>
      <c r="G47" s="11">
        <v>0</v>
      </c>
      <c r="H47" s="11">
        <v>0</v>
      </c>
      <c r="I47" s="11" t="s">
        <v>10</v>
      </c>
      <c r="J47" s="11" t="s">
        <v>12</v>
      </c>
      <c r="K47" s="11" t="s">
        <v>15</v>
      </c>
      <c r="Q47" s="11">
        <v>1</v>
      </c>
      <c r="Y47" s="11">
        <f t="shared" si="0"/>
        <v>0</v>
      </c>
    </row>
    <row r="48" spans="1:25" x14ac:dyDescent="0.25">
      <c r="A48" s="11" t="str">
        <f>_xlfn.XLOOKUP(B:B,StatsCP!B:B,StatsCP!A:A,"")</f>
        <v>Lerma</v>
      </c>
      <c r="B48" s="11">
        <v>8</v>
      </c>
      <c r="C48" s="11">
        <v>5</v>
      </c>
      <c r="D48" s="11" t="s">
        <v>18</v>
      </c>
      <c r="E48" s="11" t="s">
        <v>19</v>
      </c>
      <c r="F48" s="11" t="s">
        <v>19</v>
      </c>
      <c r="G48" s="11">
        <v>0</v>
      </c>
      <c r="H48" s="11">
        <v>0</v>
      </c>
      <c r="I48" s="11" t="s">
        <v>10</v>
      </c>
      <c r="J48" s="11" t="s">
        <v>12</v>
      </c>
      <c r="K48" s="11">
        <v>1</v>
      </c>
      <c r="Q48" s="11">
        <v>1</v>
      </c>
      <c r="Y48" s="11">
        <f t="shared" si="0"/>
        <v>0</v>
      </c>
    </row>
    <row r="49" spans="1:25" x14ac:dyDescent="0.25">
      <c r="A49" s="11" t="str">
        <f>_xlfn.XLOOKUP(B:B,StatsCP!B:B,StatsCP!A:A,"")</f>
        <v>Richards</v>
      </c>
      <c r="B49" s="11">
        <v>26</v>
      </c>
      <c r="C49" s="11">
        <v>10</v>
      </c>
      <c r="D49" s="11" t="s">
        <v>10</v>
      </c>
      <c r="E49" s="11" t="s">
        <v>11</v>
      </c>
      <c r="F49" s="11" t="s">
        <v>19</v>
      </c>
      <c r="G49" s="11">
        <v>0</v>
      </c>
      <c r="H49" s="11">
        <v>0</v>
      </c>
      <c r="I49" s="11" t="s">
        <v>10</v>
      </c>
      <c r="J49" s="11" t="s">
        <v>12</v>
      </c>
      <c r="K49" s="11" t="s">
        <v>15</v>
      </c>
      <c r="Q49" s="11">
        <v>1</v>
      </c>
      <c r="Y49" s="11">
        <f t="shared" si="0"/>
        <v>0</v>
      </c>
    </row>
    <row r="50" spans="1:25" x14ac:dyDescent="0.25">
      <c r="A50" s="11" t="str">
        <f>_xlfn.XLOOKUP(B:B,StatsCP!B:B,StatsCP!A:A,"")</f>
        <v>Munoz</v>
      </c>
      <c r="B50" s="11">
        <v>2</v>
      </c>
      <c r="C50" s="11">
        <v>10</v>
      </c>
      <c r="D50" s="11" t="s">
        <v>18</v>
      </c>
      <c r="E50" s="11" t="s">
        <v>19</v>
      </c>
      <c r="F50" s="11" t="s">
        <v>19</v>
      </c>
      <c r="G50" s="11">
        <v>0</v>
      </c>
      <c r="H50" s="11">
        <v>0</v>
      </c>
      <c r="I50" s="11" t="s">
        <v>10</v>
      </c>
      <c r="J50" s="11" t="s">
        <v>12</v>
      </c>
      <c r="K50" s="11" t="s">
        <v>15</v>
      </c>
      <c r="Q50" s="11">
        <v>1</v>
      </c>
      <c r="Y50" s="11">
        <f t="shared" si="0"/>
        <v>0</v>
      </c>
    </row>
    <row r="51" spans="1:25" x14ac:dyDescent="0.25">
      <c r="A51" s="11" t="str">
        <f>_xlfn.XLOOKUP(B:B,StatsCP!B:B,StatsCP!A:A,"")</f>
        <v>Richards</v>
      </c>
      <c r="B51" s="11">
        <v>26</v>
      </c>
      <c r="C51" s="11">
        <v>20</v>
      </c>
      <c r="D51" s="11" t="s">
        <v>18</v>
      </c>
      <c r="E51" s="11" t="s">
        <v>19</v>
      </c>
      <c r="F51" s="11" t="s">
        <v>19</v>
      </c>
      <c r="G51" s="11">
        <v>0</v>
      </c>
      <c r="H51" s="11">
        <v>0</v>
      </c>
      <c r="I51" s="11" t="s">
        <v>10</v>
      </c>
      <c r="J51" s="11" t="s">
        <v>12</v>
      </c>
      <c r="K51" s="11">
        <v>2</v>
      </c>
      <c r="Q51" s="11">
        <v>1</v>
      </c>
      <c r="Y51" s="11">
        <f t="shared" si="0"/>
        <v>0</v>
      </c>
    </row>
    <row r="52" spans="1:25" x14ac:dyDescent="0.25">
      <c r="A52" s="11" t="str">
        <f>_xlfn.XLOOKUP(B:B,StatsCP!B:B,StatsCP!A:A,"")</f>
        <v>Lacroix</v>
      </c>
      <c r="B52" s="11">
        <v>5</v>
      </c>
      <c r="C52" s="11">
        <v>10</v>
      </c>
      <c r="D52" s="11" t="s">
        <v>14</v>
      </c>
      <c r="E52" s="11" t="s">
        <v>19</v>
      </c>
      <c r="F52" s="11" t="s">
        <v>19</v>
      </c>
      <c r="G52" s="11">
        <v>0</v>
      </c>
      <c r="H52" s="11">
        <v>0</v>
      </c>
      <c r="I52" s="11" t="s">
        <v>10</v>
      </c>
      <c r="J52" s="11" t="s">
        <v>12</v>
      </c>
      <c r="K52" s="11">
        <v>2</v>
      </c>
      <c r="Q52" s="11">
        <v>1</v>
      </c>
      <c r="Y52" s="11">
        <f t="shared" si="0"/>
        <v>0</v>
      </c>
    </row>
    <row r="53" spans="1:25" x14ac:dyDescent="0.25">
      <c r="A53" s="11" t="str">
        <f>_xlfn.XLOOKUP(B:B,StatsCP!B:B,StatsCP!A:A,"")</f>
        <v>Canvot</v>
      </c>
      <c r="B53" s="11">
        <v>23</v>
      </c>
      <c r="C53" s="11">
        <v>10</v>
      </c>
      <c r="D53" s="11" t="s">
        <v>18</v>
      </c>
      <c r="E53" s="11" t="s">
        <v>19</v>
      </c>
      <c r="F53" s="11" t="s">
        <v>19</v>
      </c>
      <c r="G53" s="11">
        <v>0</v>
      </c>
      <c r="H53" s="11">
        <v>0</v>
      </c>
      <c r="I53" s="11" t="s">
        <v>10</v>
      </c>
      <c r="J53" s="11" t="s">
        <v>12</v>
      </c>
      <c r="K53" s="11" t="s">
        <v>15</v>
      </c>
      <c r="Q53" s="11">
        <v>1</v>
      </c>
      <c r="Y53" s="11">
        <f t="shared" si="0"/>
        <v>0</v>
      </c>
    </row>
    <row r="54" spans="1:25" x14ac:dyDescent="0.25">
      <c r="A54" s="11" t="str">
        <f>_xlfn.XLOOKUP(B:B,StatsCP!B:B,StatsCP!A:A,"")</f>
        <v>Lacroix</v>
      </c>
      <c r="B54" s="11">
        <v>5</v>
      </c>
      <c r="C54" s="11">
        <v>10</v>
      </c>
      <c r="D54" s="11" t="s">
        <v>10</v>
      </c>
      <c r="E54" s="11" t="s">
        <v>19</v>
      </c>
      <c r="F54" s="11" t="s">
        <v>19</v>
      </c>
      <c r="G54" s="11">
        <v>0</v>
      </c>
      <c r="H54" s="11">
        <v>1</v>
      </c>
      <c r="I54" s="11" t="s">
        <v>10</v>
      </c>
      <c r="J54" s="11" t="s">
        <v>12</v>
      </c>
      <c r="K54" s="11">
        <v>2</v>
      </c>
      <c r="Q54" s="11">
        <v>0</v>
      </c>
      <c r="Y54" s="11">
        <f t="shared" si="0"/>
        <v>0</v>
      </c>
    </row>
    <row r="55" spans="1:25" x14ac:dyDescent="0.25">
      <c r="A55" s="11" t="str">
        <f>_xlfn.XLOOKUP(B:B,StatsCP!B:B,StatsCP!A:A,"")</f>
        <v>Lerma</v>
      </c>
      <c r="B55" s="11">
        <v>8</v>
      </c>
      <c r="C55" s="11">
        <v>5</v>
      </c>
      <c r="D55" s="11" t="s">
        <v>18</v>
      </c>
      <c r="E55" s="11" t="s">
        <v>19</v>
      </c>
      <c r="F55" s="11" t="s">
        <v>19</v>
      </c>
      <c r="G55" s="11">
        <v>0</v>
      </c>
      <c r="H55" s="11">
        <v>0</v>
      </c>
      <c r="I55" s="11" t="s">
        <v>10</v>
      </c>
      <c r="J55" s="11" t="s">
        <v>16</v>
      </c>
      <c r="K55" s="11" t="s">
        <v>15</v>
      </c>
      <c r="Q55" s="11">
        <v>1</v>
      </c>
      <c r="Y55" s="11">
        <f t="shared" si="0"/>
        <v>0</v>
      </c>
    </row>
    <row r="56" spans="1:25" x14ac:dyDescent="0.25">
      <c r="A56" s="11" t="str">
        <f>_xlfn.XLOOKUP(B:B,StatsCP!B:B,StatsCP!A:A,"")</f>
        <v>Richards</v>
      </c>
      <c r="B56" s="11">
        <v>26</v>
      </c>
      <c r="C56" s="11">
        <v>10</v>
      </c>
      <c r="D56" s="11" t="s">
        <v>14</v>
      </c>
      <c r="E56" s="11" t="s">
        <v>19</v>
      </c>
      <c r="F56" s="11" t="s">
        <v>19</v>
      </c>
      <c r="G56" s="11">
        <v>0</v>
      </c>
      <c r="H56" s="11">
        <v>0</v>
      </c>
      <c r="I56" s="11" t="s">
        <v>10</v>
      </c>
      <c r="J56" s="11" t="s">
        <v>16</v>
      </c>
      <c r="K56" s="11">
        <v>2</v>
      </c>
      <c r="Q56" s="11">
        <v>1</v>
      </c>
      <c r="Y56" s="11">
        <f t="shared" si="0"/>
        <v>0</v>
      </c>
    </row>
    <row r="57" spans="1:25" x14ac:dyDescent="0.25">
      <c r="A57" s="11" t="str">
        <f>_xlfn.XLOOKUP(B:B,StatsCP!B:B,StatsCP!A:A,"")</f>
        <v>Lacroix</v>
      </c>
      <c r="B57" s="11">
        <v>5</v>
      </c>
      <c r="C57" s="11">
        <v>20</v>
      </c>
      <c r="D57" s="11" t="s">
        <v>10</v>
      </c>
      <c r="E57" s="11" t="s">
        <v>19</v>
      </c>
      <c r="F57" s="11" t="s">
        <v>19</v>
      </c>
      <c r="G57" s="11">
        <v>0</v>
      </c>
      <c r="H57" s="11">
        <v>0</v>
      </c>
      <c r="I57" s="11" t="s">
        <v>10</v>
      </c>
      <c r="J57" s="11" t="s">
        <v>16</v>
      </c>
      <c r="K57" s="11">
        <v>1</v>
      </c>
      <c r="Q57" s="11">
        <v>1</v>
      </c>
      <c r="Y57" s="11">
        <f t="shared" si="0"/>
        <v>0</v>
      </c>
    </row>
    <row r="58" spans="1:25" x14ac:dyDescent="0.25">
      <c r="A58" s="11" t="str">
        <f>_xlfn.XLOOKUP(B:B,StatsCP!B:B,StatsCP!A:A,"")</f>
        <v>Mitchell</v>
      </c>
      <c r="B58" s="11">
        <v>3</v>
      </c>
      <c r="C58" s="11">
        <v>10</v>
      </c>
      <c r="D58" s="11" t="s">
        <v>18</v>
      </c>
      <c r="E58" s="11" t="s">
        <v>19</v>
      </c>
      <c r="F58" s="11" t="s">
        <v>19</v>
      </c>
      <c r="G58" s="11">
        <v>0</v>
      </c>
      <c r="H58" s="11">
        <v>0</v>
      </c>
      <c r="I58" s="11" t="s">
        <v>10</v>
      </c>
      <c r="J58" s="11" t="s">
        <v>12</v>
      </c>
      <c r="K58" s="11">
        <v>2</v>
      </c>
      <c r="Q58" s="11">
        <v>1</v>
      </c>
      <c r="Y58" s="11">
        <f t="shared" si="0"/>
        <v>0</v>
      </c>
    </row>
    <row r="59" spans="1:25" x14ac:dyDescent="0.25">
      <c r="A59" s="11" t="str">
        <f>_xlfn.XLOOKUP(B:B,StatsCP!B:B,StatsCP!A:A,"")</f>
        <v>Canvot</v>
      </c>
      <c r="B59" s="11">
        <v>23</v>
      </c>
      <c r="C59" s="11">
        <v>20</v>
      </c>
      <c r="D59" s="11" t="s">
        <v>18</v>
      </c>
      <c r="E59" s="11" t="s">
        <v>20</v>
      </c>
      <c r="F59" s="11" t="s">
        <v>20</v>
      </c>
      <c r="G59" s="11">
        <v>0</v>
      </c>
      <c r="H59" s="11">
        <v>0</v>
      </c>
      <c r="I59" s="11" t="s">
        <v>10</v>
      </c>
      <c r="J59" s="11" t="s">
        <v>12</v>
      </c>
      <c r="K59" s="11">
        <v>1</v>
      </c>
      <c r="Q59" s="11">
        <v>1</v>
      </c>
      <c r="Y59" s="11">
        <f t="shared" si="0"/>
        <v>0</v>
      </c>
    </row>
    <row r="60" spans="1:25" x14ac:dyDescent="0.25">
      <c r="A60" s="11" t="str">
        <f>_xlfn.XLOOKUP(B:B,StatsCP!B:B,StatsCP!A:A,"")</f>
        <v>Henderson</v>
      </c>
      <c r="B60" s="11">
        <v>1</v>
      </c>
      <c r="C60" s="11">
        <v>30</v>
      </c>
      <c r="D60" s="11" t="s">
        <v>10</v>
      </c>
      <c r="E60" s="11" t="s">
        <v>19</v>
      </c>
      <c r="F60" s="11" t="s">
        <v>20</v>
      </c>
      <c r="G60" s="11">
        <v>0</v>
      </c>
      <c r="H60" s="11">
        <v>1</v>
      </c>
      <c r="I60" s="11" t="s">
        <v>10</v>
      </c>
      <c r="J60" s="11" t="s">
        <v>12</v>
      </c>
      <c r="K60" s="11" t="s">
        <v>15</v>
      </c>
      <c r="O60" s="11" t="s">
        <v>13</v>
      </c>
      <c r="Q60" s="11">
        <v>0</v>
      </c>
      <c r="W60" s="11">
        <v>1</v>
      </c>
      <c r="Y60" s="11">
        <f t="shared" si="0"/>
        <v>-0.1</v>
      </c>
    </row>
    <row r="61" spans="1:25" x14ac:dyDescent="0.25">
      <c r="A61" s="11" t="str">
        <f>_xlfn.XLOOKUP(B:B,StatsCP!B:B,StatsCP!A:A,"")</f>
        <v>Canvot</v>
      </c>
      <c r="B61" s="11">
        <v>23</v>
      </c>
      <c r="C61" s="11">
        <v>0</v>
      </c>
      <c r="D61" s="11" t="s">
        <v>10</v>
      </c>
      <c r="E61" s="11" t="s">
        <v>20</v>
      </c>
      <c r="F61" s="11" t="s">
        <v>20</v>
      </c>
      <c r="G61" s="11">
        <v>0</v>
      </c>
      <c r="H61" s="11">
        <v>1</v>
      </c>
      <c r="I61" s="11" t="s">
        <v>10</v>
      </c>
      <c r="J61" s="11" t="s">
        <v>12</v>
      </c>
      <c r="K61" s="11">
        <v>2</v>
      </c>
      <c r="Q61" s="11">
        <v>1</v>
      </c>
      <c r="Y61" s="11">
        <f t="shared" si="0"/>
        <v>0</v>
      </c>
    </row>
    <row r="62" spans="1:25" x14ac:dyDescent="0.25">
      <c r="A62" s="11" t="str">
        <f>_xlfn.XLOOKUP(B:B,StatsCP!B:B,StatsCP!A:A,"")</f>
        <v>Hughes</v>
      </c>
      <c r="B62" s="11">
        <v>19</v>
      </c>
      <c r="C62" s="11">
        <v>20</v>
      </c>
      <c r="D62" s="11" t="s">
        <v>10</v>
      </c>
      <c r="E62" s="11" t="s">
        <v>19</v>
      </c>
      <c r="F62" s="11" t="s">
        <v>19</v>
      </c>
      <c r="G62" s="11">
        <v>0</v>
      </c>
      <c r="H62" s="11">
        <v>0</v>
      </c>
      <c r="I62" s="11" t="s">
        <v>10</v>
      </c>
      <c r="J62" s="11" t="s">
        <v>12</v>
      </c>
      <c r="K62" s="11" t="s">
        <v>15</v>
      </c>
      <c r="O62" s="11" t="s">
        <v>13</v>
      </c>
      <c r="Q62" s="11">
        <v>0</v>
      </c>
      <c r="W62" s="11">
        <v>1</v>
      </c>
      <c r="Y62" s="11">
        <f t="shared" si="0"/>
        <v>-0.1</v>
      </c>
    </row>
    <row r="63" spans="1:25" x14ac:dyDescent="0.25">
      <c r="A63" s="11" t="str">
        <f>_xlfn.XLOOKUP(B:B,StatsCP!B:B,StatsCP!A:A,"")</f>
        <v>Canvot</v>
      </c>
      <c r="B63" s="11">
        <v>23</v>
      </c>
      <c r="C63" s="11">
        <v>30</v>
      </c>
      <c r="D63" s="11" t="s">
        <v>18</v>
      </c>
      <c r="E63" s="11" t="s">
        <v>20</v>
      </c>
      <c r="F63" s="11" t="s">
        <v>19</v>
      </c>
      <c r="G63" s="11">
        <v>0</v>
      </c>
      <c r="H63" s="11">
        <v>0</v>
      </c>
      <c r="I63" s="11" t="s">
        <v>10</v>
      </c>
      <c r="J63" s="11" t="s">
        <v>12</v>
      </c>
      <c r="K63" s="11">
        <v>1</v>
      </c>
      <c r="Q63" s="11">
        <v>1</v>
      </c>
      <c r="Y63" s="11">
        <f t="shared" si="0"/>
        <v>0</v>
      </c>
    </row>
    <row r="64" spans="1:25" x14ac:dyDescent="0.25">
      <c r="A64" s="11" t="str">
        <f>_xlfn.XLOOKUP(B:B,StatsCP!B:B,StatsCP!A:A,"")</f>
        <v>Henderson</v>
      </c>
      <c r="B64" s="11">
        <v>1</v>
      </c>
      <c r="C64" s="11">
        <v>5</v>
      </c>
      <c r="D64" s="11" t="s">
        <v>10</v>
      </c>
      <c r="E64" s="11" t="s">
        <v>20</v>
      </c>
      <c r="F64" s="11" t="s">
        <v>20</v>
      </c>
      <c r="G64" s="11">
        <v>0</v>
      </c>
      <c r="H64" s="11">
        <v>0</v>
      </c>
      <c r="I64" s="11" t="s">
        <v>10</v>
      </c>
      <c r="J64" s="11" t="s">
        <v>12</v>
      </c>
      <c r="K64" s="11">
        <v>2</v>
      </c>
      <c r="Q64" s="11">
        <v>1</v>
      </c>
      <c r="Y64" s="11">
        <f t="shared" si="0"/>
        <v>0</v>
      </c>
    </row>
    <row r="65" spans="1:25" x14ac:dyDescent="0.25">
      <c r="A65" s="11" t="str">
        <f>_xlfn.XLOOKUP(B:B,StatsCP!B:B,StatsCP!A:A,"")</f>
        <v>Richards</v>
      </c>
      <c r="B65" s="11">
        <v>26</v>
      </c>
      <c r="C65" s="11">
        <v>10</v>
      </c>
      <c r="D65" s="11" t="s">
        <v>14</v>
      </c>
      <c r="E65" s="11" t="s">
        <v>20</v>
      </c>
      <c r="F65" s="11" t="s">
        <v>20</v>
      </c>
      <c r="G65" s="11">
        <v>0</v>
      </c>
      <c r="H65" s="11">
        <v>0</v>
      </c>
      <c r="I65" s="11" t="s">
        <v>10</v>
      </c>
      <c r="J65" s="11" t="s">
        <v>16</v>
      </c>
      <c r="K65" s="11">
        <v>2</v>
      </c>
      <c r="Q65" s="11">
        <v>1</v>
      </c>
      <c r="Y65" s="11">
        <f t="shared" si="0"/>
        <v>0</v>
      </c>
    </row>
    <row r="66" spans="1:25" x14ac:dyDescent="0.25">
      <c r="A66" s="11" t="str">
        <f>_xlfn.XLOOKUP(B:B,StatsCP!B:B,StatsCP!A:A,"")</f>
        <v>Lacroix</v>
      </c>
      <c r="B66" s="11">
        <v>5</v>
      </c>
      <c r="C66" s="11">
        <v>30</v>
      </c>
      <c r="D66" s="11" t="s">
        <v>10</v>
      </c>
      <c r="E66" s="11" t="s">
        <v>19</v>
      </c>
      <c r="F66" s="11" t="s">
        <v>20</v>
      </c>
      <c r="G66" s="11">
        <v>0</v>
      </c>
      <c r="H66" s="11">
        <v>2</v>
      </c>
      <c r="I66" s="11" t="s">
        <v>10</v>
      </c>
      <c r="J66" s="11" t="s">
        <v>16</v>
      </c>
      <c r="K66" s="11">
        <v>2</v>
      </c>
      <c r="O66" s="11" t="s">
        <v>13</v>
      </c>
      <c r="Q66" s="11">
        <v>1</v>
      </c>
      <c r="Y66" s="11">
        <f t="shared" si="0"/>
        <v>0</v>
      </c>
    </row>
    <row r="67" spans="1:25" x14ac:dyDescent="0.25">
      <c r="A67" s="11" t="str">
        <f>_xlfn.XLOOKUP(B:B,StatsCP!B:B,StatsCP!A:A,"")</f>
        <v>Strand Larsen</v>
      </c>
      <c r="B67" s="11">
        <v>22</v>
      </c>
      <c r="C67" s="11">
        <v>5</v>
      </c>
      <c r="D67" s="11" t="s">
        <v>18</v>
      </c>
      <c r="E67" s="11" t="s">
        <v>19</v>
      </c>
      <c r="F67" s="11" t="s">
        <v>19</v>
      </c>
      <c r="G67" s="11">
        <v>0</v>
      </c>
      <c r="H67" s="11">
        <v>0</v>
      </c>
      <c r="I67" s="11" t="s">
        <v>17</v>
      </c>
      <c r="J67" s="11" t="s">
        <v>106</v>
      </c>
      <c r="K67" s="11">
        <v>1</v>
      </c>
      <c r="M67" s="11" t="s">
        <v>13</v>
      </c>
      <c r="N67" s="11" t="s">
        <v>13</v>
      </c>
      <c r="O67" s="11" t="s">
        <v>13</v>
      </c>
      <c r="Q67" s="11">
        <v>1</v>
      </c>
      <c r="Y67" s="11">
        <f t="shared" ref="Y67:Y130" si="1">(R67*0.1)+(S67*0.05)+(T67*0.5)+(U67*0.2)-(W67*0.1)-(X67*0.5)+(V67*0.05)</f>
        <v>0</v>
      </c>
    </row>
    <row r="68" spans="1:25" x14ac:dyDescent="0.25">
      <c r="A68" s="11" t="str">
        <f>_xlfn.XLOOKUP(B:B,StatsCP!B:B,StatsCP!A:A,"")</f>
        <v>Pino</v>
      </c>
      <c r="B68" s="11">
        <v>10</v>
      </c>
      <c r="C68" s="11">
        <v>5</v>
      </c>
      <c r="D68" s="11" t="s">
        <v>14</v>
      </c>
      <c r="E68" s="11" t="s">
        <v>19</v>
      </c>
      <c r="F68" s="11" t="s">
        <v>19</v>
      </c>
      <c r="G68" s="11">
        <v>0</v>
      </c>
      <c r="H68" s="11">
        <v>0</v>
      </c>
      <c r="I68" s="11" t="s">
        <v>10</v>
      </c>
      <c r="J68" s="11" t="s">
        <v>12</v>
      </c>
      <c r="K68" s="11" t="s">
        <v>15</v>
      </c>
      <c r="L68" s="11" t="s">
        <v>14</v>
      </c>
      <c r="Q68" s="11">
        <v>1</v>
      </c>
      <c r="Y68" s="11">
        <f t="shared" si="1"/>
        <v>0</v>
      </c>
    </row>
    <row r="69" spans="1:25" x14ac:dyDescent="0.25">
      <c r="A69" s="11" t="str">
        <f>_xlfn.XLOOKUP(B:B,StatsCP!B:B,StatsCP!A:A,"")</f>
        <v>Hughes</v>
      </c>
      <c r="B69" s="11">
        <v>19</v>
      </c>
      <c r="C69" s="11">
        <v>10</v>
      </c>
      <c r="D69" s="11" t="s">
        <v>10</v>
      </c>
      <c r="E69" s="11" t="s">
        <v>11</v>
      </c>
      <c r="F69" s="11" t="s">
        <v>19</v>
      </c>
      <c r="G69" s="11">
        <v>0</v>
      </c>
      <c r="H69" s="11">
        <v>0</v>
      </c>
      <c r="I69" s="11" t="s">
        <v>10</v>
      </c>
      <c r="J69" s="11" t="s">
        <v>12</v>
      </c>
      <c r="K69" s="11" t="s">
        <v>15</v>
      </c>
      <c r="Q69" s="11">
        <v>1</v>
      </c>
      <c r="V69" s="11">
        <v>1</v>
      </c>
      <c r="Y69" s="11">
        <f t="shared" si="1"/>
        <v>0.05</v>
      </c>
    </row>
    <row r="70" spans="1:25" x14ac:dyDescent="0.25">
      <c r="A70" s="11" t="str">
        <f>_xlfn.XLOOKUP(B:B,StatsCP!B:B,StatsCP!A:A,"")</f>
        <v>Munoz</v>
      </c>
      <c r="B70" s="11">
        <v>2</v>
      </c>
      <c r="C70" s="11">
        <v>20</v>
      </c>
      <c r="D70" s="11" t="s">
        <v>14</v>
      </c>
      <c r="E70" s="11" t="s">
        <v>11</v>
      </c>
      <c r="F70" s="11" t="s">
        <v>11</v>
      </c>
      <c r="G70" s="11">
        <v>1</v>
      </c>
      <c r="H70" s="11">
        <v>1</v>
      </c>
      <c r="I70" s="11" t="s">
        <v>10</v>
      </c>
      <c r="J70" s="11" t="s">
        <v>12</v>
      </c>
      <c r="K70" s="11">
        <v>1</v>
      </c>
      <c r="P70" s="11" t="s">
        <v>13</v>
      </c>
      <c r="Q70" s="11">
        <v>0</v>
      </c>
      <c r="W70" s="11">
        <v>1</v>
      </c>
      <c r="Y70" s="11">
        <f t="shared" si="1"/>
        <v>-0.1</v>
      </c>
    </row>
    <row r="71" spans="1:25" x14ac:dyDescent="0.25">
      <c r="A71" s="11" t="str">
        <f>_xlfn.XLOOKUP(B:B,StatsCP!B:B,StatsCP!A:A,"")</f>
        <v>Mitchell</v>
      </c>
      <c r="B71" s="11">
        <v>3</v>
      </c>
      <c r="C71" s="11">
        <v>5</v>
      </c>
      <c r="D71" s="11" t="s">
        <v>14</v>
      </c>
      <c r="E71" s="11" t="s">
        <v>19</v>
      </c>
      <c r="F71" s="11" t="s">
        <v>19</v>
      </c>
      <c r="G71" s="11">
        <v>0</v>
      </c>
      <c r="H71" s="11">
        <v>0</v>
      </c>
      <c r="I71" s="11" t="s">
        <v>10</v>
      </c>
      <c r="J71" s="11" t="s">
        <v>12</v>
      </c>
      <c r="K71" s="11">
        <v>1</v>
      </c>
      <c r="M71" s="11" t="s">
        <v>13</v>
      </c>
      <c r="N71" s="11" t="s">
        <v>13</v>
      </c>
      <c r="O71" s="11" t="s">
        <v>14</v>
      </c>
      <c r="Q71" s="11">
        <v>1</v>
      </c>
      <c r="Y71" s="11">
        <f t="shared" si="1"/>
        <v>0</v>
      </c>
    </row>
    <row r="72" spans="1:25" x14ac:dyDescent="0.25">
      <c r="A72" s="11" t="str">
        <f>_xlfn.XLOOKUP(B:B,StatsCP!B:B,StatsCP!A:A,"")</f>
        <v>Lerma</v>
      </c>
      <c r="B72" s="11">
        <v>8</v>
      </c>
      <c r="C72" s="11">
        <v>0</v>
      </c>
      <c r="D72" s="11" t="s">
        <v>10</v>
      </c>
      <c r="E72" s="11" t="s">
        <v>11</v>
      </c>
      <c r="F72" s="11" t="s">
        <v>19</v>
      </c>
      <c r="G72" s="11">
        <v>0</v>
      </c>
      <c r="H72" s="11">
        <v>0</v>
      </c>
      <c r="I72" s="11" t="s">
        <v>10</v>
      </c>
      <c r="J72" s="11" t="s">
        <v>12</v>
      </c>
      <c r="K72" s="11">
        <v>1</v>
      </c>
      <c r="Q72" s="11">
        <v>1</v>
      </c>
      <c r="Y72" s="11">
        <f t="shared" si="1"/>
        <v>0</v>
      </c>
    </row>
    <row r="73" spans="1:25" x14ac:dyDescent="0.25">
      <c r="A73" s="11" t="str">
        <f>_xlfn.XLOOKUP(B:B,StatsCP!B:B,StatsCP!A:A,"")</f>
        <v>Pino</v>
      </c>
      <c r="B73" s="11">
        <v>10</v>
      </c>
      <c r="C73" s="11">
        <v>20</v>
      </c>
      <c r="D73" s="11" t="s">
        <v>10</v>
      </c>
      <c r="E73" s="11" t="s">
        <v>11</v>
      </c>
      <c r="F73" s="11" t="s">
        <v>11</v>
      </c>
      <c r="G73" s="11">
        <v>0</v>
      </c>
      <c r="H73" s="11">
        <v>0</v>
      </c>
      <c r="I73" s="11" t="s">
        <v>10</v>
      </c>
      <c r="J73" s="11" t="s">
        <v>12</v>
      </c>
      <c r="K73" s="11" t="s">
        <v>15</v>
      </c>
      <c r="O73" s="11" t="s">
        <v>13</v>
      </c>
      <c r="Q73" s="11">
        <v>1</v>
      </c>
      <c r="Y73" s="11">
        <f t="shared" si="1"/>
        <v>0</v>
      </c>
    </row>
    <row r="74" spans="1:25" x14ac:dyDescent="0.25">
      <c r="A74" s="11" t="str">
        <f>_xlfn.XLOOKUP(B:B,StatsCP!B:B,StatsCP!A:A,"")</f>
        <v>Munoz</v>
      </c>
      <c r="B74" s="11">
        <v>2</v>
      </c>
      <c r="C74" s="11">
        <v>5</v>
      </c>
      <c r="D74" s="11" t="s">
        <v>18</v>
      </c>
      <c r="E74" s="11" t="s">
        <v>11</v>
      </c>
      <c r="F74" s="11" t="s">
        <v>11</v>
      </c>
      <c r="G74" s="11">
        <v>0</v>
      </c>
      <c r="H74" s="11">
        <v>1</v>
      </c>
      <c r="I74" s="11" t="s">
        <v>10</v>
      </c>
      <c r="J74" s="11" t="s">
        <v>12</v>
      </c>
      <c r="K74" s="11">
        <v>2</v>
      </c>
      <c r="M74" s="11" t="s">
        <v>13</v>
      </c>
      <c r="N74" s="11" t="s">
        <v>13</v>
      </c>
      <c r="O74" s="11" t="s">
        <v>14</v>
      </c>
      <c r="Q74" s="11">
        <v>1</v>
      </c>
      <c r="Y74" s="11">
        <f t="shared" si="1"/>
        <v>0</v>
      </c>
    </row>
    <row r="75" spans="1:25" x14ac:dyDescent="0.25">
      <c r="A75" s="11" t="str">
        <f>_xlfn.XLOOKUP(B:B,StatsCP!B:B,StatsCP!A:A,"")</f>
        <v>Hughes</v>
      </c>
      <c r="B75" s="11">
        <v>19</v>
      </c>
      <c r="C75" s="11">
        <v>10</v>
      </c>
      <c r="D75" s="11" t="s">
        <v>10</v>
      </c>
      <c r="E75" s="11" t="s">
        <v>11</v>
      </c>
      <c r="F75" s="11" t="s">
        <v>11</v>
      </c>
      <c r="G75" s="11">
        <v>0</v>
      </c>
      <c r="H75" s="11">
        <v>2</v>
      </c>
      <c r="I75" s="11" t="s">
        <v>10</v>
      </c>
      <c r="J75" s="11" t="s">
        <v>12</v>
      </c>
      <c r="K75" s="11" t="s">
        <v>15</v>
      </c>
      <c r="O75" s="11" t="s">
        <v>13</v>
      </c>
      <c r="Q75" s="11">
        <v>0</v>
      </c>
      <c r="W75" s="11">
        <v>1</v>
      </c>
      <c r="Y75" s="11">
        <f t="shared" si="1"/>
        <v>-0.1</v>
      </c>
    </row>
    <row r="76" spans="1:25" x14ac:dyDescent="0.25">
      <c r="A76" s="11" t="str">
        <f>_xlfn.XLOOKUP(B:B,StatsCP!B:B,StatsCP!A:A,"")</f>
        <v>Mitchell</v>
      </c>
      <c r="B76" s="11">
        <v>3</v>
      </c>
      <c r="C76" s="11">
        <v>5</v>
      </c>
      <c r="D76" s="11" t="s">
        <v>10</v>
      </c>
      <c r="E76" s="11" t="s">
        <v>20</v>
      </c>
      <c r="F76" s="11" t="s">
        <v>20</v>
      </c>
      <c r="G76" s="11">
        <v>1</v>
      </c>
      <c r="H76" s="11">
        <v>0</v>
      </c>
      <c r="I76" s="11" t="s">
        <v>10</v>
      </c>
      <c r="J76" s="11" t="s">
        <v>12</v>
      </c>
      <c r="K76" s="11">
        <v>1</v>
      </c>
      <c r="M76" s="11" t="s">
        <v>13</v>
      </c>
      <c r="N76" s="11" t="s">
        <v>13</v>
      </c>
      <c r="O76" s="11" t="s">
        <v>13</v>
      </c>
      <c r="Q76" s="11">
        <v>0</v>
      </c>
      <c r="Y76" s="11">
        <f t="shared" si="1"/>
        <v>0</v>
      </c>
    </row>
    <row r="77" spans="1:25" x14ac:dyDescent="0.25">
      <c r="A77" s="11" t="str">
        <f>_xlfn.XLOOKUP(B:B,StatsCP!B:B,StatsCP!A:A,"")</f>
        <v>Hughes</v>
      </c>
      <c r="B77" s="11">
        <v>19</v>
      </c>
      <c r="C77" s="11">
        <v>5</v>
      </c>
      <c r="D77" s="11" t="s">
        <v>10</v>
      </c>
      <c r="E77" s="11" t="s">
        <v>19</v>
      </c>
      <c r="F77" s="11" t="s">
        <v>19</v>
      </c>
      <c r="G77" s="11">
        <v>0</v>
      </c>
      <c r="H77" s="11">
        <v>1</v>
      </c>
      <c r="I77" s="11" t="s">
        <v>17</v>
      </c>
      <c r="J77" s="11" t="s">
        <v>106</v>
      </c>
      <c r="K77" s="11">
        <v>1</v>
      </c>
      <c r="M77" s="11" t="s">
        <v>13</v>
      </c>
      <c r="N77" s="11" t="s">
        <v>13</v>
      </c>
      <c r="O77" s="11" t="s">
        <v>14</v>
      </c>
      <c r="Q77" s="11">
        <v>0</v>
      </c>
      <c r="Y77" s="11">
        <f t="shared" si="1"/>
        <v>0</v>
      </c>
    </row>
    <row r="78" spans="1:25" x14ac:dyDescent="0.25">
      <c r="A78" s="11" t="str">
        <f>_xlfn.XLOOKUP(B:B,StatsCP!B:B,StatsCP!A:A,"")</f>
        <v>Lerma</v>
      </c>
      <c r="B78" s="11">
        <v>8</v>
      </c>
      <c r="C78" s="11">
        <v>0</v>
      </c>
      <c r="D78" s="11" t="s">
        <v>10</v>
      </c>
      <c r="E78" s="11" t="s">
        <v>20</v>
      </c>
      <c r="F78" s="11" t="s">
        <v>20</v>
      </c>
      <c r="G78" s="11">
        <v>0</v>
      </c>
      <c r="H78" s="11">
        <v>1</v>
      </c>
      <c r="I78" s="11" t="s">
        <v>17</v>
      </c>
      <c r="J78" s="11" t="s">
        <v>106</v>
      </c>
      <c r="K78" s="11">
        <v>1</v>
      </c>
      <c r="M78" s="11" t="s">
        <v>13</v>
      </c>
      <c r="N78" s="11" t="s">
        <v>13</v>
      </c>
      <c r="O78" s="11" t="s">
        <v>13</v>
      </c>
      <c r="Q78" s="11">
        <v>0</v>
      </c>
      <c r="Y78" s="11">
        <f t="shared" si="1"/>
        <v>0</v>
      </c>
    </row>
    <row r="79" spans="1:25" x14ac:dyDescent="0.25">
      <c r="A79" s="11" t="str">
        <f>_xlfn.XLOOKUP(B:B,StatsCP!B:B,StatsCP!A:A,"")</f>
        <v>Johnson</v>
      </c>
      <c r="B79" s="11">
        <v>11</v>
      </c>
      <c r="C79" s="11">
        <v>5</v>
      </c>
      <c r="D79" s="11" t="s">
        <v>18</v>
      </c>
      <c r="E79" s="11" t="s">
        <v>20</v>
      </c>
      <c r="F79" s="11" t="s">
        <v>20</v>
      </c>
      <c r="G79" s="11">
        <v>0</v>
      </c>
      <c r="H79" s="11">
        <v>0</v>
      </c>
      <c r="I79" s="11" t="s">
        <v>10</v>
      </c>
      <c r="J79" s="11" t="s">
        <v>12</v>
      </c>
      <c r="K79" s="11">
        <v>1</v>
      </c>
      <c r="M79" s="11" t="s">
        <v>13</v>
      </c>
      <c r="N79" s="11" t="s">
        <v>13</v>
      </c>
      <c r="O79" s="11" t="s">
        <v>13</v>
      </c>
      <c r="Q79" s="11">
        <v>1</v>
      </c>
      <c r="Y79" s="11">
        <f t="shared" si="1"/>
        <v>0</v>
      </c>
    </row>
    <row r="80" spans="1:25" x14ac:dyDescent="0.25">
      <c r="A80" s="11" t="str">
        <f>_xlfn.XLOOKUP(B:B,StatsCP!B:B,StatsCP!A:A,"")</f>
        <v>Richards</v>
      </c>
      <c r="B80" s="11">
        <v>26</v>
      </c>
      <c r="C80" s="11">
        <v>5</v>
      </c>
      <c r="D80" s="11" t="s">
        <v>14</v>
      </c>
      <c r="E80" s="11" t="s">
        <v>19</v>
      </c>
      <c r="F80" s="11" t="s">
        <v>19</v>
      </c>
      <c r="G80" s="11">
        <v>0</v>
      </c>
      <c r="H80" s="11">
        <v>0</v>
      </c>
      <c r="I80" s="11" t="s">
        <v>10</v>
      </c>
      <c r="J80" s="11" t="s">
        <v>16</v>
      </c>
      <c r="K80" s="11">
        <v>1</v>
      </c>
      <c r="M80" s="11" t="s">
        <v>13</v>
      </c>
      <c r="N80" s="11" t="s">
        <v>13</v>
      </c>
      <c r="O80" s="11" t="s">
        <v>13</v>
      </c>
      <c r="Q80" s="11">
        <v>1</v>
      </c>
      <c r="Y80" s="11">
        <f t="shared" si="1"/>
        <v>0</v>
      </c>
    </row>
    <row r="81" spans="1:25" x14ac:dyDescent="0.25">
      <c r="A81" s="11" t="str">
        <f>_xlfn.XLOOKUP(B:B,StatsCP!B:B,StatsCP!A:A,"")</f>
        <v>Lerma</v>
      </c>
      <c r="B81" s="11">
        <v>8</v>
      </c>
      <c r="C81" s="11">
        <v>20</v>
      </c>
      <c r="D81" s="11" t="s">
        <v>10</v>
      </c>
      <c r="E81" s="11" t="s">
        <v>11</v>
      </c>
      <c r="F81" s="11" t="s">
        <v>19</v>
      </c>
      <c r="G81" s="11">
        <v>1</v>
      </c>
      <c r="H81" s="11">
        <v>1</v>
      </c>
      <c r="I81" s="11" t="s">
        <v>10</v>
      </c>
      <c r="J81" s="11" t="s">
        <v>12</v>
      </c>
      <c r="K81" s="11">
        <v>1</v>
      </c>
      <c r="M81" s="11" t="s">
        <v>13</v>
      </c>
      <c r="N81" s="11" t="s">
        <v>13</v>
      </c>
      <c r="O81" s="11" t="s">
        <v>13</v>
      </c>
      <c r="Q81" s="11">
        <v>0</v>
      </c>
      <c r="W81" s="11">
        <v>1</v>
      </c>
      <c r="Y81" s="11">
        <f t="shared" si="1"/>
        <v>-0.1</v>
      </c>
    </row>
    <row r="82" spans="1:25" x14ac:dyDescent="0.25">
      <c r="A82" s="11" t="str">
        <f>_xlfn.XLOOKUP(B:B,StatsCP!B:B,StatsCP!A:A,"")</f>
        <v>Richards</v>
      </c>
      <c r="B82" s="11">
        <v>26</v>
      </c>
      <c r="C82" s="11">
        <v>5</v>
      </c>
      <c r="D82" s="11" t="s">
        <v>10</v>
      </c>
      <c r="E82" s="11" t="s">
        <v>19</v>
      </c>
      <c r="F82" s="11" t="s">
        <v>19</v>
      </c>
      <c r="G82" s="11">
        <v>0</v>
      </c>
      <c r="H82" s="11">
        <v>0</v>
      </c>
      <c r="I82" s="11" t="s">
        <v>17</v>
      </c>
      <c r="J82" s="11" t="s">
        <v>106</v>
      </c>
      <c r="K82" s="11">
        <v>1</v>
      </c>
      <c r="M82" s="11" t="s">
        <v>13</v>
      </c>
      <c r="N82" s="11" t="s">
        <v>13</v>
      </c>
      <c r="O82" s="11" t="s">
        <v>14</v>
      </c>
      <c r="Q82" s="11">
        <v>1</v>
      </c>
      <c r="Y82" s="11">
        <f t="shared" si="1"/>
        <v>0</v>
      </c>
    </row>
    <row r="83" spans="1:25" x14ac:dyDescent="0.25">
      <c r="A83" s="11" t="str">
        <f>_xlfn.XLOOKUP(B:B,StatsCP!B:B,StatsCP!A:A,"")</f>
        <v>Lerma</v>
      </c>
      <c r="B83" s="11">
        <v>8</v>
      </c>
      <c r="C83" s="11">
        <v>0</v>
      </c>
      <c r="D83" s="11" t="s">
        <v>10</v>
      </c>
      <c r="E83" s="11" t="s">
        <v>19</v>
      </c>
      <c r="F83" s="11" t="s">
        <v>19</v>
      </c>
      <c r="G83" s="11">
        <v>0</v>
      </c>
      <c r="H83" s="11">
        <v>0</v>
      </c>
      <c r="I83" s="11" t="s">
        <v>10</v>
      </c>
      <c r="J83" s="11" t="s">
        <v>12</v>
      </c>
      <c r="K83" s="11">
        <v>2</v>
      </c>
      <c r="Q83" s="11">
        <v>1</v>
      </c>
      <c r="Y83" s="11">
        <f t="shared" si="1"/>
        <v>0</v>
      </c>
    </row>
    <row r="84" spans="1:25" x14ac:dyDescent="0.25">
      <c r="A84" s="11" t="str">
        <f>_xlfn.XLOOKUP(B:B,StatsCP!B:B,StatsCP!A:A,"")</f>
        <v>Strand Larsen</v>
      </c>
      <c r="B84" s="11">
        <v>22</v>
      </c>
      <c r="C84" s="11">
        <v>0</v>
      </c>
      <c r="D84" s="11" t="s">
        <v>18</v>
      </c>
      <c r="E84" s="11" t="s">
        <v>19</v>
      </c>
      <c r="F84" s="11" t="s">
        <v>19</v>
      </c>
      <c r="G84" s="11">
        <v>0</v>
      </c>
      <c r="H84" s="11">
        <v>0</v>
      </c>
      <c r="I84" s="11" t="s">
        <v>10</v>
      </c>
      <c r="J84" s="11" t="s">
        <v>12</v>
      </c>
      <c r="K84" s="11">
        <v>1</v>
      </c>
      <c r="Q84" s="11">
        <v>1</v>
      </c>
      <c r="Y84" s="11">
        <f t="shared" si="1"/>
        <v>0</v>
      </c>
    </row>
    <row r="85" spans="1:25" x14ac:dyDescent="0.25">
      <c r="A85" s="11" t="str">
        <f>_xlfn.XLOOKUP(B:B,StatsCP!B:B,StatsCP!A:A,"")</f>
        <v>Hughes</v>
      </c>
      <c r="B85" s="11">
        <v>19</v>
      </c>
      <c r="C85" s="11">
        <v>5</v>
      </c>
      <c r="D85" s="11" t="s">
        <v>10</v>
      </c>
      <c r="E85" s="11" t="s">
        <v>19</v>
      </c>
      <c r="F85" s="11" t="s">
        <v>19</v>
      </c>
      <c r="G85" s="11">
        <v>0</v>
      </c>
      <c r="H85" s="11">
        <v>0</v>
      </c>
      <c r="I85" s="11" t="s">
        <v>10</v>
      </c>
      <c r="J85" s="11" t="s">
        <v>12</v>
      </c>
      <c r="K85" s="11">
        <v>1</v>
      </c>
      <c r="Q85" s="11">
        <v>1</v>
      </c>
      <c r="Y85" s="11">
        <f t="shared" si="1"/>
        <v>0</v>
      </c>
    </row>
    <row r="86" spans="1:25" x14ac:dyDescent="0.25">
      <c r="A86" s="11" t="str">
        <f>_xlfn.XLOOKUP(B:B,StatsCP!B:B,StatsCP!A:A,"")</f>
        <v>Munoz</v>
      </c>
      <c r="B86" s="11">
        <v>2</v>
      </c>
      <c r="C86" s="11">
        <v>5</v>
      </c>
      <c r="D86" s="11" t="s">
        <v>10</v>
      </c>
      <c r="E86" s="11" t="s">
        <v>11</v>
      </c>
      <c r="F86" s="11" t="s">
        <v>19</v>
      </c>
      <c r="G86" s="11">
        <v>0</v>
      </c>
      <c r="H86" s="11">
        <v>0</v>
      </c>
      <c r="I86" s="11" t="s">
        <v>10</v>
      </c>
      <c r="J86" s="11" t="s">
        <v>12</v>
      </c>
      <c r="K86" s="11">
        <v>1</v>
      </c>
      <c r="Q86" s="11">
        <v>1</v>
      </c>
      <c r="Y86" s="11">
        <f t="shared" si="1"/>
        <v>0</v>
      </c>
    </row>
    <row r="87" spans="1:25" x14ac:dyDescent="0.25">
      <c r="A87" s="11" t="str">
        <f>_xlfn.XLOOKUP(B:B,StatsCP!B:B,StatsCP!A:A,"")</f>
        <v>Johnson</v>
      </c>
      <c r="B87" s="11">
        <v>11</v>
      </c>
      <c r="C87" s="11">
        <v>5</v>
      </c>
      <c r="D87" s="11" t="s">
        <v>10</v>
      </c>
      <c r="E87" s="11" t="s">
        <v>11</v>
      </c>
      <c r="F87" s="11" t="s">
        <v>11</v>
      </c>
      <c r="G87" s="11">
        <v>1</v>
      </c>
      <c r="H87" s="11">
        <v>0</v>
      </c>
      <c r="I87" s="11" t="s">
        <v>10</v>
      </c>
      <c r="J87" s="11" t="s">
        <v>12</v>
      </c>
      <c r="K87" s="11">
        <v>1</v>
      </c>
      <c r="L87" s="11" t="s">
        <v>13</v>
      </c>
      <c r="Q87" s="11">
        <v>0</v>
      </c>
      <c r="W87" s="11">
        <v>1</v>
      </c>
      <c r="Y87" s="11">
        <f t="shared" si="1"/>
        <v>-0.1</v>
      </c>
    </row>
    <row r="88" spans="1:25" x14ac:dyDescent="0.25">
      <c r="A88" s="11" t="str">
        <f>_xlfn.XLOOKUP(B:B,StatsCP!B:B,StatsCP!A:A,"")</f>
        <v>Canvot</v>
      </c>
      <c r="B88" s="11">
        <v>23</v>
      </c>
      <c r="C88" s="11">
        <v>10</v>
      </c>
      <c r="D88" s="11" t="s">
        <v>18</v>
      </c>
      <c r="E88" s="11" t="s">
        <v>20</v>
      </c>
      <c r="F88" s="11" t="s">
        <v>20</v>
      </c>
      <c r="G88" s="11">
        <v>0</v>
      </c>
      <c r="H88" s="11">
        <v>0</v>
      </c>
      <c r="I88" s="11" t="s">
        <v>10</v>
      </c>
      <c r="J88" s="11" t="s">
        <v>12</v>
      </c>
      <c r="K88" s="11">
        <v>1</v>
      </c>
      <c r="M88" s="11" t="s">
        <v>13</v>
      </c>
      <c r="N88" s="11" t="s">
        <v>13</v>
      </c>
      <c r="O88" s="11" t="s">
        <v>13</v>
      </c>
      <c r="Q88" s="11">
        <v>1</v>
      </c>
      <c r="Y88" s="11">
        <f t="shared" si="1"/>
        <v>0</v>
      </c>
    </row>
    <row r="89" spans="1:25" x14ac:dyDescent="0.25">
      <c r="A89" s="11" t="str">
        <f>_xlfn.XLOOKUP(B:B,StatsCP!B:B,StatsCP!A:A,"")</f>
        <v>Munoz</v>
      </c>
      <c r="B89" s="11">
        <v>2</v>
      </c>
      <c r="C89" s="11">
        <v>5</v>
      </c>
      <c r="D89" s="11" t="s">
        <v>10</v>
      </c>
      <c r="E89" s="11" t="s">
        <v>20</v>
      </c>
      <c r="F89" s="11" t="s">
        <v>20</v>
      </c>
      <c r="G89" s="11">
        <v>0</v>
      </c>
      <c r="H89" s="11">
        <v>1</v>
      </c>
      <c r="I89" s="11" t="s">
        <v>10</v>
      </c>
      <c r="J89" s="11" t="s">
        <v>12</v>
      </c>
      <c r="K89" s="11">
        <v>1</v>
      </c>
      <c r="M89" s="11" t="s">
        <v>13</v>
      </c>
      <c r="N89" s="11" t="s">
        <v>13</v>
      </c>
      <c r="O89" s="11" t="s">
        <v>13</v>
      </c>
      <c r="Q89" s="11">
        <v>1</v>
      </c>
      <c r="Y89" s="11">
        <f t="shared" si="1"/>
        <v>0</v>
      </c>
    </row>
    <row r="90" spans="1:25" x14ac:dyDescent="0.25">
      <c r="A90" s="11" t="str">
        <f>_xlfn.XLOOKUP(B:B,StatsCP!B:B,StatsCP!A:A,"")</f>
        <v>Henderson</v>
      </c>
      <c r="B90" s="11">
        <v>1</v>
      </c>
      <c r="C90" s="11">
        <v>30</v>
      </c>
      <c r="D90" s="11" t="s">
        <v>10</v>
      </c>
      <c r="E90" s="11" t="s">
        <v>19</v>
      </c>
      <c r="F90" s="11" t="s">
        <v>20</v>
      </c>
      <c r="G90" s="11">
        <v>1</v>
      </c>
      <c r="H90" s="11">
        <v>0</v>
      </c>
      <c r="I90" s="11" t="s">
        <v>10</v>
      </c>
      <c r="J90" s="11" t="s">
        <v>16</v>
      </c>
      <c r="K90" s="11">
        <v>1</v>
      </c>
      <c r="O90" s="11" t="s">
        <v>13</v>
      </c>
      <c r="Q90" s="11">
        <v>0</v>
      </c>
      <c r="W90" s="11">
        <v>1</v>
      </c>
      <c r="Y90" s="11">
        <f t="shared" si="1"/>
        <v>-0.1</v>
      </c>
    </row>
    <row r="91" spans="1:25" x14ac:dyDescent="0.25">
      <c r="A91" s="11" t="str">
        <f>_xlfn.XLOOKUP(B:B,StatsCP!B:B,StatsCP!A:A,"")</f>
        <v>Munoz</v>
      </c>
      <c r="B91" s="11">
        <v>2</v>
      </c>
      <c r="C91" s="11">
        <v>10</v>
      </c>
      <c r="D91" s="11" t="s">
        <v>14</v>
      </c>
      <c r="E91" s="11" t="s">
        <v>19</v>
      </c>
      <c r="F91" s="11" t="s">
        <v>19</v>
      </c>
      <c r="G91" s="11">
        <v>0</v>
      </c>
      <c r="H91" s="11">
        <v>0</v>
      </c>
      <c r="I91" s="11" t="s">
        <v>10</v>
      </c>
      <c r="J91" s="11" t="s">
        <v>12</v>
      </c>
      <c r="K91" s="11">
        <v>2</v>
      </c>
      <c r="Q91" s="11">
        <v>1</v>
      </c>
      <c r="Y91" s="11">
        <f t="shared" si="1"/>
        <v>0</v>
      </c>
    </row>
    <row r="92" spans="1:25" x14ac:dyDescent="0.25">
      <c r="A92" s="11" t="str">
        <f>_xlfn.XLOOKUP(B:B,StatsCP!B:B,StatsCP!A:A,"")</f>
        <v>Lerma</v>
      </c>
      <c r="B92" s="11">
        <v>8</v>
      </c>
      <c r="C92" s="11">
        <v>20</v>
      </c>
      <c r="D92" s="11" t="s">
        <v>14</v>
      </c>
      <c r="E92" s="11" t="s">
        <v>19</v>
      </c>
      <c r="F92" s="11" t="s">
        <v>19</v>
      </c>
      <c r="G92" s="11">
        <v>0</v>
      </c>
      <c r="H92" s="11">
        <v>0</v>
      </c>
      <c r="I92" s="11" t="s">
        <v>10</v>
      </c>
      <c r="J92" s="11" t="s">
        <v>12</v>
      </c>
      <c r="K92" s="11">
        <v>2</v>
      </c>
      <c r="Q92" s="11">
        <v>1</v>
      </c>
      <c r="Y92" s="11">
        <f t="shared" si="1"/>
        <v>0</v>
      </c>
    </row>
    <row r="93" spans="1:25" x14ac:dyDescent="0.25">
      <c r="A93" s="11" t="str">
        <f>_xlfn.XLOOKUP(B:B,StatsCP!B:B,StatsCP!A:A,"")</f>
        <v>Canvot</v>
      </c>
      <c r="B93" s="11">
        <v>23</v>
      </c>
      <c r="C93" s="11">
        <v>10</v>
      </c>
      <c r="D93" s="11" t="s">
        <v>10</v>
      </c>
      <c r="E93" s="11" t="s">
        <v>19</v>
      </c>
      <c r="F93" s="11" t="s">
        <v>19</v>
      </c>
      <c r="G93" s="11">
        <v>0</v>
      </c>
      <c r="H93" s="11">
        <v>1</v>
      </c>
      <c r="I93" s="11" t="s">
        <v>10</v>
      </c>
      <c r="J93" s="11" t="s">
        <v>16</v>
      </c>
      <c r="K93" s="11">
        <v>2</v>
      </c>
      <c r="Q93" s="11">
        <v>1</v>
      </c>
      <c r="Y93" s="11">
        <f t="shared" si="1"/>
        <v>0</v>
      </c>
    </row>
    <row r="94" spans="1:25" x14ac:dyDescent="0.25">
      <c r="A94" s="11" t="str">
        <f>_xlfn.XLOOKUP(B:B,StatsCP!B:B,StatsCP!A:A,"")</f>
        <v>Mitchell</v>
      </c>
      <c r="B94" s="11">
        <v>3</v>
      </c>
      <c r="C94" s="11">
        <v>5</v>
      </c>
      <c r="D94" s="11" t="s">
        <v>18</v>
      </c>
      <c r="E94" s="11" t="s">
        <v>19</v>
      </c>
      <c r="F94" s="11" t="s">
        <v>19</v>
      </c>
      <c r="G94" s="11">
        <v>0</v>
      </c>
      <c r="H94" s="11">
        <v>0</v>
      </c>
      <c r="I94" s="11" t="s">
        <v>10</v>
      </c>
      <c r="J94" s="11" t="s">
        <v>12</v>
      </c>
      <c r="K94" s="11">
        <v>2</v>
      </c>
      <c r="Q94" s="11">
        <v>1</v>
      </c>
      <c r="Y94" s="11">
        <f t="shared" si="1"/>
        <v>0</v>
      </c>
    </row>
    <row r="95" spans="1:25" x14ac:dyDescent="0.25">
      <c r="A95" s="11" t="str">
        <f>_xlfn.XLOOKUP(B:B,StatsCP!B:B,StatsCP!A:A,"")</f>
        <v>Hughes</v>
      </c>
      <c r="B95" s="11">
        <v>19</v>
      </c>
      <c r="C95" s="11">
        <v>5</v>
      </c>
      <c r="D95" s="11" t="s">
        <v>10</v>
      </c>
      <c r="E95" s="11" t="s">
        <v>19</v>
      </c>
      <c r="F95" s="11" t="s">
        <v>19</v>
      </c>
      <c r="G95" s="11">
        <v>0</v>
      </c>
      <c r="H95" s="11">
        <v>1</v>
      </c>
      <c r="I95" s="11" t="s">
        <v>10</v>
      </c>
      <c r="J95" s="11" t="s">
        <v>12</v>
      </c>
      <c r="K95" s="11">
        <v>1</v>
      </c>
      <c r="Q95" s="11">
        <v>1</v>
      </c>
      <c r="Y95" s="11">
        <f t="shared" si="1"/>
        <v>0</v>
      </c>
    </row>
    <row r="96" spans="1:25" x14ac:dyDescent="0.25">
      <c r="A96" s="11" t="str">
        <f>_xlfn.XLOOKUP(B:B,StatsCP!B:B,StatsCP!A:A,"")</f>
        <v>Canvot</v>
      </c>
      <c r="B96" s="11">
        <v>23</v>
      </c>
      <c r="C96" s="11">
        <v>10</v>
      </c>
      <c r="D96" s="11" t="s">
        <v>10</v>
      </c>
      <c r="E96" s="11" t="s">
        <v>19</v>
      </c>
      <c r="F96" s="11" t="s">
        <v>19</v>
      </c>
      <c r="G96" s="11">
        <v>0</v>
      </c>
      <c r="H96" s="11">
        <v>0</v>
      </c>
      <c r="I96" s="11" t="s">
        <v>10</v>
      </c>
      <c r="J96" s="11" t="s">
        <v>12</v>
      </c>
      <c r="K96" s="11">
        <v>2</v>
      </c>
      <c r="Q96" s="11">
        <v>1</v>
      </c>
      <c r="Y96" s="11">
        <f t="shared" si="1"/>
        <v>0</v>
      </c>
    </row>
    <row r="97" spans="1:25" x14ac:dyDescent="0.25">
      <c r="A97" s="11" t="str">
        <f>_xlfn.XLOOKUP(B:B,StatsCP!B:B,StatsCP!A:A,"")</f>
        <v>Mitchell</v>
      </c>
      <c r="B97" s="11">
        <v>3</v>
      </c>
      <c r="C97" s="11">
        <v>10</v>
      </c>
      <c r="D97" s="11" t="s">
        <v>10</v>
      </c>
      <c r="E97" s="11" t="s">
        <v>19</v>
      </c>
      <c r="F97" s="11" t="s">
        <v>19</v>
      </c>
      <c r="G97" s="11">
        <v>1</v>
      </c>
      <c r="H97" s="11">
        <v>0</v>
      </c>
      <c r="I97" s="11" t="s">
        <v>10</v>
      </c>
      <c r="J97" s="11" t="s">
        <v>12</v>
      </c>
      <c r="K97" s="11" t="s">
        <v>15</v>
      </c>
      <c r="Q97" s="11">
        <v>0</v>
      </c>
      <c r="Y97" s="11">
        <f t="shared" si="1"/>
        <v>0</v>
      </c>
    </row>
    <row r="98" spans="1:25" x14ac:dyDescent="0.25">
      <c r="A98" s="11" t="str">
        <f>_xlfn.XLOOKUP(B:B,StatsCP!B:B,StatsCP!A:A,"")</f>
        <v>Pino</v>
      </c>
      <c r="B98" s="11">
        <v>10</v>
      </c>
      <c r="C98" s="11">
        <v>5</v>
      </c>
      <c r="D98" s="11" t="s">
        <v>18</v>
      </c>
      <c r="E98" s="11" t="s">
        <v>19</v>
      </c>
      <c r="F98" s="11" t="s">
        <v>19</v>
      </c>
      <c r="G98" s="11">
        <v>1</v>
      </c>
      <c r="H98" s="11">
        <v>0</v>
      </c>
      <c r="I98" s="11" t="s">
        <v>10</v>
      </c>
      <c r="J98" s="11" t="s">
        <v>12</v>
      </c>
      <c r="K98" s="11">
        <v>2</v>
      </c>
      <c r="M98" s="11" t="s">
        <v>13</v>
      </c>
      <c r="N98" s="11" t="s">
        <v>13</v>
      </c>
      <c r="O98" s="11" t="s">
        <v>13</v>
      </c>
      <c r="Q98" s="11">
        <v>1</v>
      </c>
      <c r="Y98" s="11">
        <f t="shared" si="1"/>
        <v>0</v>
      </c>
    </row>
    <row r="99" spans="1:25" x14ac:dyDescent="0.25">
      <c r="A99" s="11" t="str">
        <f>_xlfn.XLOOKUP(B:B,StatsCP!B:B,StatsCP!A:A,"")</f>
        <v>Lerma</v>
      </c>
      <c r="B99" s="11">
        <v>8</v>
      </c>
      <c r="C99" s="11">
        <v>5</v>
      </c>
      <c r="D99" s="11" t="s">
        <v>14</v>
      </c>
      <c r="E99" s="11" t="s">
        <v>19</v>
      </c>
      <c r="F99" s="11" t="s">
        <v>19</v>
      </c>
      <c r="G99" s="11">
        <v>0</v>
      </c>
      <c r="H99" s="11">
        <v>0</v>
      </c>
      <c r="I99" s="11" t="s">
        <v>10</v>
      </c>
      <c r="J99" s="11" t="s">
        <v>12</v>
      </c>
      <c r="K99" s="11">
        <v>2</v>
      </c>
      <c r="Q99" s="11">
        <v>1</v>
      </c>
      <c r="Y99" s="11">
        <f t="shared" si="1"/>
        <v>0</v>
      </c>
    </row>
    <row r="100" spans="1:25" x14ac:dyDescent="0.25">
      <c r="A100" s="11" t="str">
        <f>_xlfn.XLOOKUP(B:B,StatsCP!B:B,StatsCP!A:A,"")</f>
        <v>Hughes</v>
      </c>
      <c r="B100" s="11">
        <v>19</v>
      </c>
      <c r="C100" s="11">
        <v>10</v>
      </c>
      <c r="D100" s="11" t="s">
        <v>18</v>
      </c>
      <c r="E100" s="11" t="s">
        <v>20</v>
      </c>
      <c r="F100" s="11" t="s">
        <v>19</v>
      </c>
      <c r="G100" s="11">
        <v>0</v>
      </c>
      <c r="H100" s="11">
        <v>0</v>
      </c>
      <c r="I100" s="11" t="s">
        <v>10</v>
      </c>
      <c r="J100" s="11" t="s">
        <v>12</v>
      </c>
      <c r="K100" s="11">
        <v>2</v>
      </c>
      <c r="Q100" s="11">
        <v>1</v>
      </c>
      <c r="Y100" s="11">
        <f t="shared" si="1"/>
        <v>0</v>
      </c>
    </row>
    <row r="101" spans="1:25" x14ac:dyDescent="0.25">
      <c r="A101" s="11" t="str">
        <f>_xlfn.XLOOKUP(B:B,StatsCP!B:B,StatsCP!A:A,"")</f>
        <v>Richards</v>
      </c>
      <c r="B101" s="11">
        <v>26</v>
      </c>
      <c r="C101" s="11">
        <v>20</v>
      </c>
      <c r="D101" s="11" t="s">
        <v>10</v>
      </c>
      <c r="E101" s="11" t="s">
        <v>19</v>
      </c>
      <c r="F101" s="11" t="s">
        <v>20</v>
      </c>
      <c r="G101" s="11">
        <v>0</v>
      </c>
      <c r="H101" s="11">
        <v>1</v>
      </c>
      <c r="I101" s="11" t="s">
        <v>10</v>
      </c>
      <c r="J101" s="11" t="s">
        <v>16</v>
      </c>
      <c r="K101" s="11">
        <v>2</v>
      </c>
      <c r="Q101" s="11">
        <v>0</v>
      </c>
      <c r="W101" s="11">
        <v>1</v>
      </c>
      <c r="Y101" s="11">
        <f t="shared" si="1"/>
        <v>-0.1</v>
      </c>
    </row>
    <row r="102" spans="1:25" x14ac:dyDescent="0.25">
      <c r="A102" s="11" t="str">
        <f>_xlfn.XLOOKUP(B:B,StatsCP!B:B,StatsCP!A:A,"")</f>
        <v>Canvot</v>
      </c>
      <c r="B102" s="11">
        <v>23</v>
      </c>
      <c r="C102" s="11">
        <v>30</v>
      </c>
      <c r="D102" s="11" t="s">
        <v>10</v>
      </c>
      <c r="E102" s="11" t="s">
        <v>19</v>
      </c>
      <c r="F102" s="11" t="s">
        <v>20</v>
      </c>
      <c r="G102" s="11">
        <v>0</v>
      </c>
      <c r="H102" s="11">
        <v>1</v>
      </c>
      <c r="I102" s="11" t="s">
        <v>10</v>
      </c>
      <c r="J102" s="11" t="s">
        <v>12</v>
      </c>
      <c r="K102" s="11" t="s">
        <v>15</v>
      </c>
      <c r="O102" s="11" t="s">
        <v>13</v>
      </c>
      <c r="P102" s="11" t="s">
        <v>13</v>
      </c>
      <c r="Q102" s="11">
        <v>0</v>
      </c>
      <c r="W102" s="11">
        <v>1</v>
      </c>
      <c r="Y102" s="11">
        <f t="shared" si="1"/>
        <v>-0.1</v>
      </c>
    </row>
    <row r="103" spans="1:25" x14ac:dyDescent="0.25">
      <c r="A103" s="11" t="str">
        <f>_xlfn.XLOOKUP(B:B,StatsCP!B:B,StatsCP!A:A,"")</f>
        <v>Richards</v>
      </c>
      <c r="B103" s="11">
        <v>26</v>
      </c>
      <c r="C103" s="11">
        <v>10</v>
      </c>
      <c r="D103" s="11" t="s">
        <v>10</v>
      </c>
      <c r="E103" s="11" t="s">
        <v>19</v>
      </c>
      <c r="F103" s="11" t="s">
        <v>19</v>
      </c>
      <c r="G103" s="11">
        <v>0</v>
      </c>
      <c r="H103" s="11">
        <v>0</v>
      </c>
      <c r="I103" s="11" t="s">
        <v>10</v>
      </c>
      <c r="J103" s="11" t="s">
        <v>12</v>
      </c>
      <c r="K103" s="11">
        <v>2</v>
      </c>
      <c r="Q103" s="11">
        <v>1</v>
      </c>
      <c r="Y103" s="11">
        <f t="shared" si="1"/>
        <v>0</v>
      </c>
    </row>
    <row r="104" spans="1:25" x14ac:dyDescent="0.25">
      <c r="A104" s="11" t="str">
        <f>_xlfn.XLOOKUP(B:B,StatsCP!B:B,StatsCP!A:A,"")</f>
        <v>Pino</v>
      </c>
      <c r="B104" s="11">
        <v>10</v>
      </c>
      <c r="C104" s="11">
        <v>10</v>
      </c>
      <c r="D104" s="11" t="s">
        <v>10</v>
      </c>
      <c r="E104" s="11" t="s">
        <v>19</v>
      </c>
      <c r="F104" s="11" t="s">
        <v>19</v>
      </c>
      <c r="G104" s="11">
        <v>0</v>
      </c>
      <c r="H104" s="11">
        <v>0</v>
      </c>
      <c r="I104" s="11" t="s">
        <v>10</v>
      </c>
      <c r="J104" s="11" t="s">
        <v>16</v>
      </c>
      <c r="K104" s="11">
        <v>2</v>
      </c>
      <c r="Q104" s="11">
        <v>1</v>
      </c>
      <c r="Y104" s="11">
        <f t="shared" si="1"/>
        <v>0</v>
      </c>
    </row>
    <row r="105" spans="1:25" x14ac:dyDescent="0.25">
      <c r="A105" s="11" t="str">
        <f>_xlfn.XLOOKUP(B:B,StatsCP!B:B,StatsCP!A:A,"")</f>
        <v>Mitchell</v>
      </c>
      <c r="B105" s="11">
        <v>3</v>
      </c>
      <c r="C105" s="11">
        <v>10</v>
      </c>
      <c r="D105" s="11" t="s">
        <v>18</v>
      </c>
      <c r="E105" s="11" t="s">
        <v>19</v>
      </c>
      <c r="F105" s="11" t="s">
        <v>11</v>
      </c>
      <c r="G105" s="11">
        <v>0</v>
      </c>
      <c r="H105" s="11">
        <v>0</v>
      </c>
      <c r="I105" s="11" t="s">
        <v>10</v>
      </c>
      <c r="J105" s="11" t="s">
        <v>12</v>
      </c>
      <c r="K105" s="11" t="s">
        <v>15</v>
      </c>
      <c r="Q105" s="11">
        <v>1</v>
      </c>
      <c r="Y105" s="11">
        <f t="shared" si="1"/>
        <v>0</v>
      </c>
    </row>
    <row r="106" spans="1:25" x14ac:dyDescent="0.25">
      <c r="A106" s="11" t="str">
        <f>_xlfn.XLOOKUP(B:B,StatsCP!B:B,StatsCP!A:A,"")</f>
        <v>Lerma</v>
      </c>
      <c r="B106" s="11">
        <v>8</v>
      </c>
      <c r="C106" s="11">
        <v>30</v>
      </c>
      <c r="D106" s="11" t="s">
        <v>10</v>
      </c>
      <c r="E106" s="11" t="s">
        <v>11</v>
      </c>
      <c r="F106" s="11" t="s">
        <v>11</v>
      </c>
      <c r="G106" s="11">
        <v>0</v>
      </c>
      <c r="H106" s="11">
        <v>1</v>
      </c>
      <c r="I106" s="11" t="s">
        <v>10</v>
      </c>
      <c r="J106" s="11" t="s">
        <v>12</v>
      </c>
      <c r="K106" s="11">
        <v>2</v>
      </c>
      <c r="O106" s="11" t="s">
        <v>13</v>
      </c>
      <c r="P106" s="11" t="s">
        <v>13</v>
      </c>
      <c r="Q106" s="11">
        <v>1</v>
      </c>
      <c r="V106" s="11">
        <v>1</v>
      </c>
      <c r="Y106" s="11">
        <f t="shared" si="1"/>
        <v>0.05</v>
      </c>
    </row>
    <row r="107" spans="1:25" x14ac:dyDescent="0.25">
      <c r="A107" s="11" t="str">
        <f>_xlfn.XLOOKUP(B:B,StatsCP!B:B,StatsCP!A:A,"")</f>
        <v>Munoz</v>
      </c>
      <c r="B107" s="11">
        <v>2</v>
      </c>
      <c r="C107" s="11">
        <v>5</v>
      </c>
      <c r="D107" s="11" t="s">
        <v>18</v>
      </c>
      <c r="E107" s="11" t="s">
        <v>11</v>
      </c>
      <c r="F107" s="11" t="s">
        <v>11</v>
      </c>
      <c r="G107" s="11">
        <v>0</v>
      </c>
      <c r="H107" s="11">
        <v>1</v>
      </c>
      <c r="I107" s="11" t="s">
        <v>17</v>
      </c>
      <c r="J107" s="11" t="s">
        <v>106</v>
      </c>
      <c r="K107" s="11">
        <v>1</v>
      </c>
      <c r="M107" s="11" t="s">
        <v>13</v>
      </c>
      <c r="N107" s="11" t="s">
        <v>13</v>
      </c>
      <c r="O107" s="11" t="s">
        <v>13</v>
      </c>
      <c r="Q107" s="11">
        <v>1</v>
      </c>
      <c r="Y107" s="11">
        <f t="shared" si="1"/>
        <v>0</v>
      </c>
    </row>
    <row r="108" spans="1:25" x14ac:dyDescent="0.25">
      <c r="A108" s="11" t="str">
        <f>_xlfn.XLOOKUP(B:B,StatsCP!B:B,StatsCP!A:A,"")</f>
        <v>Henderson</v>
      </c>
      <c r="B108" s="11">
        <v>1</v>
      </c>
      <c r="C108" s="11">
        <v>0</v>
      </c>
      <c r="D108" s="11" t="s">
        <v>10</v>
      </c>
      <c r="E108" s="11" t="s">
        <v>20</v>
      </c>
      <c r="F108" s="11" t="s">
        <v>20</v>
      </c>
      <c r="G108" s="11">
        <v>0</v>
      </c>
      <c r="H108" s="11">
        <v>0</v>
      </c>
      <c r="I108" s="11" t="s">
        <v>10</v>
      </c>
      <c r="J108" s="11" t="s">
        <v>12</v>
      </c>
      <c r="K108" s="11">
        <v>1</v>
      </c>
      <c r="Q108" s="11">
        <v>1</v>
      </c>
      <c r="Y108" s="11">
        <f t="shared" si="1"/>
        <v>0</v>
      </c>
    </row>
    <row r="109" spans="1:25" x14ac:dyDescent="0.25">
      <c r="A109" s="11" t="str">
        <f>_xlfn.XLOOKUP(B:B,StatsCP!B:B,StatsCP!A:A,"")</f>
        <v>Lacroix</v>
      </c>
      <c r="B109" s="11">
        <v>5</v>
      </c>
      <c r="C109" s="11">
        <v>20</v>
      </c>
      <c r="D109" s="11" t="s">
        <v>10</v>
      </c>
      <c r="E109" s="11" t="s">
        <v>19</v>
      </c>
      <c r="F109" s="11" t="s">
        <v>20</v>
      </c>
      <c r="G109" s="11">
        <v>0</v>
      </c>
      <c r="H109" s="11">
        <v>0</v>
      </c>
      <c r="I109" s="11" t="s">
        <v>10</v>
      </c>
      <c r="J109" s="11" t="s">
        <v>12</v>
      </c>
      <c r="K109" s="11">
        <v>2</v>
      </c>
      <c r="Q109" s="11">
        <v>1</v>
      </c>
      <c r="Y109" s="11">
        <f t="shared" si="1"/>
        <v>0</v>
      </c>
    </row>
    <row r="110" spans="1:25" x14ac:dyDescent="0.25">
      <c r="A110" s="11" t="str">
        <f>_xlfn.XLOOKUP(B:B,StatsCP!B:B,StatsCP!A:A,"")</f>
        <v>Canvot</v>
      </c>
      <c r="B110" s="11">
        <v>23</v>
      </c>
      <c r="C110" s="11">
        <v>10</v>
      </c>
      <c r="D110" s="11" t="s">
        <v>18</v>
      </c>
      <c r="E110" s="11" t="s">
        <v>20</v>
      </c>
      <c r="F110" s="11" t="s">
        <v>20</v>
      </c>
      <c r="G110" s="11">
        <v>0</v>
      </c>
      <c r="H110" s="11">
        <v>0</v>
      </c>
      <c r="I110" s="11" t="s">
        <v>10</v>
      </c>
      <c r="J110" s="11" t="s">
        <v>12</v>
      </c>
      <c r="K110" s="11" t="s">
        <v>15</v>
      </c>
      <c r="Q110" s="11">
        <v>1</v>
      </c>
      <c r="Y110" s="11">
        <f t="shared" si="1"/>
        <v>0</v>
      </c>
    </row>
    <row r="111" spans="1:25" x14ac:dyDescent="0.25">
      <c r="A111" s="11" t="str">
        <f>_xlfn.XLOOKUP(B:B,StatsCP!B:B,StatsCP!A:A,"")</f>
        <v>Lacroix</v>
      </c>
      <c r="B111" s="11">
        <v>5</v>
      </c>
      <c r="C111" s="11">
        <v>20</v>
      </c>
      <c r="D111" s="11" t="s">
        <v>10</v>
      </c>
      <c r="E111" s="11" t="s">
        <v>19</v>
      </c>
      <c r="F111" s="11" t="s">
        <v>19</v>
      </c>
      <c r="G111" s="11">
        <v>0</v>
      </c>
      <c r="H111" s="11">
        <v>1</v>
      </c>
      <c r="I111" s="11" t="s">
        <v>10</v>
      </c>
      <c r="J111" s="11" t="s">
        <v>12</v>
      </c>
      <c r="K111" s="11">
        <v>2</v>
      </c>
      <c r="Q111" s="11">
        <v>1</v>
      </c>
      <c r="Y111" s="11">
        <f t="shared" si="1"/>
        <v>0</v>
      </c>
    </row>
    <row r="112" spans="1:25" x14ac:dyDescent="0.25">
      <c r="A112" s="11" t="str">
        <f>_xlfn.XLOOKUP(B:B,StatsCP!B:B,StatsCP!A:A,"")</f>
        <v>Johnson</v>
      </c>
      <c r="B112" s="11">
        <v>11</v>
      </c>
      <c r="C112" s="11">
        <v>10</v>
      </c>
      <c r="D112" s="11" t="s">
        <v>14</v>
      </c>
      <c r="E112" s="11" t="s">
        <v>19</v>
      </c>
      <c r="F112" s="11" t="s">
        <v>19</v>
      </c>
      <c r="G112" s="11">
        <v>0</v>
      </c>
      <c r="H112" s="11">
        <v>0</v>
      </c>
      <c r="I112" s="11" t="s">
        <v>10</v>
      </c>
      <c r="J112" s="11" t="s">
        <v>12</v>
      </c>
      <c r="K112" s="11">
        <v>1</v>
      </c>
      <c r="Q112" s="11">
        <v>1</v>
      </c>
      <c r="Y112" s="11">
        <f t="shared" si="1"/>
        <v>0</v>
      </c>
    </row>
    <row r="113" spans="1:25" x14ac:dyDescent="0.25">
      <c r="A113" s="11" t="str">
        <f>_xlfn.XLOOKUP(B:B,StatsCP!B:B,StatsCP!A:A,"")</f>
        <v>Munoz</v>
      </c>
      <c r="B113" s="11">
        <v>2</v>
      </c>
      <c r="C113" s="11">
        <v>10</v>
      </c>
      <c r="D113" s="11" t="s">
        <v>10</v>
      </c>
      <c r="E113" s="11" t="s">
        <v>19</v>
      </c>
      <c r="F113" s="11" t="s">
        <v>19</v>
      </c>
      <c r="G113" s="11">
        <v>0</v>
      </c>
      <c r="H113" s="11">
        <v>0</v>
      </c>
      <c r="I113" s="11" t="s">
        <v>10</v>
      </c>
      <c r="J113" s="11" t="s">
        <v>12</v>
      </c>
      <c r="K113" s="11">
        <v>1</v>
      </c>
      <c r="Q113" s="11">
        <v>1</v>
      </c>
      <c r="Y113" s="11">
        <f t="shared" si="1"/>
        <v>0</v>
      </c>
    </row>
    <row r="114" spans="1:25" x14ac:dyDescent="0.25">
      <c r="A114" s="11" t="str">
        <f>_xlfn.XLOOKUP(B:B,StatsCP!B:B,StatsCP!A:A,"")</f>
        <v>Johnson</v>
      </c>
      <c r="B114" s="11">
        <v>11</v>
      </c>
      <c r="C114" s="11">
        <v>20</v>
      </c>
      <c r="D114" s="11" t="s">
        <v>10</v>
      </c>
      <c r="E114" s="11" t="s">
        <v>11</v>
      </c>
      <c r="F114" s="11" t="s">
        <v>19</v>
      </c>
      <c r="G114" s="11">
        <v>1</v>
      </c>
      <c r="H114" s="11">
        <v>1</v>
      </c>
      <c r="I114" s="11" t="s">
        <v>10</v>
      </c>
      <c r="J114" s="11" t="s">
        <v>12</v>
      </c>
      <c r="K114" s="11" t="s">
        <v>15</v>
      </c>
      <c r="O114" s="11" t="s">
        <v>13</v>
      </c>
      <c r="P114" s="11" t="s">
        <v>13</v>
      </c>
      <c r="Q114" s="11">
        <v>0</v>
      </c>
      <c r="Y114" s="11">
        <f t="shared" si="1"/>
        <v>0</v>
      </c>
    </row>
    <row r="115" spans="1:25" x14ac:dyDescent="0.25">
      <c r="A115" s="11" t="str">
        <f>_xlfn.XLOOKUP(B:B,StatsCP!B:B,StatsCP!A:A,"")</f>
        <v>Lacroix</v>
      </c>
      <c r="B115" s="11">
        <v>5</v>
      </c>
      <c r="C115" s="11">
        <v>10</v>
      </c>
      <c r="D115" s="11" t="s">
        <v>18</v>
      </c>
      <c r="E115" s="11" t="s">
        <v>20</v>
      </c>
      <c r="F115" s="11" t="s">
        <v>20</v>
      </c>
      <c r="G115" s="11">
        <v>0</v>
      </c>
      <c r="H115" s="11">
        <v>0</v>
      </c>
      <c r="I115" s="11" t="s">
        <v>10</v>
      </c>
      <c r="J115" s="11" t="s">
        <v>16</v>
      </c>
      <c r="K115" s="11">
        <v>1</v>
      </c>
      <c r="Q115" s="11">
        <v>1</v>
      </c>
      <c r="Y115" s="11">
        <f t="shared" si="1"/>
        <v>0</v>
      </c>
    </row>
    <row r="116" spans="1:25" x14ac:dyDescent="0.25">
      <c r="A116" s="11" t="str">
        <f>_xlfn.XLOOKUP(B:B,StatsCP!B:B,StatsCP!A:A,"")</f>
        <v>Henderson</v>
      </c>
      <c r="B116" s="11">
        <v>1</v>
      </c>
      <c r="C116" s="11">
        <v>10</v>
      </c>
      <c r="D116" s="11" t="s">
        <v>14</v>
      </c>
      <c r="E116" s="11" t="s">
        <v>20</v>
      </c>
      <c r="F116" s="11" t="s">
        <v>20</v>
      </c>
      <c r="G116" s="11">
        <v>0</v>
      </c>
      <c r="H116" s="11">
        <v>0</v>
      </c>
      <c r="I116" s="11" t="s">
        <v>10</v>
      </c>
      <c r="J116" s="11" t="s">
        <v>12</v>
      </c>
      <c r="K116" s="11">
        <v>1</v>
      </c>
      <c r="Q116" s="11">
        <v>1</v>
      </c>
      <c r="Y116" s="11">
        <f t="shared" si="1"/>
        <v>0</v>
      </c>
    </row>
    <row r="117" spans="1:25" x14ac:dyDescent="0.25">
      <c r="A117" s="11" t="str">
        <f>_xlfn.XLOOKUP(B:B,StatsCP!B:B,StatsCP!A:A,"")</f>
        <v>Canvot</v>
      </c>
      <c r="B117" s="11">
        <v>23</v>
      </c>
      <c r="C117" s="11">
        <v>10</v>
      </c>
      <c r="D117" s="11" t="s">
        <v>10</v>
      </c>
      <c r="E117" s="11" t="s">
        <v>20</v>
      </c>
      <c r="F117" s="11" t="s">
        <v>20</v>
      </c>
      <c r="G117" s="11">
        <v>0</v>
      </c>
      <c r="H117" s="11">
        <v>0</v>
      </c>
      <c r="I117" s="11" t="s">
        <v>10</v>
      </c>
      <c r="J117" s="11" t="s">
        <v>12</v>
      </c>
      <c r="K117" s="11" t="s">
        <v>15</v>
      </c>
      <c r="Q117" s="11">
        <v>1</v>
      </c>
      <c r="Y117" s="11">
        <f t="shared" si="1"/>
        <v>0</v>
      </c>
    </row>
    <row r="118" spans="1:25" x14ac:dyDescent="0.25">
      <c r="A118" s="11" t="str">
        <f>_xlfn.XLOOKUP(B:B,StatsCP!B:B,StatsCP!A:A,"")</f>
        <v>Lerma</v>
      </c>
      <c r="B118" s="11">
        <v>8</v>
      </c>
      <c r="C118" s="11">
        <v>5</v>
      </c>
      <c r="D118" s="11" t="s">
        <v>18</v>
      </c>
      <c r="E118" s="11" t="s">
        <v>20</v>
      </c>
      <c r="F118" s="11" t="s">
        <v>20</v>
      </c>
      <c r="G118" s="11">
        <v>0</v>
      </c>
      <c r="H118" s="11">
        <v>0</v>
      </c>
      <c r="I118" s="11" t="s">
        <v>10</v>
      </c>
      <c r="J118" s="11" t="s">
        <v>12</v>
      </c>
      <c r="K118" s="11">
        <v>2</v>
      </c>
      <c r="Q118" s="11">
        <v>1</v>
      </c>
      <c r="Y118" s="11">
        <f t="shared" si="1"/>
        <v>0</v>
      </c>
    </row>
    <row r="119" spans="1:25" x14ac:dyDescent="0.25">
      <c r="A119" s="11" t="str">
        <f>_xlfn.XLOOKUP(B:B,StatsCP!B:B,StatsCP!A:A,"")</f>
        <v>Canvot</v>
      </c>
      <c r="B119" s="11">
        <v>23</v>
      </c>
      <c r="C119" s="11">
        <v>0</v>
      </c>
      <c r="D119" s="11" t="s">
        <v>10</v>
      </c>
      <c r="E119" s="11" t="s">
        <v>20</v>
      </c>
      <c r="F119" s="11" t="s">
        <v>20</v>
      </c>
      <c r="G119" s="11">
        <v>1</v>
      </c>
      <c r="H119" s="11">
        <v>0</v>
      </c>
      <c r="I119" s="11" t="s">
        <v>10</v>
      </c>
      <c r="J119" s="11" t="s">
        <v>16</v>
      </c>
      <c r="K119" s="11">
        <v>2</v>
      </c>
      <c r="Q119" s="11">
        <v>0</v>
      </c>
      <c r="W119" s="11">
        <v>1</v>
      </c>
      <c r="Y119" s="11">
        <f t="shared" si="1"/>
        <v>-0.1</v>
      </c>
    </row>
    <row r="120" spans="1:25" x14ac:dyDescent="0.25">
      <c r="A120" s="11" t="str">
        <f>_xlfn.XLOOKUP(B:B,StatsCP!B:B,StatsCP!A:A,"")</f>
        <v>Mitchell</v>
      </c>
      <c r="B120" s="11">
        <v>3</v>
      </c>
      <c r="C120" s="11">
        <v>10</v>
      </c>
      <c r="D120" s="11" t="s">
        <v>10</v>
      </c>
      <c r="E120" s="11" t="s">
        <v>19</v>
      </c>
      <c r="F120" s="11" t="s">
        <v>19</v>
      </c>
      <c r="G120" s="11">
        <v>0</v>
      </c>
      <c r="H120" s="11">
        <v>1</v>
      </c>
      <c r="I120" s="11" t="s">
        <v>10</v>
      </c>
      <c r="J120" s="11" t="s">
        <v>16</v>
      </c>
      <c r="K120" s="11">
        <v>2</v>
      </c>
      <c r="Q120" s="11">
        <v>1</v>
      </c>
      <c r="Y120" s="11">
        <f t="shared" si="1"/>
        <v>0</v>
      </c>
    </row>
    <row r="121" spans="1:25" x14ac:dyDescent="0.25">
      <c r="A121" s="11" t="str">
        <f>_xlfn.XLOOKUP(B:B,StatsCP!B:B,StatsCP!A:A,"")</f>
        <v>Strand Larsen</v>
      </c>
      <c r="B121" s="11">
        <v>22</v>
      </c>
      <c r="C121" s="11">
        <v>5</v>
      </c>
      <c r="D121" s="11" t="s">
        <v>18</v>
      </c>
      <c r="E121" s="11" t="s">
        <v>19</v>
      </c>
      <c r="F121" s="11" t="s">
        <v>19</v>
      </c>
      <c r="G121" s="11">
        <v>0</v>
      </c>
      <c r="H121" s="11">
        <v>2</v>
      </c>
      <c r="I121" s="11" t="s">
        <v>10</v>
      </c>
      <c r="J121" s="11" t="s">
        <v>12</v>
      </c>
      <c r="K121" s="11">
        <v>2</v>
      </c>
      <c r="Q121" s="11">
        <v>1</v>
      </c>
      <c r="Y121" s="11">
        <f t="shared" si="1"/>
        <v>0</v>
      </c>
    </row>
    <row r="122" spans="1:25" x14ac:dyDescent="0.25">
      <c r="A122" s="11" t="str">
        <f>_xlfn.XLOOKUP(B:B,StatsCP!B:B,StatsCP!A:A,"")</f>
        <v>Hughes</v>
      </c>
      <c r="B122" s="11">
        <v>19</v>
      </c>
      <c r="C122" s="11">
        <v>5</v>
      </c>
      <c r="D122" s="11" t="s">
        <v>14</v>
      </c>
      <c r="E122" s="11" t="s">
        <v>19</v>
      </c>
      <c r="F122" s="11" t="s">
        <v>19</v>
      </c>
      <c r="G122" s="11">
        <v>0</v>
      </c>
      <c r="H122" s="11">
        <v>0</v>
      </c>
      <c r="I122" s="11" t="s">
        <v>10</v>
      </c>
      <c r="J122" s="11" t="s">
        <v>12</v>
      </c>
      <c r="K122" s="11" t="s">
        <v>15</v>
      </c>
      <c r="Q122" s="11">
        <v>1</v>
      </c>
      <c r="Y122" s="11">
        <f t="shared" si="1"/>
        <v>0</v>
      </c>
    </row>
    <row r="123" spans="1:25" x14ac:dyDescent="0.25">
      <c r="A123" s="11" t="str">
        <f>_xlfn.XLOOKUP(B:B,StatsCP!B:B,StatsCP!A:A,"")</f>
        <v>Lerma</v>
      </c>
      <c r="B123" s="11">
        <v>8</v>
      </c>
      <c r="C123" s="11">
        <v>5</v>
      </c>
      <c r="D123" s="11" t="s">
        <v>10</v>
      </c>
      <c r="E123" s="11" t="s">
        <v>19</v>
      </c>
      <c r="F123" s="11" t="s">
        <v>19</v>
      </c>
      <c r="G123" s="11">
        <v>0</v>
      </c>
      <c r="H123" s="11">
        <v>0</v>
      </c>
      <c r="I123" s="11" t="s">
        <v>10</v>
      </c>
      <c r="J123" s="11" t="s">
        <v>12</v>
      </c>
      <c r="K123" s="11">
        <v>2</v>
      </c>
      <c r="Q123" s="11">
        <v>1</v>
      </c>
      <c r="Y123" s="11">
        <f t="shared" si="1"/>
        <v>0</v>
      </c>
    </row>
    <row r="124" spans="1:25" x14ac:dyDescent="0.25">
      <c r="A124" s="11" t="str">
        <f>_xlfn.XLOOKUP(B:B,StatsCP!B:B,StatsCP!A:A,"")</f>
        <v>Mitchell</v>
      </c>
      <c r="B124" s="11">
        <v>3</v>
      </c>
      <c r="C124" s="11">
        <v>5</v>
      </c>
      <c r="D124" s="11" t="s">
        <v>18</v>
      </c>
      <c r="E124" s="11" t="s">
        <v>19</v>
      </c>
      <c r="F124" s="11" t="s">
        <v>19</v>
      </c>
      <c r="G124" s="11">
        <v>0</v>
      </c>
      <c r="H124" s="11">
        <v>0</v>
      </c>
      <c r="I124" s="11" t="s">
        <v>10</v>
      </c>
      <c r="J124" s="11" t="s">
        <v>12</v>
      </c>
      <c r="K124" s="11">
        <v>2</v>
      </c>
      <c r="Q124" s="11">
        <v>1</v>
      </c>
      <c r="Y124" s="11">
        <f t="shared" si="1"/>
        <v>0</v>
      </c>
    </row>
    <row r="125" spans="1:25" x14ac:dyDescent="0.25">
      <c r="A125" s="11" t="str">
        <f>_xlfn.XLOOKUP(B:B,StatsCP!B:B,StatsCP!A:A,"")</f>
        <v>Lerma</v>
      </c>
      <c r="B125" s="11">
        <v>8</v>
      </c>
      <c r="C125" s="11">
        <v>5</v>
      </c>
      <c r="D125" s="11" t="s">
        <v>14</v>
      </c>
      <c r="E125" s="11" t="s">
        <v>19</v>
      </c>
      <c r="F125" s="11" t="s">
        <v>19</v>
      </c>
      <c r="G125" s="11">
        <v>0</v>
      </c>
      <c r="H125" s="11">
        <v>0</v>
      </c>
      <c r="I125" s="11" t="s">
        <v>10</v>
      </c>
      <c r="J125" s="11" t="s">
        <v>12</v>
      </c>
      <c r="K125" s="11" t="s">
        <v>15</v>
      </c>
      <c r="Q125" s="11">
        <v>1</v>
      </c>
      <c r="Y125" s="11">
        <f t="shared" si="1"/>
        <v>0</v>
      </c>
    </row>
    <row r="126" spans="1:25" x14ac:dyDescent="0.25">
      <c r="A126" s="11" t="str">
        <f>_xlfn.XLOOKUP(B:B,StatsCP!B:B,StatsCP!A:A,"")</f>
        <v>Canvot</v>
      </c>
      <c r="B126" s="11">
        <v>23</v>
      </c>
      <c r="C126" s="11">
        <v>5</v>
      </c>
      <c r="D126" s="11" t="s">
        <v>10</v>
      </c>
      <c r="E126" s="11" t="s">
        <v>19</v>
      </c>
      <c r="F126" s="11" t="s">
        <v>19</v>
      </c>
      <c r="G126" s="11">
        <v>0</v>
      </c>
      <c r="H126" s="11">
        <v>0</v>
      </c>
      <c r="I126" s="11" t="s">
        <v>10</v>
      </c>
      <c r="J126" s="11" t="s">
        <v>12</v>
      </c>
      <c r="K126" s="11">
        <v>2</v>
      </c>
      <c r="Q126" s="11">
        <v>1</v>
      </c>
      <c r="Y126" s="11">
        <f t="shared" si="1"/>
        <v>0</v>
      </c>
    </row>
    <row r="127" spans="1:25" x14ac:dyDescent="0.25">
      <c r="A127" s="11" t="str">
        <f>_xlfn.XLOOKUP(B:B,StatsCP!B:B,StatsCP!A:A,"")</f>
        <v>Mitchell</v>
      </c>
      <c r="B127" s="11">
        <v>3</v>
      </c>
      <c r="C127" s="11">
        <v>10</v>
      </c>
      <c r="D127" s="11" t="s">
        <v>14</v>
      </c>
      <c r="E127" s="11" t="s">
        <v>19</v>
      </c>
      <c r="F127" s="11" t="s">
        <v>19</v>
      </c>
      <c r="G127" s="11">
        <v>0</v>
      </c>
      <c r="H127" s="11">
        <v>0</v>
      </c>
      <c r="I127" s="11" t="s">
        <v>10</v>
      </c>
      <c r="J127" s="11" t="s">
        <v>12</v>
      </c>
      <c r="K127" s="11">
        <v>1</v>
      </c>
      <c r="Q127" s="11">
        <v>1</v>
      </c>
      <c r="Y127" s="11">
        <f t="shared" si="1"/>
        <v>0</v>
      </c>
    </row>
    <row r="128" spans="1:25" x14ac:dyDescent="0.25">
      <c r="A128" s="11" t="str">
        <f>_xlfn.XLOOKUP(B:B,StatsCP!B:B,StatsCP!A:A,"")</f>
        <v>Richards</v>
      </c>
      <c r="B128" s="11">
        <v>26</v>
      </c>
      <c r="C128" s="11">
        <v>10</v>
      </c>
      <c r="D128" s="11" t="s">
        <v>10</v>
      </c>
      <c r="E128" s="11" t="s">
        <v>19</v>
      </c>
      <c r="F128" s="11" t="s">
        <v>20</v>
      </c>
      <c r="G128" s="11">
        <v>0</v>
      </c>
      <c r="H128" s="11">
        <v>0</v>
      </c>
      <c r="I128" s="11" t="s">
        <v>10</v>
      </c>
      <c r="J128" s="11" t="s">
        <v>12</v>
      </c>
      <c r="K128" s="11">
        <v>2</v>
      </c>
      <c r="Q128" s="11">
        <v>1</v>
      </c>
      <c r="Y128" s="11">
        <f t="shared" si="1"/>
        <v>0</v>
      </c>
    </row>
    <row r="129" spans="1:25" x14ac:dyDescent="0.25">
      <c r="A129" s="11" t="str">
        <f>_xlfn.XLOOKUP(B:B,StatsCP!B:B,StatsCP!A:A,"")</f>
        <v>Munoz</v>
      </c>
      <c r="B129" s="11">
        <v>2</v>
      </c>
      <c r="C129" s="11">
        <v>10</v>
      </c>
      <c r="D129" s="11" t="s">
        <v>18</v>
      </c>
      <c r="E129" s="11" t="s">
        <v>20</v>
      </c>
      <c r="F129" s="11" t="s">
        <v>19</v>
      </c>
      <c r="G129" s="11">
        <v>0</v>
      </c>
      <c r="H129" s="11">
        <v>0</v>
      </c>
      <c r="I129" s="11" t="s">
        <v>10</v>
      </c>
      <c r="J129" s="11" t="s">
        <v>12</v>
      </c>
      <c r="K129" s="11">
        <v>2</v>
      </c>
      <c r="Q129" s="11">
        <v>1</v>
      </c>
      <c r="Y129" s="11">
        <f t="shared" si="1"/>
        <v>0</v>
      </c>
    </row>
    <row r="130" spans="1:25" x14ac:dyDescent="0.25">
      <c r="A130" s="11" t="str">
        <f>_xlfn.XLOOKUP(B:B,StatsCP!B:B,StatsCP!A:A,"")</f>
        <v>Richards</v>
      </c>
      <c r="B130" s="11">
        <v>26</v>
      </c>
      <c r="C130" s="11">
        <v>30</v>
      </c>
      <c r="D130" s="11" t="s">
        <v>10</v>
      </c>
      <c r="E130" s="11" t="s">
        <v>19</v>
      </c>
      <c r="F130" s="11" t="s">
        <v>20</v>
      </c>
      <c r="G130" s="11">
        <v>0</v>
      </c>
      <c r="H130" s="11">
        <v>1</v>
      </c>
      <c r="I130" s="11" t="s">
        <v>10</v>
      </c>
      <c r="J130" s="11" t="s">
        <v>16</v>
      </c>
      <c r="K130" s="11">
        <v>2</v>
      </c>
      <c r="O130" s="11" t="s">
        <v>13</v>
      </c>
      <c r="Q130" s="11">
        <v>0</v>
      </c>
      <c r="W130" s="11">
        <v>1</v>
      </c>
      <c r="Y130" s="11">
        <f t="shared" si="1"/>
        <v>-0.1</v>
      </c>
    </row>
    <row r="131" spans="1:25" x14ac:dyDescent="0.25">
      <c r="A131" s="11" t="str">
        <f>_xlfn.XLOOKUP(B:B,StatsCP!B:B,StatsCP!A:A,"")</f>
        <v>Johnson</v>
      </c>
      <c r="B131" s="11">
        <v>11</v>
      </c>
      <c r="C131" s="11">
        <v>10</v>
      </c>
      <c r="D131" s="11" t="s">
        <v>18</v>
      </c>
      <c r="E131" s="11" t="s">
        <v>20</v>
      </c>
      <c r="F131" s="11" t="s">
        <v>19</v>
      </c>
      <c r="G131" s="11">
        <v>0</v>
      </c>
      <c r="H131" s="11">
        <v>0</v>
      </c>
      <c r="I131" s="11" t="s">
        <v>10</v>
      </c>
      <c r="J131" s="11" t="s">
        <v>12</v>
      </c>
      <c r="K131" s="11" t="s">
        <v>15</v>
      </c>
      <c r="Q131" s="11">
        <v>1</v>
      </c>
      <c r="Y131" s="11">
        <f t="shared" ref="Y131:Y147" si="2">(R131*0.1)+(S131*0.05)+(T131*0.5)+(U131*0.2)-(W131*0.1)-(X131*0.5)+(V131*0.05)</f>
        <v>0</v>
      </c>
    </row>
    <row r="132" spans="1:25" x14ac:dyDescent="0.25">
      <c r="A132" s="11" t="str">
        <f>_xlfn.XLOOKUP(B:B,StatsCP!B:B,StatsCP!A:A,"")</f>
        <v>Mitchell</v>
      </c>
      <c r="B132" s="11">
        <v>3</v>
      </c>
      <c r="C132" s="11">
        <v>0</v>
      </c>
      <c r="D132" s="11" t="s">
        <v>14</v>
      </c>
      <c r="E132" s="11" t="s">
        <v>19</v>
      </c>
      <c r="F132" s="11" t="s">
        <v>19</v>
      </c>
      <c r="G132" s="11">
        <v>0</v>
      </c>
      <c r="H132" s="11">
        <v>0</v>
      </c>
      <c r="I132" s="11" t="s">
        <v>10</v>
      </c>
      <c r="J132" s="11" t="s">
        <v>12</v>
      </c>
      <c r="K132" s="11">
        <v>1</v>
      </c>
      <c r="Q132" s="11">
        <v>1</v>
      </c>
      <c r="Y132" s="11">
        <f t="shared" si="2"/>
        <v>0</v>
      </c>
    </row>
    <row r="133" spans="1:25" x14ac:dyDescent="0.25">
      <c r="A133" s="11" t="str">
        <f>_xlfn.XLOOKUP(B:B,StatsCP!B:B,StatsCP!A:A,"")</f>
        <v>Lerma</v>
      </c>
      <c r="B133" s="11">
        <v>8</v>
      </c>
      <c r="C133" s="11">
        <v>5</v>
      </c>
      <c r="D133" s="11" t="s">
        <v>18</v>
      </c>
      <c r="E133" s="11" t="s">
        <v>20</v>
      </c>
      <c r="F133" s="11" t="s">
        <v>19</v>
      </c>
      <c r="G133" s="11">
        <v>0</v>
      </c>
      <c r="H133" s="11">
        <v>0</v>
      </c>
      <c r="I133" s="11" t="s">
        <v>10</v>
      </c>
      <c r="J133" s="11" t="s">
        <v>12</v>
      </c>
      <c r="K133" s="11">
        <v>2</v>
      </c>
      <c r="Q133" s="11">
        <v>1</v>
      </c>
      <c r="Y133" s="11">
        <f t="shared" si="2"/>
        <v>0</v>
      </c>
    </row>
    <row r="134" spans="1:25" x14ac:dyDescent="0.25">
      <c r="A134" s="11" t="str">
        <f>_xlfn.XLOOKUP(B:B,StatsCP!B:B,StatsCP!A:A,"")</f>
        <v>Lacroix</v>
      </c>
      <c r="B134" s="11">
        <v>5</v>
      </c>
      <c r="C134" s="11">
        <v>20</v>
      </c>
      <c r="D134" s="11" t="s">
        <v>14</v>
      </c>
      <c r="E134" s="11" t="s">
        <v>20</v>
      </c>
      <c r="F134" s="11" t="s">
        <v>20</v>
      </c>
      <c r="G134" s="11">
        <v>0</v>
      </c>
      <c r="H134" s="11">
        <v>0</v>
      </c>
      <c r="I134" s="11" t="s">
        <v>10</v>
      </c>
      <c r="J134" s="11" t="s">
        <v>12</v>
      </c>
      <c r="K134" s="11">
        <v>2</v>
      </c>
      <c r="Q134" s="11">
        <v>1</v>
      </c>
      <c r="Y134" s="11">
        <f t="shared" si="2"/>
        <v>0</v>
      </c>
    </row>
    <row r="135" spans="1:25" x14ac:dyDescent="0.25">
      <c r="A135" s="11" t="str">
        <f>_xlfn.XLOOKUP(B:B,StatsCP!B:B,StatsCP!A:A,"")</f>
        <v>Richards</v>
      </c>
      <c r="B135" s="11">
        <v>26</v>
      </c>
      <c r="C135" s="11">
        <v>10</v>
      </c>
      <c r="D135" s="11" t="s">
        <v>10</v>
      </c>
      <c r="E135" s="11" t="s">
        <v>19</v>
      </c>
      <c r="F135" s="11" t="s">
        <v>20</v>
      </c>
      <c r="G135" s="11">
        <v>0</v>
      </c>
      <c r="H135" s="11">
        <v>0</v>
      </c>
      <c r="I135" s="11" t="s">
        <v>10</v>
      </c>
      <c r="J135" s="11" t="s">
        <v>12</v>
      </c>
      <c r="K135" s="11">
        <v>2</v>
      </c>
      <c r="Q135" s="11">
        <v>1</v>
      </c>
      <c r="Y135" s="11">
        <f t="shared" si="2"/>
        <v>0</v>
      </c>
    </row>
    <row r="136" spans="1:25" x14ac:dyDescent="0.25">
      <c r="A136" s="11" t="str">
        <f>_xlfn.XLOOKUP(B:B,StatsCP!B:B,StatsCP!A:A,"")</f>
        <v>Munoz</v>
      </c>
      <c r="B136" s="11">
        <v>2</v>
      </c>
      <c r="C136" s="11">
        <v>20</v>
      </c>
      <c r="D136" s="11" t="s">
        <v>10</v>
      </c>
      <c r="E136" s="11" t="s">
        <v>19</v>
      </c>
      <c r="F136" s="11" t="s">
        <v>19</v>
      </c>
      <c r="G136" s="11">
        <v>0</v>
      </c>
      <c r="H136" s="11">
        <v>1</v>
      </c>
      <c r="I136" s="11" t="s">
        <v>10</v>
      </c>
      <c r="J136" s="11" t="s">
        <v>16</v>
      </c>
      <c r="K136" s="11" t="s">
        <v>15</v>
      </c>
      <c r="O136" s="11" t="s">
        <v>13</v>
      </c>
      <c r="Q136" s="11">
        <v>1</v>
      </c>
      <c r="Y136" s="11">
        <f t="shared" si="2"/>
        <v>0</v>
      </c>
    </row>
    <row r="137" spans="1:25" x14ac:dyDescent="0.25">
      <c r="A137" s="11" t="str">
        <f>_xlfn.XLOOKUP(B:B,StatsCP!B:B,StatsCP!A:A,"")</f>
        <v>Strand Larsen</v>
      </c>
      <c r="B137" s="11">
        <v>22</v>
      </c>
      <c r="C137" s="11">
        <v>10</v>
      </c>
      <c r="D137" s="11" t="s">
        <v>18</v>
      </c>
      <c r="E137" s="11" t="s">
        <v>19</v>
      </c>
      <c r="F137" s="11" t="s">
        <v>19</v>
      </c>
      <c r="G137" s="11">
        <v>0</v>
      </c>
      <c r="H137" s="11">
        <v>0</v>
      </c>
      <c r="I137" s="11" t="s">
        <v>17</v>
      </c>
      <c r="J137" s="11" t="s">
        <v>106</v>
      </c>
      <c r="K137" s="11">
        <v>1</v>
      </c>
      <c r="M137" s="11" t="s">
        <v>13</v>
      </c>
      <c r="N137" s="11" t="s">
        <v>13</v>
      </c>
      <c r="O137" s="11" t="s">
        <v>13</v>
      </c>
      <c r="Q137" s="11">
        <v>1</v>
      </c>
      <c r="Y137" s="11">
        <f t="shared" si="2"/>
        <v>0</v>
      </c>
    </row>
    <row r="138" spans="1:25" x14ac:dyDescent="0.25">
      <c r="A138" s="11" t="str">
        <f>_xlfn.XLOOKUP(B:B,StatsCP!B:B,StatsCP!A:A,"")</f>
        <v>Johnson</v>
      </c>
      <c r="B138" s="11">
        <v>11</v>
      </c>
      <c r="C138" s="11">
        <v>20</v>
      </c>
      <c r="D138" s="11" t="s">
        <v>10</v>
      </c>
      <c r="E138" s="11" t="s">
        <v>19</v>
      </c>
      <c r="F138" s="11" t="s">
        <v>19</v>
      </c>
      <c r="G138" s="11">
        <v>0</v>
      </c>
      <c r="H138" s="11">
        <v>1</v>
      </c>
      <c r="I138" s="11" t="s">
        <v>10</v>
      </c>
      <c r="J138" s="11" t="s">
        <v>12</v>
      </c>
      <c r="K138" s="11">
        <v>2</v>
      </c>
      <c r="M138" s="11" t="s">
        <v>13</v>
      </c>
      <c r="N138" s="11" t="s">
        <v>13</v>
      </c>
      <c r="O138" s="11" t="s">
        <v>13</v>
      </c>
      <c r="Q138" s="11">
        <v>0</v>
      </c>
      <c r="W138" s="11">
        <v>1</v>
      </c>
      <c r="Y138" s="11">
        <f t="shared" si="2"/>
        <v>-0.1</v>
      </c>
    </row>
    <row r="139" spans="1:25" x14ac:dyDescent="0.25">
      <c r="A139" s="11" t="str">
        <f>_xlfn.XLOOKUP(B:B,StatsCP!B:B,StatsCP!A:A,"")</f>
        <v>Hughes</v>
      </c>
      <c r="B139" s="11">
        <v>19</v>
      </c>
      <c r="C139" s="11">
        <v>5</v>
      </c>
      <c r="D139" s="11" t="s">
        <v>10</v>
      </c>
      <c r="E139" s="11" t="s">
        <v>19</v>
      </c>
      <c r="F139" s="11" t="s">
        <v>20</v>
      </c>
      <c r="G139" s="11">
        <v>0</v>
      </c>
      <c r="H139" s="11">
        <v>0</v>
      </c>
      <c r="I139" s="11" t="s">
        <v>17</v>
      </c>
      <c r="J139" s="11" t="s">
        <v>106</v>
      </c>
      <c r="K139" s="11">
        <v>1</v>
      </c>
      <c r="M139" s="11" t="s">
        <v>13</v>
      </c>
      <c r="N139" s="11" t="s">
        <v>13</v>
      </c>
      <c r="O139" s="11" t="s">
        <v>13</v>
      </c>
      <c r="Q139" s="11">
        <v>1</v>
      </c>
      <c r="Y139" s="11">
        <f t="shared" si="2"/>
        <v>0</v>
      </c>
    </row>
    <row r="140" spans="1:25" x14ac:dyDescent="0.25">
      <c r="A140" s="11" t="str">
        <f>_xlfn.XLOOKUP(B:B,StatsCP!B:B,StatsCP!A:A,"")</f>
        <v>Pino</v>
      </c>
      <c r="B140" s="11">
        <v>10</v>
      </c>
      <c r="C140" s="11">
        <v>5</v>
      </c>
      <c r="D140" s="11" t="s">
        <v>18</v>
      </c>
      <c r="E140" s="11" t="s">
        <v>20</v>
      </c>
      <c r="F140" s="11" t="s">
        <v>19</v>
      </c>
      <c r="G140" s="11">
        <v>0</v>
      </c>
      <c r="H140" s="11">
        <v>0</v>
      </c>
      <c r="I140" s="11" t="s">
        <v>17</v>
      </c>
      <c r="J140" s="11" t="s">
        <v>106</v>
      </c>
      <c r="K140" s="11">
        <v>1</v>
      </c>
      <c r="M140" s="11" t="s">
        <v>13</v>
      </c>
      <c r="N140" s="11" t="s">
        <v>13</v>
      </c>
      <c r="O140" s="11" t="s">
        <v>14</v>
      </c>
      <c r="Q140" s="11">
        <v>1</v>
      </c>
      <c r="Y140" s="11">
        <f t="shared" si="2"/>
        <v>0</v>
      </c>
    </row>
    <row r="141" spans="1:25" x14ac:dyDescent="0.25">
      <c r="A141" s="11" t="str">
        <f>_xlfn.XLOOKUP(B:B,StatsCP!B:B,StatsCP!A:A,"")</f>
        <v>Henderson</v>
      </c>
      <c r="B141" s="11">
        <v>1</v>
      </c>
      <c r="C141" s="11">
        <v>20</v>
      </c>
      <c r="D141" s="11" t="s">
        <v>10</v>
      </c>
      <c r="E141" s="11" t="s">
        <v>19</v>
      </c>
      <c r="F141" s="11" t="s">
        <v>20</v>
      </c>
      <c r="G141" s="11">
        <v>0</v>
      </c>
      <c r="H141" s="11">
        <v>0</v>
      </c>
      <c r="I141" s="11" t="s">
        <v>10</v>
      </c>
      <c r="J141" s="11" t="s">
        <v>12</v>
      </c>
      <c r="K141" s="11">
        <v>1</v>
      </c>
      <c r="M141" s="11" t="s">
        <v>13</v>
      </c>
      <c r="N141" s="11" t="s">
        <v>13</v>
      </c>
      <c r="O141" s="11" t="s">
        <v>13</v>
      </c>
      <c r="Q141" s="11">
        <v>1</v>
      </c>
      <c r="Y141" s="11">
        <f t="shared" si="2"/>
        <v>0</v>
      </c>
    </row>
    <row r="142" spans="1:25" x14ac:dyDescent="0.25">
      <c r="A142" s="11" t="str">
        <f>_xlfn.XLOOKUP(B:B,StatsCP!B:B,StatsCP!A:A,"")</f>
        <v>Strand Larsen</v>
      </c>
      <c r="B142" s="11">
        <v>22</v>
      </c>
      <c r="C142" s="11">
        <v>0</v>
      </c>
      <c r="D142" s="11" t="s">
        <v>18</v>
      </c>
      <c r="E142" s="11" t="s">
        <v>19</v>
      </c>
      <c r="F142" s="11" t="s">
        <v>19</v>
      </c>
      <c r="G142" s="11">
        <v>0</v>
      </c>
      <c r="H142" s="11">
        <v>0</v>
      </c>
      <c r="I142" s="11" t="s">
        <v>10</v>
      </c>
      <c r="J142" s="11" t="s">
        <v>16</v>
      </c>
      <c r="K142" s="11">
        <v>1</v>
      </c>
      <c r="M142" s="11" t="s">
        <v>13</v>
      </c>
      <c r="N142" s="11" t="s">
        <v>13</v>
      </c>
      <c r="O142" s="11" t="s">
        <v>13</v>
      </c>
      <c r="Q142" s="11">
        <v>1</v>
      </c>
      <c r="Y142" s="11">
        <f t="shared" si="2"/>
        <v>0</v>
      </c>
    </row>
    <row r="143" spans="1:25" x14ac:dyDescent="0.25">
      <c r="A143" s="11" t="str">
        <f>_xlfn.XLOOKUP(B:B,StatsCP!B:B,StatsCP!A:A,"")</f>
        <v>Pino</v>
      </c>
      <c r="B143" s="11">
        <v>10</v>
      </c>
      <c r="C143" s="11">
        <v>5</v>
      </c>
      <c r="D143" s="11" t="s">
        <v>18</v>
      </c>
      <c r="E143" s="11" t="s">
        <v>19</v>
      </c>
      <c r="F143" s="11" t="s">
        <v>19</v>
      </c>
      <c r="G143" s="11">
        <v>0</v>
      </c>
      <c r="H143" s="11">
        <v>0</v>
      </c>
      <c r="I143" s="11" t="s">
        <v>10</v>
      </c>
      <c r="J143" s="11" t="s">
        <v>12</v>
      </c>
      <c r="K143" s="11">
        <v>1</v>
      </c>
      <c r="M143" s="11" t="s">
        <v>13</v>
      </c>
      <c r="N143" s="11" t="s">
        <v>13</v>
      </c>
      <c r="O143" s="11" t="s">
        <v>14</v>
      </c>
      <c r="Q143" s="11">
        <v>1</v>
      </c>
      <c r="Y143" s="11">
        <f t="shared" si="2"/>
        <v>0</v>
      </c>
    </row>
    <row r="144" spans="1:25" x14ac:dyDescent="0.25">
      <c r="A144" s="11" t="str">
        <f>_xlfn.XLOOKUP(B:B,StatsCP!B:B,StatsCP!A:A,"")</f>
        <v>Canvot</v>
      </c>
      <c r="B144" s="11">
        <v>23</v>
      </c>
      <c r="C144" s="11">
        <v>20</v>
      </c>
      <c r="D144" s="11" t="s">
        <v>14</v>
      </c>
      <c r="E144" s="11" t="s">
        <v>20</v>
      </c>
      <c r="F144" s="11" t="s">
        <v>20</v>
      </c>
      <c r="G144" s="11">
        <v>0</v>
      </c>
      <c r="H144" s="11">
        <v>0</v>
      </c>
      <c r="I144" s="11" t="s">
        <v>10</v>
      </c>
      <c r="J144" s="11" t="s">
        <v>12</v>
      </c>
      <c r="K144" s="11" t="s">
        <v>15</v>
      </c>
      <c r="Q144" s="11">
        <v>1</v>
      </c>
      <c r="Y144" s="11">
        <f t="shared" si="2"/>
        <v>0</v>
      </c>
    </row>
    <row r="145" spans="1:25" x14ac:dyDescent="0.25">
      <c r="A145" s="11" t="str">
        <f>_xlfn.XLOOKUP(B:B,StatsCP!B:B,StatsCP!A:A,"")</f>
        <v>Richards</v>
      </c>
      <c r="B145" s="11">
        <v>26</v>
      </c>
      <c r="C145" s="11">
        <v>5</v>
      </c>
      <c r="D145" s="11" t="s">
        <v>18</v>
      </c>
      <c r="E145" s="11" t="s">
        <v>20</v>
      </c>
      <c r="F145" s="11" t="s">
        <v>20</v>
      </c>
      <c r="G145" s="11">
        <v>0</v>
      </c>
      <c r="H145" s="11">
        <v>0</v>
      </c>
      <c r="I145" s="11" t="s">
        <v>10</v>
      </c>
      <c r="J145" s="11" t="s">
        <v>12</v>
      </c>
      <c r="K145" s="11">
        <v>2</v>
      </c>
      <c r="Q145" s="11">
        <v>1</v>
      </c>
      <c r="Y145" s="11">
        <f t="shared" si="2"/>
        <v>0</v>
      </c>
    </row>
    <row r="146" spans="1:25" x14ac:dyDescent="0.25">
      <c r="A146" s="11" t="str">
        <f>_xlfn.XLOOKUP(B:B,StatsCP!B:B,StatsCP!A:A,"")</f>
        <v>Henderson</v>
      </c>
      <c r="B146" s="11">
        <v>1</v>
      </c>
      <c r="C146" s="11">
        <v>30</v>
      </c>
      <c r="D146" s="11" t="s">
        <v>10</v>
      </c>
      <c r="E146" s="11" t="s">
        <v>19</v>
      </c>
      <c r="F146" s="11" t="s">
        <v>19</v>
      </c>
      <c r="G146" s="11">
        <v>1</v>
      </c>
      <c r="H146" s="11">
        <v>0</v>
      </c>
      <c r="I146" s="11" t="s">
        <v>10</v>
      </c>
      <c r="J146" s="11" t="s">
        <v>12</v>
      </c>
      <c r="K146" s="11">
        <v>2</v>
      </c>
      <c r="O146" s="11" t="s">
        <v>13</v>
      </c>
      <c r="Q146" s="11">
        <v>0</v>
      </c>
      <c r="Y146" s="11">
        <f t="shared" si="2"/>
        <v>0</v>
      </c>
    </row>
    <row r="147" spans="1:25" x14ac:dyDescent="0.25">
      <c r="A147" s="29" t="str">
        <f>_xlfn.XLOOKUP(B:B,StatsCP!B:B,StatsCP!A:A,"")</f>
        <v>Lacroix</v>
      </c>
      <c r="B147" s="29">
        <v>5</v>
      </c>
      <c r="C147" s="29">
        <v>10</v>
      </c>
      <c r="D147" s="29" t="s">
        <v>10</v>
      </c>
      <c r="E147" s="29" t="s">
        <v>19</v>
      </c>
      <c r="F147" s="29" t="s">
        <v>19</v>
      </c>
      <c r="G147" s="29">
        <v>0</v>
      </c>
      <c r="H147" s="29">
        <v>0</v>
      </c>
      <c r="I147" s="29" t="s">
        <v>17</v>
      </c>
      <c r="J147" s="29" t="s">
        <v>106</v>
      </c>
      <c r="K147" s="29">
        <v>1</v>
      </c>
      <c r="L147" s="29"/>
      <c r="M147" s="29" t="s">
        <v>13</v>
      </c>
      <c r="N147" s="29" t="s">
        <v>13</v>
      </c>
      <c r="O147" s="29" t="s">
        <v>13</v>
      </c>
      <c r="P147" s="29"/>
      <c r="Q147" s="29">
        <v>1</v>
      </c>
      <c r="R147" s="29"/>
      <c r="S147" s="29"/>
      <c r="T147" s="29"/>
      <c r="U147" s="29"/>
      <c r="V147" s="29"/>
      <c r="W147" s="29"/>
      <c r="X147" s="29"/>
      <c r="Y147" s="29">
        <f t="shared" si="2"/>
        <v>0</v>
      </c>
    </row>
  </sheetData>
  <dataValidations count="18">
    <dataValidation type="list" allowBlank="1" sqref="F1:F1048576" xr:uid="{CBA4FE6B-26EB-4FD6-B4C7-DAE2B1A53B71}">
      <formula1>"A,M,D,NA"</formula1>
    </dataValidation>
    <dataValidation type="list" allowBlank="1" sqref="J1:J1048576" xr:uid="{31F9A066-F1FB-4D45-9C01-78BCFCB4F488}">
      <formula1>"S,W, NA"</formula1>
    </dataValidation>
    <dataValidation type="list" allowBlank="1" sqref="R2:X2 Q1:Q1048576 X3:X5" xr:uid="{F60F3626-3126-4235-B3E5-AC46CF6B8742}">
      <formula1>"0,1"</formula1>
    </dataValidation>
    <dataValidation type="list" allowBlank="1" sqref="G1:G1048576" xr:uid="{E0815627-4681-4E4D-B43E-D8817347A75D}">
      <formula1>"1,2,3"</formula1>
    </dataValidation>
    <dataValidation type="list" allowBlank="1" sqref="C1:C7 C21:C1048576" xr:uid="{03EF2328-919D-480D-8616-93198D2E0230}">
      <formula1>"0,5,10,20,30"</formula1>
    </dataValidation>
    <dataValidation type="list" allowBlank="1" sqref="D1:D7 D21:D1048576" xr:uid="{781D87C6-0D72-43CC-881B-886DEF56F96A}">
      <formula1>"F,N,B"</formula1>
    </dataValidation>
    <dataValidation type="list" allowBlank="1" sqref="E1:E7 E21:E1048576" xr:uid="{C1699B02-BD13-4858-920E-1F37D23360D7}">
      <formula1>"A,M,D"</formula1>
    </dataValidation>
    <dataValidation type="list" allowBlank="1" sqref="H1:H7 H21:H1048576" xr:uid="{A4C92E78-A641-42C7-9B11-5C9A099E665E}">
      <formula1>"0,1,2,3"</formula1>
    </dataValidation>
    <dataValidation type="list" allowBlank="1" sqref="I1:I7 I21:I1048576" xr:uid="{D87A3975-2F63-413D-9D8C-26BCA432E559}">
      <formula1>"F,H,B"</formula1>
    </dataValidation>
    <dataValidation type="list" allowBlank="1" sqref="L1:P7 L21:P1048576" xr:uid="{980795E3-2820-4280-AB09-58437968E57C}">
      <formula1>"Y,N"</formula1>
    </dataValidation>
    <dataValidation type="list" allowBlank="1" sqref="K1:K7 K21:K1048576" xr:uid="{47915601-A462-41BE-B2AA-081753D4B572}">
      <formula1>"1,2,3+"</formula1>
    </dataValidation>
    <dataValidation type="list" allowBlank="1" sqref="L8:P20" xr:uid="{112B9562-3A57-4FF3-BB67-BA7799AA7547}">
      <formula1>"Y,N"</formula1>
      <formula2>0</formula2>
    </dataValidation>
    <dataValidation type="list" allowBlank="1" sqref="K8:K20" xr:uid="{6E5208C7-6A0B-4E36-9867-436C91AC2156}">
      <formula1>"1,2,3+"</formula1>
      <formula2>0</formula2>
    </dataValidation>
    <dataValidation type="list" allowBlank="1" sqref="I8:I20" xr:uid="{412B9433-5B09-48FF-8CDF-A27B556BCED5}">
      <formula1>"F,H,B"</formula1>
      <formula2>0</formula2>
    </dataValidation>
    <dataValidation type="list" allowBlank="1" sqref="H8:H20" xr:uid="{F0BF4D14-00D3-4600-A082-82807F65720B}">
      <formula1>"0,1,2,3"</formula1>
      <formula2>0</formula2>
    </dataValidation>
    <dataValidation type="list" allowBlank="1" sqref="E8:E20" xr:uid="{D2D7D76C-0729-43CE-9D5E-98341D6256C4}">
      <formula1>"A,M,D"</formula1>
      <formula2>0</formula2>
    </dataValidation>
    <dataValidation type="list" allowBlank="1" sqref="D8:D20" xr:uid="{04B238D4-1401-4046-9680-2BE3033D5979}">
      <formula1>"F,N,B"</formula1>
      <formula2>0</formula2>
    </dataValidation>
    <dataValidation type="list" allowBlank="1" sqref="C8:C20" xr:uid="{1F28CD01-0DA9-4980-8444-E4A5400E6483}">
      <formula1>"0,5,10,20,30"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B563A-741F-4639-87C1-7C2ECF44CE73}">
  <dimension ref="A1:D12"/>
  <sheetViews>
    <sheetView workbookViewId="0">
      <selection activeCell="E14" sqref="E14"/>
    </sheetView>
  </sheetViews>
  <sheetFormatPr defaultRowHeight="15" x14ac:dyDescent="0.25"/>
  <cols>
    <col min="1" max="1" width="12.85546875" bestFit="1" customWidth="1"/>
    <col min="4" max="4" width="11.85546875" bestFit="1" customWidth="1"/>
  </cols>
  <sheetData>
    <row r="1" spans="1:4" x14ac:dyDescent="0.25">
      <c r="A1" t="s">
        <v>110</v>
      </c>
      <c r="B1" t="s">
        <v>111</v>
      </c>
      <c r="C1" t="s">
        <v>123</v>
      </c>
      <c r="D1" t="s">
        <v>125</v>
      </c>
    </row>
    <row r="2" spans="1:4" x14ac:dyDescent="0.25">
      <c r="A2" t="s">
        <v>113</v>
      </c>
      <c r="B2">
        <v>1</v>
      </c>
      <c r="C2">
        <v>27</v>
      </c>
      <c r="D2">
        <f>SUMIF(GameSheetCP!A:A,StatsCP!A:A,GameSheetCP!Y:Y)</f>
        <v>-0.30000000000000004</v>
      </c>
    </row>
    <row r="3" spans="1:4" x14ac:dyDescent="0.25">
      <c r="A3" t="s">
        <v>112</v>
      </c>
      <c r="B3">
        <v>2</v>
      </c>
      <c r="C3">
        <v>27</v>
      </c>
      <c r="D3">
        <f>SUMIF(GameSheetCP!A:A,StatsCP!A:A,GameSheetCP!Y:Y)</f>
        <v>-0.1</v>
      </c>
    </row>
    <row r="4" spans="1:4" x14ac:dyDescent="0.25">
      <c r="A4" t="s">
        <v>114</v>
      </c>
      <c r="B4">
        <v>3</v>
      </c>
      <c r="C4">
        <v>27</v>
      </c>
      <c r="D4">
        <f>SUMIF(GameSheetCP!A:A,StatsCP!A:A,GameSheetCP!Y:Y)</f>
        <v>0</v>
      </c>
    </row>
    <row r="5" spans="1:4" x14ac:dyDescent="0.25">
      <c r="A5" t="s">
        <v>115</v>
      </c>
      <c r="B5">
        <v>5</v>
      </c>
      <c r="C5">
        <v>27</v>
      </c>
      <c r="D5">
        <f>SUMIF(GameSheetCP!A:A,StatsCP!A:A,GameSheetCP!Y:Y)</f>
        <v>0</v>
      </c>
    </row>
    <row r="6" spans="1:4" x14ac:dyDescent="0.25">
      <c r="A6" t="s">
        <v>116</v>
      </c>
      <c r="B6">
        <v>8</v>
      </c>
      <c r="C6">
        <v>27</v>
      </c>
      <c r="D6">
        <f>SUMIF(GameSheetCP!A:A,StatsCP!A:A,GameSheetCP!Y:Y)</f>
        <v>-0.10000000000000002</v>
      </c>
    </row>
    <row r="7" spans="1:4" x14ac:dyDescent="0.25">
      <c r="A7" t="s">
        <v>117</v>
      </c>
      <c r="B7">
        <v>10</v>
      </c>
      <c r="C7">
        <v>27</v>
      </c>
      <c r="D7">
        <f>SUMIF(GameSheetCP!A:A,StatsCP!A:A,GameSheetCP!Y:Y)</f>
        <v>-0.2</v>
      </c>
    </row>
    <row r="8" spans="1:4" x14ac:dyDescent="0.25">
      <c r="A8" t="s">
        <v>118</v>
      </c>
      <c r="B8">
        <v>11</v>
      </c>
      <c r="C8">
        <v>27</v>
      </c>
      <c r="D8">
        <f>SUMIF(GameSheetCP!A:A,StatsCP!A:A,GameSheetCP!Y:Y)</f>
        <v>-0.2</v>
      </c>
    </row>
    <row r="9" spans="1:4" x14ac:dyDescent="0.25">
      <c r="A9" t="s">
        <v>119</v>
      </c>
      <c r="B9">
        <v>19</v>
      </c>
      <c r="C9">
        <v>27</v>
      </c>
      <c r="D9">
        <f>SUMIF(GameSheetCP!A:A,StatsCP!A:A,GameSheetCP!Y:Y)</f>
        <v>-0.1</v>
      </c>
    </row>
    <row r="10" spans="1:4" x14ac:dyDescent="0.25">
      <c r="A10" t="s">
        <v>120</v>
      </c>
      <c r="B10">
        <v>22</v>
      </c>
      <c r="C10">
        <v>27</v>
      </c>
      <c r="D10">
        <f>SUMIF(GameSheetCP!A:A,StatsCP!A:A,GameSheetCP!Y:Y)</f>
        <v>-0.1</v>
      </c>
    </row>
    <row r="11" spans="1:4" x14ac:dyDescent="0.25">
      <c r="A11" t="s">
        <v>121</v>
      </c>
      <c r="B11">
        <v>23</v>
      </c>
      <c r="C11">
        <v>27</v>
      </c>
      <c r="D11">
        <f>SUMIF(GameSheetCP!A:A,StatsCP!A:A,GameSheetCP!Y:Y)</f>
        <v>-0.30000000000000004</v>
      </c>
    </row>
    <row r="12" spans="1:4" x14ac:dyDescent="0.25">
      <c r="A12" t="s">
        <v>122</v>
      </c>
      <c r="B12">
        <v>26</v>
      </c>
      <c r="C12">
        <v>27</v>
      </c>
      <c r="D12">
        <f>SUMIF(GameSheetCP!A:A,StatsCP!A:A,GameSheetCP!Y:Y)</f>
        <v>-0.2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7"/>
  <sheetViews>
    <sheetView tabSelected="1" topLeftCell="A47" zoomScaleNormal="100" workbookViewId="0">
      <selection activeCell="E75" sqref="E75"/>
    </sheetView>
  </sheetViews>
  <sheetFormatPr defaultColWidth="8.7109375" defaultRowHeight="15" x14ac:dyDescent="0.25"/>
  <cols>
    <col min="1" max="1" width="12" customWidth="1"/>
    <col min="2" max="2" width="10" customWidth="1"/>
    <col min="3" max="3" width="12" customWidth="1"/>
    <col min="4" max="4" width="16" customWidth="1"/>
    <col min="5" max="5" width="14" customWidth="1"/>
  </cols>
  <sheetData>
    <row r="1" spans="1:5" ht="27.75" customHeight="1" x14ac:dyDescent="0.25">
      <c r="A1" s="33" t="s">
        <v>21</v>
      </c>
      <c r="B1" s="33"/>
      <c r="C1" s="33"/>
      <c r="D1" s="33"/>
      <c r="E1" s="33"/>
    </row>
    <row r="3" spans="1:5" ht="19.5" customHeight="1" x14ac:dyDescent="0.25">
      <c r="A3" s="32" t="s">
        <v>0</v>
      </c>
      <c r="B3" s="32"/>
      <c r="C3" s="32"/>
      <c r="D3" s="32"/>
      <c r="E3" s="32"/>
    </row>
    <row r="4" spans="1:5" ht="19.5" customHeight="1" x14ac:dyDescent="0.25">
      <c r="A4" s="4" t="s">
        <v>22</v>
      </c>
      <c r="B4" s="4" t="s">
        <v>23</v>
      </c>
      <c r="C4" s="4" t="s">
        <v>9</v>
      </c>
      <c r="D4" s="4" t="s">
        <v>24</v>
      </c>
      <c r="E4" s="4" t="s">
        <v>25</v>
      </c>
    </row>
    <row r="5" spans="1:5" ht="15" customHeight="1" x14ac:dyDescent="0.25">
      <c r="A5" s="5">
        <v>0</v>
      </c>
      <c r="B5" s="5">
        <f>COUNTIF('Data Entry'!A2:A9998,0)</f>
        <v>335</v>
      </c>
      <c r="C5" s="5">
        <f>COUNTIFS('Data Entry'!A2:A9998,0,'Data Entry'!O2:O9998,"1")</f>
        <v>292</v>
      </c>
      <c r="D5" s="5">
        <f>COUNTIFS('Data Entry'!A2:A9998,0,'Data Entry'!O2:O9998,"0")</f>
        <v>43</v>
      </c>
      <c r="E5" s="6">
        <f t="shared" ref="E5:E10" si="0">IF(B5=0,"-",C5/B5)</f>
        <v>0.87164179104477613</v>
      </c>
    </row>
    <row r="6" spans="1:5" ht="15" customHeight="1" x14ac:dyDescent="0.25">
      <c r="A6" s="7">
        <v>5</v>
      </c>
      <c r="B6" s="7">
        <f>COUNTIF('Data Entry'!A2:A9998,5)</f>
        <v>751</v>
      </c>
      <c r="C6" s="7">
        <f>COUNTIFS('Data Entry'!A2:A9998,5,'Data Entry'!O2:O9998,"1")</f>
        <v>633</v>
      </c>
      <c r="D6" s="7">
        <f>COUNTIFS('Data Entry'!A2:A9998,5,'Data Entry'!O2:O9998,"0")</f>
        <v>118</v>
      </c>
      <c r="E6" s="8">
        <f t="shared" si="0"/>
        <v>0.84287616511318242</v>
      </c>
    </row>
    <row r="7" spans="1:5" ht="15" customHeight="1" x14ac:dyDescent="0.25">
      <c r="A7" s="5">
        <v>10</v>
      </c>
      <c r="B7" s="5">
        <f>COUNTIF('Data Entry'!A2:A9998,10)</f>
        <v>1051</v>
      </c>
      <c r="C7" s="5">
        <f>COUNTIFS('Data Entry'!A2:A9998,10,'Data Entry'!O2:O9998,"1")</f>
        <v>893</v>
      </c>
      <c r="D7" s="5">
        <f>COUNTIFS('Data Entry'!A2:A9998,10,'Data Entry'!O2:O9998,"0")</f>
        <v>158</v>
      </c>
      <c r="E7" s="6">
        <f t="shared" si="0"/>
        <v>0.84966698382492867</v>
      </c>
    </row>
    <row r="8" spans="1:5" ht="15" customHeight="1" x14ac:dyDescent="0.25">
      <c r="A8" s="7">
        <v>20</v>
      </c>
      <c r="B8" s="7">
        <f>COUNTIF('Data Entry'!A2:A9998,20)</f>
        <v>304</v>
      </c>
      <c r="C8" s="7">
        <f>COUNTIFS('Data Entry'!A2:A9998,20,'Data Entry'!O2:O9998,"1")</f>
        <v>203</v>
      </c>
      <c r="D8" s="7">
        <f>COUNTIFS('Data Entry'!A2:A9998,20,'Data Entry'!O2:O9998,"0")</f>
        <v>101</v>
      </c>
      <c r="E8" s="8">
        <f t="shared" si="0"/>
        <v>0.66776315789473684</v>
      </c>
    </row>
    <row r="9" spans="1:5" ht="15" customHeight="1" x14ac:dyDescent="0.25">
      <c r="A9" s="5">
        <v>30</v>
      </c>
      <c r="B9" s="5">
        <f>COUNTIF('Data Entry'!A2:A9998,30)</f>
        <v>136</v>
      </c>
      <c r="C9" s="5">
        <f>COUNTIFS('Data Entry'!A2:A9998,30,'Data Entry'!O2:O9998,"1")</f>
        <v>50</v>
      </c>
      <c r="D9" s="5">
        <f>COUNTIFS('Data Entry'!A2:A9998,30,'Data Entry'!O2:O9998,"0")</f>
        <v>86</v>
      </c>
      <c r="E9" s="6">
        <f t="shared" si="0"/>
        <v>0.36764705882352944</v>
      </c>
    </row>
    <row r="10" spans="1:5" ht="15" customHeight="1" x14ac:dyDescent="0.25">
      <c r="A10" s="9" t="s">
        <v>26</v>
      </c>
      <c r="B10" s="9">
        <f>SUM(B5:B9)</f>
        <v>2577</v>
      </c>
      <c r="C10" s="9">
        <f>SUM(C5:C9)</f>
        <v>2071</v>
      </c>
      <c r="D10" s="9">
        <f>SUM(D5:D9)</f>
        <v>506</v>
      </c>
      <c r="E10" s="10">
        <f t="shared" si="0"/>
        <v>0.80364765230888635</v>
      </c>
    </row>
    <row r="12" spans="1:5" ht="19.5" customHeight="1" x14ac:dyDescent="0.25">
      <c r="A12" s="32" t="s">
        <v>1</v>
      </c>
      <c r="B12" s="32"/>
      <c r="C12" s="32"/>
      <c r="D12" s="32"/>
      <c r="E12" s="32"/>
    </row>
    <row r="13" spans="1:5" ht="19.5" customHeight="1" x14ac:dyDescent="0.25">
      <c r="A13" s="4" t="s">
        <v>22</v>
      </c>
      <c r="B13" s="4" t="s">
        <v>23</v>
      </c>
      <c r="C13" s="4" t="s">
        <v>9</v>
      </c>
      <c r="D13" s="4" t="s">
        <v>24</v>
      </c>
      <c r="E13" s="4" t="s">
        <v>25</v>
      </c>
    </row>
    <row r="14" spans="1:5" ht="15" customHeight="1" x14ac:dyDescent="0.25">
      <c r="A14" s="5" t="s">
        <v>10</v>
      </c>
      <c r="B14" s="5">
        <f>COUNTIF('Data Entry'!B2:B9998,"F")</f>
        <v>1348</v>
      </c>
      <c r="C14" s="5">
        <f>COUNTIFS('Data Entry'!B2:B9998,"F",'Data Entry'!O2:O9998,"1")</f>
        <v>944</v>
      </c>
      <c r="D14" s="5">
        <f>COUNTIFS('Data Entry'!B2:B9998,"F",'Data Entry'!O2:O9998,"0")</f>
        <v>404</v>
      </c>
      <c r="E14" s="6">
        <f>IF(B14=0,"-",C14/B14)</f>
        <v>0.70029673590504449</v>
      </c>
    </row>
    <row r="15" spans="1:5" ht="15" customHeight="1" x14ac:dyDescent="0.25">
      <c r="A15" s="7" t="s">
        <v>14</v>
      </c>
      <c r="B15" s="7">
        <f>COUNTIF('Data Entry'!B2:B9998,"N")</f>
        <v>541</v>
      </c>
      <c r="C15" s="7">
        <f>COUNTIFS('Data Entry'!B2:B9998,"N",'Data Entry'!O2:O9998,"1")</f>
        <v>472</v>
      </c>
      <c r="D15" s="7">
        <f>COUNTIFS('Data Entry'!B2:B9998,"N",'Data Entry'!O2:O9998,"0")</f>
        <v>69</v>
      </c>
      <c r="E15" s="8">
        <f>IF(B15=0,"-",C15/B15)</f>
        <v>0.87245841035120153</v>
      </c>
    </row>
    <row r="16" spans="1:5" ht="15" customHeight="1" x14ac:dyDescent="0.25">
      <c r="A16" s="5" t="s">
        <v>18</v>
      </c>
      <c r="B16" s="5">
        <f>COUNTIF('Data Entry'!B2:B9998,"B")</f>
        <v>688</v>
      </c>
      <c r="C16" s="5">
        <f>COUNTIFS('Data Entry'!B2:B9998,"B",'Data Entry'!O2:O9998,"1")</f>
        <v>655</v>
      </c>
      <c r="D16" s="5">
        <f>COUNTIFS('Data Entry'!B2:B9998,"B",'Data Entry'!O2:O9998,"0")</f>
        <v>33</v>
      </c>
      <c r="E16" s="6">
        <f>IF(B16=0,"-",C16/B16)</f>
        <v>0.95203488372093026</v>
      </c>
    </row>
    <row r="17" spans="1:5" ht="15" customHeight="1" x14ac:dyDescent="0.25">
      <c r="A17" s="9" t="s">
        <v>26</v>
      </c>
      <c r="B17" s="9">
        <f>SUM(B14:B16)</f>
        <v>2577</v>
      </c>
      <c r="C17" s="9">
        <f>SUM(C14:C16)</f>
        <v>2071</v>
      </c>
      <c r="D17" s="9">
        <f>SUM(D14:D16)</f>
        <v>506</v>
      </c>
      <c r="E17" s="10">
        <f>IF(B17=0,"-",C17/B17)</f>
        <v>0.80364765230888635</v>
      </c>
    </row>
    <row r="19" spans="1:5" ht="19.5" customHeight="1" x14ac:dyDescent="0.25">
      <c r="A19" s="32" t="s">
        <v>2</v>
      </c>
      <c r="B19" s="32"/>
      <c r="C19" s="32"/>
      <c r="D19" s="32"/>
      <c r="E19" s="32"/>
    </row>
    <row r="20" spans="1:5" ht="19.5" customHeight="1" x14ac:dyDescent="0.25">
      <c r="A20" s="4" t="s">
        <v>22</v>
      </c>
      <c r="B20" s="4" t="s">
        <v>23</v>
      </c>
      <c r="C20" s="4" t="s">
        <v>9</v>
      </c>
      <c r="D20" s="4" t="s">
        <v>24</v>
      </c>
      <c r="E20" s="4" t="s">
        <v>25</v>
      </c>
    </row>
    <row r="21" spans="1:5" ht="15" customHeight="1" x14ac:dyDescent="0.25">
      <c r="A21" s="5" t="s">
        <v>11</v>
      </c>
      <c r="B21" s="5">
        <f>COUNTIF('Data Entry'!C2:C9998,"A")</f>
        <v>623</v>
      </c>
      <c r="C21" s="5">
        <f>COUNTIFS('Data Entry'!C2:C9998,"A",'Data Entry'!O2:O9998,"1")</f>
        <v>375</v>
      </c>
      <c r="D21" s="5">
        <f>COUNTIFS('Data Entry'!C2:C9998,"A",'Data Entry'!O2:O9998,"0")</f>
        <v>248</v>
      </c>
      <c r="E21" s="6">
        <f>IF(B21=0,"-",C21/B21)</f>
        <v>0.6019261637239165</v>
      </c>
    </row>
    <row r="22" spans="1:5" ht="15" customHeight="1" x14ac:dyDescent="0.25">
      <c r="A22" s="7" t="s">
        <v>19</v>
      </c>
      <c r="B22" s="7">
        <f>COUNTIF('Data Entry'!C2:C9998,"M")</f>
        <v>1498</v>
      </c>
      <c r="C22" s="7">
        <f>COUNTIFS('Data Entry'!C2:C9998,"M",'Data Entry'!O2:O9998,"1")</f>
        <v>1277</v>
      </c>
      <c r="D22" s="7">
        <f>COUNTIFS('Data Entry'!C2:C9998,"M",'Data Entry'!O2:O9998,"0")</f>
        <v>221</v>
      </c>
      <c r="E22" s="8">
        <f>IF(B22=0,"-",C22/B22)</f>
        <v>0.85246995994659547</v>
      </c>
    </row>
    <row r="23" spans="1:5" ht="15" customHeight="1" x14ac:dyDescent="0.25">
      <c r="A23" s="5" t="s">
        <v>20</v>
      </c>
      <c r="B23" s="5">
        <f>COUNTIF('Data Entry'!C2:C9998,"D")</f>
        <v>456</v>
      </c>
      <c r="C23" s="5">
        <f>COUNTIFS('Data Entry'!C2:C9998,"D",'Data Entry'!O2:O9998,"1")</f>
        <v>419</v>
      </c>
      <c r="D23" s="5">
        <f>COUNTIFS('Data Entry'!C2:C9998,"D",'Data Entry'!O2:O9998,"0")</f>
        <v>37</v>
      </c>
      <c r="E23" s="6">
        <f>IF(B23=0,"-",C23/B23)</f>
        <v>0.91885964912280704</v>
      </c>
    </row>
    <row r="24" spans="1:5" ht="15" customHeight="1" x14ac:dyDescent="0.25">
      <c r="A24" s="9" t="s">
        <v>26</v>
      </c>
      <c r="B24" s="9">
        <f>SUM(B21:B23)</f>
        <v>2577</v>
      </c>
      <c r="C24" s="9">
        <f>SUM(C21:C23)</f>
        <v>2071</v>
      </c>
      <c r="D24" s="9">
        <f>SUM(D21:D23)</f>
        <v>506</v>
      </c>
      <c r="E24" s="10">
        <f>IF(B24=0,"-",C24/B24)</f>
        <v>0.80364765230888635</v>
      </c>
    </row>
    <row r="26" spans="1:5" ht="19.5" customHeight="1" x14ac:dyDescent="0.25">
      <c r="A26" s="32" t="s">
        <v>3</v>
      </c>
      <c r="B26" s="32"/>
      <c r="C26" s="32"/>
      <c r="D26" s="32"/>
      <c r="E26" s="32"/>
    </row>
    <row r="27" spans="1:5" ht="19.5" customHeight="1" x14ac:dyDescent="0.25">
      <c r="A27" s="4" t="s">
        <v>22</v>
      </c>
      <c r="B27" s="4" t="s">
        <v>23</v>
      </c>
      <c r="C27" s="4" t="s">
        <v>9</v>
      </c>
      <c r="D27" s="4" t="s">
        <v>24</v>
      </c>
      <c r="E27" s="4" t="s">
        <v>25</v>
      </c>
    </row>
    <row r="28" spans="1:5" ht="15" customHeight="1" x14ac:dyDescent="0.25">
      <c r="A28" s="5">
        <v>0</v>
      </c>
      <c r="B28" s="5">
        <f>COUNTIF('Data Entry'!F2:F9998,0)</f>
        <v>2029</v>
      </c>
      <c r="C28" s="5">
        <f>COUNTIFS('Data Entry'!F2:F9998,0,'Data Entry'!O2:O9998,"1")</f>
        <v>1737</v>
      </c>
      <c r="D28" s="5">
        <f>COUNTIFS('Data Entry'!F2:F9998,0,'Data Entry'!O2:O9998,"0")</f>
        <v>292</v>
      </c>
      <c r="E28" s="6">
        <f>IF(B28=0,"-",C28/B28)</f>
        <v>0.85608674223755543</v>
      </c>
    </row>
    <row r="29" spans="1:5" ht="15" customHeight="1" x14ac:dyDescent="0.25">
      <c r="A29" s="7">
        <v>1</v>
      </c>
      <c r="B29" s="7">
        <f>COUNTIF('Data Entry'!F2:F9998,1)</f>
        <v>494</v>
      </c>
      <c r="C29" s="7">
        <f>COUNTIFS('Data Entry'!F2:F9998,1,'Data Entry'!O2:O9998,"1")</f>
        <v>306</v>
      </c>
      <c r="D29" s="7">
        <f>COUNTIFS('Data Entry'!F2:F9998,1,'Data Entry'!O2:O9998,"0")</f>
        <v>188</v>
      </c>
      <c r="E29" s="8">
        <f>IF(B29=0,"-",C29/B29)</f>
        <v>0.61943319838056676</v>
      </c>
    </row>
    <row r="30" spans="1:5" ht="15" customHeight="1" x14ac:dyDescent="0.25">
      <c r="A30" s="5">
        <v>2</v>
      </c>
      <c r="B30" s="5">
        <f>COUNTIF('Data Entry'!F2:F9998,2)</f>
        <v>52</v>
      </c>
      <c r="C30" s="5">
        <f>COUNTIFS('Data Entry'!F2:F9998,2,'Data Entry'!O2:O9998,"1")</f>
        <v>27</v>
      </c>
      <c r="D30" s="5">
        <f>COUNTIFS('Data Entry'!F2:F9998,2,'Data Entry'!O2:O9998,"0")</f>
        <v>25</v>
      </c>
      <c r="E30" s="6">
        <f>IF(B30=0,"-",C30/B30)</f>
        <v>0.51923076923076927</v>
      </c>
    </row>
    <row r="31" spans="1:5" ht="15" customHeight="1" x14ac:dyDescent="0.25">
      <c r="A31" s="7">
        <v>3</v>
      </c>
      <c r="B31" s="7">
        <f>COUNTIF('Data Entry'!F2:F9998,3)</f>
        <v>2</v>
      </c>
      <c r="C31" s="7">
        <f>COUNTIFS('Data Entry'!F2:F9998,3,'Data Entry'!O2:O9998,"1")</f>
        <v>1</v>
      </c>
      <c r="D31" s="7">
        <f>COUNTIFS('Data Entry'!F2:F9998,3,'Data Entry'!O2:O9998,"0")</f>
        <v>1</v>
      </c>
      <c r="E31" s="8">
        <f>IF(B31=0,"-",C31/B31)</f>
        <v>0.5</v>
      </c>
    </row>
    <row r="32" spans="1:5" ht="15" customHeight="1" x14ac:dyDescent="0.25">
      <c r="A32" s="9" t="s">
        <v>26</v>
      </c>
      <c r="B32" s="9">
        <f>SUM(B28:B31)</f>
        <v>2577</v>
      </c>
      <c r="C32" s="9">
        <f>SUM(C28:C31)</f>
        <v>2071</v>
      </c>
      <c r="D32" s="9">
        <f>SUM(D28:D31)</f>
        <v>506</v>
      </c>
      <c r="E32" s="10">
        <f>IF(B32=0,"-",C32/B32)</f>
        <v>0.80364765230888635</v>
      </c>
    </row>
    <row r="34" spans="1:5" ht="19.5" customHeight="1" x14ac:dyDescent="0.25">
      <c r="A34" s="32" t="s">
        <v>4</v>
      </c>
      <c r="B34" s="32"/>
      <c r="C34" s="32"/>
      <c r="D34" s="32"/>
      <c r="E34" s="32"/>
    </row>
    <row r="35" spans="1:5" ht="19.5" customHeight="1" x14ac:dyDescent="0.25">
      <c r="A35" s="4" t="s">
        <v>22</v>
      </c>
      <c r="B35" s="4" t="s">
        <v>23</v>
      </c>
      <c r="C35" s="4" t="s">
        <v>9</v>
      </c>
      <c r="D35" s="4" t="s">
        <v>24</v>
      </c>
      <c r="E35" s="4" t="s">
        <v>25</v>
      </c>
    </row>
    <row r="36" spans="1:5" ht="15" customHeight="1" x14ac:dyDescent="0.25">
      <c r="A36" s="5" t="s">
        <v>10</v>
      </c>
      <c r="B36" s="5">
        <f>COUNTIF('Data Entry'!G2:G9998,"F")</f>
        <v>2365</v>
      </c>
      <c r="C36" s="5">
        <f>COUNTIFS('Data Entry'!G2:G9998,"F",'Data Entry'!O2:O9998,"1")</f>
        <v>1940</v>
      </c>
      <c r="D36" s="5">
        <f>COUNTIFS('Data Entry'!G2:G9998,"F",'Data Entry'!O2:O9998,"0")</f>
        <v>425</v>
      </c>
      <c r="E36" s="6">
        <f>IF(B36=0,"-",C36/B36)</f>
        <v>0.82029598308668072</v>
      </c>
    </row>
    <row r="37" spans="1:5" ht="15" customHeight="1" x14ac:dyDescent="0.25">
      <c r="A37" s="7" t="s">
        <v>17</v>
      </c>
      <c r="B37" s="7">
        <f>COUNTIF('Data Entry'!G2:G9998,"H")</f>
        <v>201</v>
      </c>
      <c r="C37" s="7">
        <f>COUNTIFS('Data Entry'!G2:G9998,"H",'Data Entry'!O2:O9998,"1")</f>
        <v>121</v>
      </c>
      <c r="D37" s="7">
        <f>COUNTIFS('Data Entry'!G2:G9998,"H",'Data Entry'!O2:O9998,"0")</f>
        <v>80</v>
      </c>
      <c r="E37" s="8">
        <f>IF(B37=0,"-",C37/B37)</f>
        <v>0.60199004975124382</v>
      </c>
    </row>
    <row r="38" spans="1:5" ht="15" customHeight="1" x14ac:dyDescent="0.25">
      <c r="A38" s="5" t="s">
        <v>18</v>
      </c>
      <c r="B38" s="5">
        <f>COUNTIF('Data Entry'!G2:G9998,"B")</f>
        <v>11</v>
      </c>
      <c r="C38" s="5">
        <f>COUNTIFS('Data Entry'!G2:G9998,"B",'Data Entry'!O2:O9998,"1")</f>
        <v>10</v>
      </c>
      <c r="D38" s="5">
        <f>COUNTIFS('Data Entry'!G2:G9998,"B",'Data Entry'!O2:O9998,"0")</f>
        <v>1</v>
      </c>
      <c r="E38" s="6">
        <f>IF(B38=0,"-",C38/B38)</f>
        <v>0.90909090909090906</v>
      </c>
    </row>
    <row r="39" spans="1:5" ht="15" customHeight="1" x14ac:dyDescent="0.25">
      <c r="A39" s="9" t="s">
        <v>26</v>
      </c>
      <c r="B39" s="9">
        <f>SUM(B36:B38)</f>
        <v>2577</v>
      </c>
      <c r="C39" s="9">
        <f>SUM(C36:C38)</f>
        <v>2071</v>
      </c>
      <c r="D39" s="9">
        <f>SUM(D36:D38)</f>
        <v>506</v>
      </c>
      <c r="E39" s="10">
        <f>IF(B39=0,"-",C39/B39)</f>
        <v>0.80364765230888635</v>
      </c>
    </row>
    <row r="41" spans="1:5" ht="19.5" customHeight="1" x14ac:dyDescent="0.25">
      <c r="A41" s="32" t="s">
        <v>5</v>
      </c>
      <c r="B41" s="32"/>
      <c r="C41" s="32"/>
      <c r="D41" s="32"/>
      <c r="E41" s="32"/>
    </row>
    <row r="42" spans="1:5" ht="19.5" customHeight="1" x14ac:dyDescent="0.25">
      <c r="A42" s="4" t="s">
        <v>22</v>
      </c>
      <c r="B42" s="4" t="s">
        <v>23</v>
      </c>
      <c r="C42" s="4" t="s">
        <v>9</v>
      </c>
      <c r="D42" s="4" t="s">
        <v>24</v>
      </c>
      <c r="E42" s="4" t="s">
        <v>25</v>
      </c>
    </row>
    <row r="43" spans="1:5" ht="15" customHeight="1" x14ac:dyDescent="0.25">
      <c r="A43" s="5" t="s">
        <v>12</v>
      </c>
      <c r="B43" s="5">
        <f>COUNTIF('Data Entry'!H2:H9998,"S")</f>
        <v>2046</v>
      </c>
      <c r="C43" s="5">
        <f>COUNTIFS('Data Entry'!H2:H9998,"S",'Data Entry'!O2:O9998,"1")</f>
        <v>1701</v>
      </c>
      <c r="D43" s="5">
        <f>COUNTIFS('Data Entry'!H2:H9998,"S",'Data Entry'!O2:O9998,"0")</f>
        <v>345</v>
      </c>
      <c r="E43" s="6">
        <f>IF(B43=0,"-",C43/B43)</f>
        <v>0.83137829912023464</v>
      </c>
    </row>
    <row r="44" spans="1:5" ht="15" customHeight="1" x14ac:dyDescent="0.25">
      <c r="A44" s="5" t="s">
        <v>106</v>
      </c>
      <c r="B44" s="7">
        <f>COUNTIF('Data Entry'!H1:H9997,"NA")</f>
        <v>211</v>
      </c>
      <c r="C44" s="7">
        <f>COUNTIFS('Data Entry'!H1:H9997,"NA",'Data Entry'!O1:O9997,"1")</f>
        <v>130</v>
      </c>
      <c r="D44" s="7">
        <f>COUNTIFS('Data Entry'!H1:H9997,"NA",'Data Entry'!O1:O9997,"0")</f>
        <v>81</v>
      </c>
      <c r="E44" s="8">
        <f>IF(B44=0,"-",C44/B44)</f>
        <v>0.61611374407582942</v>
      </c>
    </row>
    <row r="45" spans="1:5" ht="15" customHeight="1" x14ac:dyDescent="0.25">
      <c r="A45" s="7" t="s">
        <v>16</v>
      </c>
      <c r="B45" s="7">
        <f>COUNTIF('Data Entry'!H2:H9998,"W")</f>
        <v>320</v>
      </c>
      <c r="C45" s="7">
        <f>COUNTIFS('Data Entry'!H2:H9998,"W",'Data Entry'!O2:O9998,"1")</f>
        <v>240</v>
      </c>
      <c r="D45" s="7">
        <f>COUNTIFS('Data Entry'!H2:H9998,"W",'Data Entry'!O2:O9998,"0")</f>
        <v>80</v>
      </c>
      <c r="E45" s="8">
        <f>IF(B45=0,"-",C45/B45)</f>
        <v>0.75</v>
      </c>
    </row>
    <row r="46" spans="1:5" x14ac:dyDescent="0.25">
      <c r="A46" s="9" t="s">
        <v>26</v>
      </c>
      <c r="B46" s="9">
        <f>SUM(B43:B45)</f>
        <v>2577</v>
      </c>
      <c r="C46" s="9">
        <f>SUM(C43:C45)</f>
        <v>2071</v>
      </c>
      <c r="D46" s="9">
        <f>SUM(D43:D45)</f>
        <v>506</v>
      </c>
      <c r="E46" s="10">
        <f>IF(B46=0,"-",C46/B46)</f>
        <v>0.80364765230888635</v>
      </c>
    </row>
    <row r="47" spans="1:5" ht="19.5" customHeight="1" x14ac:dyDescent="0.25"/>
    <row r="48" spans="1:5" ht="19.5" customHeight="1" x14ac:dyDescent="0.25">
      <c r="A48" s="32" t="s">
        <v>6</v>
      </c>
      <c r="B48" s="32"/>
      <c r="C48" s="32"/>
      <c r="D48" s="32"/>
      <c r="E48" s="32"/>
    </row>
    <row r="49" spans="1:5" ht="15" customHeight="1" x14ac:dyDescent="0.25">
      <c r="A49" s="4" t="s">
        <v>22</v>
      </c>
      <c r="B49" s="4" t="s">
        <v>23</v>
      </c>
      <c r="C49" s="4" t="s">
        <v>9</v>
      </c>
      <c r="D49" s="4" t="s">
        <v>24</v>
      </c>
      <c r="E49" s="4" t="s">
        <v>25</v>
      </c>
    </row>
    <row r="50" spans="1:5" ht="15" customHeight="1" x14ac:dyDescent="0.25">
      <c r="A50" s="5">
        <v>1</v>
      </c>
      <c r="B50" s="5">
        <f>COUNTIF('Data Entry'!I2:I9998,1)</f>
        <v>795</v>
      </c>
      <c r="C50" s="5">
        <f>COUNTIFS('Data Entry'!I2:I9998,1,'Data Entry'!O2:O9998,"1")</f>
        <v>569</v>
      </c>
      <c r="D50" s="5">
        <f>COUNTIFS('Data Entry'!I2:I9998,1,'Data Entry'!O2:O9998,"0")</f>
        <v>226</v>
      </c>
      <c r="E50" s="6">
        <f>IF(B50=0,"-",C50/B50)</f>
        <v>0.71572327044025152</v>
      </c>
    </row>
    <row r="51" spans="1:5" ht="15" customHeight="1" x14ac:dyDescent="0.25">
      <c r="A51" s="7">
        <v>2</v>
      </c>
      <c r="B51" s="7">
        <f>COUNTIF('Data Entry'!I2:I9998,2)</f>
        <v>983</v>
      </c>
      <c r="C51" s="7">
        <f>COUNTIFS('Data Entry'!I2:I9998,2,'Data Entry'!O2:O9998,"1")</f>
        <v>846</v>
      </c>
      <c r="D51" s="7">
        <f>COUNTIFS('Data Entry'!I2:I9998,2,'Data Entry'!O2:O9998,"0")</f>
        <v>137</v>
      </c>
      <c r="E51" s="8">
        <f>IF(B51=0,"-",C51/B51)</f>
        <v>0.8606307222787386</v>
      </c>
    </row>
    <row r="52" spans="1:5" ht="15" customHeight="1" x14ac:dyDescent="0.25">
      <c r="A52" s="5" t="s">
        <v>15</v>
      </c>
      <c r="B52" s="5">
        <f>COUNTIF('Data Entry'!I2:I9998,"3+")</f>
        <v>799</v>
      </c>
      <c r="C52" s="5">
        <f>COUNTIFS('Data Entry'!I2:I9998,"3+",'Data Entry'!O2:O9998,"1")</f>
        <v>656</v>
      </c>
      <c r="D52" s="5">
        <f>COUNTIFS('Data Entry'!I2:I9998,"3+",'Data Entry'!O2:O9998,"0")</f>
        <v>143</v>
      </c>
      <c r="E52" s="6">
        <f>IF(B52=0,"-",C52/B52)</f>
        <v>0.82102628285356694</v>
      </c>
    </row>
    <row r="53" spans="1:5" x14ac:dyDescent="0.25">
      <c r="A53" s="9" t="s">
        <v>26</v>
      </c>
      <c r="B53" s="9">
        <f>SUM(B50:B52)</f>
        <v>2577</v>
      </c>
      <c r="C53" s="9">
        <f>SUM(C50:C52)</f>
        <v>2071</v>
      </c>
      <c r="D53" s="9">
        <f>SUM(D50:D52)</f>
        <v>506</v>
      </c>
      <c r="E53" s="10">
        <f>IF(B53=0,"-",C53/B53)</f>
        <v>0.80364765230888635</v>
      </c>
    </row>
    <row r="54" spans="1:5" ht="19.5" customHeight="1" x14ac:dyDescent="0.25"/>
    <row r="55" spans="1:5" ht="19.5" customHeight="1" x14ac:dyDescent="0.25">
      <c r="A55" s="32" t="s">
        <v>7</v>
      </c>
      <c r="B55" s="32"/>
      <c r="C55" s="32"/>
      <c r="D55" s="32"/>
      <c r="E55" s="32"/>
    </row>
    <row r="56" spans="1:5" ht="15" customHeight="1" x14ac:dyDescent="0.25">
      <c r="A56" s="4" t="s">
        <v>22</v>
      </c>
      <c r="B56" s="4" t="s">
        <v>23</v>
      </c>
      <c r="C56" s="4" t="s">
        <v>9</v>
      </c>
      <c r="D56" s="4" t="s">
        <v>24</v>
      </c>
      <c r="E56" s="4" t="s">
        <v>25</v>
      </c>
    </row>
    <row r="57" spans="1:5" ht="15" customHeight="1" x14ac:dyDescent="0.25">
      <c r="A57" s="5" t="s">
        <v>13</v>
      </c>
      <c r="B57" s="5">
        <f>COUNTIF('Data Entry'!J2:J9998,"Y")</f>
        <v>148</v>
      </c>
      <c r="C57" s="5">
        <f>COUNTIFS('Data Entry'!J2:J9998,"Y",'Data Entry'!O2:O9998,"1")</f>
        <v>59</v>
      </c>
      <c r="D57" s="5">
        <f>COUNTIFS('Data Entry'!J2:J9998,"Y",'Data Entry'!O2:O9998,"N")</f>
        <v>0</v>
      </c>
      <c r="E57" s="6">
        <f>IF(B57=0,"-",C57/B57)</f>
        <v>0.39864864864864863</v>
      </c>
    </row>
    <row r="58" spans="1:5" ht="15" customHeight="1" x14ac:dyDescent="0.25">
      <c r="A58" s="7" t="s">
        <v>14</v>
      </c>
      <c r="B58" s="7">
        <f>COUNTIF('Data Entry'!J2:J9998,"N")</f>
        <v>2429</v>
      </c>
      <c r="C58" s="7">
        <f>COUNTIFS('Data Entry'!J2:J9998,"N",'Data Entry'!O2:O9998,"1")</f>
        <v>2012</v>
      </c>
      <c r="D58" s="7">
        <f>COUNTIFS('Data Entry'!J2:J9998,"N",'Data Entry'!O2:O9998,"N")</f>
        <v>0</v>
      </c>
      <c r="E58" s="8">
        <f>IF(B58=0,"-",C58/B58)</f>
        <v>0.82832441333882256</v>
      </c>
    </row>
    <row r="59" spans="1:5" x14ac:dyDescent="0.25">
      <c r="A59" s="9" t="s">
        <v>26</v>
      </c>
      <c r="B59" s="9">
        <f>SUM(B57:B58)</f>
        <v>2577</v>
      </c>
      <c r="C59" s="9">
        <f>SUM(C57:C58)</f>
        <v>2071</v>
      </c>
      <c r="D59" s="9">
        <f>SUM(D57:D58)</f>
        <v>0</v>
      </c>
      <c r="E59" s="10">
        <f>IF(B59=0,"-",C59/B59)</f>
        <v>0.80364765230888635</v>
      </c>
    </row>
    <row r="60" spans="1:5" ht="19.5" customHeight="1" x14ac:dyDescent="0.25"/>
    <row r="61" spans="1:5" ht="19.5" customHeight="1" x14ac:dyDescent="0.25">
      <c r="A61" s="32" t="s">
        <v>81</v>
      </c>
      <c r="B61" s="32"/>
      <c r="C61" s="32"/>
      <c r="D61" s="32"/>
      <c r="E61" s="32"/>
    </row>
    <row r="62" spans="1:5" ht="15" customHeight="1" x14ac:dyDescent="0.25">
      <c r="A62" s="4" t="s">
        <v>22</v>
      </c>
      <c r="B62" s="4" t="s">
        <v>23</v>
      </c>
      <c r="C62" s="4" t="s">
        <v>9</v>
      </c>
      <c r="D62" s="4" t="s">
        <v>24</v>
      </c>
      <c r="E62" s="4" t="s">
        <v>25</v>
      </c>
    </row>
    <row r="63" spans="1:5" ht="15" customHeight="1" x14ac:dyDescent="0.25">
      <c r="A63" s="5" t="s">
        <v>13</v>
      </c>
      <c r="B63" s="5">
        <f>COUNTIF('Data Entry'!L2:L9998,"Y")</f>
        <v>355</v>
      </c>
      <c r="C63" s="5">
        <f>COUNTIFS('Data Entry'!L2:L9998,"Y",'Data Entry'!O2:O9998,"1")</f>
        <v>218</v>
      </c>
      <c r="D63" s="5">
        <f>COUNTIFS('Data Entry'!L2:L9998,"Y",'Data Entry'!O2:O9998,"0")</f>
        <v>137</v>
      </c>
      <c r="E63" s="6">
        <f>IF(B63=0,"-",C63/B63)</f>
        <v>0.61408450704225348</v>
      </c>
    </row>
    <row r="64" spans="1:5" ht="15" customHeight="1" x14ac:dyDescent="0.25">
      <c r="A64" s="7" t="s">
        <v>14</v>
      </c>
      <c r="B64" s="7">
        <f>COUNTIF('Data Entry'!L2:L9998,"N")</f>
        <v>2222</v>
      </c>
      <c r="C64" s="7">
        <f>COUNTIFS('Data Entry'!L2:L9998,"N",'Data Entry'!O2:O9998,"1")</f>
        <v>1853</v>
      </c>
      <c r="D64" s="7">
        <f>COUNTIFS('Data Entry'!L2:L9998,"N",'Data Entry'!O2:O9998,"0")</f>
        <v>369</v>
      </c>
      <c r="E64" s="8">
        <f>IF(B64=0,"-",C64/B64)</f>
        <v>0.83393339333933392</v>
      </c>
    </row>
    <row r="65" spans="1:5" x14ac:dyDescent="0.25">
      <c r="A65" s="9" t="s">
        <v>26</v>
      </c>
      <c r="B65" s="9">
        <f>SUM(B63:B64)</f>
        <v>2577</v>
      </c>
      <c r="C65" s="9">
        <f>SUM(C63:C64)</f>
        <v>2071</v>
      </c>
      <c r="D65" s="9">
        <f>SUM(D63:D64)</f>
        <v>506</v>
      </c>
      <c r="E65" s="10">
        <f>IF(B65=0,"-",C65/B65)</f>
        <v>0.80364765230888635</v>
      </c>
    </row>
    <row r="66" spans="1:5" ht="19.5" customHeight="1" x14ac:dyDescent="0.25"/>
    <row r="67" spans="1:5" ht="19.5" customHeight="1" x14ac:dyDescent="0.25">
      <c r="A67" s="32" t="s">
        <v>82</v>
      </c>
      <c r="B67" s="32"/>
      <c r="C67" s="32"/>
      <c r="D67" s="32"/>
      <c r="E67" s="32"/>
    </row>
    <row r="68" spans="1:5" ht="15" customHeight="1" x14ac:dyDescent="0.25">
      <c r="A68" s="4" t="s">
        <v>22</v>
      </c>
      <c r="B68" s="4" t="s">
        <v>23</v>
      </c>
      <c r="C68" s="4" t="s">
        <v>9</v>
      </c>
      <c r="D68" s="4" t="s">
        <v>24</v>
      </c>
      <c r="E68" s="4" t="s">
        <v>25</v>
      </c>
    </row>
    <row r="69" spans="1:5" ht="15" customHeight="1" x14ac:dyDescent="0.25">
      <c r="A69" s="5" t="s">
        <v>13</v>
      </c>
      <c r="B69" s="5">
        <f>COUNTIF('Data Entry'!M2:M9998,"Y")</f>
        <v>552</v>
      </c>
      <c r="C69" s="5">
        <f>COUNTIFS('Data Entry'!M2:M9998,"Y",'Data Entry'!O2:O9998,"1")</f>
        <v>255</v>
      </c>
      <c r="D69" s="5">
        <f>COUNTIFS('Data Entry'!M2:M9998,"Y",'Data Entry'!O2:O9998,"0")</f>
        <v>297</v>
      </c>
      <c r="E69" s="6">
        <f>IF(B69=0,"-",C69/B69)</f>
        <v>0.46195652173913043</v>
      </c>
    </row>
    <row r="70" spans="1:5" ht="15" customHeight="1" x14ac:dyDescent="0.25">
      <c r="A70" s="7" t="s">
        <v>14</v>
      </c>
      <c r="B70" s="7">
        <f>COUNTIF('Data Entry'!M2:M9998,"N")</f>
        <v>2025</v>
      </c>
      <c r="C70" s="7">
        <f>COUNTIFS('Data Entry'!M2:M9998,"N",'Data Entry'!O2:O9998,"1")</f>
        <v>1816</v>
      </c>
      <c r="D70" s="7">
        <f>COUNTIFS('Data Entry'!M2:M9998,"N",'Data Entry'!O2:O9998,"0")</f>
        <v>209</v>
      </c>
      <c r="E70" s="8">
        <f>IF(B70=0,"-",C70/B70)</f>
        <v>0.8967901234567901</v>
      </c>
    </row>
    <row r="71" spans="1:5" x14ac:dyDescent="0.25">
      <c r="A71" s="9" t="s">
        <v>26</v>
      </c>
      <c r="B71" s="9">
        <f>SUM(B69:B70)</f>
        <v>2577</v>
      </c>
      <c r="C71" s="9">
        <f>SUM(C69:C70)</f>
        <v>2071</v>
      </c>
      <c r="D71" s="9">
        <f>SUM(D69:D70)</f>
        <v>506</v>
      </c>
      <c r="E71" s="10">
        <f>IF(B71=0,"-",C71/B71)</f>
        <v>0.80364765230888635</v>
      </c>
    </row>
    <row r="73" spans="1:5" x14ac:dyDescent="0.25">
      <c r="A73" s="32" t="s">
        <v>8</v>
      </c>
      <c r="B73" s="32"/>
      <c r="C73" s="32"/>
      <c r="D73" s="32"/>
      <c r="E73" s="32"/>
    </row>
    <row r="74" spans="1:5" x14ac:dyDescent="0.25">
      <c r="A74" s="4" t="s">
        <v>22</v>
      </c>
      <c r="B74" s="4" t="s">
        <v>23</v>
      </c>
      <c r="C74" s="4" t="s">
        <v>9</v>
      </c>
      <c r="D74" s="4" t="s">
        <v>24</v>
      </c>
      <c r="E74" s="4" t="s">
        <v>25</v>
      </c>
    </row>
    <row r="75" spans="1:5" x14ac:dyDescent="0.25">
      <c r="A75" s="5" t="s">
        <v>13</v>
      </c>
      <c r="B75" s="5">
        <f>COUNTIF('Data Entry'!N8:N10004,"Y")</f>
        <v>135</v>
      </c>
      <c r="C75" s="5">
        <f>COUNTIFS('Data Entry'!N8:N10004,"Y",'Data Entry'!O8:O10004,"1")</f>
        <v>47</v>
      </c>
      <c r="D75" s="5">
        <f>COUNTIFS('Data Entry'!N8:N10004,"Y",'Data Entry'!O8:O10004,"0")</f>
        <v>88</v>
      </c>
      <c r="E75" s="6">
        <f>IF(B75=0,"-",C75/B75)</f>
        <v>0.34814814814814815</v>
      </c>
    </row>
    <row r="76" spans="1:5" x14ac:dyDescent="0.25">
      <c r="A76" s="7" t="s">
        <v>14</v>
      </c>
      <c r="B76" s="7">
        <f>COUNTIF('Data Entry'!N8:N10004,"N")</f>
        <v>2436</v>
      </c>
      <c r="C76" s="7">
        <f>COUNTIFS('Data Entry'!N8:N10004,"N",'Data Entry'!O8:O10004,"1")</f>
        <v>2019</v>
      </c>
      <c r="D76" s="7">
        <f>COUNTIFS('Data Entry'!N8:N10004,"N",'Data Entry'!O8:O10004,"0")</f>
        <v>417</v>
      </c>
      <c r="E76" s="8">
        <f>IF(B76=0,"-",C76/B76)</f>
        <v>0.8288177339901478</v>
      </c>
    </row>
    <row r="77" spans="1:5" x14ac:dyDescent="0.25">
      <c r="A77" s="9" t="s">
        <v>26</v>
      </c>
      <c r="B77" s="9">
        <f>SUM(B75:B76)</f>
        <v>2571</v>
      </c>
      <c r="C77" s="9">
        <f>SUM(C75:C76)</f>
        <v>2066</v>
      </c>
      <c r="D77" s="9">
        <f>SUM(D75:D76)</f>
        <v>505</v>
      </c>
      <c r="E77" s="10">
        <f>IF(B77=0,"-",C77/B77)</f>
        <v>0.80357837417347333</v>
      </c>
    </row>
  </sheetData>
  <mergeCells count="12">
    <mergeCell ref="A73:E73"/>
    <mergeCell ref="A1:E1"/>
    <mergeCell ref="A3:E3"/>
    <mergeCell ref="A12:E12"/>
    <mergeCell ref="A19:E19"/>
    <mergeCell ref="A26:E26"/>
    <mergeCell ref="A67:E67"/>
    <mergeCell ref="A34:E34"/>
    <mergeCell ref="A41:E41"/>
    <mergeCell ref="A48:E48"/>
    <mergeCell ref="A55:E55"/>
    <mergeCell ref="A61:E6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Information</vt:lpstr>
      <vt:lpstr>Data Entry</vt:lpstr>
      <vt:lpstr>GameSheetCP</vt:lpstr>
      <vt:lpstr>StatsCP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Sam Miller</cp:lastModifiedBy>
  <cp:revision>0</cp:revision>
  <dcterms:created xsi:type="dcterms:W3CDTF">2026-03-03T01:41:26Z</dcterms:created>
  <dcterms:modified xsi:type="dcterms:W3CDTF">2026-04-23T00:04:27Z</dcterms:modified>
  <dc:language>en-US</dc:language>
</cp:coreProperties>
</file>