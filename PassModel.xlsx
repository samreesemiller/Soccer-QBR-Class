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mill\OneDrive\Documents\Footy\"/>
    </mc:Choice>
  </mc:AlternateContent>
  <xr:revisionPtr revIDLastSave="0" documentId="13_ncr:1_{A7AB0C0A-2161-4B96-9249-CADAB1E392C5}" xr6:coauthVersionLast="47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Information" sheetId="4" r:id="rId1"/>
    <sheet name="Data Entry" sheetId="1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D22" i="3"/>
  <c r="D21" i="3"/>
  <c r="D14" i="3"/>
  <c r="D15" i="3"/>
  <c r="D16" i="3"/>
  <c r="D28" i="3"/>
  <c r="D29" i="3"/>
  <c r="D30" i="3"/>
  <c r="D31" i="3"/>
  <c r="D36" i="3"/>
  <c r="D37" i="3"/>
  <c r="D38" i="3"/>
  <c r="D43" i="3"/>
  <c r="D44" i="3"/>
  <c r="D49" i="3"/>
  <c r="D50" i="3"/>
  <c r="D51" i="3"/>
  <c r="D62" i="3"/>
  <c r="D63" i="3"/>
  <c r="D68" i="3"/>
  <c r="D69" i="3"/>
  <c r="C69" i="3"/>
  <c r="C68" i="3"/>
  <c r="C63" i="3"/>
  <c r="C62" i="3"/>
  <c r="C57" i="3"/>
  <c r="C56" i="3"/>
  <c r="C51" i="3"/>
  <c r="C50" i="3"/>
  <c r="C49" i="3"/>
  <c r="C44" i="3"/>
  <c r="C43" i="3"/>
  <c r="C38" i="3"/>
  <c r="C37" i="3"/>
  <c r="C36" i="3"/>
  <c r="C31" i="3"/>
  <c r="C30" i="3"/>
  <c r="C29" i="3"/>
  <c r="C28" i="3"/>
  <c r="C23" i="3"/>
  <c r="C22" i="3"/>
  <c r="C21" i="3"/>
  <c r="C16" i="3"/>
  <c r="C15" i="3"/>
  <c r="C14" i="3"/>
  <c r="D9" i="3"/>
  <c r="D8" i="3"/>
  <c r="D7" i="3"/>
  <c r="D6" i="3"/>
  <c r="D5" i="3"/>
  <c r="C9" i="3"/>
  <c r="C8" i="3"/>
  <c r="C7" i="3"/>
  <c r="C6" i="3"/>
  <c r="C5" i="3"/>
  <c r="B69" i="3"/>
  <c r="B68" i="3"/>
  <c r="B63" i="3"/>
  <c r="B62" i="3"/>
  <c r="D57" i="3"/>
  <c r="B57" i="3"/>
  <c r="D56" i="3"/>
  <c r="B56" i="3"/>
  <c r="B51" i="3"/>
  <c r="B50" i="3"/>
  <c r="B49" i="3"/>
  <c r="B44" i="3"/>
  <c r="B43" i="3"/>
  <c r="B38" i="3"/>
  <c r="B37" i="3"/>
  <c r="B36" i="3"/>
  <c r="B31" i="3"/>
  <c r="B30" i="3"/>
  <c r="B29" i="3"/>
  <c r="B28" i="3"/>
  <c r="B23" i="3"/>
  <c r="B22" i="3"/>
  <c r="B21" i="3"/>
  <c r="B16" i="3"/>
  <c r="B15" i="3"/>
  <c r="B14" i="3"/>
  <c r="B9" i="3"/>
  <c r="B8" i="3"/>
  <c r="B7" i="3"/>
  <c r="B6" i="3"/>
  <c r="B5" i="3"/>
  <c r="E31" i="3" l="1"/>
  <c r="D58" i="3"/>
  <c r="E16" i="3"/>
  <c r="E51" i="3"/>
  <c r="E44" i="3"/>
  <c r="E37" i="3"/>
  <c r="E23" i="3"/>
  <c r="E30" i="3"/>
  <c r="E7" i="3"/>
  <c r="E8" i="3"/>
  <c r="D39" i="3"/>
  <c r="D45" i="3"/>
  <c r="C24" i="3"/>
  <c r="D64" i="3"/>
  <c r="D24" i="3"/>
  <c r="E6" i="3"/>
  <c r="E63" i="3"/>
  <c r="E15" i="3"/>
  <c r="C58" i="3"/>
  <c r="E22" i="3"/>
  <c r="E69" i="3"/>
  <c r="C17" i="3"/>
  <c r="C70" i="3"/>
  <c r="C45" i="3"/>
  <c r="E50" i="3"/>
  <c r="D17" i="3"/>
  <c r="E29" i="3"/>
  <c r="D70" i="3"/>
  <c r="E57" i="3"/>
  <c r="C64" i="3"/>
  <c r="E9" i="3"/>
  <c r="D32" i="3"/>
  <c r="C10" i="3"/>
  <c r="E38" i="3"/>
  <c r="D10" i="3"/>
  <c r="D52" i="3"/>
  <c r="C52" i="3"/>
  <c r="C39" i="3"/>
  <c r="C32" i="3"/>
  <c r="B70" i="3"/>
  <c r="E68" i="3"/>
  <c r="B64" i="3"/>
  <c r="E62" i="3"/>
  <c r="B58" i="3"/>
  <c r="E56" i="3"/>
  <c r="B52" i="3"/>
  <c r="E49" i="3"/>
  <c r="B39" i="3"/>
  <c r="E36" i="3"/>
  <c r="B32" i="3"/>
  <c r="E28" i="3"/>
  <c r="B24" i="3"/>
  <c r="E21" i="3"/>
  <c r="B17" i="3"/>
  <c r="E14" i="3"/>
  <c r="B10" i="3"/>
  <c r="E5" i="3"/>
  <c r="B45" i="3"/>
  <c r="E43" i="3"/>
  <c r="E24" i="3" l="1"/>
  <c r="E70" i="3"/>
  <c r="E64" i="3"/>
  <c r="E45" i="3"/>
  <c r="E58" i="3"/>
  <c r="E17" i="3"/>
  <c r="E52" i="3"/>
  <c r="E39" i="3"/>
  <c r="E32" i="3"/>
  <c r="E10" i="3"/>
</calcChain>
</file>

<file path=xl/sharedStrings.xml><?xml version="1.0" encoding="utf-8"?>
<sst xmlns="http://schemas.openxmlformats.org/spreadsheetml/2006/main" count="5725" uniqueCount="110">
  <si>
    <t>Distance</t>
  </si>
  <si>
    <t>Direction</t>
  </si>
  <si>
    <t>Area</t>
  </si>
  <si>
    <t>Min. Def.</t>
  </si>
  <si>
    <t>Body Pt</t>
  </si>
  <si>
    <t>Foot</t>
  </si>
  <si>
    <t>Touches</t>
  </si>
  <si>
    <t>Thru</t>
  </si>
  <si>
    <t>Cross</t>
  </si>
  <si>
    <t>Completed</t>
  </si>
  <si>
    <t>F</t>
  </si>
  <si>
    <t>A</t>
  </si>
  <si>
    <t>S</t>
  </si>
  <si>
    <t>Y</t>
  </si>
  <si>
    <t>N</t>
  </si>
  <si>
    <t>3+</t>
  </si>
  <si>
    <t>W</t>
  </si>
  <si>
    <t>H</t>
  </si>
  <si>
    <t>B</t>
  </si>
  <si>
    <t>M</t>
  </si>
  <si>
    <t>D</t>
  </si>
  <si>
    <t>Pass Completion Summary</t>
  </si>
  <si>
    <t>Value</t>
  </si>
  <si>
    <t>Total</t>
  </si>
  <si>
    <t>Not Completed</t>
  </si>
  <si>
    <t>Completion %</t>
  </si>
  <si>
    <t>TOTAL</t>
  </si>
  <si>
    <t>State</t>
  </si>
  <si>
    <t>Important Information</t>
  </si>
  <si>
    <t>L</t>
  </si>
  <si>
    <t>The state of the game for the player making the pass.</t>
  </si>
  <si>
    <t>The team of the player making the pass is in a "Draw" state.</t>
  </si>
  <si>
    <t>The team of the player winning the game is in a "Winning" state.</t>
  </si>
  <si>
    <t>The team of the player making the pass is in a "Losing" state.</t>
  </si>
  <si>
    <t>State:</t>
  </si>
  <si>
    <t>Distance:</t>
  </si>
  <si>
    <t>The block of distance for which a pass travels, or was intended to travel.</t>
  </si>
  <si>
    <t>Pass is less than 5 yards.</t>
  </si>
  <si>
    <t>Pass is between 5 and 10 yards</t>
  </si>
  <si>
    <t>Pass is between 10 and 20 yards.</t>
  </si>
  <si>
    <t>Pass is between 20 and 30  yards.</t>
  </si>
  <si>
    <t>Pass is 30 yards or more.</t>
  </si>
  <si>
    <t>Direction:</t>
  </si>
  <si>
    <t>The direction that the pass is or is intended to travel.</t>
  </si>
  <si>
    <t>The pass is traveling in a neutral direction, as in sideways (less than 15 degrees R/L).</t>
  </si>
  <si>
    <t>The pass is traveling backwards, as in towards their own goal. (Greater than 15 degrees towards their goal)</t>
  </si>
  <si>
    <t>The pass is traveling forward, as in towards the opponent's goal. (Greater than 15 degrees in the attacking direction)</t>
  </si>
  <si>
    <t>Area:</t>
  </si>
  <si>
    <t>Body Pt:</t>
  </si>
  <si>
    <t>Foot:</t>
  </si>
  <si>
    <t>Touches:</t>
  </si>
  <si>
    <t>Thru:</t>
  </si>
  <si>
    <t>Cross:</t>
  </si>
  <si>
    <t>The area of the pitch in which the pass is sent.</t>
  </si>
  <si>
    <t>The pass is sent into the "Attacking" third of the pitch.</t>
  </si>
  <si>
    <t>The pass is sent into the "Middle" third of the pitch.</t>
  </si>
  <si>
    <t>The pass is sent into the "Defensive" third of the pitch.</t>
  </si>
  <si>
    <t>There are 0 defenders affecting the pass.</t>
  </si>
  <si>
    <t>There is one (1) defenders affecting the path of the ball.</t>
  </si>
  <si>
    <t>There are 3 or more defenders affecting the path of the ball.</t>
  </si>
  <si>
    <t>There are two (2) defenders affecting the path of the ball.</t>
  </si>
  <si>
    <t>The body part that is used to pass the ball.</t>
  </si>
  <si>
    <t>The ball is played with the players feet.</t>
  </si>
  <si>
    <t>The ball is played with any other part of the player's body that is not the foot/head.</t>
  </si>
  <si>
    <t>Whether the player uses his Strong/Weak foot to make the pass. If Body Pt. = H/B, this will be blank.</t>
  </si>
  <si>
    <t>Pass is made with the player's "Weak" foot.</t>
  </si>
  <si>
    <t>Pass is made with the player's "Strong" foot.</t>
  </si>
  <si>
    <t>The ball is played with the player's Head.</t>
  </si>
  <si>
    <t xml:space="preserve">The amount of touches a player makes prior to passing the ball. (Includes the pass). </t>
  </si>
  <si>
    <t>The player makes a pass with their FIRST touch of the ball.</t>
  </si>
  <si>
    <t>The player makes a pass with their SECOND touch of the ball.</t>
  </si>
  <si>
    <t>The player makes a pass with their THIRD or higher touch of the ball.</t>
  </si>
  <si>
    <t>If the ball is played thru the defensive line.</t>
  </si>
  <si>
    <t>The ball is played thru (or in behind) the defensive lne.</t>
  </si>
  <si>
    <t>The ball is NOT played thru (or in behind) the defensive lne.</t>
  </si>
  <si>
    <t>The ball is played in the air, higher than the player's knees.</t>
  </si>
  <si>
    <t>The ball is NOT played in the air, higher than the player's knees.</t>
  </si>
  <si>
    <t>The pass was completed to a teammate.</t>
  </si>
  <si>
    <t>The pass was NOT completed to a teammate.</t>
  </si>
  <si>
    <t>This sheet contains information pertaining to English Premier League passes. The breakdown of each metric and explaination of it's possible values are below.</t>
  </si>
  <si>
    <t>S Air</t>
  </si>
  <si>
    <t xml:space="preserve"> H Air</t>
  </si>
  <si>
    <t>Hit Air</t>
  </si>
  <si>
    <t>Sent Air</t>
  </si>
  <si>
    <t>Hit Air:</t>
  </si>
  <si>
    <t>Send Air:</t>
  </si>
  <si>
    <t>If the ball is sent in the air, above the player's knees.</t>
  </si>
  <si>
    <t>The ball is played into the air, above the player's knees.</t>
  </si>
  <si>
    <t>The ball is NOT played into the air, above the player's knees.</t>
  </si>
  <si>
    <t>Maj. Def.</t>
  </si>
  <si>
    <t>Whether the pass was a cross or switch of field.</t>
  </si>
  <si>
    <t>The pass was a cross or switch of field.</t>
  </si>
  <si>
    <t>The pass was NOT a cross or switch of field.</t>
  </si>
  <si>
    <t>Min. Def.:</t>
  </si>
  <si>
    <t>Maj. Def.:</t>
  </si>
  <si>
    <t>The amount of defenders that affect the difficulty of the pass. This will account for defenders creating pressure from behind, side, etc.</t>
  </si>
  <si>
    <t>The amount of defenders that affect the direct path of the pass. This will only account for defenders in the way of the pass, not defenders creating behind pressure.</t>
  </si>
  <si>
    <t>Accurate</t>
  </si>
  <si>
    <t>Accurate:</t>
  </si>
  <si>
    <t>Whether the pass was completed to its intended  target in the intended area.</t>
  </si>
  <si>
    <t>R Air</t>
  </si>
  <si>
    <t>Rec. Air:</t>
  </si>
  <si>
    <t>If the ball is originally received in the air.</t>
  </si>
  <si>
    <t>The player receives the ball off the ground.</t>
  </si>
  <si>
    <t>If the pass is made while the ball is in the air.</t>
  </si>
  <si>
    <t>The player does NOT receive the ball off the ground.</t>
  </si>
  <si>
    <t>Note: Dead-ball plays (corners, FK, GK, throw-ins) are not included in this model. Plays that are not intentional passes are also not included (clears, etc.)</t>
  </si>
  <si>
    <t>BUR vs BOU 45'</t>
  </si>
  <si>
    <t>NA</t>
  </si>
  <si>
    <t>WHU vs FUL 23''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</si>
</sst>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A"/>
        <bgColor rgb="FFE2EFDA"/>
      </patternFill>
    </fill>
    <fill>
      <patternFill patternType="solid">
        <fgColor rgb="FFFFFFFF"/>
        <bgColor rgb="FFEBF3FA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EBF3FA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7" fillId="8" borderId="0" xfId="0" applyFont="1" applyFill="1"/>
    <xf numFmtId="0" fontId="0" fillId="8" borderId="0" xfId="0" applyFill="1" applyAlignment="1">
      <alignment horizontal="center" wrapText="1"/>
    </xf>
    <xf numFmtId="0" fontId="0" fillId="8" borderId="0" xfId="0" applyFill="1"/>
    <xf numFmtId="0" fontId="0" fillId="8" borderId="0" xfId="0" applyFill="1" applyAlignment="1">
      <alignment horizontal="center"/>
    </xf>
    <xf numFmtId="0" fontId="7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9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8" fillId="9" borderId="0" xfId="0" applyFont="1" applyFill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7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217AB-E99E-44FB-8DD5-51CD246A7C3D}">
  <dimension ref="A1:K49"/>
  <sheetViews>
    <sheetView workbookViewId="0">
      <selection activeCell="A4" sqref="A4"/>
    </sheetView>
  </sheetViews>
  <sheetFormatPr defaultColWidth="14.28515625" defaultRowHeight="15" x14ac:dyDescent="0.25"/>
  <cols>
    <col min="1" max="1" width="14.7109375" customWidth="1"/>
    <col min="2" max="2" width="2.28515625" style="15" customWidth="1"/>
    <col min="3" max="5" width="14.28515625" style="11" customWidth="1"/>
    <col min="6" max="7" width="14.28515625" style="11"/>
  </cols>
  <sheetData>
    <row r="1" spans="1:11" ht="23.25" x14ac:dyDescent="0.35">
      <c r="A1" s="27" t="s">
        <v>28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 s="17" customFormat="1" x14ac:dyDescent="0.25">
      <c r="A2" s="26" t="s">
        <v>79</v>
      </c>
      <c r="B2" s="26"/>
      <c r="C2" s="26"/>
      <c r="D2" s="26"/>
      <c r="E2" s="26"/>
      <c r="F2" s="26"/>
      <c r="G2" s="26"/>
      <c r="H2" s="26"/>
      <c r="I2" s="26"/>
      <c r="J2" s="26"/>
      <c r="K2" s="26"/>
    </row>
    <row r="3" spans="1:11" s="17" customFormat="1" x14ac:dyDescent="0.25">
      <c r="A3" s="26" t="s">
        <v>106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1" s="15" customFormat="1" x14ac:dyDescent="0.25">
      <c r="C4" s="16"/>
      <c r="D4" s="16"/>
      <c r="E4" s="16"/>
      <c r="F4" s="16"/>
      <c r="G4" s="16"/>
    </row>
    <row r="5" spans="1:11" s="22" customFormat="1" ht="23.25" x14ac:dyDescent="0.35">
      <c r="A5" s="19" t="s">
        <v>34</v>
      </c>
      <c r="B5" s="13"/>
      <c r="C5" s="20" t="s">
        <v>16</v>
      </c>
      <c r="D5" s="20" t="s">
        <v>20</v>
      </c>
      <c r="E5" s="20" t="s">
        <v>29</v>
      </c>
      <c r="F5" s="21"/>
      <c r="G5" s="21"/>
    </row>
    <row r="6" spans="1:11" ht="93" customHeight="1" x14ac:dyDescent="0.25">
      <c r="A6" s="12" t="s">
        <v>30</v>
      </c>
      <c r="B6" s="14"/>
      <c r="C6" s="12" t="s">
        <v>32</v>
      </c>
      <c r="D6" s="12" t="s">
        <v>31</v>
      </c>
      <c r="E6" s="12" t="s">
        <v>33</v>
      </c>
    </row>
    <row r="7" spans="1:11" s="15" customFormat="1" x14ac:dyDescent="0.25">
      <c r="C7" s="16"/>
      <c r="D7" s="16"/>
      <c r="E7" s="16"/>
      <c r="F7" s="16"/>
      <c r="G7" s="16"/>
    </row>
    <row r="8" spans="1:11" s="22" customFormat="1" ht="21" x14ac:dyDescent="0.35">
      <c r="A8" s="23" t="s">
        <v>35</v>
      </c>
      <c r="B8" s="15"/>
      <c r="C8" s="20">
        <v>0</v>
      </c>
      <c r="D8" s="20">
        <v>5</v>
      </c>
      <c r="E8" s="20">
        <v>10</v>
      </c>
      <c r="F8" s="20">
        <v>20</v>
      </c>
      <c r="G8" s="20">
        <v>30</v>
      </c>
    </row>
    <row r="9" spans="1:11" s="11" customFormat="1" ht="90" x14ac:dyDescent="0.25">
      <c r="A9" s="12" t="s">
        <v>36</v>
      </c>
      <c r="B9" s="16"/>
      <c r="C9" s="12" t="s">
        <v>37</v>
      </c>
      <c r="D9" s="12" t="s">
        <v>38</v>
      </c>
      <c r="E9" s="12" t="s">
        <v>39</v>
      </c>
      <c r="F9" s="12" t="s">
        <v>40</v>
      </c>
      <c r="G9" s="12" t="s">
        <v>41</v>
      </c>
    </row>
    <row r="10" spans="1:11" s="15" customFormat="1" x14ac:dyDescent="0.25">
      <c r="C10" s="16"/>
      <c r="D10" s="16"/>
      <c r="E10" s="16"/>
      <c r="F10" s="16"/>
      <c r="G10" s="16"/>
    </row>
    <row r="11" spans="1:11" s="22" customFormat="1" ht="21" x14ac:dyDescent="0.35">
      <c r="A11" s="23" t="s">
        <v>42</v>
      </c>
      <c r="B11" s="15"/>
      <c r="C11" s="20" t="s">
        <v>10</v>
      </c>
      <c r="D11" s="20" t="s">
        <v>14</v>
      </c>
      <c r="E11" s="20" t="s">
        <v>18</v>
      </c>
      <c r="F11" s="21"/>
      <c r="G11" s="21"/>
    </row>
    <row r="12" spans="1:11" s="11" customFormat="1" ht="150" x14ac:dyDescent="0.25">
      <c r="A12" s="12" t="s">
        <v>43</v>
      </c>
      <c r="B12" s="16"/>
      <c r="C12" s="12" t="s">
        <v>46</v>
      </c>
      <c r="D12" s="12" t="s">
        <v>44</v>
      </c>
      <c r="E12" s="12" t="s">
        <v>45</v>
      </c>
    </row>
    <row r="13" spans="1:11" s="15" customFormat="1" x14ac:dyDescent="0.25">
      <c r="C13" s="16"/>
      <c r="D13" s="16"/>
      <c r="E13" s="16"/>
      <c r="F13" s="16"/>
      <c r="G13" s="16"/>
    </row>
    <row r="14" spans="1:11" s="22" customFormat="1" ht="21" x14ac:dyDescent="0.35">
      <c r="A14" s="23" t="s">
        <v>47</v>
      </c>
      <c r="B14" s="15"/>
      <c r="C14" s="20" t="s">
        <v>11</v>
      </c>
      <c r="D14" s="20" t="s">
        <v>19</v>
      </c>
      <c r="E14" s="20" t="s">
        <v>20</v>
      </c>
      <c r="F14" s="21"/>
      <c r="G14" s="21"/>
    </row>
    <row r="15" spans="1:11" ht="75" x14ac:dyDescent="0.25">
      <c r="A15" s="12" t="s">
        <v>53</v>
      </c>
      <c r="C15" s="12" t="s">
        <v>54</v>
      </c>
      <c r="D15" s="12" t="s">
        <v>55</v>
      </c>
      <c r="E15" s="12" t="s">
        <v>56</v>
      </c>
    </row>
    <row r="16" spans="1:11" s="15" customFormat="1" x14ac:dyDescent="0.25">
      <c r="C16" s="16"/>
      <c r="D16" s="16"/>
      <c r="E16" s="16"/>
      <c r="F16" s="16"/>
      <c r="G16" s="16"/>
    </row>
    <row r="17" spans="1:7" s="22" customFormat="1" ht="21" x14ac:dyDescent="0.35">
      <c r="A17" s="23" t="s">
        <v>94</v>
      </c>
      <c r="B17" s="15"/>
      <c r="C17" s="20">
        <v>0</v>
      </c>
      <c r="D17" s="20">
        <v>1</v>
      </c>
      <c r="E17" s="20">
        <v>2</v>
      </c>
      <c r="F17" s="20">
        <v>3</v>
      </c>
      <c r="G17" s="21"/>
    </row>
    <row r="18" spans="1:7" ht="210" x14ac:dyDescent="0.25">
      <c r="A18" s="12" t="s">
        <v>96</v>
      </c>
      <c r="C18" s="12" t="s">
        <v>57</v>
      </c>
      <c r="D18" s="12" t="s">
        <v>58</v>
      </c>
      <c r="E18" s="12" t="s">
        <v>60</v>
      </c>
      <c r="F18" s="12" t="s">
        <v>59</v>
      </c>
    </row>
    <row r="19" spans="1:7" s="15" customFormat="1" x14ac:dyDescent="0.25">
      <c r="C19" s="16"/>
      <c r="D19" s="16"/>
      <c r="E19" s="16"/>
      <c r="F19" s="16"/>
      <c r="G19" s="16"/>
    </row>
    <row r="20" spans="1:7" s="22" customFormat="1" ht="21" x14ac:dyDescent="0.35">
      <c r="A20" s="23" t="s">
        <v>93</v>
      </c>
      <c r="B20" s="15"/>
      <c r="C20" s="20">
        <v>0</v>
      </c>
      <c r="D20" s="20">
        <v>1</v>
      </c>
      <c r="E20" s="20">
        <v>2</v>
      </c>
      <c r="F20" s="20">
        <v>3</v>
      </c>
      <c r="G20" s="21"/>
    </row>
    <row r="21" spans="1:7" ht="165" x14ac:dyDescent="0.25">
      <c r="A21" s="12" t="s">
        <v>95</v>
      </c>
      <c r="C21" s="12" t="s">
        <v>57</v>
      </c>
      <c r="D21" s="12" t="s">
        <v>58</v>
      </c>
      <c r="E21" s="12" t="s">
        <v>60</v>
      </c>
      <c r="F21" s="12" t="s">
        <v>59</v>
      </c>
    </row>
    <row r="22" spans="1:7" s="15" customFormat="1" x14ac:dyDescent="0.25">
      <c r="C22" s="16"/>
      <c r="D22" s="16"/>
      <c r="E22" s="16"/>
      <c r="F22" s="16"/>
      <c r="G22" s="16"/>
    </row>
    <row r="23" spans="1:7" s="22" customFormat="1" ht="21" x14ac:dyDescent="0.35">
      <c r="A23" s="23" t="s">
        <v>48</v>
      </c>
      <c r="B23" s="15"/>
      <c r="C23" s="20" t="s">
        <v>17</v>
      </c>
      <c r="D23" s="20" t="s">
        <v>18</v>
      </c>
      <c r="E23" s="20" t="s">
        <v>10</v>
      </c>
      <c r="F23" s="21"/>
      <c r="G23" s="21"/>
    </row>
    <row r="24" spans="1:7" ht="105" x14ac:dyDescent="0.25">
      <c r="A24" s="12" t="s">
        <v>61</v>
      </c>
      <c r="C24" s="12" t="s">
        <v>67</v>
      </c>
      <c r="D24" s="12" t="s">
        <v>63</v>
      </c>
      <c r="E24" s="12" t="s">
        <v>62</v>
      </c>
    </row>
    <row r="25" spans="1:7" s="15" customFormat="1" x14ac:dyDescent="0.25">
      <c r="C25" s="16"/>
      <c r="D25" s="16"/>
      <c r="E25" s="16"/>
      <c r="F25" s="16"/>
      <c r="G25" s="16"/>
    </row>
    <row r="26" spans="1:7" s="22" customFormat="1" ht="21" x14ac:dyDescent="0.35">
      <c r="A26" s="23" t="s">
        <v>49</v>
      </c>
      <c r="B26" s="15"/>
      <c r="C26" s="20" t="s">
        <v>12</v>
      </c>
      <c r="D26" s="20" t="s">
        <v>16</v>
      </c>
      <c r="E26" s="21"/>
      <c r="F26" s="21"/>
      <c r="G26" s="21"/>
    </row>
    <row r="27" spans="1:7" ht="120" x14ac:dyDescent="0.25">
      <c r="A27" s="12" t="s">
        <v>64</v>
      </c>
      <c r="C27" s="12" t="s">
        <v>66</v>
      </c>
      <c r="D27" s="12" t="s">
        <v>65</v>
      </c>
    </row>
    <row r="28" spans="1:7" s="15" customFormat="1" x14ac:dyDescent="0.25">
      <c r="C28" s="16"/>
      <c r="D28" s="16"/>
      <c r="E28" s="16"/>
      <c r="F28" s="16"/>
      <c r="G28" s="16"/>
    </row>
    <row r="29" spans="1:7" s="22" customFormat="1" ht="21" x14ac:dyDescent="0.35">
      <c r="A29" s="23" t="s">
        <v>50</v>
      </c>
      <c r="B29" s="15"/>
      <c r="C29" s="20">
        <v>1</v>
      </c>
      <c r="D29" s="20">
        <v>2</v>
      </c>
      <c r="E29" s="20">
        <v>3</v>
      </c>
      <c r="F29" s="21"/>
      <c r="G29" s="21"/>
    </row>
    <row r="30" spans="1:7" ht="105" x14ac:dyDescent="0.25">
      <c r="A30" s="12" t="s">
        <v>68</v>
      </c>
      <c r="C30" s="12" t="s">
        <v>69</v>
      </c>
      <c r="D30" s="12" t="s">
        <v>70</v>
      </c>
      <c r="E30" s="12" t="s">
        <v>71</v>
      </c>
    </row>
    <row r="31" spans="1:7" s="15" customFormat="1" x14ac:dyDescent="0.25">
      <c r="C31" s="16"/>
      <c r="D31" s="16"/>
      <c r="E31" s="16"/>
      <c r="F31" s="16"/>
      <c r="G31" s="16"/>
    </row>
    <row r="32" spans="1:7" s="22" customFormat="1" ht="21" x14ac:dyDescent="0.35">
      <c r="A32" s="23" t="s">
        <v>51</v>
      </c>
      <c r="B32" s="15"/>
      <c r="C32" s="20" t="s">
        <v>13</v>
      </c>
      <c r="D32" s="20" t="s">
        <v>14</v>
      </c>
      <c r="E32" s="21"/>
      <c r="F32" s="21"/>
      <c r="G32" s="21"/>
    </row>
    <row r="33" spans="1:7" ht="60" x14ac:dyDescent="0.25">
      <c r="A33" s="12" t="s">
        <v>72</v>
      </c>
      <c r="C33" s="12" t="s">
        <v>73</v>
      </c>
      <c r="D33" s="12" t="s">
        <v>74</v>
      </c>
    </row>
    <row r="34" spans="1:7" s="15" customFormat="1" x14ac:dyDescent="0.25">
      <c r="C34" s="16"/>
      <c r="D34" s="16"/>
      <c r="E34" s="16"/>
      <c r="F34" s="16"/>
      <c r="G34" s="16"/>
    </row>
    <row r="35" spans="1:7" s="22" customFormat="1" ht="21" x14ac:dyDescent="0.35">
      <c r="A35" s="23" t="s">
        <v>101</v>
      </c>
      <c r="B35" s="15"/>
      <c r="C35" s="20" t="s">
        <v>13</v>
      </c>
      <c r="D35" s="20" t="s">
        <v>14</v>
      </c>
      <c r="E35" s="21"/>
      <c r="F35" s="21"/>
      <c r="G35" s="21"/>
    </row>
    <row r="36" spans="1:7" ht="75" x14ac:dyDescent="0.25">
      <c r="A36" s="12" t="s">
        <v>102</v>
      </c>
      <c r="C36" s="12" t="s">
        <v>103</v>
      </c>
      <c r="D36" s="12" t="s">
        <v>105</v>
      </c>
    </row>
    <row r="37" spans="1:7" s="15" customFormat="1" x14ac:dyDescent="0.25">
      <c r="C37" s="16"/>
      <c r="D37" s="16"/>
      <c r="E37" s="16"/>
      <c r="F37" s="16"/>
      <c r="G37" s="16"/>
    </row>
    <row r="38" spans="1:7" s="22" customFormat="1" ht="21" x14ac:dyDescent="0.35">
      <c r="A38" s="23" t="s">
        <v>84</v>
      </c>
      <c r="B38" s="15"/>
      <c r="C38" s="20" t="s">
        <v>13</v>
      </c>
      <c r="D38" s="20" t="s">
        <v>14</v>
      </c>
      <c r="E38" s="21"/>
      <c r="F38" s="21"/>
      <c r="G38" s="21"/>
    </row>
    <row r="39" spans="1:7" ht="75" x14ac:dyDescent="0.25">
      <c r="A39" s="12" t="s">
        <v>104</v>
      </c>
      <c r="C39" s="12" t="s">
        <v>75</v>
      </c>
      <c r="D39" s="12" t="s">
        <v>76</v>
      </c>
    </row>
    <row r="40" spans="1:7" s="15" customFormat="1" x14ac:dyDescent="0.25">
      <c r="C40" s="16"/>
      <c r="D40" s="16"/>
      <c r="E40" s="16"/>
      <c r="F40" s="16"/>
      <c r="G40" s="16"/>
    </row>
    <row r="41" spans="1:7" s="22" customFormat="1" ht="21" x14ac:dyDescent="0.35">
      <c r="A41" s="23" t="s">
        <v>85</v>
      </c>
      <c r="B41" s="15"/>
      <c r="C41" s="20" t="s">
        <v>13</v>
      </c>
      <c r="D41" s="20" t="s">
        <v>14</v>
      </c>
      <c r="E41" s="21"/>
      <c r="F41" s="21"/>
      <c r="G41" s="21"/>
    </row>
    <row r="42" spans="1:7" ht="75" x14ac:dyDescent="0.25">
      <c r="A42" s="12" t="s">
        <v>86</v>
      </c>
      <c r="C42" s="12" t="s">
        <v>87</v>
      </c>
      <c r="D42" s="12" t="s">
        <v>88</v>
      </c>
    </row>
    <row r="43" spans="1:7" s="15" customFormat="1" x14ac:dyDescent="0.25">
      <c r="C43" s="16"/>
      <c r="D43" s="16"/>
      <c r="E43" s="16"/>
      <c r="F43" s="16"/>
      <c r="G43" s="16"/>
    </row>
    <row r="44" spans="1:7" s="22" customFormat="1" ht="21" x14ac:dyDescent="0.35">
      <c r="A44" s="23" t="s">
        <v>52</v>
      </c>
      <c r="B44" s="15"/>
      <c r="C44" s="20" t="s">
        <v>13</v>
      </c>
      <c r="D44" s="20" t="s">
        <v>14</v>
      </c>
      <c r="E44" s="21"/>
      <c r="F44" s="21"/>
      <c r="G44" s="21"/>
    </row>
    <row r="45" spans="1:7" ht="60" x14ac:dyDescent="0.25">
      <c r="A45" s="12" t="s">
        <v>90</v>
      </c>
      <c r="C45" s="12" t="s">
        <v>91</v>
      </c>
      <c r="D45" s="12" t="s">
        <v>92</v>
      </c>
    </row>
    <row r="46" spans="1:7" s="15" customFormat="1" x14ac:dyDescent="0.25">
      <c r="C46" s="16"/>
      <c r="D46" s="16"/>
      <c r="E46" s="16"/>
      <c r="F46" s="16"/>
      <c r="G46" s="16"/>
    </row>
    <row r="47" spans="1:7" s="22" customFormat="1" ht="21" x14ac:dyDescent="0.35">
      <c r="A47" s="23" t="s">
        <v>98</v>
      </c>
      <c r="B47" s="15"/>
      <c r="C47" s="20">
        <v>1</v>
      </c>
      <c r="D47" s="20">
        <v>0</v>
      </c>
      <c r="E47" s="21"/>
      <c r="F47" s="21"/>
      <c r="G47" s="21"/>
    </row>
    <row r="48" spans="1:7" ht="90" x14ac:dyDescent="0.25">
      <c r="A48" s="12" t="s">
        <v>99</v>
      </c>
      <c r="C48" s="12" t="s">
        <v>77</v>
      </c>
      <c r="D48" s="12" t="s">
        <v>78</v>
      </c>
    </row>
    <row r="49" spans="3:7" s="15" customFormat="1" x14ac:dyDescent="0.25">
      <c r="C49" s="16"/>
      <c r="D49" s="16"/>
      <c r="E49" s="16"/>
      <c r="F49" s="16"/>
      <c r="G49" s="16"/>
    </row>
  </sheetData>
  <mergeCells count="3">
    <mergeCell ref="A2:K2"/>
    <mergeCell ref="A1:K1"/>
    <mergeCell ref="A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99"/>
  <sheetViews>
    <sheetView tabSelected="1" zoomScaleNormal="100" workbookViewId="0">
      <pane ySplit="1" topLeftCell="A77" activePane="bottomLeft" state="frozen"/>
      <selection pane="bottomLeft" activeCell="K87" sqref="K87"/>
    </sheetView>
  </sheetViews>
  <sheetFormatPr defaultColWidth="8.7109375" defaultRowHeight="15" x14ac:dyDescent="0.25"/>
  <cols>
    <col min="1" max="2" width="10" customWidth="1"/>
    <col min="3" max="3" width="11" customWidth="1"/>
    <col min="4" max="4" width="7" customWidth="1"/>
    <col min="5" max="6" width="9.42578125" customWidth="1"/>
    <col min="7" max="7" width="9" customWidth="1"/>
    <col min="8" max="8" width="7" customWidth="1"/>
    <col min="9" max="9" width="9" customWidth="1"/>
    <col min="10" max="14" width="7" customWidth="1"/>
    <col min="15" max="15" width="11" customWidth="1"/>
  </cols>
  <sheetData>
    <row r="1" spans="1:15" ht="30" customHeight="1" x14ac:dyDescent="0.25">
      <c r="A1" s="1" t="s">
        <v>27</v>
      </c>
      <c r="B1" s="1" t="s">
        <v>0</v>
      </c>
      <c r="C1" s="1" t="s">
        <v>1</v>
      </c>
      <c r="D1" s="1" t="s">
        <v>2</v>
      </c>
      <c r="E1" s="1" t="s">
        <v>89</v>
      </c>
      <c r="F1" s="18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100</v>
      </c>
      <c r="L1" s="1" t="s">
        <v>81</v>
      </c>
      <c r="M1" s="1" t="s">
        <v>80</v>
      </c>
      <c r="N1" s="1" t="s">
        <v>8</v>
      </c>
      <c r="O1" s="1" t="s">
        <v>97</v>
      </c>
    </row>
    <row r="2" spans="1:15" ht="15" customHeight="1" x14ac:dyDescent="0.25">
      <c r="A2" s="24" t="s">
        <v>20</v>
      </c>
      <c r="B2" s="2">
        <v>30</v>
      </c>
      <c r="C2" s="2" t="s">
        <v>10</v>
      </c>
      <c r="D2" s="2" t="s">
        <v>11</v>
      </c>
      <c r="E2" s="2">
        <v>1</v>
      </c>
      <c r="F2" s="2">
        <v>0</v>
      </c>
      <c r="G2" s="2" t="s">
        <v>10</v>
      </c>
      <c r="H2" s="2" t="s">
        <v>12</v>
      </c>
      <c r="I2" s="2">
        <v>2</v>
      </c>
      <c r="J2" s="2" t="s">
        <v>14</v>
      </c>
      <c r="K2" s="2" t="s">
        <v>14</v>
      </c>
      <c r="L2" s="2" t="s">
        <v>14</v>
      </c>
      <c r="M2" s="2" t="s">
        <v>13</v>
      </c>
      <c r="N2" s="2" t="s">
        <v>14</v>
      </c>
      <c r="O2" s="2">
        <v>0</v>
      </c>
    </row>
    <row r="3" spans="1:15" ht="15" customHeight="1" x14ac:dyDescent="0.25">
      <c r="A3" s="3" t="s">
        <v>20</v>
      </c>
      <c r="B3" s="3">
        <v>5</v>
      </c>
      <c r="C3" s="3" t="s">
        <v>14</v>
      </c>
      <c r="D3" s="3" t="s">
        <v>19</v>
      </c>
      <c r="E3" s="3">
        <v>0</v>
      </c>
      <c r="F3" s="3">
        <v>1</v>
      </c>
      <c r="G3" s="3" t="s">
        <v>10</v>
      </c>
      <c r="H3" s="3" t="s">
        <v>12</v>
      </c>
      <c r="I3" s="3">
        <v>2</v>
      </c>
      <c r="J3" s="3" t="s">
        <v>14</v>
      </c>
      <c r="K3" s="3" t="s">
        <v>13</v>
      </c>
      <c r="L3" s="3" t="s">
        <v>13</v>
      </c>
      <c r="M3" s="3" t="s">
        <v>14</v>
      </c>
      <c r="N3" s="2" t="s">
        <v>14</v>
      </c>
      <c r="O3" s="3">
        <v>1</v>
      </c>
    </row>
    <row r="4" spans="1:15" ht="15" customHeight="1" x14ac:dyDescent="0.25">
      <c r="A4" s="3" t="s">
        <v>20</v>
      </c>
      <c r="B4" s="2">
        <v>10</v>
      </c>
      <c r="C4" s="2" t="s">
        <v>18</v>
      </c>
      <c r="D4" s="2" t="s">
        <v>19</v>
      </c>
      <c r="E4" s="2">
        <v>0</v>
      </c>
      <c r="F4" s="2">
        <v>1</v>
      </c>
      <c r="G4" s="2" t="s">
        <v>10</v>
      </c>
      <c r="H4" s="2" t="s">
        <v>16</v>
      </c>
      <c r="I4" s="2">
        <v>1</v>
      </c>
      <c r="J4" s="2" t="s">
        <v>14</v>
      </c>
      <c r="K4" s="2" t="s">
        <v>14</v>
      </c>
      <c r="L4" s="2" t="s">
        <v>14</v>
      </c>
      <c r="M4" s="2" t="s">
        <v>14</v>
      </c>
      <c r="N4" s="2" t="s">
        <v>14</v>
      </c>
      <c r="O4" s="2">
        <v>1</v>
      </c>
    </row>
    <row r="5" spans="1:15" ht="15" customHeight="1" x14ac:dyDescent="0.25">
      <c r="A5" s="3" t="s">
        <v>20</v>
      </c>
      <c r="B5" s="3">
        <v>30</v>
      </c>
      <c r="C5" s="3" t="s">
        <v>10</v>
      </c>
      <c r="D5" s="3" t="s">
        <v>19</v>
      </c>
      <c r="E5" s="3">
        <v>0</v>
      </c>
      <c r="F5" s="3">
        <v>0</v>
      </c>
      <c r="G5" s="3" t="s">
        <v>10</v>
      </c>
      <c r="H5" s="3" t="s">
        <v>12</v>
      </c>
      <c r="I5" s="3">
        <v>2</v>
      </c>
      <c r="J5" s="3" t="s">
        <v>13</v>
      </c>
      <c r="K5" s="3" t="s">
        <v>14</v>
      </c>
      <c r="L5" s="3" t="s">
        <v>14</v>
      </c>
      <c r="M5" s="3" t="s">
        <v>13</v>
      </c>
      <c r="N5" s="2" t="s">
        <v>14</v>
      </c>
      <c r="O5" s="3">
        <v>1</v>
      </c>
    </row>
    <row r="6" spans="1:15" ht="15" customHeight="1" x14ac:dyDescent="0.25">
      <c r="A6" s="3" t="s">
        <v>20</v>
      </c>
      <c r="B6" s="2">
        <v>0</v>
      </c>
      <c r="C6" s="2" t="s">
        <v>18</v>
      </c>
      <c r="D6" s="2" t="s">
        <v>19</v>
      </c>
      <c r="E6" s="2">
        <v>0</v>
      </c>
      <c r="F6" s="2">
        <v>0</v>
      </c>
      <c r="G6" s="2" t="s">
        <v>10</v>
      </c>
      <c r="H6" s="2" t="s">
        <v>12</v>
      </c>
      <c r="I6" s="2">
        <v>1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14</v>
      </c>
      <c r="O6" s="2">
        <v>1</v>
      </c>
    </row>
    <row r="7" spans="1:15" ht="15" customHeight="1" x14ac:dyDescent="0.25">
      <c r="A7" s="3" t="s">
        <v>20</v>
      </c>
      <c r="B7" s="3">
        <v>5</v>
      </c>
      <c r="C7" s="3" t="s">
        <v>14</v>
      </c>
      <c r="D7" s="3" t="s">
        <v>11</v>
      </c>
      <c r="E7" s="3">
        <v>0</v>
      </c>
      <c r="F7" s="3">
        <v>0</v>
      </c>
      <c r="G7" s="3" t="s">
        <v>10</v>
      </c>
      <c r="H7" s="3" t="s">
        <v>16</v>
      </c>
      <c r="I7" s="3" t="s">
        <v>15</v>
      </c>
      <c r="J7" s="3" t="s">
        <v>14</v>
      </c>
      <c r="K7" s="3" t="s">
        <v>14</v>
      </c>
      <c r="L7" s="3" t="s">
        <v>14</v>
      </c>
      <c r="M7" s="3" t="s">
        <v>14</v>
      </c>
      <c r="N7" s="2" t="s">
        <v>14</v>
      </c>
      <c r="O7" s="3">
        <v>1</v>
      </c>
    </row>
    <row r="8" spans="1:15" ht="15" customHeight="1" x14ac:dyDescent="0.25">
      <c r="A8" s="3" t="s">
        <v>20</v>
      </c>
      <c r="B8" s="2">
        <v>20</v>
      </c>
      <c r="C8" s="2" t="s">
        <v>10</v>
      </c>
      <c r="D8" s="2" t="s">
        <v>11</v>
      </c>
      <c r="E8" s="2">
        <v>2</v>
      </c>
      <c r="F8" s="2">
        <v>0</v>
      </c>
      <c r="G8" s="2" t="s">
        <v>10</v>
      </c>
      <c r="H8" s="2" t="s">
        <v>12</v>
      </c>
      <c r="I8" s="2" t="s">
        <v>15</v>
      </c>
      <c r="J8" s="2" t="s">
        <v>13</v>
      </c>
      <c r="K8" s="2" t="s">
        <v>14</v>
      </c>
      <c r="L8" s="2" t="s">
        <v>14</v>
      </c>
      <c r="M8" s="2" t="s">
        <v>13</v>
      </c>
      <c r="N8" s="2" t="s">
        <v>13</v>
      </c>
      <c r="O8" s="2">
        <v>0</v>
      </c>
    </row>
    <row r="9" spans="1:15" ht="15" customHeight="1" x14ac:dyDescent="0.25">
      <c r="A9" s="3" t="s">
        <v>20</v>
      </c>
      <c r="B9" s="3">
        <v>10</v>
      </c>
      <c r="C9" s="3" t="s">
        <v>10</v>
      </c>
      <c r="D9" s="3" t="s">
        <v>20</v>
      </c>
      <c r="E9" s="3">
        <v>1</v>
      </c>
      <c r="F9" s="3">
        <v>0</v>
      </c>
      <c r="G9" s="3" t="s">
        <v>17</v>
      </c>
      <c r="H9" s="3" t="s">
        <v>108</v>
      </c>
      <c r="I9" s="3">
        <v>1</v>
      </c>
      <c r="J9" s="3" t="s">
        <v>14</v>
      </c>
      <c r="K9" s="3" t="s">
        <v>13</v>
      </c>
      <c r="L9" s="3" t="s">
        <v>13</v>
      </c>
      <c r="M9" s="3" t="s">
        <v>13</v>
      </c>
      <c r="N9" s="2" t="s">
        <v>14</v>
      </c>
      <c r="O9" s="3">
        <v>0</v>
      </c>
    </row>
    <row r="10" spans="1:15" ht="15" customHeight="1" x14ac:dyDescent="0.25">
      <c r="A10" s="3" t="s">
        <v>20</v>
      </c>
      <c r="B10" s="2">
        <v>5</v>
      </c>
      <c r="C10" s="2" t="s">
        <v>14</v>
      </c>
      <c r="D10" s="2" t="s">
        <v>11</v>
      </c>
      <c r="E10" s="2">
        <v>0</v>
      </c>
      <c r="F10" s="2">
        <v>0</v>
      </c>
      <c r="G10" s="2" t="s">
        <v>10</v>
      </c>
      <c r="H10" s="2" t="s">
        <v>16</v>
      </c>
      <c r="I10" s="2" t="s">
        <v>15</v>
      </c>
      <c r="J10" s="2" t="s">
        <v>14</v>
      </c>
      <c r="K10" s="2" t="s">
        <v>14</v>
      </c>
      <c r="L10" s="2" t="s">
        <v>14</v>
      </c>
      <c r="M10" s="2" t="s">
        <v>14</v>
      </c>
      <c r="N10" s="2" t="s">
        <v>14</v>
      </c>
      <c r="O10" s="2">
        <v>1</v>
      </c>
    </row>
    <row r="11" spans="1:15" ht="15" customHeight="1" x14ac:dyDescent="0.25">
      <c r="A11" s="3" t="s">
        <v>20</v>
      </c>
      <c r="B11" s="3">
        <v>20</v>
      </c>
      <c r="C11" s="3" t="s">
        <v>18</v>
      </c>
      <c r="D11" s="3" t="s">
        <v>19</v>
      </c>
      <c r="E11" s="3">
        <v>0</v>
      </c>
      <c r="F11" s="3">
        <v>0</v>
      </c>
      <c r="G11" s="3" t="s">
        <v>10</v>
      </c>
      <c r="H11" s="3" t="s">
        <v>12</v>
      </c>
      <c r="I11" s="3" t="s">
        <v>15</v>
      </c>
      <c r="J11" s="3" t="s">
        <v>14</v>
      </c>
      <c r="K11" s="3" t="s">
        <v>14</v>
      </c>
      <c r="L11" s="3" t="s">
        <v>14</v>
      </c>
      <c r="M11" s="3" t="s">
        <v>14</v>
      </c>
      <c r="N11" s="2" t="s">
        <v>14</v>
      </c>
      <c r="O11" s="3">
        <v>1</v>
      </c>
    </row>
    <row r="12" spans="1:15" ht="15" customHeight="1" x14ac:dyDescent="0.25">
      <c r="A12" s="3" t="s">
        <v>20</v>
      </c>
      <c r="B12" s="2">
        <v>10</v>
      </c>
      <c r="C12" s="2" t="s">
        <v>14</v>
      </c>
      <c r="D12" s="2" t="s">
        <v>19</v>
      </c>
      <c r="E12" s="2">
        <v>0</v>
      </c>
      <c r="F12" s="2">
        <v>0</v>
      </c>
      <c r="G12" s="2" t="s">
        <v>10</v>
      </c>
      <c r="H12" s="2" t="s">
        <v>12</v>
      </c>
      <c r="I12" s="2">
        <v>2</v>
      </c>
      <c r="J12" s="2" t="s">
        <v>14</v>
      </c>
      <c r="K12" s="2" t="s">
        <v>14</v>
      </c>
      <c r="L12" s="2" t="s">
        <v>14</v>
      </c>
      <c r="M12" s="2" t="s">
        <v>14</v>
      </c>
      <c r="N12" s="2" t="s">
        <v>14</v>
      </c>
      <c r="O12" s="2">
        <v>1</v>
      </c>
    </row>
    <row r="13" spans="1:15" ht="15" customHeight="1" x14ac:dyDescent="0.25">
      <c r="A13" s="3" t="s">
        <v>20</v>
      </c>
      <c r="B13" s="3">
        <v>10</v>
      </c>
      <c r="C13" s="3" t="s">
        <v>10</v>
      </c>
      <c r="D13" s="3" t="s">
        <v>19</v>
      </c>
      <c r="E13" s="3">
        <v>0</v>
      </c>
      <c r="F13" s="3">
        <v>0</v>
      </c>
      <c r="G13" s="3" t="s">
        <v>10</v>
      </c>
      <c r="H13" s="3" t="s">
        <v>12</v>
      </c>
      <c r="I13" s="3">
        <v>2</v>
      </c>
      <c r="J13" s="3" t="s">
        <v>14</v>
      </c>
      <c r="K13" s="3" t="s">
        <v>14</v>
      </c>
      <c r="L13" s="3" t="s">
        <v>14</v>
      </c>
      <c r="M13" s="3" t="s">
        <v>14</v>
      </c>
      <c r="N13" s="2" t="s">
        <v>14</v>
      </c>
      <c r="O13" s="3">
        <v>1</v>
      </c>
    </row>
    <row r="14" spans="1:15" ht="15" customHeight="1" x14ac:dyDescent="0.25">
      <c r="A14" s="3" t="s">
        <v>20</v>
      </c>
      <c r="B14" s="2">
        <v>5</v>
      </c>
      <c r="C14" s="2" t="s">
        <v>10</v>
      </c>
      <c r="D14" s="2" t="s">
        <v>19</v>
      </c>
      <c r="E14" s="2">
        <v>0</v>
      </c>
      <c r="F14" s="2">
        <v>0</v>
      </c>
      <c r="G14" s="2" t="s">
        <v>10</v>
      </c>
      <c r="H14" s="2" t="s">
        <v>16</v>
      </c>
      <c r="I14" s="2" t="s">
        <v>15</v>
      </c>
      <c r="J14" s="2" t="s">
        <v>14</v>
      </c>
      <c r="K14" s="2" t="s">
        <v>14</v>
      </c>
      <c r="L14" s="2" t="s">
        <v>14</v>
      </c>
      <c r="M14" s="2" t="s">
        <v>14</v>
      </c>
      <c r="N14" s="2" t="s">
        <v>14</v>
      </c>
      <c r="O14" s="2">
        <v>1</v>
      </c>
    </row>
    <row r="15" spans="1:15" ht="15" customHeight="1" x14ac:dyDescent="0.25">
      <c r="A15" s="3" t="s">
        <v>20</v>
      </c>
      <c r="B15" s="3">
        <v>20</v>
      </c>
      <c r="C15" s="3" t="s">
        <v>18</v>
      </c>
      <c r="D15" s="3" t="s">
        <v>19</v>
      </c>
      <c r="E15" s="3">
        <v>0</v>
      </c>
      <c r="F15" s="3">
        <v>0</v>
      </c>
      <c r="G15" s="3" t="s">
        <v>10</v>
      </c>
      <c r="H15" s="3" t="s">
        <v>16</v>
      </c>
      <c r="I15" s="3">
        <v>1</v>
      </c>
      <c r="J15" s="3" t="s">
        <v>14</v>
      </c>
      <c r="K15" s="3" t="s">
        <v>14</v>
      </c>
      <c r="L15" s="3" t="s">
        <v>14</v>
      </c>
      <c r="M15" s="3" t="s">
        <v>14</v>
      </c>
      <c r="N15" s="2" t="s">
        <v>14</v>
      </c>
      <c r="O15" s="3">
        <v>1</v>
      </c>
    </row>
    <row r="16" spans="1:15" ht="15" customHeight="1" x14ac:dyDescent="0.25">
      <c r="A16" s="3" t="s">
        <v>20</v>
      </c>
      <c r="B16" s="2">
        <v>20</v>
      </c>
      <c r="C16" s="2" t="s">
        <v>14</v>
      </c>
      <c r="D16" s="2" t="s">
        <v>19</v>
      </c>
      <c r="E16" s="2">
        <v>0</v>
      </c>
      <c r="F16" s="2">
        <v>0</v>
      </c>
      <c r="G16" s="2" t="s">
        <v>10</v>
      </c>
      <c r="H16" s="2" t="s">
        <v>12</v>
      </c>
      <c r="I16" s="2">
        <v>2</v>
      </c>
      <c r="J16" s="2" t="s">
        <v>14</v>
      </c>
      <c r="K16" s="2" t="s">
        <v>14</v>
      </c>
      <c r="L16" s="2" t="s">
        <v>14</v>
      </c>
      <c r="M16" s="2" t="s">
        <v>14</v>
      </c>
      <c r="N16" s="2" t="s">
        <v>14</v>
      </c>
      <c r="O16" s="2">
        <v>1</v>
      </c>
    </row>
    <row r="17" spans="1:15" ht="15" customHeight="1" x14ac:dyDescent="0.25">
      <c r="A17" s="3" t="s">
        <v>20</v>
      </c>
      <c r="B17" s="3">
        <v>5</v>
      </c>
      <c r="C17" s="3" t="s">
        <v>14</v>
      </c>
      <c r="D17" s="3" t="s">
        <v>19</v>
      </c>
      <c r="E17" s="3">
        <v>0</v>
      </c>
      <c r="F17" s="3">
        <v>0</v>
      </c>
      <c r="G17" s="3" t="s">
        <v>10</v>
      </c>
      <c r="H17" s="3" t="s">
        <v>12</v>
      </c>
      <c r="I17" s="3" t="s">
        <v>15</v>
      </c>
      <c r="J17" s="3" t="s">
        <v>14</v>
      </c>
      <c r="K17" s="3" t="s">
        <v>14</v>
      </c>
      <c r="L17" s="3" t="s">
        <v>14</v>
      </c>
      <c r="M17" s="3" t="s">
        <v>14</v>
      </c>
      <c r="N17" s="2" t="s">
        <v>14</v>
      </c>
      <c r="O17" s="3">
        <v>1</v>
      </c>
    </row>
    <row r="18" spans="1:15" ht="15" customHeight="1" x14ac:dyDescent="0.25">
      <c r="A18" s="3" t="s">
        <v>20</v>
      </c>
      <c r="B18" s="2">
        <v>20</v>
      </c>
      <c r="C18" s="2" t="s">
        <v>18</v>
      </c>
      <c r="D18" s="2" t="s">
        <v>19</v>
      </c>
      <c r="E18" s="2">
        <v>0</v>
      </c>
      <c r="F18" s="2">
        <v>0</v>
      </c>
      <c r="G18" s="2" t="s">
        <v>10</v>
      </c>
      <c r="H18" s="2" t="s">
        <v>12</v>
      </c>
      <c r="I18" s="2" t="s">
        <v>15</v>
      </c>
      <c r="J18" s="2" t="s">
        <v>14</v>
      </c>
      <c r="K18" s="2" t="s">
        <v>14</v>
      </c>
      <c r="L18" s="2" t="s">
        <v>14</v>
      </c>
      <c r="M18" s="2" t="s">
        <v>14</v>
      </c>
      <c r="N18" s="2" t="s">
        <v>14</v>
      </c>
      <c r="O18" s="2">
        <v>1</v>
      </c>
    </row>
    <row r="19" spans="1:15" ht="15" customHeight="1" x14ac:dyDescent="0.25">
      <c r="A19" s="3" t="s">
        <v>20</v>
      </c>
      <c r="B19" s="3">
        <v>10</v>
      </c>
      <c r="C19" s="3" t="s">
        <v>10</v>
      </c>
      <c r="D19" s="3" t="s">
        <v>19</v>
      </c>
      <c r="E19" s="3">
        <v>0</v>
      </c>
      <c r="F19" s="3">
        <v>0</v>
      </c>
      <c r="G19" s="3" t="s">
        <v>10</v>
      </c>
      <c r="H19" s="3" t="s">
        <v>12</v>
      </c>
      <c r="I19" s="3">
        <v>2</v>
      </c>
      <c r="J19" s="3" t="s">
        <v>14</v>
      </c>
      <c r="K19" s="3" t="s">
        <v>14</v>
      </c>
      <c r="L19" s="3" t="s">
        <v>14</v>
      </c>
      <c r="M19" s="3" t="s">
        <v>14</v>
      </c>
      <c r="N19" s="2" t="s">
        <v>14</v>
      </c>
      <c r="O19" s="3">
        <v>1</v>
      </c>
    </row>
    <row r="20" spans="1:15" ht="15" customHeight="1" x14ac:dyDescent="0.25">
      <c r="A20" s="3" t="s">
        <v>20</v>
      </c>
      <c r="B20" s="2">
        <v>10</v>
      </c>
      <c r="C20" s="2" t="s">
        <v>18</v>
      </c>
      <c r="D20" s="2" t="s">
        <v>19</v>
      </c>
      <c r="E20" s="2">
        <v>0</v>
      </c>
      <c r="F20" s="2">
        <v>0</v>
      </c>
      <c r="G20" s="2" t="s">
        <v>10</v>
      </c>
      <c r="H20" s="2" t="s">
        <v>12</v>
      </c>
      <c r="I20" s="2">
        <v>2</v>
      </c>
      <c r="J20" s="2" t="s">
        <v>14</v>
      </c>
      <c r="K20" s="2" t="s">
        <v>14</v>
      </c>
      <c r="L20" s="2" t="s">
        <v>14</v>
      </c>
      <c r="M20" s="2" t="s">
        <v>14</v>
      </c>
      <c r="N20" s="2" t="s">
        <v>14</v>
      </c>
      <c r="O20" s="2">
        <v>1</v>
      </c>
    </row>
    <row r="21" spans="1:15" ht="15" customHeight="1" x14ac:dyDescent="0.25">
      <c r="A21" s="3" t="s">
        <v>20</v>
      </c>
      <c r="B21" s="3">
        <v>10</v>
      </c>
      <c r="C21" s="3" t="s">
        <v>18</v>
      </c>
      <c r="D21" s="3" t="s">
        <v>20</v>
      </c>
      <c r="E21" s="3">
        <v>0</v>
      </c>
      <c r="F21" s="3">
        <v>0</v>
      </c>
      <c r="G21" s="3" t="s">
        <v>10</v>
      </c>
      <c r="H21" s="3" t="s">
        <v>12</v>
      </c>
      <c r="I21" s="3">
        <v>2</v>
      </c>
      <c r="J21" s="3" t="s">
        <v>14</v>
      </c>
      <c r="K21" s="3" t="s">
        <v>14</v>
      </c>
      <c r="L21" s="3" t="s">
        <v>14</v>
      </c>
      <c r="M21" s="3" t="s">
        <v>14</v>
      </c>
      <c r="N21" s="2" t="s">
        <v>14</v>
      </c>
      <c r="O21" s="3">
        <v>1</v>
      </c>
    </row>
    <row r="22" spans="1:15" ht="15" customHeight="1" x14ac:dyDescent="0.25">
      <c r="A22" s="3" t="s">
        <v>20</v>
      </c>
      <c r="B22" s="2">
        <v>10</v>
      </c>
      <c r="C22" s="2" t="s">
        <v>14</v>
      </c>
      <c r="D22" s="2" t="s">
        <v>20</v>
      </c>
      <c r="E22" s="2">
        <v>0</v>
      </c>
      <c r="F22" s="2">
        <v>0</v>
      </c>
      <c r="G22" s="2" t="s">
        <v>10</v>
      </c>
      <c r="H22" s="2" t="s">
        <v>12</v>
      </c>
      <c r="I22" s="2">
        <v>2</v>
      </c>
      <c r="J22" s="2" t="s">
        <v>14</v>
      </c>
      <c r="K22" s="2" t="s">
        <v>14</v>
      </c>
      <c r="L22" s="2" t="s">
        <v>14</v>
      </c>
      <c r="M22" s="2" t="s">
        <v>14</v>
      </c>
      <c r="N22" s="2" t="s">
        <v>14</v>
      </c>
      <c r="O22" s="2">
        <v>1</v>
      </c>
    </row>
    <row r="23" spans="1:15" ht="15" customHeight="1" x14ac:dyDescent="0.25">
      <c r="A23" s="3" t="s">
        <v>20</v>
      </c>
      <c r="B23" s="3">
        <v>10</v>
      </c>
      <c r="C23" s="3" t="s">
        <v>18</v>
      </c>
      <c r="D23" s="3" t="s">
        <v>20</v>
      </c>
      <c r="E23" s="3">
        <v>0</v>
      </c>
      <c r="F23" s="3">
        <v>0</v>
      </c>
      <c r="G23" s="3" t="s">
        <v>10</v>
      </c>
      <c r="H23" s="3" t="s">
        <v>12</v>
      </c>
      <c r="I23" s="3" t="s">
        <v>15</v>
      </c>
      <c r="J23" s="3" t="s">
        <v>14</v>
      </c>
      <c r="K23" s="3" t="s">
        <v>14</v>
      </c>
      <c r="L23" s="3" t="s">
        <v>14</v>
      </c>
      <c r="M23" s="3" t="s">
        <v>14</v>
      </c>
      <c r="N23" s="2" t="s">
        <v>14</v>
      </c>
      <c r="O23" s="3">
        <v>1</v>
      </c>
    </row>
    <row r="24" spans="1:15" ht="15" customHeight="1" x14ac:dyDescent="0.25">
      <c r="A24" s="3" t="s">
        <v>20</v>
      </c>
      <c r="B24" s="2">
        <v>30</v>
      </c>
      <c r="C24" s="2" t="s">
        <v>10</v>
      </c>
      <c r="D24" s="2" t="s">
        <v>11</v>
      </c>
      <c r="E24" s="2">
        <v>1</v>
      </c>
      <c r="F24" s="2">
        <v>0</v>
      </c>
      <c r="G24" s="2" t="s">
        <v>10</v>
      </c>
      <c r="H24" s="2" t="s">
        <v>12</v>
      </c>
      <c r="I24" s="2" t="s">
        <v>15</v>
      </c>
      <c r="J24" s="2" t="s">
        <v>14</v>
      </c>
      <c r="K24" s="2" t="s">
        <v>14</v>
      </c>
      <c r="L24" s="2" t="s">
        <v>14</v>
      </c>
      <c r="M24" s="2" t="s">
        <v>13</v>
      </c>
      <c r="N24" s="2" t="s">
        <v>14</v>
      </c>
      <c r="O24" s="2">
        <v>0</v>
      </c>
    </row>
    <row r="25" spans="1:15" ht="15" customHeight="1" x14ac:dyDescent="0.25">
      <c r="A25" s="3" t="s">
        <v>20</v>
      </c>
      <c r="B25" s="3">
        <v>10</v>
      </c>
      <c r="C25" s="3" t="s">
        <v>10</v>
      </c>
      <c r="D25" s="3" t="s">
        <v>19</v>
      </c>
      <c r="E25" s="3">
        <v>1</v>
      </c>
      <c r="F25" s="3">
        <v>0</v>
      </c>
      <c r="G25" s="3" t="s">
        <v>17</v>
      </c>
      <c r="H25" s="3" t="s">
        <v>108</v>
      </c>
      <c r="I25" s="3">
        <v>1</v>
      </c>
      <c r="J25" s="3" t="s">
        <v>14</v>
      </c>
      <c r="K25" s="3" t="s">
        <v>13</v>
      </c>
      <c r="L25" s="3" t="s">
        <v>13</v>
      </c>
      <c r="M25" s="3" t="s">
        <v>13</v>
      </c>
      <c r="N25" s="2" t="s">
        <v>14</v>
      </c>
      <c r="O25" s="3">
        <v>0</v>
      </c>
    </row>
    <row r="26" spans="1:15" ht="15" customHeight="1" x14ac:dyDescent="0.25">
      <c r="A26" s="3" t="s">
        <v>20</v>
      </c>
      <c r="B26" s="2">
        <v>10</v>
      </c>
      <c r="C26" s="2" t="s">
        <v>10</v>
      </c>
      <c r="D26" s="2" t="s">
        <v>11</v>
      </c>
      <c r="E26" s="2">
        <v>0</v>
      </c>
      <c r="F26" s="2">
        <v>1</v>
      </c>
      <c r="G26" s="2" t="s">
        <v>17</v>
      </c>
      <c r="H26" s="2" t="s">
        <v>108</v>
      </c>
      <c r="I26" s="2">
        <v>1</v>
      </c>
      <c r="J26" s="2" t="s">
        <v>14</v>
      </c>
      <c r="K26" s="2" t="s">
        <v>13</v>
      </c>
      <c r="L26" s="2" t="s">
        <v>13</v>
      </c>
      <c r="M26" s="2" t="s">
        <v>13</v>
      </c>
      <c r="N26" s="2" t="s">
        <v>14</v>
      </c>
      <c r="O26" s="2">
        <v>1</v>
      </c>
    </row>
    <row r="27" spans="1:15" ht="15" customHeight="1" x14ac:dyDescent="0.25">
      <c r="A27" s="3" t="s">
        <v>20</v>
      </c>
      <c r="B27" s="3">
        <v>5</v>
      </c>
      <c r="C27" s="3" t="s">
        <v>14</v>
      </c>
      <c r="D27" s="3" t="s">
        <v>11</v>
      </c>
      <c r="E27" s="3">
        <v>0</v>
      </c>
      <c r="F27" s="3">
        <v>1</v>
      </c>
      <c r="G27" s="3" t="s">
        <v>10</v>
      </c>
      <c r="H27" s="3" t="s">
        <v>12</v>
      </c>
      <c r="I27" s="3">
        <v>1</v>
      </c>
      <c r="J27" s="3" t="s">
        <v>14</v>
      </c>
      <c r="K27" s="3" t="s">
        <v>13</v>
      </c>
      <c r="L27" s="3" t="s">
        <v>13</v>
      </c>
      <c r="M27" s="3" t="s">
        <v>14</v>
      </c>
      <c r="N27" s="2" t="s">
        <v>14</v>
      </c>
      <c r="O27" s="3">
        <v>0</v>
      </c>
    </row>
    <row r="28" spans="1:15" ht="15" customHeight="1" x14ac:dyDescent="0.25">
      <c r="A28" s="3" t="s">
        <v>20</v>
      </c>
      <c r="B28" s="2">
        <v>5</v>
      </c>
      <c r="C28" s="2" t="s">
        <v>14</v>
      </c>
      <c r="D28" s="2" t="s">
        <v>20</v>
      </c>
      <c r="E28" s="2">
        <v>0</v>
      </c>
      <c r="F28" s="2">
        <v>0</v>
      </c>
      <c r="G28" s="2" t="s">
        <v>10</v>
      </c>
      <c r="H28" s="2" t="s">
        <v>12</v>
      </c>
      <c r="I28" s="2">
        <v>1</v>
      </c>
      <c r="J28" s="2" t="s">
        <v>14</v>
      </c>
      <c r="K28" s="2" t="s">
        <v>14</v>
      </c>
      <c r="L28" s="2" t="s">
        <v>14</v>
      </c>
      <c r="M28" s="2" t="s">
        <v>14</v>
      </c>
      <c r="N28" s="2" t="s">
        <v>14</v>
      </c>
      <c r="O28" s="2">
        <v>1</v>
      </c>
    </row>
    <row r="29" spans="1:15" ht="15" customHeight="1" x14ac:dyDescent="0.25">
      <c r="A29" s="3" t="s">
        <v>20</v>
      </c>
      <c r="B29" s="3">
        <v>10</v>
      </c>
      <c r="C29" s="3" t="s">
        <v>10</v>
      </c>
      <c r="D29" s="3" t="s">
        <v>19</v>
      </c>
      <c r="E29" s="3">
        <v>0</v>
      </c>
      <c r="F29" s="3">
        <v>1</v>
      </c>
      <c r="G29" s="3" t="s">
        <v>10</v>
      </c>
      <c r="H29" s="3" t="s">
        <v>12</v>
      </c>
      <c r="I29" s="3" t="s">
        <v>15</v>
      </c>
      <c r="J29" s="3" t="s">
        <v>13</v>
      </c>
      <c r="K29" s="3" t="s">
        <v>14</v>
      </c>
      <c r="L29" s="3" t="s">
        <v>14</v>
      </c>
      <c r="M29" s="3" t="s">
        <v>14</v>
      </c>
      <c r="N29" s="2" t="s">
        <v>14</v>
      </c>
      <c r="O29" s="3">
        <v>1</v>
      </c>
    </row>
    <row r="30" spans="1:15" ht="15" customHeight="1" x14ac:dyDescent="0.25">
      <c r="A30" s="3" t="s">
        <v>20</v>
      </c>
      <c r="B30" s="2">
        <v>30</v>
      </c>
      <c r="C30" s="2" t="s">
        <v>10</v>
      </c>
      <c r="D30" s="2" t="s">
        <v>11</v>
      </c>
      <c r="E30" s="2">
        <v>1</v>
      </c>
      <c r="F30" s="2">
        <v>1</v>
      </c>
      <c r="G30" s="2" t="s">
        <v>10</v>
      </c>
      <c r="H30" s="2" t="s">
        <v>12</v>
      </c>
      <c r="I30" s="2" t="s">
        <v>15</v>
      </c>
      <c r="J30" s="2" t="s">
        <v>14</v>
      </c>
      <c r="K30" s="2" t="s">
        <v>14</v>
      </c>
      <c r="L30" s="2" t="s">
        <v>14</v>
      </c>
      <c r="M30" s="2" t="s">
        <v>13</v>
      </c>
      <c r="N30" s="2" t="s">
        <v>14</v>
      </c>
      <c r="O30" s="2">
        <v>0</v>
      </c>
    </row>
    <row r="31" spans="1:15" ht="15" customHeight="1" x14ac:dyDescent="0.25">
      <c r="A31" s="3" t="s">
        <v>20</v>
      </c>
      <c r="B31" s="2">
        <v>5</v>
      </c>
      <c r="C31" s="2" t="s">
        <v>10</v>
      </c>
      <c r="D31" s="2" t="s">
        <v>19</v>
      </c>
      <c r="E31" s="2">
        <v>0</v>
      </c>
      <c r="F31" s="2">
        <v>2</v>
      </c>
      <c r="G31" s="2" t="s">
        <v>17</v>
      </c>
      <c r="H31" s="2" t="s">
        <v>108</v>
      </c>
      <c r="I31" s="2">
        <v>1</v>
      </c>
      <c r="J31" s="2" t="s">
        <v>14</v>
      </c>
      <c r="K31" s="2" t="s">
        <v>13</v>
      </c>
      <c r="L31" s="2" t="s">
        <v>13</v>
      </c>
      <c r="M31" s="2" t="s">
        <v>13</v>
      </c>
      <c r="N31" s="2" t="s">
        <v>14</v>
      </c>
      <c r="O31" s="2">
        <v>1</v>
      </c>
    </row>
    <row r="32" spans="1:15" ht="15" customHeight="1" x14ac:dyDescent="0.25">
      <c r="A32" s="3" t="s">
        <v>20</v>
      </c>
      <c r="B32" s="3">
        <v>30</v>
      </c>
      <c r="C32" s="3" t="s">
        <v>18</v>
      </c>
      <c r="D32" s="3" t="s">
        <v>19</v>
      </c>
      <c r="E32" s="3">
        <v>0</v>
      </c>
      <c r="F32" s="3">
        <v>0</v>
      </c>
      <c r="G32" s="3" t="s">
        <v>10</v>
      </c>
      <c r="H32" s="3" t="s">
        <v>12</v>
      </c>
      <c r="I32" s="3">
        <v>1</v>
      </c>
      <c r="J32" s="3" t="s">
        <v>14</v>
      </c>
      <c r="K32" s="3" t="s">
        <v>13</v>
      </c>
      <c r="L32" s="3" t="s">
        <v>14</v>
      </c>
      <c r="M32" s="3" t="s">
        <v>14</v>
      </c>
      <c r="N32" s="2" t="s">
        <v>14</v>
      </c>
      <c r="O32" s="3">
        <v>1</v>
      </c>
    </row>
    <row r="33" spans="1:15" ht="15" customHeight="1" x14ac:dyDescent="0.25">
      <c r="A33" s="3" t="s">
        <v>20</v>
      </c>
      <c r="B33" s="2">
        <v>10</v>
      </c>
      <c r="C33" s="2" t="s">
        <v>10</v>
      </c>
      <c r="D33" s="2" t="s">
        <v>20</v>
      </c>
      <c r="E33" s="2">
        <v>0</v>
      </c>
      <c r="F33" s="2">
        <v>0</v>
      </c>
      <c r="G33" s="2" t="s">
        <v>10</v>
      </c>
      <c r="H33" s="2" t="s">
        <v>12</v>
      </c>
      <c r="I33" s="2">
        <v>1</v>
      </c>
      <c r="J33" s="2" t="s">
        <v>14</v>
      </c>
      <c r="K33" s="2" t="s">
        <v>14</v>
      </c>
      <c r="L33" s="2" t="s">
        <v>14</v>
      </c>
      <c r="M33" s="2" t="s">
        <v>14</v>
      </c>
      <c r="N33" s="2" t="s">
        <v>14</v>
      </c>
      <c r="O33" s="2">
        <v>1</v>
      </c>
    </row>
    <row r="34" spans="1:15" ht="15" customHeight="1" x14ac:dyDescent="0.25">
      <c r="A34" s="3" t="s">
        <v>20</v>
      </c>
      <c r="B34" s="3">
        <v>5</v>
      </c>
      <c r="C34" s="3" t="s">
        <v>14</v>
      </c>
      <c r="D34" s="3" t="s">
        <v>19</v>
      </c>
      <c r="E34" s="3">
        <v>0</v>
      </c>
      <c r="F34" s="3">
        <v>0</v>
      </c>
      <c r="G34" s="3" t="s">
        <v>10</v>
      </c>
      <c r="H34" s="3" t="s">
        <v>12</v>
      </c>
      <c r="I34" s="3">
        <v>1</v>
      </c>
      <c r="J34" s="3" t="s">
        <v>14</v>
      </c>
      <c r="K34" s="3" t="s">
        <v>14</v>
      </c>
      <c r="L34" s="3" t="s">
        <v>14</v>
      </c>
      <c r="M34" s="3" t="s">
        <v>14</v>
      </c>
      <c r="N34" s="2" t="s">
        <v>14</v>
      </c>
      <c r="O34" s="3">
        <v>1</v>
      </c>
    </row>
    <row r="35" spans="1:15" ht="15" customHeight="1" x14ac:dyDescent="0.25">
      <c r="A35" s="3" t="s">
        <v>20</v>
      </c>
      <c r="B35" s="2">
        <v>5</v>
      </c>
      <c r="C35" s="2" t="s">
        <v>14</v>
      </c>
      <c r="D35" s="2" t="s">
        <v>19</v>
      </c>
      <c r="E35" s="2">
        <v>0</v>
      </c>
      <c r="F35" s="2">
        <v>0</v>
      </c>
      <c r="G35" s="2" t="s">
        <v>10</v>
      </c>
      <c r="H35" s="2" t="s">
        <v>12</v>
      </c>
      <c r="I35" s="2" t="s">
        <v>15</v>
      </c>
      <c r="J35" s="2" t="s">
        <v>14</v>
      </c>
      <c r="K35" s="2" t="s">
        <v>14</v>
      </c>
      <c r="L35" s="2" t="s">
        <v>14</v>
      </c>
      <c r="M35" s="2" t="s">
        <v>14</v>
      </c>
      <c r="N35" s="2" t="s">
        <v>14</v>
      </c>
      <c r="O35" s="2">
        <v>1</v>
      </c>
    </row>
    <row r="36" spans="1:15" ht="15" customHeight="1" x14ac:dyDescent="0.25">
      <c r="A36" s="3" t="s">
        <v>20</v>
      </c>
      <c r="B36" s="3">
        <v>10</v>
      </c>
      <c r="C36" s="3" t="s">
        <v>18</v>
      </c>
      <c r="D36" s="3" t="s">
        <v>19</v>
      </c>
      <c r="E36" s="3">
        <v>0</v>
      </c>
      <c r="F36" s="3">
        <v>0</v>
      </c>
      <c r="G36" s="3" t="s">
        <v>10</v>
      </c>
      <c r="H36" s="3" t="s">
        <v>12</v>
      </c>
      <c r="I36" s="3" t="s">
        <v>15</v>
      </c>
      <c r="J36" s="3" t="s">
        <v>14</v>
      </c>
      <c r="K36" s="3" t="s">
        <v>14</v>
      </c>
      <c r="L36" s="3" t="s">
        <v>14</v>
      </c>
      <c r="M36" s="3" t="s">
        <v>14</v>
      </c>
      <c r="N36" s="2" t="s">
        <v>14</v>
      </c>
      <c r="O36" s="3">
        <v>1</v>
      </c>
    </row>
    <row r="37" spans="1:15" ht="15" customHeight="1" x14ac:dyDescent="0.25">
      <c r="A37" s="3" t="s">
        <v>20</v>
      </c>
      <c r="B37" s="2">
        <v>20</v>
      </c>
      <c r="C37" s="2" t="s">
        <v>14</v>
      </c>
      <c r="D37" s="2" t="s">
        <v>19</v>
      </c>
      <c r="E37" s="2">
        <v>0</v>
      </c>
      <c r="F37" s="2">
        <v>0</v>
      </c>
      <c r="G37" s="2" t="s">
        <v>10</v>
      </c>
      <c r="H37" s="2" t="s">
        <v>12</v>
      </c>
      <c r="I37" s="2" t="s">
        <v>15</v>
      </c>
      <c r="J37" s="2" t="s">
        <v>14</v>
      </c>
      <c r="K37" s="2" t="s">
        <v>14</v>
      </c>
      <c r="L37" s="2" t="s">
        <v>14</v>
      </c>
      <c r="M37" s="2" t="s">
        <v>14</v>
      </c>
      <c r="N37" s="2" t="s">
        <v>14</v>
      </c>
      <c r="O37" s="2">
        <v>1</v>
      </c>
    </row>
    <row r="38" spans="1:15" ht="15" customHeight="1" x14ac:dyDescent="0.25">
      <c r="A38" s="3" t="s">
        <v>20</v>
      </c>
      <c r="B38" s="3">
        <v>10</v>
      </c>
      <c r="C38" s="3" t="s">
        <v>10</v>
      </c>
      <c r="D38" s="3" t="s">
        <v>19</v>
      </c>
      <c r="E38" s="3">
        <v>0</v>
      </c>
      <c r="F38" s="3">
        <v>0</v>
      </c>
      <c r="G38" s="3" t="s">
        <v>10</v>
      </c>
      <c r="H38" s="3" t="s">
        <v>12</v>
      </c>
      <c r="I38" s="3">
        <v>2</v>
      </c>
      <c r="J38" s="3" t="s">
        <v>14</v>
      </c>
      <c r="K38" s="3" t="s">
        <v>14</v>
      </c>
      <c r="L38" s="3" t="s">
        <v>14</v>
      </c>
      <c r="M38" s="3" t="s">
        <v>14</v>
      </c>
      <c r="N38" s="2" t="s">
        <v>14</v>
      </c>
      <c r="O38" s="3">
        <v>1</v>
      </c>
    </row>
    <row r="39" spans="1:15" ht="15" customHeight="1" x14ac:dyDescent="0.25">
      <c r="A39" s="3" t="s">
        <v>20</v>
      </c>
      <c r="B39" s="2">
        <v>10</v>
      </c>
      <c r="C39" s="2" t="s">
        <v>18</v>
      </c>
      <c r="D39" s="2" t="s">
        <v>19</v>
      </c>
      <c r="E39" s="2">
        <v>0</v>
      </c>
      <c r="F39" s="2">
        <v>0</v>
      </c>
      <c r="G39" s="2" t="s">
        <v>10</v>
      </c>
      <c r="H39" s="2" t="s">
        <v>12</v>
      </c>
      <c r="I39" s="2" t="s">
        <v>15</v>
      </c>
      <c r="J39" s="2" t="s">
        <v>14</v>
      </c>
      <c r="K39" s="2" t="s">
        <v>14</v>
      </c>
      <c r="L39" s="2" t="s">
        <v>14</v>
      </c>
      <c r="M39" s="2" t="s">
        <v>14</v>
      </c>
      <c r="N39" s="2" t="s">
        <v>14</v>
      </c>
      <c r="O39" s="2">
        <v>1</v>
      </c>
    </row>
    <row r="40" spans="1:15" ht="15" customHeight="1" x14ac:dyDescent="0.25">
      <c r="A40" s="3" t="s">
        <v>20</v>
      </c>
      <c r="B40" s="3">
        <v>10</v>
      </c>
      <c r="C40" s="3" t="s">
        <v>14</v>
      </c>
      <c r="D40" s="3" t="s">
        <v>20</v>
      </c>
      <c r="E40" s="3">
        <v>0</v>
      </c>
      <c r="F40" s="3">
        <v>0</v>
      </c>
      <c r="G40" s="3" t="s">
        <v>10</v>
      </c>
      <c r="H40" s="3" t="s">
        <v>12</v>
      </c>
      <c r="I40" s="3" t="s">
        <v>15</v>
      </c>
      <c r="J40" s="3" t="s">
        <v>14</v>
      </c>
      <c r="K40" s="3" t="s">
        <v>14</v>
      </c>
      <c r="L40" s="3" t="s">
        <v>14</v>
      </c>
      <c r="M40" s="3" t="s">
        <v>14</v>
      </c>
      <c r="N40" s="2" t="s">
        <v>14</v>
      </c>
      <c r="O40" s="3">
        <v>1</v>
      </c>
    </row>
    <row r="41" spans="1:15" ht="15" customHeight="1" x14ac:dyDescent="0.25">
      <c r="A41" s="3" t="s">
        <v>20</v>
      </c>
      <c r="B41" s="2">
        <v>20</v>
      </c>
      <c r="C41" s="2" t="s">
        <v>10</v>
      </c>
      <c r="D41" s="2" t="s">
        <v>19</v>
      </c>
      <c r="E41" s="2">
        <v>0</v>
      </c>
      <c r="F41" s="2">
        <v>0</v>
      </c>
      <c r="G41" s="2" t="s">
        <v>10</v>
      </c>
      <c r="H41" s="2" t="s">
        <v>12</v>
      </c>
      <c r="I41" s="2">
        <v>1</v>
      </c>
      <c r="J41" s="2" t="s">
        <v>14</v>
      </c>
      <c r="K41" s="2" t="s">
        <v>14</v>
      </c>
      <c r="L41" s="2" t="s">
        <v>14</v>
      </c>
      <c r="M41" s="2" t="s">
        <v>14</v>
      </c>
      <c r="N41" s="2" t="s">
        <v>14</v>
      </c>
      <c r="O41" s="2">
        <v>1</v>
      </c>
    </row>
    <row r="42" spans="1:15" ht="15" customHeight="1" x14ac:dyDescent="0.25">
      <c r="A42" s="3" t="s">
        <v>20</v>
      </c>
      <c r="B42" s="3">
        <v>30</v>
      </c>
      <c r="C42" s="3" t="s">
        <v>10</v>
      </c>
      <c r="D42" s="3" t="s">
        <v>11</v>
      </c>
      <c r="E42" s="3">
        <v>1</v>
      </c>
      <c r="F42" s="3">
        <v>0</v>
      </c>
      <c r="G42" s="3" t="s">
        <v>10</v>
      </c>
      <c r="H42" s="3" t="s">
        <v>12</v>
      </c>
      <c r="I42" s="3" t="s">
        <v>15</v>
      </c>
      <c r="J42" s="3" t="s">
        <v>14</v>
      </c>
      <c r="K42" s="3" t="s">
        <v>14</v>
      </c>
      <c r="L42" s="3" t="s">
        <v>14</v>
      </c>
      <c r="M42" s="3" t="s">
        <v>13</v>
      </c>
      <c r="N42" s="2" t="s">
        <v>13</v>
      </c>
      <c r="O42" s="3">
        <v>0</v>
      </c>
    </row>
    <row r="43" spans="1:15" ht="15" customHeight="1" x14ac:dyDescent="0.25">
      <c r="A43" s="3" t="s">
        <v>20</v>
      </c>
      <c r="B43" s="2">
        <v>10</v>
      </c>
      <c r="C43" s="2" t="s">
        <v>18</v>
      </c>
      <c r="D43" s="2" t="s">
        <v>20</v>
      </c>
      <c r="E43" s="2">
        <v>0</v>
      </c>
      <c r="F43" s="2">
        <v>0</v>
      </c>
      <c r="G43" s="2" t="s">
        <v>17</v>
      </c>
      <c r="H43" s="2" t="s">
        <v>108</v>
      </c>
      <c r="I43" s="2">
        <v>1</v>
      </c>
      <c r="J43" s="2" t="s">
        <v>14</v>
      </c>
      <c r="K43" s="2" t="s">
        <v>13</v>
      </c>
      <c r="L43" s="2" t="s">
        <v>13</v>
      </c>
      <c r="M43" s="2" t="s">
        <v>13</v>
      </c>
      <c r="N43" s="2" t="s">
        <v>14</v>
      </c>
      <c r="O43" s="2">
        <v>1</v>
      </c>
    </row>
    <row r="44" spans="1:15" ht="15" customHeight="1" x14ac:dyDescent="0.25">
      <c r="A44" s="3" t="s">
        <v>20</v>
      </c>
      <c r="B44" s="3">
        <v>10</v>
      </c>
      <c r="C44" s="3" t="s">
        <v>14</v>
      </c>
      <c r="D44" s="3" t="s">
        <v>20</v>
      </c>
      <c r="E44" s="3">
        <v>0</v>
      </c>
      <c r="F44" s="3">
        <v>0</v>
      </c>
      <c r="G44" s="3" t="s">
        <v>10</v>
      </c>
      <c r="H44" s="3" t="s">
        <v>12</v>
      </c>
      <c r="I44" s="3" t="s">
        <v>15</v>
      </c>
      <c r="J44" s="3" t="s">
        <v>14</v>
      </c>
      <c r="K44" s="3" t="s">
        <v>14</v>
      </c>
      <c r="L44" s="3" t="s">
        <v>14</v>
      </c>
      <c r="M44" s="3" t="s">
        <v>14</v>
      </c>
      <c r="N44" s="2" t="s">
        <v>14</v>
      </c>
      <c r="O44" s="3">
        <v>1</v>
      </c>
    </row>
    <row r="45" spans="1:15" ht="15" customHeight="1" x14ac:dyDescent="0.25">
      <c r="A45" s="3" t="s">
        <v>20</v>
      </c>
      <c r="B45" s="2">
        <v>30</v>
      </c>
      <c r="C45" s="2" t="s">
        <v>10</v>
      </c>
      <c r="D45" s="2" t="s">
        <v>19</v>
      </c>
      <c r="E45" s="2">
        <v>1</v>
      </c>
      <c r="F45" s="2">
        <v>0</v>
      </c>
      <c r="G45" s="2" t="s">
        <v>10</v>
      </c>
      <c r="H45" s="2" t="s">
        <v>16</v>
      </c>
      <c r="I45" s="2" t="s">
        <v>15</v>
      </c>
      <c r="J45" s="2" t="s">
        <v>14</v>
      </c>
      <c r="K45" s="2" t="s">
        <v>14</v>
      </c>
      <c r="L45" s="2" t="s">
        <v>14</v>
      </c>
      <c r="M45" s="2" t="s">
        <v>14</v>
      </c>
      <c r="N45" s="2" t="s">
        <v>14</v>
      </c>
      <c r="O45" s="2">
        <v>0</v>
      </c>
    </row>
    <row r="46" spans="1:15" ht="15" customHeight="1" x14ac:dyDescent="0.25">
      <c r="A46" s="3" t="s">
        <v>20</v>
      </c>
      <c r="B46" s="3">
        <v>5</v>
      </c>
      <c r="C46" s="3" t="s">
        <v>10</v>
      </c>
      <c r="D46" s="3" t="s">
        <v>19</v>
      </c>
      <c r="E46" s="3">
        <v>0</v>
      </c>
      <c r="F46" s="3">
        <v>0</v>
      </c>
      <c r="G46" s="3" t="s">
        <v>10</v>
      </c>
      <c r="H46" s="3" t="s">
        <v>12</v>
      </c>
      <c r="I46" s="3">
        <v>2</v>
      </c>
      <c r="J46" s="3" t="s">
        <v>14</v>
      </c>
      <c r="K46" s="3" t="s">
        <v>14</v>
      </c>
      <c r="L46" s="3" t="s">
        <v>14</v>
      </c>
      <c r="M46" s="3" t="s">
        <v>14</v>
      </c>
      <c r="N46" s="2" t="s">
        <v>14</v>
      </c>
      <c r="O46" s="3">
        <v>1</v>
      </c>
    </row>
    <row r="47" spans="1:15" ht="15" customHeight="1" x14ac:dyDescent="0.25">
      <c r="A47" s="3" t="s">
        <v>20</v>
      </c>
      <c r="B47" s="2">
        <v>20</v>
      </c>
      <c r="C47" s="2" t="s">
        <v>10</v>
      </c>
      <c r="D47" s="2" t="s">
        <v>11</v>
      </c>
      <c r="E47" s="2">
        <v>0</v>
      </c>
      <c r="F47" s="2">
        <v>0</v>
      </c>
      <c r="G47" s="2" t="s">
        <v>10</v>
      </c>
      <c r="H47" s="2" t="s">
        <v>12</v>
      </c>
      <c r="I47" s="2" t="s">
        <v>15</v>
      </c>
      <c r="J47" s="2" t="s">
        <v>14</v>
      </c>
      <c r="K47" s="2" t="s">
        <v>14</v>
      </c>
      <c r="L47" s="2" t="s">
        <v>14</v>
      </c>
      <c r="M47" s="2" t="s">
        <v>14</v>
      </c>
      <c r="N47" s="2" t="s">
        <v>13</v>
      </c>
      <c r="O47" s="2">
        <v>1</v>
      </c>
    </row>
    <row r="48" spans="1:15" ht="15" customHeight="1" x14ac:dyDescent="0.25">
      <c r="A48" s="3" t="s">
        <v>20</v>
      </c>
      <c r="B48" s="3">
        <v>5</v>
      </c>
      <c r="C48" s="3" t="s">
        <v>10</v>
      </c>
      <c r="D48" s="3" t="s">
        <v>11</v>
      </c>
      <c r="E48" s="3">
        <v>0</v>
      </c>
      <c r="F48" s="3">
        <v>1</v>
      </c>
      <c r="G48" s="3" t="s">
        <v>10</v>
      </c>
      <c r="H48" s="3" t="s">
        <v>12</v>
      </c>
      <c r="I48" s="3" t="s">
        <v>15</v>
      </c>
      <c r="J48" s="3" t="s">
        <v>14</v>
      </c>
      <c r="K48" s="3" t="s">
        <v>14</v>
      </c>
      <c r="L48" s="3" t="s">
        <v>14</v>
      </c>
      <c r="M48" s="3" t="s">
        <v>14</v>
      </c>
      <c r="N48" s="2" t="s">
        <v>14</v>
      </c>
      <c r="O48" s="3">
        <v>1</v>
      </c>
    </row>
    <row r="49" spans="1:15" ht="15" customHeight="1" x14ac:dyDescent="0.25">
      <c r="A49" s="3" t="s">
        <v>20</v>
      </c>
      <c r="B49" s="2">
        <v>5</v>
      </c>
      <c r="C49" s="2" t="s">
        <v>18</v>
      </c>
      <c r="D49" s="2" t="s">
        <v>11</v>
      </c>
      <c r="E49" s="2">
        <v>0</v>
      </c>
      <c r="F49" s="2">
        <v>1</v>
      </c>
      <c r="G49" s="2" t="s">
        <v>10</v>
      </c>
      <c r="H49" s="2" t="s">
        <v>12</v>
      </c>
      <c r="I49" s="2">
        <v>1</v>
      </c>
      <c r="J49" s="2" t="s">
        <v>14</v>
      </c>
      <c r="K49" s="2" t="s">
        <v>14</v>
      </c>
      <c r="L49" s="2" t="s">
        <v>14</v>
      </c>
      <c r="M49" s="2" t="s">
        <v>14</v>
      </c>
      <c r="N49" s="2" t="s">
        <v>14</v>
      </c>
      <c r="O49" s="2">
        <v>1</v>
      </c>
    </row>
    <row r="50" spans="1:15" ht="15" customHeight="1" x14ac:dyDescent="0.25">
      <c r="A50" s="3" t="s">
        <v>20</v>
      </c>
      <c r="B50" s="3">
        <v>10</v>
      </c>
      <c r="C50" s="3" t="s">
        <v>18</v>
      </c>
      <c r="D50" s="3" t="s">
        <v>19</v>
      </c>
      <c r="E50" s="3">
        <v>0</v>
      </c>
      <c r="F50" s="3">
        <v>0</v>
      </c>
      <c r="G50" s="3" t="s">
        <v>10</v>
      </c>
      <c r="H50" s="3" t="s">
        <v>12</v>
      </c>
      <c r="I50" s="3">
        <v>1</v>
      </c>
      <c r="J50" s="3" t="s">
        <v>14</v>
      </c>
      <c r="K50" s="3" t="s">
        <v>14</v>
      </c>
      <c r="L50" s="3" t="s">
        <v>14</v>
      </c>
      <c r="M50" s="3" t="s">
        <v>14</v>
      </c>
      <c r="N50" s="2" t="s">
        <v>14</v>
      </c>
      <c r="O50" s="3">
        <v>1</v>
      </c>
    </row>
    <row r="51" spans="1:15" ht="15" customHeight="1" x14ac:dyDescent="0.25">
      <c r="A51" s="3" t="s">
        <v>20</v>
      </c>
      <c r="B51" s="2">
        <v>10</v>
      </c>
      <c r="C51" s="2" t="s">
        <v>18</v>
      </c>
      <c r="D51" s="2" t="s">
        <v>20</v>
      </c>
      <c r="E51" s="2">
        <v>0</v>
      </c>
      <c r="F51" s="2">
        <v>0</v>
      </c>
      <c r="G51" s="2" t="s">
        <v>10</v>
      </c>
      <c r="H51" s="2" t="s">
        <v>12</v>
      </c>
      <c r="I51" s="2">
        <v>1</v>
      </c>
      <c r="J51" s="2" t="s">
        <v>14</v>
      </c>
      <c r="K51" s="2" t="s">
        <v>14</v>
      </c>
      <c r="L51" s="2" t="s">
        <v>14</v>
      </c>
      <c r="M51" s="2" t="s">
        <v>14</v>
      </c>
      <c r="N51" s="2" t="s">
        <v>14</v>
      </c>
      <c r="O51" s="2">
        <v>1</v>
      </c>
    </row>
    <row r="52" spans="1:15" ht="15" customHeight="1" x14ac:dyDescent="0.25">
      <c r="A52" s="3" t="s">
        <v>20</v>
      </c>
      <c r="B52" s="3">
        <v>30</v>
      </c>
      <c r="C52" s="3" t="s">
        <v>10</v>
      </c>
      <c r="D52" s="3" t="s">
        <v>19</v>
      </c>
      <c r="E52" s="3">
        <v>1</v>
      </c>
      <c r="F52" s="3">
        <v>1</v>
      </c>
      <c r="G52" s="3" t="s">
        <v>10</v>
      </c>
      <c r="H52" s="3" t="s">
        <v>16</v>
      </c>
      <c r="I52" s="3">
        <v>2</v>
      </c>
      <c r="J52" s="3" t="s">
        <v>14</v>
      </c>
      <c r="K52" s="3" t="s">
        <v>14</v>
      </c>
      <c r="L52" s="3" t="s">
        <v>14</v>
      </c>
      <c r="M52" s="3" t="s">
        <v>13</v>
      </c>
      <c r="N52" s="2" t="s">
        <v>14</v>
      </c>
      <c r="O52" s="3">
        <v>0</v>
      </c>
    </row>
    <row r="53" spans="1:15" ht="15" customHeight="1" x14ac:dyDescent="0.25">
      <c r="A53" s="3" t="s">
        <v>20</v>
      </c>
      <c r="B53" s="2">
        <v>5</v>
      </c>
      <c r="C53" s="2" t="s">
        <v>10</v>
      </c>
      <c r="D53" s="2" t="s">
        <v>19</v>
      </c>
      <c r="E53" s="2">
        <v>0</v>
      </c>
      <c r="F53" s="2">
        <v>0</v>
      </c>
      <c r="G53" s="2" t="s">
        <v>10</v>
      </c>
      <c r="H53" s="2" t="s">
        <v>12</v>
      </c>
      <c r="I53" s="2">
        <v>1</v>
      </c>
      <c r="J53" s="2" t="s">
        <v>14</v>
      </c>
      <c r="K53" s="2" t="s">
        <v>13</v>
      </c>
      <c r="L53" s="2" t="s">
        <v>14</v>
      </c>
      <c r="M53" s="2" t="s">
        <v>14</v>
      </c>
      <c r="N53" s="2" t="s">
        <v>14</v>
      </c>
      <c r="O53" s="2">
        <v>1</v>
      </c>
    </row>
    <row r="54" spans="1:15" ht="15" customHeight="1" x14ac:dyDescent="0.25">
      <c r="A54" s="3" t="s">
        <v>20</v>
      </c>
      <c r="B54" s="3">
        <v>5</v>
      </c>
      <c r="C54" s="3" t="s">
        <v>18</v>
      </c>
      <c r="D54" s="3" t="s">
        <v>19</v>
      </c>
      <c r="E54" s="3">
        <v>0</v>
      </c>
      <c r="F54" s="3">
        <v>0</v>
      </c>
      <c r="G54" s="3" t="s">
        <v>10</v>
      </c>
      <c r="H54" s="3" t="s">
        <v>12</v>
      </c>
      <c r="I54" s="3">
        <v>1</v>
      </c>
      <c r="J54" s="3" t="s">
        <v>14</v>
      </c>
      <c r="K54" s="3" t="s">
        <v>14</v>
      </c>
      <c r="L54" s="3" t="s">
        <v>13</v>
      </c>
      <c r="M54" s="3" t="s">
        <v>14</v>
      </c>
      <c r="N54" s="2" t="s">
        <v>14</v>
      </c>
      <c r="O54" s="3">
        <v>1</v>
      </c>
    </row>
    <row r="55" spans="1:15" ht="15" customHeight="1" x14ac:dyDescent="0.25">
      <c r="A55" s="3" t="s">
        <v>20</v>
      </c>
      <c r="B55" s="2">
        <v>0</v>
      </c>
      <c r="C55" s="2" t="s">
        <v>10</v>
      </c>
      <c r="D55" s="2" t="s">
        <v>19</v>
      </c>
      <c r="E55" s="2">
        <v>0</v>
      </c>
      <c r="F55" s="2">
        <v>0</v>
      </c>
      <c r="G55" s="2" t="s">
        <v>10</v>
      </c>
      <c r="H55" s="2" t="s">
        <v>12</v>
      </c>
      <c r="I55" s="2">
        <v>1</v>
      </c>
      <c r="J55" s="2" t="s">
        <v>14</v>
      </c>
      <c r="K55" s="2" t="s">
        <v>14</v>
      </c>
      <c r="L55" s="2" t="s">
        <v>14</v>
      </c>
      <c r="M55" s="2" t="s">
        <v>14</v>
      </c>
      <c r="N55" s="2" t="s">
        <v>14</v>
      </c>
      <c r="O55" s="2">
        <v>1</v>
      </c>
    </row>
    <row r="56" spans="1:15" ht="15" customHeight="1" x14ac:dyDescent="0.25">
      <c r="A56" s="3" t="s">
        <v>20</v>
      </c>
      <c r="B56" s="3">
        <v>0</v>
      </c>
      <c r="C56" s="3" t="s">
        <v>18</v>
      </c>
      <c r="D56" s="3" t="s">
        <v>19</v>
      </c>
      <c r="E56" s="3">
        <v>0</v>
      </c>
      <c r="F56" s="3">
        <v>0</v>
      </c>
      <c r="G56" s="3" t="s">
        <v>10</v>
      </c>
      <c r="H56" s="3" t="s">
        <v>12</v>
      </c>
      <c r="I56" s="3">
        <v>1</v>
      </c>
      <c r="J56" s="3" t="s">
        <v>14</v>
      </c>
      <c r="K56" s="3" t="s">
        <v>14</v>
      </c>
      <c r="L56" s="3" t="s">
        <v>14</v>
      </c>
      <c r="M56" s="3" t="s">
        <v>14</v>
      </c>
      <c r="N56" s="2" t="s">
        <v>14</v>
      </c>
      <c r="O56" s="3">
        <v>1</v>
      </c>
    </row>
    <row r="57" spans="1:15" ht="15" customHeight="1" x14ac:dyDescent="0.25">
      <c r="A57" s="3" t="s">
        <v>20</v>
      </c>
      <c r="B57" s="2">
        <v>10</v>
      </c>
      <c r="C57" s="2" t="s">
        <v>18</v>
      </c>
      <c r="D57" s="2" t="s">
        <v>19</v>
      </c>
      <c r="E57" s="2">
        <v>0</v>
      </c>
      <c r="F57" s="2">
        <v>1</v>
      </c>
      <c r="G57" s="2" t="s">
        <v>10</v>
      </c>
      <c r="H57" s="2" t="s">
        <v>16</v>
      </c>
      <c r="I57" s="2">
        <v>2</v>
      </c>
      <c r="J57" s="2" t="s">
        <v>14</v>
      </c>
      <c r="K57" s="2" t="s">
        <v>14</v>
      </c>
      <c r="L57" s="2" t="s">
        <v>14</v>
      </c>
      <c r="M57" s="2" t="s">
        <v>13</v>
      </c>
      <c r="N57" s="2" t="s">
        <v>14</v>
      </c>
      <c r="O57" s="2">
        <v>1</v>
      </c>
    </row>
    <row r="58" spans="1:15" ht="15" customHeight="1" x14ac:dyDescent="0.25">
      <c r="A58" s="3" t="s">
        <v>20</v>
      </c>
      <c r="B58" s="3">
        <v>10</v>
      </c>
      <c r="C58" s="3" t="s">
        <v>14</v>
      </c>
      <c r="D58" s="3" t="s">
        <v>19</v>
      </c>
      <c r="E58" s="3">
        <v>0</v>
      </c>
      <c r="F58" s="3">
        <v>0</v>
      </c>
      <c r="G58" s="3" t="s">
        <v>10</v>
      </c>
      <c r="H58" s="3" t="s">
        <v>16</v>
      </c>
      <c r="I58" s="3" t="s">
        <v>15</v>
      </c>
      <c r="J58" s="3" t="s">
        <v>14</v>
      </c>
      <c r="K58" s="3" t="s">
        <v>14</v>
      </c>
      <c r="L58" s="3" t="s">
        <v>14</v>
      </c>
      <c r="M58" s="3" t="s">
        <v>14</v>
      </c>
      <c r="N58" s="2" t="s">
        <v>14</v>
      </c>
      <c r="O58" s="3">
        <v>1</v>
      </c>
    </row>
    <row r="59" spans="1:15" ht="15" customHeight="1" x14ac:dyDescent="0.25">
      <c r="A59" s="3" t="s">
        <v>20</v>
      </c>
      <c r="B59" s="2">
        <v>30</v>
      </c>
      <c r="C59" s="2" t="s">
        <v>10</v>
      </c>
      <c r="D59" s="2" t="s">
        <v>11</v>
      </c>
      <c r="E59" s="2">
        <v>1</v>
      </c>
      <c r="F59" s="2">
        <v>1</v>
      </c>
      <c r="G59" s="2" t="s">
        <v>10</v>
      </c>
      <c r="H59" s="2" t="s">
        <v>12</v>
      </c>
      <c r="I59" s="2">
        <v>2</v>
      </c>
      <c r="J59" s="2" t="s">
        <v>13</v>
      </c>
      <c r="K59" s="2" t="s">
        <v>14</v>
      </c>
      <c r="L59" s="2" t="s">
        <v>14</v>
      </c>
      <c r="M59" s="2" t="s">
        <v>13</v>
      </c>
      <c r="N59" s="2" t="s">
        <v>14</v>
      </c>
      <c r="O59" s="2">
        <v>0</v>
      </c>
    </row>
    <row r="60" spans="1:15" ht="15" customHeight="1" x14ac:dyDescent="0.25">
      <c r="A60" s="3"/>
      <c r="B60" s="3">
        <v>10</v>
      </c>
      <c r="C60" s="3" t="s">
        <v>14</v>
      </c>
      <c r="D60" s="3" t="s">
        <v>20</v>
      </c>
      <c r="E60" s="3">
        <v>0</v>
      </c>
      <c r="F60" s="3">
        <v>1</v>
      </c>
      <c r="G60" s="3" t="s">
        <v>10</v>
      </c>
      <c r="H60" s="3" t="s">
        <v>12</v>
      </c>
      <c r="I60" s="3">
        <v>2</v>
      </c>
      <c r="J60" s="3" t="s">
        <v>14</v>
      </c>
      <c r="K60" s="3" t="s">
        <v>14</v>
      </c>
      <c r="L60" s="3" t="s">
        <v>14</v>
      </c>
      <c r="M60" s="3" t="s">
        <v>14</v>
      </c>
      <c r="N60" s="3" t="s">
        <v>14</v>
      </c>
      <c r="O60" s="3">
        <v>1</v>
      </c>
    </row>
    <row r="61" spans="1:15" ht="15" customHeight="1" x14ac:dyDescent="0.25">
      <c r="A61" s="2"/>
      <c r="B61" s="2">
        <v>30</v>
      </c>
      <c r="C61" s="2" t="s">
        <v>10</v>
      </c>
      <c r="D61" s="2" t="s">
        <v>19</v>
      </c>
      <c r="E61" s="2">
        <v>1</v>
      </c>
      <c r="F61" s="2">
        <v>1</v>
      </c>
      <c r="G61" s="2" t="s">
        <v>10</v>
      </c>
      <c r="H61" s="2" t="s">
        <v>16</v>
      </c>
      <c r="I61" s="2">
        <v>2</v>
      </c>
      <c r="J61" s="2" t="s">
        <v>14</v>
      </c>
      <c r="K61" s="2" t="s">
        <v>14</v>
      </c>
      <c r="L61" s="2" t="s">
        <v>14</v>
      </c>
      <c r="M61" s="2" t="s">
        <v>14</v>
      </c>
      <c r="N61" s="2" t="s">
        <v>14</v>
      </c>
      <c r="O61" s="2">
        <v>0</v>
      </c>
    </row>
    <row r="62" spans="1:15" ht="15" customHeight="1" x14ac:dyDescent="0.25">
      <c r="A62" s="3"/>
      <c r="B62" s="3">
        <v>20</v>
      </c>
      <c r="C62" s="3" t="s">
        <v>14</v>
      </c>
      <c r="D62" s="3" t="s">
        <v>20</v>
      </c>
      <c r="E62" s="3">
        <v>0</v>
      </c>
      <c r="F62" s="3">
        <v>0</v>
      </c>
      <c r="G62" s="3" t="s">
        <v>10</v>
      </c>
      <c r="H62" s="3" t="s">
        <v>12</v>
      </c>
      <c r="I62" s="3" t="s">
        <v>15</v>
      </c>
      <c r="J62" s="3" t="s">
        <v>14</v>
      </c>
      <c r="K62" s="3" t="s">
        <v>14</v>
      </c>
      <c r="L62" s="3" t="s">
        <v>14</v>
      </c>
      <c r="M62" s="3" t="s">
        <v>14</v>
      </c>
      <c r="N62" s="3" t="s">
        <v>14</v>
      </c>
      <c r="O62" s="3">
        <v>1</v>
      </c>
    </row>
    <row r="63" spans="1:15" ht="15" customHeight="1" x14ac:dyDescent="0.25">
      <c r="A63" s="2"/>
      <c r="B63" s="2">
        <v>5</v>
      </c>
      <c r="C63" s="2" t="s">
        <v>10</v>
      </c>
      <c r="D63" s="2" t="s">
        <v>20</v>
      </c>
      <c r="E63" s="2">
        <v>0</v>
      </c>
      <c r="F63" s="2">
        <v>0</v>
      </c>
      <c r="G63" s="2" t="s">
        <v>10</v>
      </c>
      <c r="H63" s="2" t="s">
        <v>12</v>
      </c>
      <c r="I63" s="2" t="s">
        <v>15</v>
      </c>
      <c r="J63" s="2" t="s">
        <v>14</v>
      </c>
      <c r="K63" s="2" t="s">
        <v>14</v>
      </c>
      <c r="L63" s="2" t="s">
        <v>14</v>
      </c>
      <c r="M63" s="2" t="s">
        <v>14</v>
      </c>
      <c r="N63" s="2" t="s">
        <v>14</v>
      </c>
      <c r="O63" s="2">
        <v>1</v>
      </c>
    </row>
    <row r="64" spans="1:15" ht="15" customHeight="1" x14ac:dyDescent="0.25">
      <c r="A64" s="3"/>
      <c r="B64" s="3">
        <v>30</v>
      </c>
      <c r="C64" s="3" t="s">
        <v>14</v>
      </c>
      <c r="D64" s="3" t="s">
        <v>20</v>
      </c>
      <c r="E64" s="3">
        <v>0</v>
      </c>
      <c r="F64" s="3">
        <v>0</v>
      </c>
      <c r="G64" s="3" t="s">
        <v>10</v>
      </c>
      <c r="H64" s="3" t="s">
        <v>12</v>
      </c>
      <c r="I64" s="3" t="s">
        <v>15</v>
      </c>
      <c r="J64" s="3" t="s">
        <v>14</v>
      </c>
      <c r="K64" s="3" t="s">
        <v>14</v>
      </c>
      <c r="L64" s="3" t="s">
        <v>14</v>
      </c>
      <c r="M64" s="3" t="s">
        <v>14</v>
      </c>
      <c r="N64" s="3" t="s">
        <v>14</v>
      </c>
      <c r="O64" s="3">
        <v>1</v>
      </c>
    </row>
    <row r="65" spans="1:15" ht="15" customHeight="1" x14ac:dyDescent="0.25">
      <c r="A65" s="2"/>
      <c r="B65" s="2">
        <v>5</v>
      </c>
      <c r="C65" s="2" t="s">
        <v>14</v>
      </c>
      <c r="D65" s="2" t="s">
        <v>20</v>
      </c>
      <c r="E65" s="2">
        <v>0</v>
      </c>
      <c r="F65" s="2">
        <v>0</v>
      </c>
      <c r="G65" s="2" t="s">
        <v>10</v>
      </c>
      <c r="H65" s="2" t="s">
        <v>16</v>
      </c>
      <c r="I65" s="2">
        <v>2</v>
      </c>
      <c r="J65" s="2" t="s">
        <v>14</v>
      </c>
      <c r="K65" s="2" t="s">
        <v>14</v>
      </c>
      <c r="L65" s="2" t="s">
        <v>14</v>
      </c>
      <c r="M65" s="2" t="s">
        <v>14</v>
      </c>
      <c r="N65" s="2" t="s">
        <v>14</v>
      </c>
      <c r="O65" s="2">
        <v>1</v>
      </c>
    </row>
    <row r="66" spans="1:15" ht="15" customHeight="1" x14ac:dyDescent="0.25">
      <c r="A66" s="3"/>
      <c r="B66" s="3">
        <v>10</v>
      </c>
      <c r="C66" s="3" t="s">
        <v>10</v>
      </c>
      <c r="D66" s="3" t="s">
        <v>19</v>
      </c>
      <c r="E66" s="3">
        <v>0</v>
      </c>
      <c r="F66" s="3">
        <v>1</v>
      </c>
      <c r="G66" s="3" t="s">
        <v>10</v>
      </c>
      <c r="H66" s="3" t="s">
        <v>12</v>
      </c>
      <c r="I66" s="3">
        <v>2</v>
      </c>
      <c r="J66" s="3" t="s">
        <v>14</v>
      </c>
      <c r="K66" s="3" t="s">
        <v>14</v>
      </c>
      <c r="L66" s="3" t="s">
        <v>14</v>
      </c>
      <c r="M66" s="3" t="s">
        <v>14</v>
      </c>
      <c r="N66" s="3" t="s">
        <v>14</v>
      </c>
      <c r="O66" s="3">
        <v>1</v>
      </c>
    </row>
    <row r="67" spans="1:15" ht="15" customHeight="1" x14ac:dyDescent="0.25">
      <c r="A67" s="2"/>
      <c r="B67" s="2">
        <v>20</v>
      </c>
      <c r="C67" s="2" t="s">
        <v>18</v>
      </c>
      <c r="D67" s="2" t="s">
        <v>20</v>
      </c>
      <c r="E67" s="2">
        <v>0</v>
      </c>
      <c r="F67" s="2">
        <v>0</v>
      </c>
      <c r="G67" s="2" t="s">
        <v>10</v>
      </c>
      <c r="H67" s="2" t="s">
        <v>12</v>
      </c>
      <c r="I67" s="2">
        <v>2</v>
      </c>
      <c r="J67" s="2" t="s">
        <v>14</v>
      </c>
      <c r="K67" s="2" t="s">
        <v>14</v>
      </c>
      <c r="L67" s="2" t="s">
        <v>14</v>
      </c>
      <c r="M67" s="2" t="s">
        <v>14</v>
      </c>
      <c r="N67" s="2" t="s">
        <v>14</v>
      </c>
      <c r="O67" s="2">
        <v>1</v>
      </c>
    </row>
    <row r="68" spans="1:15" ht="15" customHeight="1" x14ac:dyDescent="0.25">
      <c r="A68" s="3"/>
      <c r="B68" s="3">
        <v>5</v>
      </c>
      <c r="C68" s="3" t="s">
        <v>14</v>
      </c>
      <c r="D68" s="3" t="s">
        <v>20</v>
      </c>
      <c r="E68" s="3">
        <v>0</v>
      </c>
      <c r="F68" s="3">
        <v>0</v>
      </c>
      <c r="G68" s="3" t="s">
        <v>10</v>
      </c>
      <c r="H68" s="3" t="s">
        <v>12</v>
      </c>
      <c r="I68" s="3">
        <v>2</v>
      </c>
      <c r="J68" s="3" t="s">
        <v>14</v>
      </c>
      <c r="K68" s="3" t="s">
        <v>14</v>
      </c>
      <c r="L68" s="3" t="s">
        <v>14</v>
      </c>
      <c r="M68" s="3" t="s">
        <v>14</v>
      </c>
      <c r="N68" s="3" t="s">
        <v>14</v>
      </c>
      <c r="O68" s="3">
        <v>1</v>
      </c>
    </row>
    <row r="69" spans="1:15" ht="15" customHeight="1" x14ac:dyDescent="0.25">
      <c r="A69" s="2"/>
      <c r="B69" s="2">
        <v>10</v>
      </c>
      <c r="C69" s="2" t="s">
        <v>10</v>
      </c>
      <c r="D69" s="2" t="s">
        <v>20</v>
      </c>
      <c r="E69" s="2">
        <v>0</v>
      </c>
      <c r="F69" s="2">
        <v>0</v>
      </c>
      <c r="G69" s="2" t="s">
        <v>10</v>
      </c>
      <c r="H69" s="2" t="s">
        <v>12</v>
      </c>
      <c r="I69" s="2">
        <v>2</v>
      </c>
      <c r="J69" s="2" t="s">
        <v>14</v>
      </c>
      <c r="K69" s="2" t="s">
        <v>14</v>
      </c>
      <c r="L69" s="2" t="s">
        <v>14</v>
      </c>
      <c r="M69" s="2" t="s">
        <v>14</v>
      </c>
      <c r="N69" s="2" t="s">
        <v>14</v>
      </c>
      <c r="O69" s="2">
        <v>1</v>
      </c>
    </row>
    <row r="70" spans="1:15" ht="15" customHeight="1" x14ac:dyDescent="0.25">
      <c r="A70" s="3"/>
      <c r="B70" s="3">
        <v>10</v>
      </c>
      <c r="C70" s="3" t="s">
        <v>18</v>
      </c>
      <c r="D70" s="3" t="s">
        <v>20</v>
      </c>
      <c r="E70" s="3">
        <v>0</v>
      </c>
      <c r="F70" s="3">
        <v>0</v>
      </c>
      <c r="G70" s="3" t="s">
        <v>10</v>
      </c>
      <c r="H70" s="3" t="s">
        <v>16</v>
      </c>
      <c r="I70" s="3">
        <v>1</v>
      </c>
      <c r="J70" s="3" t="s">
        <v>14</v>
      </c>
      <c r="K70" s="3" t="s">
        <v>14</v>
      </c>
      <c r="L70" s="3" t="s">
        <v>14</v>
      </c>
      <c r="M70" s="3" t="s">
        <v>14</v>
      </c>
      <c r="N70" s="3" t="s">
        <v>14</v>
      </c>
      <c r="O70" s="3">
        <v>0</v>
      </c>
    </row>
    <row r="71" spans="1:15" ht="15" customHeight="1" x14ac:dyDescent="0.25">
      <c r="A71" s="2"/>
      <c r="B71" s="2">
        <v>10</v>
      </c>
      <c r="C71" s="2" t="s">
        <v>18</v>
      </c>
      <c r="D71" s="2" t="s">
        <v>20</v>
      </c>
      <c r="E71" s="2">
        <v>0</v>
      </c>
      <c r="F71" s="2">
        <v>0</v>
      </c>
      <c r="G71" s="2" t="s">
        <v>10</v>
      </c>
      <c r="H71" s="2" t="s">
        <v>12</v>
      </c>
      <c r="I71" s="2">
        <v>2</v>
      </c>
      <c r="J71" s="2" t="s">
        <v>14</v>
      </c>
      <c r="K71" s="2" t="s">
        <v>14</v>
      </c>
      <c r="L71" s="2" t="s">
        <v>14</v>
      </c>
      <c r="M71" s="2" t="s">
        <v>14</v>
      </c>
      <c r="N71" s="2" t="s">
        <v>14</v>
      </c>
      <c r="O71" s="2">
        <v>1</v>
      </c>
    </row>
    <row r="72" spans="1:15" ht="15" customHeight="1" x14ac:dyDescent="0.25">
      <c r="A72" s="3"/>
      <c r="B72" s="3">
        <v>10</v>
      </c>
      <c r="C72" s="3" t="s">
        <v>14</v>
      </c>
      <c r="D72" s="3" t="s">
        <v>20</v>
      </c>
      <c r="E72" s="3">
        <v>0</v>
      </c>
      <c r="F72" s="3">
        <v>0</v>
      </c>
      <c r="G72" s="3" t="s">
        <v>10</v>
      </c>
      <c r="H72" s="3" t="s">
        <v>12</v>
      </c>
      <c r="I72" s="3">
        <v>2</v>
      </c>
      <c r="J72" s="3" t="s">
        <v>14</v>
      </c>
      <c r="K72" s="3" t="s">
        <v>14</v>
      </c>
      <c r="L72" s="3" t="s">
        <v>14</v>
      </c>
      <c r="M72" s="3" t="s">
        <v>14</v>
      </c>
      <c r="N72" s="3" t="s">
        <v>14</v>
      </c>
      <c r="O72" s="3">
        <v>1</v>
      </c>
    </row>
    <row r="73" spans="1:15" ht="15" customHeight="1" x14ac:dyDescent="0.25">
      <c r="A73" s="2"/>
      <c r="B73" s="2">
        <v>30</v>
      </c>
      <c r="C73" s="2" t="s">
        <v>10</v>
      </c>
      <c r="D73" s="2" t="s">
        <v>19</v>
      </c>
      <c r="E73" s="2">
        <v>0</v>
      </c>
      <c r="F73" s="2">
        <v>1</v>
      </c>
      <c r="G73" s="2" t="s">
        <v>10</v>
      </c>
      <c r="H73" s="2" t="s">
        <v>12</v>
      </c>
      <c r="I73" s="2">
        <v>2</v>
      </c>
      <c r="J73" s="2" t="s">
        <v>14</v>
      </c>
      <c r="K73" s="2" t="s">
        <v>14</v>
      </c>
      <c r="L73" s="2" t="s">
        <v>14</v>
      </c>
      <c r="M73" s="2" t="s">
        <v>13</v>
      </c>
      <c r="N73" s="2" t="s">
        <v>14</v>
      </c>
      <c r="O73" s="2">
        <v>1</v>
      </c>
    </row>
    <row r="74" spans="1:15" ht="15" customHeight="1" x14ac:dyDescent="0.25">
      <c r="A74" s="3"/>
      <c r="B74" s="3">
        <v>5</v>
      </c>
      <c r="C74" s="3" t="s">
        <v>14</v>
      </c>
      <c r="D74" s="3" t="s">
        <v>19</v>
      </c>
      <c r="E74" s="3">
        <v>0</v>
      </c>
      <c r="F74" s="3">
        <v>0</v>
      </c>
      <c r="G74" s="3" t="s">
        <v>18</v>
      </c>
      <c r="H74" s="3" t="s">
        <v>108</v>
      </c>
      <c r="I74" s="3">
        <v>1</v>
      </c>
      <c r="J74" s="3" t="s">
        <v>14</v>
      </c>
      <c r="K74" s="3" t="s">
        <v>13</v>
      </c>
      <c r="L74" s="3" t="s">
        <v>13</v>
      </c>
      <c r="M74" s="3" t="s">
        <v>13</v>
      </c>
      <c r="N74" s="3" t="s">
        <v>14</v>
      </c>
      <c r="O74" s="3">
        <v>1</v>
      </c>
    </row>
    <row r="75" spans="1:15" ht="15" customHeight="1" x14ac:dyDescent="0.25">
      <c r="A75" s="2"/>
      <c r="B75" s="2">
        <v>0</v>
      </c>
      <c r="C75" s="2" t="s">
        <v>10</v>
      </c>
      <c r="D75" s="2" t="s">
        <v>19</v>
      </c>
      <c r="E75" s="2">
        <v>0</v>
      </c>
      <c r="F75" s="2">
        <v>0</v>
      </c>
      <c r="G75" s="2" t="s">
        <v>10</v>
      </c>
      <c r="H75" s="2" t="s">
        <v>12</v>
      </c>
      <c r="I75" s="2">
        <v>1</v>
      </c>
      <c r="J75" s="2" t="s">
        <v>14</v>
      </c>
      <c r="K75" s="2" t="s">
        <v>14</v>
      </c>
      <c r="L75" s="2" t="s">
        <v>14</v>
      </c>
      <c r="M75" s="2" t="s">
        <v>14</v>
      </c>
      <c r="N75" s="2" t="s">
        <v>14</v>
      </c>
      <c r="O75" s="2">
        <v>1</v>
      </c>
    </row>
    <row r="76" spans="1:15" ht="15" customHeight="1" x14ac:dyDescent="0.25">
      <c r="A76" s="3"/>
      <c r="B76" s="3">
        <v>5</v>
      </c>
      <c r="C76" s="3" t="s">
        <v>10</v>
      </c>
      <c r="D76" s="3" t="s">
        <v>19</v>
      </c>
      <c r="E76" s="3">
        <v>0</v>
      </c>
      <c r="F76" s="3">
        <v>0</v>
      </c>
      <c r="G76" s="3" t="s">
        <v>10</v>
      </c>
      <c r="H76" s="3" t="s">
        <v>12</v>
      </c>
      <c r="I76" s="3">
        <v>1</v>
      </c>
      <c r="J76" s="3" t="s">
        <v>14</v>
      </c>
      <c r="K76" s="3" t="s">
        <v>14</v>
      </c>
      <c r="L76" s="3" t="s">
        <v>14</v>
      </c>
      <c r="M76" s="3" t="s">
        <v>14</v>
      </c>
      <c r="N76" s="3" t="s">
        <v>14</v>
      </c>
      <c r="O76" s="3">
        <v>1</v>
      </c>
    </row>
    <row r="77" spans="1:15" ht="15" customHeight="1" x14ac:dyDescent="0.25">
      <c r="A77" s="2"/>
      <c r="B77" s="2">
        <v>30</v>
      </c>
      <c r="C77" s="2" t="s">
        <v>18</v>
      </c>
      <c r="D77" s="2" t="s">
        <v>20</v>
      </c>
      <c r="E77" s="2">
        <v>0</v>
      </c>
      <c r="F77" s="2">
        <v>0</v>
      </c>
      <c r="G77" s="2" t="s">
        <v>10</v>
      </c>
      <c r="H77" s="2" t="s">
        <v>12</v>
      </c>
      <c r="I77" s="2" t="s">
        <v>15</v>
      </c>
      <c r="J77" s="2" t="s">
        <v>14</v>
      </c>
      <c r="K77" s="2" t="s">
        <v>14</v>
      </c>
      <c r="L77" s="2" t="s">
        <v>14</v>
      </c>
      <c r="M77" s="2" t="s">
        <v>14</v>
      </c>
      <c r="N77" s="2" t="s">
        <v>14</v>
      </c>
      <c r="O77" s="2">
        <v>1</v>
      </c>
    </row>
    <row r="78" spans="1:15" ht="15" customHeight="1" x14ac:dyDescent="0.25">
      <c r="A78" s="3"/>
      <c r="B78" s="3">
        <v>10</v>
      </c>
      <c r="C78" s="3" t="s">
        <v>14</v>
      </c>
      <c r="D78" s="3" t="s">
        <v>20</v>
      </c>
      <c r="E78" s="3">
        <v>0</v>
      </c>
      <c r="F78" s="3">
        <v>0</v>
      </c>
      <c r="G78" s="3" t="s">
        <v>10</v>
      </c>
      <c r="H78" s="3" t="s">
        <v>16</v>
      </c>
      <c r="I78" s="3">
        <v>1</v>
      </c>
      <c r="J78" s="3" t="s">
        <v>14</v>
      </c>
      <c r="K78" s="3" t="s">
        <v>14</v>
      </c>
      <c r="L78" s="3" t="s">
        <v>14</v>
      </c>
      <c r="M78" s="3" t="s">
        <v>14</v>
      </c>
      <c r="N78" s="3" t="s">
        <v>14</v>
      </c>
      <c r="O78" s="3">
        <v>1</v>
      </c>
    </row>
    <row r="79" spans="1:15" ht="15" customHeight="1" x14ac:dyDescent="0.25">
      <c r="A79" s="2"/>
      <c r="B79" s="2">
        <v>5</v>
      </c>
      <c r="C79" s="2" t="s">
        <v>14</v>
      </c>
      <c r="D79" s="2" t="s">
        <v>20</v>
      </c>
      <c r="E79" s="2">
        <v>0</v>
      </c>
      <c r="F79" s="2">
        <v>0</v>
      </c>
      <c r="G79" s="2" t="s">
        <v>10</v>
      </c>
      <c r="H79" s="2" t="s">
        <v>12</v>
      </c>
      <c r="I79" s="2">
        <v>1</v>
      </c>
      <c r="J79" s="2" t="s">
        <v>14</v>
      </c>
      <c r="K79" s="2" t="s">
        <v>14</v>
      </c>
      <c r="L79" s="2" t="s">
        <v>14</v>
      </c>
      <c r="M79" s="2" t="s">
        <v>14</v>
      </c>
      <c r="N79" s="2" t="s">
        <v>14</v>
      </c>
      <c r="O79" s="2">
        <v>1</v>
      </c>
    </row>
    <row r="80" spans="1:15" ht="15" customHeight="1" x14ac:dyDescent="0.25">
      <c r="A80" s="3"/>
      <c r="B80" s="3">
        <v>20</v>
      </c>
      <c r="C80" s="3" t="s">
        <v>10</v>
      </c>
      <c r="D80" s="3" t="s">
        <v>19</v>
      </c>
      <c r="E80" s="3">
        <v>0</v>
      </c>
      <c r="F80" s="3">
        <v>1</v>
      </c>
      <c r="G80" s="3" t="s">
        <v>10</v>
      </c>
      <c r="H80" s="3" t="s">
        <v>12</v>
      </c>
      <c r="I80" s="3">
        <v>1</v>
      </c>
      <c r="J80" s="3" t="s">
        <v>14</v>
      </c>
      <c r="K80" s="3" t="s">
        <v>14</v>
      </c>
      <c r="L80" s="3" t="s">
        <v>14</v>
      </c>
      <c r="M80" s="3" t="s">
        <v>13</v>
      </c>
      <c r="N80" s="3" t="s">
        <v>14</v>
      </c>
      <c r="O80" s="3">
        <v>1</v>
      </c>
    </row>
    <row r="81" spans="1:15" ht="15" customHeight="1" x14ac:dyDescent="0.25">
      <c r="A81" s="2"/>
      <c r="B81" s="2">
        <v>5</v>
      </c>
      <c r="C81" s="2" t="s">
        <v>10</v>
      </c>
      <c r="D81" s="2" t="s">
        <v>19</v>
      </c>
      <c r="E81" s="2">
        <v>1</v>
      </c>
      <c r="F81" s="2">
        <v>0</v>
      </c>
      <c r="G81" s="2" t="s">
        <v>17</v>
      </c>
      <c r="H81" s="2" t="s">
        <v>108</v>
      </c>
      <c r="I81" s="2">
        <v>1</v>
      </c>
      <c r="J81" s="2" t="s">
        <v>13</v>
      </c>
      <c r="K81" s="2" t="s">
        <v>13</v>
      </c>
      <c r="L81" s="2" t="s">
        <v>13</v>
      </c>
      <c r="M81" s="2" t="s">
        <v>13</v>
      </c>
      <c r="N81" s="2" t="s">
        <v>14</v>
      </c>
      <c r="O81" s="2">
        <v>0</v>
      </c>
    </row>
    <row r="82" spans="1:15" ht="15" customHeight="1" x14ac:dyDescent="0.25">
      <c r="A82" s="3"/>
      <c r="B82" s="3">
        <v>10</v>
      </c>
      <c r="C82" s="3" t="s">
        <v>10</v>
      </c>
      <c r="D82" s="3" t="s">
        <v>19</v>
      </c>
      <c r="E82" s="3">
        <v>0</v>
      </c>
      <c r="F82" s="3">
        <v>0</v>
      </c>
      <c r="G82" s="3" t="s">
        <v>10</v>
      </c>
      <c r="H82" s="3" t="s">
        <v>12</v>
      </c>
      <c r="I82" s="3">
        <v>1</v>
      </c>
      <c r="J82" s="3" t="s">
        <v>14</v>
      </c>
      <c r="K82" s="3" t="s">
        <v>13</v>
      </c>
      <c r="L82" s="3" t="s">
        <v>13</v>
      </c>
      <c r="M82" s="3" t="s">
        <v>13</v>
      </c>
      <c r="N82" s="3" t="s">
        <v>14</v>
      </c>
      <c r="O82" s="3">
        <v>1</v>
      </c>
    </row>
    <row r="83" spans="1:15" ht="15" customHeight="1" x14ac:dyDescent="0.25">
      <c r="A83" s="2"/>
      <c r="B83" s="2">
        <v>5</v>
      </c>
      <c r="C83" s="2" t="s">
        <v>10</v>
      </c>
      <c r="D83" s="2" t="s">
        <v>19</v>
      </c>
      <c r="E83" s="2">
        <v>1</v>
      </c>
      <c r="F83" s="2">
        <v>0</v>
      </c>
      <c r="G83" s="2" t="s">
        <v>17</v>
      </c>
      <c r="H83" s="2" t="s">
        <v>108</v>
      </c>
      <c r="I83" s="2">
        <v>1</v>
      </c>
      <c r="J83" s="2" t="s">
        <v>14</v>
      </c>
      <c r="K83" s="2" t="s">
        <v>13</v>
      </c>
      <c r="L83" s="2" t="s">
        <v>13</v>
      </c>
      <c r="M83" s="2" t="s">
        <v>13</v>
      </c>
      <c r="N83" s="2" t="s">
        <v>14</v>
      </c>
      <c r="O83" s="2">
        <v>0</v>
      </c>
    </row>
    <row r="84" spans="1:15" ht="15" customHeight="1" x14ac:dyDescent="0.25">
      <c r="A84" s="3"/>
      <c r="B84" s="3">
        <v>10</v>
      </c>
      <c r="C84" s="3" t="s">
        <v>10</v>
      </c>
      <c r="D84" s="3" t="s">
        <v>19</v>
      </c>
      <c r="E84" s="3">
        <v>1</v>
      </c>
      <c r="F84" s="3">
        <v>0</v>
      </c>
      <c r="G84" s="3" t="s">
        <v>17</v>
      </c>
      <c r="H84" s="3" t="s">
        <v>108</v>
      </c>
      <c r="I84" s="3">
        <v>1</v>
      </c>
      <c r="J84" s="3" t="s">
        <v>14</v>
      </c>
      <c r="K84" s="3" t="s">
        <v>13</v>
      </c>
      <c r="L84" s="3" t="s">
        <v>13</v>
      </c>
      <c r="M84" s="3" t="s">
        <v>13</v>
      </c>
      <c r="N84" s="3" t="s">
        <v>14</v>
      </c>
      <c r="O84" s="3">
        <v>0</v>
      </c>
    </row>
    <row r="85" spans="1:15" ht="15" customHeight="1" x14ac:dyDescent="0.25">
      <c r="A85" s="2"/>
      <c r="B85" s="2">
        <v>10</v>
      </c>
      <c r="C85" s="2" t="s">
        <v>10</v>
      </c>
      <c r="D85" s="2" t="s">
        <v>11</v>
      </c>
      <c r="E85" s="2">
        <v>1</v>
      </c>
      <c r="F85" s="2">
        <v>0</v>
      </c>
      <c r="G85" s="2" t="s">
        <v>17</v>
      </c>
      <c r="H85" s="2" t="s">
        <v>108</v>
      </c>
      <c r="I85" s="2">
        <v>1</v>
      </c>
      <c r="J85" s="2" t="s">
        <v>13</v>
      </c>
      <c r="K85" s="2" t="s">
        <v>13</v>
      </c>
      <c r="L85" s="2" t="s">
        <v>13</v>
      </c>
      <c r="M85" s="2" t="s">
        <v>13</v>
      </c>
      <c r="N85" s="2" t="s">
        <v>14</v>
      </c>
      <c r="O85" s="2">
        <v>0</v>
      </c>
    </row>
    <row r="86" spans="1:15" ht="15" customHeight="1" x14ac:dyDescent="0.25">
      <c r="A86" s="3"/>
      <c r="B86" s="3">
        <v>10</v>
      </c>
      <c r="C86" s="3" t="s">
        <v>10</v>
      </c>
      <c r="D86" s="3" t="s">
        <v>20</v>
      </c>
      <c r="E86" s="3">
        <v>0</v>
      </c>
      <c r="F86" s="3">
        <v>0</v>
      </c>
      <c r="G86" s="3" t="s">
        <v>10</v>
      </c>
      <c r="H86" s="3" t="s">
        <v>12</v>
      </c>
      <c r="I86" s="3" t="s">
        <v>15</v>
      </c>
      <c r="J86" s="3" t="s">
        <v>14</v>
      </c>
      <c r="K86" s="3" t="s">
        <v>14</v>
      </c>
      <c r="L86" s="3" t="s">
        <v>14</v>
      </c>
      <c r="M86" s="3" t="s">
        <v>14</v>
      </c>
      <c r="N86" s="3" t="s">
        <v>14</v>
      </c>
      <c r="O86" s="3">
        <v>1</v>
      </c>
    </row>
    <row r="87" spans="1:15" ht="15" customHeight="1" x14ac:dyDescent="0.25">
      <c r="A87" s="2"/>
      <c r="B87" s="2">
        <v>30</v>
      </c>
      <c r="C87" s="2" t="s">
        <v>10</v>
      </c>
      <c r="D87" s="2" t="s">
        <v>11</v>
      </c>
      <c r="E87" s="2">
        <v>1</v>
      </c>
      <c r="F87" s="2">
        <v>0</v>
      </c>
      <c r="G87" s="2" t="s">
        <v>10</v>
      </c>
      <c r="H87" s="2" t="s">
        <v>12</v>
      </c>
      <c r="I87" s="2">
        <v>2</v>
      </c>
      <c r="J87" s="2" t="s">
        <v>13</v>
      </c>
      <c r="K87" s="2" t="s">
        <v>14</v>
      </c>
      <c r="L87" s="2" t="s">
        <v>14</v>
      </c>
      <c r="M87" s="2" t="s">
        <v>13</v>
      </c>
      <c r="N87" s="2" t="s">
        <v>14</v>
      </c>
      <c r="O87" s="2">
        <v>0</v>
      </c>
    </row>
    <row r="88" spans="1:15" ht="15" customHeight="1" x14ac:dyDescent="0.25">
      <c r="A88" s="3"/>
      <c r="B88" s="3">
        <v>10</v>
      </c>
      <c r="C88" s="3" t="s">
        <v>10</v>
      </c>
      <c r="D88" s="3" t="s">
        <v>19</v>
      </c>
      <c r="E88" s="3">
        <v>1</v>
      </c>
      <c r="F88" s="3">
        <v>1</v>
      </c>
      <c r="G88" s="3" t="s">
        <v>17</v>
      </c>
      <c r="H88" s="3" t="s">
        <v>108</v>
      </c>
      <c r="I88" s="3">
        <v>1</v>
      </c>
      <c r="J88" s="3" t="s">
        <v>14</v>
      </c>
      <c r="K88" s="3" t="s">
        <v>13</v>
      </c>
      <c r="L88" s="3" t="s">
        <v>13</v>
      </c>
      <c r="M88" s="3" t="s">
        <v>13</v>
      </c>
      <c r="N88" s="3" t="s">
        <v>14</v>
      </c>
      <c r="O88" s="3">
        <v>0</v>
      </c>
    </row>
    <row r="89" spans="1:15" ht="15" customHeight="1" x14ac:dyDescent="0.25">
      <c r="A89" s="2"/>
      <c r="B89" s="2">
        <v>10</v>
      </c>
      <c r="C89" s="2" t="s">
        <v>18</v>
      </c>
      <c r="D89" s="2" t="s">
        <v>19</v>
      </c>
      <c r="E89" s="2">
        <v>0</v>
      </c>
      <c r="F89" s="2">
        <v>0</v>
      </c>
      <c r="G89" s="2" t="s">
        <v>10</v>
      </c>
      <c r="H89" s="2" t="s">
        <v>16</v>
      </c>
      <c r="I89" s="2">
        <v>2</v>
      </c>
      <c r="J89" s="2" t="s">
        <v>14</v>
      </c>
      <c r="K89" s="2" t="s">
        <v>13</v>
      </c>
      <c r="L89" s="2" t="s">
        <v>14</v>
      </c>
      <c r="M89" s="2" t="s">
        <v>14</v>
      </c>
      <c r="N89" s="2" t="s">
        <v>14</v>
      </c>
      <c r="O89" s="2">
        <v>1</v>
      </c>
    </row>
    <row r="90" spans="1:15" ht="15" customHeight="1" x14ac:dyDescent="0.25">
      <c r="A90" s="3"/>
      <c r="B90" s="3">
        <v>20</v>
      </c>
      <c r="C90" s="3" t="s">
        <v>18</v>
      </c>
      <c r="D90" s="3" t="s">
        <v>20</v>
      </c>
      <c r="E90" s="3">
        <v>0</v>
      </c>
      <c r="F90" s="3">
        <v>0</v>
      </c>
      <c r="G90" s="3" t="s">
        <v>10</v>
      </c>
      <c r="H90" s="3" t="s">
        <v>12</v>
      </c>
      <c r="I90" s="3">
        <v>1</v>
      </c>
      <c r="J90" s="3" t="s">
        <v>14</v>
      </c>
      <c r="K90" s="3" t="s">
        <v>14</v>
      </c>
      <c r="L90" s="3" t="s">
        <v>14</v>
      </c>
      <c r="M90" s="3" t="s">
        <v>14</v>
      </c>
      <c r="N90" s="3" t="s">
        <v>14</v>
      </c>
      <c r="O90" s="3">
        <v>1</v>
      </c>
    </row>
    <row r="91" spans="1:15" ht="15" customHeight="1" x14ac:dyDescent="0.25">
      <c r="A91" s="2"/>
      <c r="B91" s="2">
        <v>10</v>
      </c>
      <c r="C91" s="2" t="s">
        <v>10</v>
      </c>
      <c r="D91" s="2" t="s">
        <v>20</v>
      </c>
      <c r="E91" s="2">
        <v>0</v>
      </c>
      <c r="F91" s="2">
        <v>0</v>
      </c>
      <c r="G91" s="2" t="s">
        <v>10</v>
      </c>
      <c r="H91" s="2" t="s">
        <v>12</v>
      </c>
      <c r="I91" s="2" t="s">
        <v>15</v>
      </c>
      <c r="J91" s="2" t="s">
        <v>14</v>
      </c>
      <c r="K91" s="2" t="s">
        <v>14</v>
      </c>
      <c r="L91" s="2" t="s">
        <v>14</v>
      </c>
      <c r="M91" s="2" t="s">
        <v>14</v>
      </c>
      <c r="N91" s="2" t="s">
        <v>14</v>
      </c>
      <c r="O91" s="2">
        <v>1</v>
      </c>
    </row>
    <row r="92" spans="1:15" ht="15" customHeight="1" x14ac:dyDescent="0.25">
      <c r="A92" s="3"/>
      <c r="B92" s="3">
        <v>10</v>
      </c>
      <c r="C92" s="3" t="s">
        <v>18</v>
      </c>
      <c r="D92" s="3" t="s">
        <v>20</v>
      </c>
      <c r="E92" s="3">
        <v>0</v>
      </c>
      <c r="F92" s="3">
        <v>0</v>
      </c>
      <c r="G92" s="3" t="s">
        <v>10</v>
      </c>
      <c r="H92" s="3" t="s">
        <v>12</v>
      </c>
      <c r="I92" s="3">
        <v>2</v>
      </c>
      <c r="J92" s="3" t="s">
        <v>14</v>
      </c>
      <c r="K92" s="3" t="s">
        <v>14</v>
      </c>
      <c r="L92" s="3" t="s">
        <v>14</v>
      </c>
      <c r="M92" s="3" t="s">
        <v>14</v>
      </c>
      <c r="N92" s="3" t="s">
        <v>14</v>
      </c>
      <c r="O92" s="3">
        <v>1</v>
      </c>
    </row>
    <row r="93" spans="1:15" ht="15" customHeight="1" x14ac:dyDescent="0.25">
      <c r="A93" s="2"/>
      <c r="B93" s="2">
        <v>30</v>
      </c>
      <c r="C93" s="2" t="s">
        <v>10</v>
      </c>
      <c r="D93" s="2" t="s">
        <v>19</v>
      </c>
      <c r="E93" s="2">
        <v>1</v>
      </c>
      <c r="F93" s="2">
        <v>0</v>
      </c>
      <c r="G93" s="2" t="s">
        <v>10</v>
      </c>
      <c r="H93" s="2" t="s">
        <v>12</v>
      </c>
      <c r="I93" s="2" t="s">
        <v>15</v>
      </c>
      <c r="J93" s="2" t="s">
        <v>14</v>
      </c>
      <c r="K93" s="2" t="s">
        <v>14</v>
      </c>
      <c r="L93" s="2" t="s">
        <v>14</v>
      </c>
      <c r="M93" s="2" t="s">
        <v>13</v>
      </c>
      <c r="N93" s="2" t="s">
        <v>14</v>
      </c>
      <c r="O93" s="2">
        <v>1</v>
      </c>
    </row>
    <row r="94" spans="1:15" ht="15" customHeight="1" x14ac:dyDescent="0.25">
      <c r="A94" s="3"/>
      <c r="B94" s="3">
        <v>10</v>
      </c>
      <c r="C94" s="3" t="s">
        <v>18</v>
      </c>
      <c r="D94" s="3" t="s">
        <v>20</v>
      </c>
      <c r="E94" s="3">
        <v>0</v>
      </c>
      <c r="F94" s="3">
        <v>0</v>
      </c>
      <c r="G94" s="3" t="s">
        <v>10</v>
      </c>
      <c r="H94" s="3" t="s">
        <v>12</v>
      </c>
      <c r="I94" s="3">
        <v>2</v>
      </c>
      <c r="J94" s="3" t="s">
        <v>14</v>
      </c>
      <c r="K94" s="3" t="s">
        <v>14</v>
      </c>
      <c r="L94" s="3" t="s">
        <v>14</v>
      </c>
      <c r="M94" s="3" t="s">
        <v>14</v>
      </c>
      <c r="N94" s="3" t="s">
        <v>14</v>
      </c>
      <c r="O94" s="3">
        <v>1</v>
      </c>
    </row>
    <row r="95" spans="1:15" ht="15" customHeight="1" x14ac:dyDescent="0.25">
      <c r="A95" s="2"/>
      <c r="B95" s="2">
        <v>10</v>
      </c>
      <c r="C95" s="2" t="s">
        <v>10</v>
      </c>
      <c r="D95" s="2" t="s">
        <v>20</v>
      </c>
      <c r="E95" s="2">
        <v>0</v>
      </c>
      <c r="F95" s="2">
        <v>0</v>
      </c>
      <c r="G95" s="2" t="s">
        <v>10</v>
      </c>
      <c r="H95" s="2" t="s">
        <v>12</v>
      </c>
      <c r="I95" s="2">
        <v>2</v>
      </c>
      <c r="J95" s="2" t="s">
        <v>14</v>
      </c>
      <c r="K95" s="2" t="s">
        <v>14</v>
      </c>
      <c r="L95" s="2" t="s">
        <v>14</v>
      </c>
      <c r="M95" s="2" t="s">
        <v>14</v>
      </c>
      <c r="N95" s="2" t="s">
        <v>14</v>
      </c>
      <c r="O95" s="2">
        <v>1</v>
      </c>
    </row>
    <row r="96" spans="1:15" ht="15" customHeight="1" x14ac:dyDescent="0.25">
      <c r="A96" s="3"/>
      <c r="B96" s="3">
        <v>20</v>
      </c>
      <c r="C96" s="3" t="s">
        <v>10</v>
      </c>
      <c r="D96" s="3" t="s">
        <v>19</v>
      </c>
      <c r="E96" s="3">
        <v>1</v>
      </c>
      <c r="F96" s="3">
        <v>1</v>
      </c>
      <c r="G96" s="3" t="s">
        <v>10</v>
      </c>
      <c r="H96" s="3" t="s">
        <v>16</v>
      </c>
      <c r="I96" s="3">
        <v>2</v>
      </c>
      <c r="J96" s="3" t="s">
        <v>14</v>
      </c>
      <c r="K96" s="3" t="s">
        <v>14</v>
      </c>
      <c r="L96" s="3" t="s">
        <v>14</v>
      </c>
      <c r="M96" s="3" t="s">
        <v>13</v>
      </c>
      <c r="N96" s="3" t="s">
        <v>14</v>
      </c>
      <c r="O96" s="3">
        <v>0</v>
      </c>
    </row>
    <row r="97" spans="1:15" ht="15" customHeight="1" x14ac:dyDescent="0.25">
      <c r="A97" s="2"/>
      <c r="B97" s="2">
        <v>10</v>
      </c>
      <c r="C97" s="2" t="s">
        <v>10</v>
      </c>
      <c r="D97" s="2" t="s">
        <v>19</v>
      </c>
      <c r="E97" s="2">
        <v>0</v>
      </c>
      <c r="F97" s="2">
        <v>1</v>
      </c>
      <c r="G97" s="2" t="s">
        <v>10</v>
      </c>
      <c r="H97" s="2" t="s">
        <v>12</v>
      </c>
      <c r="I97" s="2">
        <v>2</v>
      </c>
      <c r="J97" s="2" t="s">
        <v>14</v>
      </c>
      <c r="K97" s="2" t="s">
        <v>13</v>
      </c>
      <c r="L97" s="2" t="s">
        <v>14</v>
      </c>
      <c r="M97" s="2" t="s">
        <v>14</v>
      </c>
      <c r="N97" s="2" t="s">
        <v>14</v>
      </c>
      <c r="O97" s="2">
        <v>1</v>
      </c>
    </row>
    <row r="98" spans="1:15" ht="15" customHeight="1" x14ac:dyDescent="0.25">
      <c r="A98" s="3"/>
      <c r="B98" s="3">
        <v>10</v>
      </c>
      <c r="C98" s="3" t="s">
        <v>10</v>
      </c>
      <c r="D98" s="3" t="s">
        <v>11</v>
      </c>
      <c r="E98" s="3">
        <v>2</v>
      </c>
      <c r="F98" s="3">
        <v>0</v>
      </c>
      <c r="G98" s="3" t="s">
        <v>10</v>
      </c>
      <c r="H98" s="3" t="s">
        <v>12</v>
      </c>
      <c r="I98" s="3">
        <v>2</v>
      </c>
      <c r="J98" s="3" t="s">
        <v>13</v>
      </c>
      <c r="K98" s="3" t="s">
        <v>14</v>
      </c>
      <c r="L98" s="3" t="s">
        <v>14</v>
      </c>
      <c r="M98" s="3" t="s">
        <v>14</v>
      </c>
      <c r="N98" s="3" t="s">
        <v>14</v>
      </c>
      <c r="O98" s="3">
        <v>0</v>
      </c>
    </row>
    <row r="99" spans="1:15" ht="15" customHeight="1" x14ac:dyDescent="0.25">
      <c r="A99" s="2"/>
      <c r="B99" s="2">
        <v>10</v>
      </c>
      <c r="C99" s="2" t="s">
        <v>10</v>
      </c>
      <c r="D99" s="2" t="s">
        <v>19</v>
      </c>
      <c r="E99" s="2">
        <v>0</v>
      </c>
      <c r="F99" s="2">
        <v>0</v>
      </c>
      <c r="G99" s="2" t="s">
        <v>10</v>
      </c>
      <c r="H99" s="2" t="s">
        <v>12</v>
      </c>
      <c r="I99" s="2" t="s">
        <v>15</v>
      </c>
      <c r="J99" s="2" t="s">
        <v>14</v>
      </c>
      <c r="K99" s="2" t="s">
        <v>14</v>
      </c>
      <c r="L99" s="2" t="s">
        <v>14</v>
      </c>
      <c r="M99" s="2" t="s">
        <v>14</v>
      </c>
      <c r="N99" s="2" t="s">
        <v>14</v>
      </c>
      <c r="O99" s="2">
        <v>1</v>
      </c>
    </row>
    <row r="100" spans="1:15" ht="15" customHeight="1" x14ac:dyDescent="0.25">
      <c r="A100" s="3"/>
      <c r="B100" s="3">
        <v>20</v>
      </c>
      <c r="C100" s="3" t="s">
        <v>10</v>
      </c>
      <c r="D100" s="3" t="s">
        <v>19</v>
      </c>
      <c r="E100" s="3">
        <v>0</v>
      </c>
      <c r="F100" s="3">
        <v>0</v>
      </c>
      <c r="G100" s="3" t="s">
        <v>10</v>
      </c>
      <c r="H100" s="3" t="s">
        <v>12</v>
      </c>
      <c r="I100" s="3">
        <v>2</v>
      </c>
      <c r="J100" s="3" t="s">
        <v>14</v>
      </c>
      <c r="K100" s="3" t="s">
        <v>14</v>
      </c>
      <c r="L100" s="3" t="s">
        <v>14</v>
      </c>
      <c r="M100" s="3" t="s">
        <v>14</v>
      </c>
      <c r="N100" s="3" t="s">
        <v>14</v>
      </c>
      <c r="O100" s="3">
        <v>1</v>
      </c>
    </row>
    <row r="101" spans="1:15" ht="15" customHeight="1" x14ac:dyDescent="0.25">
      <c r="A101" s="2"/>
      <c r="B101" s="2">
        <v>10</v>
      </c>
      <c r="C101" s="2" t="s">
        <v>18</v>
      </c>
      <c r="D101" s="2" t="s">
        <v>19</v>
      </c>
      <c r="E101" s="2">
        <v>0</v>
      </c>
      <c r="F101" s="2">
        <v>0</v>
      </c>
      <c r="G101" s="2" t="s">
        <v>10</v>
      </c>
      <c r="H101" s="2" t="s">
        <v>12</v>
      </c>
      <c r="I101" s="2">
        <v>1</v>
      </c>
      <c r="J101" s="2" t="s">
        <v>14</v>
      </c>
      <c r="K101" s="2" t="s">
        <v>14</v>
      </c>
      <c r="L101" s="2" t="s">
        <v>14</v>
      </c>
      <c r="M101" s="2" t="s">
        <v>14</v>
      </c>
      <c r="N101" s="2" t="s">
        <v>14</v>
      </c>
      <c r="O101" s="2">
        <v>1</v>
      </c>
    </row>
    <row r="102" spans="1:15" ht="15" customHeight="1" x14ac:dyDescent="0.25">
      <c r="A102" s="3"/>
      <c r="B102" s="3">
        <v>5</v>
      </c>
      <c r="C102" s="3" t="s">
        <v>10</v>
      </c>
      <c r="D102" s="3" t="s">
        <v>19</v>
      </c>
      <c r="E102" s="3">
        <v>0</v>
      </c>
      <c r="F102" s="3">
        <v>0</v>
      </c>
      <c r="G102" s="3" t="s">
        <v>10</v>
      </c>
      <c r="H102" s="3" t="s">
        <v>12</v>
      </c>
      <c r="I102" s="3">
        <v>1</v>
      </c>
      <c r="J102" s="3" t="s">
        <v>14</v>
      </c>
      <c r="K102" s="3" t="s">
        <v>14</v>
      </c>
      <c r="L102" s="3" t="s">
        <v>14</v>
      </c>
      <c r="M102" s="3" t="s">
        <v>14</v>
      </c>
      <c r="N102" s="3" t="s">
        <v>14</v>
      </c>
      <c r="O102" s="3">
        <v>1</v>
      </c>
    </row>
    <row r="103" spans="1:15" ht="15" customHeight="1" x14ac:dyDescent="0.25">
      <c r="A103" s="2"/>
      <c r="B103" s="2">
        <v>5</v>
      </c>
      <c r="C103" s="2" t="s">
        <v>14</v>
      </c>
      <c r="D103" s="2" t="s">
        <v>19</v>
      </c>
      <c r="E103" s="2">
        <v>0</v>
      </c>
      <c r="F103" s="2">
        <v>0</v>
      </c>
      <c r="G103" s="2" t="s">
        <v>10</v>
      </c>
      <c r="H103" s="2" t="s">
        <v>12</v>
      </c>
      <c r="I103" s="2" t="s">
        <v>15</v>
      </c>
      <c r="J103" s="2" t="s">
        <v>14</v>
      </c>
      <c r="K103" s="2" t="s">
        <v>14</v>
      </c>
      <c r="L103" s="2" t="s">
        <v>14</v>
      </c>
      <c r="M103" s="2" t="s">
        <v>14</v>
      </c>
      <c r="N103" s="2" t="s">
        <v>14</v>
      </c>
      <c r="O103" s="2">
        <v>1</v>
      </c>
    </row>
    <row r="104" spans="1:15" ht="15" customHeight="1" x14ac:dyDescent="0.25">
      <c r="A104" s="3"/>
      <c r="B104" s="3">
        <v>10</v>
      </c>
      <c r="C104" s="3" t="s">
        <v>14</v>
      </c>
      <c r="D104" s="3" t="s">
        <v>19</v>
      </c>
      <c r="E104" s="3">
        <v>0</v>
      </c>
      <c r="F104" s="3">
        <v>0</v>
      </c>
      <c r="G104" s="3" t="s">
        <v>10</v>
      </c>
      <c r="H104" s="3" t="s">
        <v>12</v>
      </c>
      <c r="I104" s="3" t="s">
        <v>15</v>
      </c>
      <c r="J104" s="3" t="s">
        <v>14</v>
      </c>
      <c r="K104" s="3" t="s">
        <v>14</v>
      </c>
      <c r="L104" s="3" t="s">
        <v>14</v>
      </c>
      <c r="M104" s="3" t="s">
        <v>14</v>
      </c>
      <c r="N104" s="3" t="s">
        <v>14</v>
      </c>
      <c r="O104" s="3">
        <v>1</v>
      </c>
    </row>
    <row r="105" spans="1:15" ht="15" customHeight="1" x14ac:dyDescent="0.25">
      <c r="A105" s="2"/>
      <c r="B105" s="2">
        <v>10</v>
      </c>
      <c r="C105" s="2" t="s">
        <v>10</v>
      </c>
      <c r="D105" s="2" t="s">
        <v>19</v>
      </c>
      <c r="E105" s="2">
        <v>1</v>
      </c>
      <c r="F105" s="2">
        <v>1</v>
      </c>
      <c r="G105" s="2" t="s">
        <v>10</v>
      </c>
      <c r="H105" s="2" t="s">
        <v>16</v>
      </c>
      <c r="I105" s="2">
        <v>2</v>
      </c>
      <c r="J105" s="2" t="s">
        <v>14</v>
      </c>
      <c r="K105" s="2" t="s">
        <v>14</v>
      </c>
      <c r="L105" s="2" t="s">
        <v>14</v>
      </c>
      <c r="M105" s="2" t="s">
        <v>14</v>
      </c>
      <c r="N105" s="2" t="s">
        <v>14</v>
      </c>
      <c r="O105" s="2">
        <v>0</v>
      </c>
    </row>
    <row r="106" spans="1:15" ht="15" customHeight="1" x14ac:dyDescent="0.25">
      <c r="A106" s="3"/>
      <c r="B106" s="3">
        <v>20</v>
      </c>
      <c r="C106" s="3" t="s">
        <v>10</v>
      </c>
      <c r="D106" s="3" t="s">
        <v>11</v>
      </c>
      <c r="E106" s="3">
        <v>1</v>
      </c>
      <c r="F106" s="3">
        <v>1</v>
      </c>
      <c r="G106" s="3" t="s">
        <v>10</v>
      </c>
      <c r="H106" s="3" t="s">
        <v>12</v>
      </c>
      <c r="I106" s="3" t="s">
        <v>15</v>
      </c>
      <c r="J106" s="3" t="s">
        <v>13</v>
      </c>
      <c r="K106" s="3" t="s">
        <v>14</v>
      </c>
      <c r="L106" s="3" t="s">
        <v>14</v>
      </c>
      <c r="M106" s="3" t="s">
        <v>14</v>
      </c>
      <c r="N106" s="3" t="s">
        <v>14</v>
      </c>
      <c r="O106" s="3">
        <v>0</v>
      </c>
    </row>
    <row r="107" spans="1:15" ht="15" customHeight="1" x14ac:dyDescent="0.25">
      <c r="A107" s="2"/>
      <c r="B107" s="2">
        <v>5</v>
      </c>
      <c r="C107" s="2" t="s">
        <v>10</v>
      </c>
      <c r="D107" s="2" t="s">
        <v>20</v>
      </c>
      <c r="E107" s="2">
        <v>0</v>
      </c>
      <c r="F107" s="2">
        <v>0</v>
      </c>
      <c r="G107" s="2" t="s">
        <v>10</v>
      </c>
      <c r="H107" s="2" t="s">
        <v>12</v>
      </c>
      <c r="I107" s="2">
        <v>1</v>
      </c>
      <c r="J107" s="2" t="s">
        <v>14</v>
      </c>
      <c r="K107" s="2" t="s">
        <v>14</v>
      </c>
      <c r="L107" s="2" t="s">
        <v>14</v>
      </c>
      <c r="M107" s="2" t="s">
        <v>14</v>
      </c>
      <c r="N107" s="2" t="s">
        <v>14</v>
      </c>
      <c r="O107" s="2">
        <v>0</v>
      </c>
    </row>
    <row r="108" spans="1:15" ht="15" customHeight="1" x14ac:dyDescent="0.25">
      <c r="A108" s="3"/>
      <c r="B108" s="3">
        <v>10</v>
      </c>
      <c r="C108" s="3" t="s">
        <v>14</v>
      </c>
      <c r="D108" s="3" t="s">
        <v>11</v>
      </c>
      <c r="E108" s="3">
        <v>1</v>
      </c>
      <c r="F108" s="3">
        <v>3</v>
      </c>
      <c r="G108" s="3" t="s">
        <v>10</v>
      </c>
      <c r="H108" s="3" t="s">
        <v>12</v>
      </c>
      <c r="I108" s="3" t="s">
        <v>15</v>
      </c>
      <c r="J108" s="3" t="s">
        <v>14</v>
      </c>
      <c r="K108" s="3" t="s">
        <v>14</v>
      </c>
      <c r="L108" s="3" t="s">
        <v>14</v>
      </c>
      <c r="M108" s="3" t="s">
        <v>14</v>
      </c>
      <c r="N108" s="3" t="s">
        <v>13</v>
      </c>
      <c r="O108" s="3">
        <v>1</v>
      </c>
    </row>
    <row r="109" spans="1:15" ht="15" customHeight="1" x14ac:dyDescent="0.25">
      <c r="A109" s="2"/>
      <c r="B109" s="2">
        <v>10</v>
      </c>
      <c r="C109" s="2" t="s">
        <v>10</v>
      </c>
      <c r="D109" s="2" t="s">
        <v>19</v>
      </c>
      <c r="E109" s="2">
        <v>1</v>
      </c>
      <c r="F109" s="2">
        <v>0</v>
      </c>
      <c r="G109" s="2" t="s">
        <v>17</v>
      </c>
      <c r="H109" s="2" t="s">
        <v>108</v>
      </c>
      <c r="I109" s="2">
        <v>1</v>
      </c>
      <c r="J109" s="2" t="s">
        <v>14</v>
      </c>
      <c r="K109" s="2" t="s">
        <v>13</v>
      </c>
      <c r="L109" s="2" t="s">
        <v>13</v>
      </c>
      <c r="M109" s="2" t="s">
        <v>13</v>
      </c>
      <c r="N109" s="2" t="s">
        <v>14</v>
      </c>
      <c r="O109" s="2">
        <v>0</v>
      </c>
    </row>
    <row r="110" spans="1:15" ht="15" customHeight="1" x14ac:dyDescent="0.25">
      <c r="A110" s="3"/>
      <c r="B110" s="3">
        <v>20</v>
      </c>
      <c r="C110" s="3" t="s">
        <v>10</v>
      </c>
      <c r="D110" s="3" t="s">
        <v>19</v>
      </c>
      <c r="E110" s="3">
        <v>1</v>
      </c>
      <c r="F110" s="3">
        <v>0</v>
      </c>
      <c r="G110" s="3" t="s">
        <v>17</v>
      </c>
      <c r="H110" s="3" t="s">
        <v>108</v>
      </c>
      <c r="I110" s="3">
        <v>1</v>
      </c>
      <c r="J110" s="3" t="s">
        <v>14</v>
      </c>
      <c r="K110" s="3" t="s">
        <v>13</v>
      </c>
      <c r="L110" s="3" t="s">
        <v>13</v>
      </c>
      <c r="M110" s="3" t="s">
        <v>13</v>
      </c>
      <c r="N110" s="3" t="s">
        <v>14</v>
      </c>
      <c r="O110" s="3">
        <v>0</v>
      </c>
    </row>
    <row r="111" spans="1:15" ht="15" customHeight="1" x14ac:dyDescent="0.25">
      <c r="A111" s="2"/>
      <c r="B111" s="2">
        <v>0</v>
      </c>
      <c r="C111" s="2" t="s">
        <v>10</v>
      </c>
      <c r="D111" s="2" t="s">
        <v>19</v>
      </c>
      <c r="E111" s="2">
        <v>1</v>
      </c>
      <c r="F111" s="2">
        <v>0</v>
      </c>
      <c r="G111" s="2" t="s">
        <v>17</v>
      </c>
      <c r="H111" s="2" t="s">
        <v>108</v>
      </c>
      <c r="I111" s="2">
        <v>1</v>
      </c>
      <c r="J111" s="2" t="s">
        <v>14</v>
      </c>
      <c r="K111" s="2" t="s">
        <v>13</v>
      </c>
      <c r="L111" s="2" t="s">
        <v>13</v>
      </c>
      <c r="M111" s="2" t="s">
        <v>13</v>
      </c>
      <c r="N111" s="2" t="s">
        <v>14</v>
      </c>
      <c r="O111" s="2">
        <v>0</v>
      </c>
    </row>
    <row r="112" spans="1:15" ht="15" customHeight="1" x14ac:dyDescent="0.25">
      <c r="A112" s="3"/>
      <c r="B112" s="3">
        <v>10</v>
      </c>
      <c r="C112" s="3" t="s">
        <v>18</v>
      </c>
      <c r="D112" s="3" t="s">
        <v>19</v>
      </c>
      <c r="E112" s="3">
        <v>0</v>
      </c>
      <c r="F112" s="3">
        <v>0</v>
      </c>
      <c r="G112" s="3" t="s">
        <v>10</v>
      </c>
      <c r="H112" s="3" t="s">
        <v>16</v>
      </c>
      <c r="I112" s="3">
        <v>2</v>
      </c>
      <c r="J112" s="3" t="s">
        <v>14</v>
      </c>
      <c r="K112" s="3" t="s">
        <v>13</v>
      </c>
      <c r="L112" s="3" t="s">
        <v>14</v>
      </c>
      <c r="M112" s="3" t="s">
        <v>14</v>
      </c>
      <c r="N112" s="3" t="s">
        <v>14</v>
      </c>
      <c r="O112" s="3">
        <v>1</v>
      </c>
    </row>
    <row r="113" spans="1:15" ht="15" customHeight="1" x14ac:dyDescent="0.25">
      <c r="A113" s="2"/>
      <c r="B113" s="2">
        <v>5</v>
      </c>
      <c r="C113" s="2" t="s">
        <v>18</v>
      </c>
      <c r="D113" s="2" t="s">
        <v>20</v>
      </c>
      <c r="E113" s="2">
        <v>0</v>
      </c>
      <c r="F113" s="2">
        <v>0</v>
      </c>
      <c r="G113" s="2" t="s">
        <v>10</v>
      </c>
      <c r="H113" s="2" t="s">
        <v>12</v>
      </c>
      <c r="I113" s="2">
        <v>1</v>
      </c>
      <c r="J113" s="2" t="s">
        <v>14</v>
      </c>
      <c r="K113" s="2" t="s">
        <v>14</v>
      </c>
      <c r="L113" s="2" t="s">
        <v>14</v>
      </c>
      <c r="M113" s="2" t="s">
        <v>14</v>
      </c>
      <c r="N113" s="2" t="s">
        <v>14</v>
      </c>
      <c r="O113" s="2">
        <v>1</v>
      </c>
    </row>
    <row r="114" spans="1:15" ht="15" customHeight="1" x14ac:dyDescent="0.25">
      <c r="A114" s="3"/>
      <c r="B114" s="3">
        <v>20</v>
      </c>
      <c r="C114" s="3" t="s">
        <v>18</v>
      </c>
      <c r="D114" s="3" t="s">
        <v>20</v>
      </c>
      <c r="E114" s="3">
        <v>0</v>
      </c>
      <c r="F114" s="3">
        <v>0</v>
      </c>
      <c r="G114" s="3" t="s">
        <v>10</v>
      </c>
      <c r="H114" s="3" t="s">
        <v>16</v>
      </c>
      <c r="I114" s="3">
        <v>1</v>
      </c>
      <c r="J114" s="3" t="s">
        <v>14</v>
      </c>
      <c r="K114" s="3" t="s">
        <v>14</v>
      </c>
      <c r="L114" s="3" t="s">
        <v>14</v>
      </c>
      <c r="M114" s="3" t="s">
        <v>14</v>
      </c>
      <c r="N114" s="3" t="s">
        <v>14</v>
      </c>
      <c r="O114" s="3">
        <v>1</v>
      </c>
    </row>
    <row r="115" spans="1:15" ht="15" customHeight="1" x14ac:dyDescent="0.25">
      <c r="A115" s="2"/>
      <c r="B115" s="2">
        <v>30</v>
      </c>
      <c r="C115" s="2" t="s">
        <v>10</v>
      </c>
      <c r="D115" s="2" t="s">
        <v>19</v>
      </c>
      <c r="E115" s="2">
        <v>1</v>
      </c>
      <c r="F115" s="2">
        <v>0</v>
      </c>
      <c r="G115" s="2" t="s">
        <v>10</v>
      </c>
      <c r="H115" s="2" t="s">
        <v>12</v>
      </c>
      <c r="I115" s="2">
        <v>2</v>
      </c>
      <c r="J115" s="2" t="s">
        <v>14</v>
      </c>
      <c r="K115" s="2" t="s">
        <v>14</v>
      </c>
      <c r="L115" s="2" t="s">
        <v>14</v>
      </c>
      <c r="M115" s="2" t="s">
        <v>13</v>
      </c>
      <c r="N115" s="2" t="s">
        <v>14</v>
      </c>
      <c r="O115" s="2">
        <v>0</v>
      </c>
    </row>
    <row r="116" spans="1:15" ht="15" customHeight="1" x14ac:dyDescent="0.25">
      <c r="A116" s="3"/>
      <c r="B116" s="3">
        <v>10</v>
      </c>
      <c r="C116" s="3" t="s">
        <v>10</v>
      </c>
      <c r="D116" s="3" t="s">
        <v>19</v>
      </c>
      <c r="E116" s="3">
        <v>1</v>
      </c>
      <c r="F116" s="3">
        <v>0</v>
      </c>
      <c r="G116" s="3" t="s">
        <v>17</v>
      </c>
      <c r="H116" s="3" t="s">
        <v>108</v>
      </c>
      <c r="I116" s="3">
        <v>1</v>
      </c>
      <c r="J116" s="3" t="s">
        <v>14</v>
      </c>
      <c r="K116" s="3" t="s">
        <v>13</v>
      </c>
      <c r="L116" s="3" t="s">
        <v>13</v>
      </c>
      <c r="M116" s="3" t="s">
        <v>13</v>
      </c>
      <c r="N116" s="3" t="s">
        <v>14</v>
      </c>
      <c r="O116" s="3">
        <v>1</v>
      </c>
    </row>
    <row r="117" spans="1:15" ht="15" customHeight="1" x14ac:dyDescent="0.25">
      <c r="A117" s="2"/>
      <c r="B117" s="2">
        <v>5</v>
      </c>
      <c r="C117" s="2" t="s">
        <v>10</v>
      </c>
      <c r="D117" s="2" t="s">
        <v>19</v>
      </c>
      <c r="E117" s="2">
        <v>0</v>
      </c>
      <c r="F117" s="2">
        <v>0</v>
      </c>
      <c r="G117" s="2" t="s">
        <v>10</v>
      </c>
      <c r="H117" s="2" t="s">
        <v>12</v>
      </c>
      <c r="I117" s="2">
        <v>1</v>
      </c>
      <c r="J117" s="2" t="s">
        <v>14</v>
      </c>
      <c r="K117" s="2" t="s">
        <v>13</v>
      </c>
      <c r="L117" s="2" t="s">
        <v>13</v>
      </c>
      <c r="M117" s="2" t="s">
        <v>13</v>
      </c>
      <c r="N117" s="2" t="s">
        <v>14</v>
      </c>
      <c r="O117" s="2">
        <v>0</v>
      </c>
    </row>
    <row r="118" spans="1:15" ht="15" customHeight="1" x14ac:dyDescent="0.25">
      <c r="A118" s="3"/>
      <c r="B118" s="3">
        <v>20</v>
      </c>
      <c r="C118" s="3" t="s">
        <v>18</v>
      </c>
      <c r="D118" s="3" t="s">
        <v>20</v>
      </c>
      <c r="E118" s="3">
        <v>0</v>
      </c>
      <c r="F118" s="3">
        <v>0</v>
      </c>
      <c r="G118" s="3" t="s">
        <v>10</v>
      </c>
      <c r="H118" s="3" t="s">
        <v>16</v>
      </c>
      <c r="I118" s="3">
        <v>1</v>
      </c>
      <c r="J118" s="3" t="s">
        <v>14</v>
      </c>
      <c r="K118" s="3" t="s">
        <v>14</v>
      </c>
      <c r="L118" s="3" t="s">
        <v>14</v>
      </c>
      <c r="M118" s="3" t="s">
        <v>14</v>
      </c>
      <c r="N118" s="3" t="s">
        <v>14</v>
      </c>
      <c r="O118" s="3">
        <v>1</v>
      </c>
    </row>
    <row r="119" spans="1:15" ht="15" customHeight="1" x14ac:dyDescent="0.25">
      <c r="A119" s="2"/>
      <c r="B119" s="2">
        <v>10</v>
      </c>
      <c r="C119" s="2" t="s">
        <v>10</v>
      </c>
      <c r="D119" s="2" t="s">
        <v>20</v>
      </c>
      <c r="E119" s="2">
        <v>0</v>
      </c>
      <c r="F119" s="2">
        <v>0</v>
      </c>
      <c r="G119" s="2" t="s">
        <v>10</v>
      </c>
      <c r="H119" s="2" t="s">
        <v>12</v>
      </c>
      <c r="I119" s="2">
        <v>2</v>
      </c>
      <c r="J119" s="2" t="s">
        <v>14</v>
      </c>
      <c r="K119" s="2" t="s">
        <v>14</v>
      </c>
      <c r="L119" s="2" t="s">
        <v>14</v>
      </c>
      <c r="M119" s="2" t="s">
        <v>14</v>
      </c>
      <c r="N119" s="2" t="s">
        <v>14</v>
      </c>
      <c r="O119" s="2">
        <v>1</v>
      </c>
    </row>
    <row r="120" spans="1:15" ht="15" customHeight="1" x14ac:dyDescent="0.25">
      <c r="A120" s="3"/>
      <c r="B120" s="3">
        <v>20</v>
      </c>
      <c r="C120" s="3" t="s">
        <v>10</v>
      </c>
      <c r="D120" s="3" t="s">
        <v>19</v>
      </c>
      <c r="E120" s="3">
        <v>0</v>
      </c>
      <c r="F120" s="3">
        <v>0</v>
      </c>
      <c r="G120" s="3" t="s">
        <v>10</v>
      </c>
      <c r="H120" s="3" t="s">
        <v>12</v>
      </c>
      <c r="I120" s="3" t="s">
        <v>15</v>
      </c>
      <c r="J120" s="3" t="s">
        <v>14</v>
      </c>
      <c r="K120" s="3" t="s">
        <v>14</v>
      </c>
      <c r="L120" s="3" t="s">
        <v>14</v>
      </c>
      <c r="M120" s="3" t="s">
        <v>14</v>
      </c>
      <c r="N120" s="3" t="s">
        <v>14</v>
      </c>
      <c r="O120" s="3">
        <v>1</v>
      </c>
    </row>
    <row r="121" spans="1:15" ht="15" customHeight="1" x14ac:dyDescent="0.25">
      <c r="A121" s="2"/>
      <c r="B121" s="2">
        <v>5</v>
      </c>
      <c r="C121" s="2" t="s">
        <v>18</v>
      </c>
      <c r="D121" s="2" t="s">
        <v>19</v>
      </c>
      <c r="E121" s="2">
        <v>0</v>
      </c>
      <c r="F121" s="2">
        <v>0</v>
      </c>
      <c r="G121" s="2" t="s">
        <v>10</v>
      </c>
      <c r="H121" s="2" t="s">
        <v>12</v>
      </c>
      <c r="I121" s="2">
        <v>1</v>
      </c>
      <c r="J121" s="2" t="s">
        <v>14</v>
      </c>
      <c r="K121" s="2" t="s">
        <v>14</v>
      </c>
      <c r="L121" s="2" t="s">
        <v>14</v>
      </c>
      <c r="M121" s="2" t="s">
        <v>14</v>
      </c>
      <c r="N121" s="2" t="s">
        <v>14</v>
      </c>
      <c r="O121" s="2">
        <v>1</v>
      </c>
    </row>
    <row r="122" spans="1:15" ht="15" customHeight="1" x14ac:dyDescent="0.25">
      <c r="A122" s="3"/>
      <c r="B122" s="3">
        <v>5</v>
      </c>
      <c r="C122" s="3" t="s">
        <v>10</v>
      </c>
      <c r="D122" s="3" t="s">
        <v>19</v>
      </c>
      <c r="E122" s="3">
        <v>1</v>
      </c>
      <c r="F122" s="3">
        <v>0</v>
      </c>
      <c r="G122" s="3" t="s">
        <v>10</v>
      </c>
      <c r="H122" s="3" t="s">
        <v>12</v>
      </c>
      <c r="I122" s="3">
        <v>1</v>
      </c>
      <c r="J122" s="3" t="s">
        <v>14</v>
      </c>
      <c r="K122" s="3" t="s">
        <v>14</v>
      </c>
      <c r="L122" s="3" t="s">
        <v>14</v>
      </c>
      <c r="M122" s="3" t="s">
        <v>14</v>
      </c>
      <c r="N122" s="3" t="s">
        <v>14</v>
      </c>
      <c r="O122" s="3">
        <v>0</v>
      </c>
    </row>
    <row r="123" spans="1:15" ht="15" customHeight="1" x14ac:dyDescent="0.25">
      <c r="A123" s="2"/>
      <c r="B123" s="2">
        <v>0</v>
      </c>
      <c r="C123" s="2" t="s">
        <v>18</v>
      </c>
      <c r="D123" s="2" t="s">
        <v>19</v>
      </c>
      <c r="E123" s="2">
        <v>0</v>
      </c>
      <c r="F123" s="2">
        <v>1</v>
      </c>
      <c r="G123" s="2" t="s">
        <v>10</v>
      </c>
      <c r="H123" s="2" t="s">
        <v>12</v>
      </c>
      <c r="I123" s="2">
        <v>2</v>
      </c>
      <c r="J123" s="2" t="s">
        <v>14</v>
      </c>
      <c r="K123" s="2" t="s">
        <v>13</v>
      </c>
      <c r="L123" s="2" t="s">
        <v>13</v>
      </c>
      <c r="M123" s="2" t="s">
        <v>14</v>
      </c>
      <c r="N123" s="2" t="s">
        <v>14</v>
      </c>
      <c r="O123" s="2">
        <v>1</v>
      </c>
    </row>
    <row r="124" spans="1:15" ht="15" customHeight="1" x14ac:dyDescent="0.25">
      <c r="A124" s="3"/>
      <c r="B124" s="3">
        <v>10</v>
      </c>
      <c r="C124" s="3" t="s">
        <v>18</v>
      </c>
      <c r="D124" s="3" t="s">
        <v>19</v>
      </c>
      <c r="E124" s="3">
        <v>0</v>
      </c>
      <c r="F124" s="3">
        <v>1</v>
      </c>
      <c r="G124" s="3" t="s">
        <v>10</v>
      </c>
      <c r="H124" s="3" t="s">
        <v>12</v>
      </c>
      <c r="I124" s="3" t="s">
        <v>15</v>
      </c>
      <c r="J124" s="3" t="s">
        <v>14</v>
      </c>
      <c r="K124" s="3" t="s">
        <v>14</v>
      </c>
      <c r="L124" s="3" t="s">
        <v>14</v>
      </c>
      <c r="M124" s="3" t="s">
        <v>14</v>
      </c>
      <c r="N124" s="3" t="s">
        <v>14</v>
      </c>
      <c r="O124" s="3">
        <v>1</v>
      </c>
    </row>
    <row r="125" spans="1:15" ht="15" customHeight="1" x14ac:dyDescent="0.25">
      <c r="A125" s="2"/>
      <c r="B125" s="2">
        <v>10</v>
      </c>
      <c r="C125" s="2" t="s">
        <v>14</v>
      </c>
      <c r="D125" s="2" t="s">
        <v>19</v>
      </c>
      <c r="E125" s="2">
        <v>0</v>
      </c>
      <c r="F125" s="2">
        <v>0</v>
      </c>
      <c r="G125" s="2" t="s">
        <v>10</v>
      </c>
      <c r="H125" s="2" t="s">
        <v>12</v>
      </c>
      <c r="I125" s="2" t="s">
        <v>15</v>
      </c>
      <c r="J125" s="2" t="s">
        <v>14</v>
      </c>
      <c r="K125" s="2" t="s">
        <v>14</v>
      </c>
      <c r="L125" s="2" t="s">
        <v>14</v>
      </c>
      <c r="M125" s="2" t="s">
        <v>14</v>
      </c>
      <c r="N125" s="2" t="s">
        <v>14</v>
      </c>
      <c r="O125" s="2">
        <v>1</v>
      </c>
    </row>
    <row r="126" spans="1:15" ht="15" customHeight="1" x14ac:dyDescent="0.25">
      <c r="A126" s="3"/>
      <c r="B126" s="3">
        <v>20</v>
      </c>
      <c r="C126" s="3" t="s">
        <v>10</v>
      </c>
      <c r="D126" s="3" t="s">
        <v>19</v>
      </c>
      <c r="E126" s="3">
        <v>0</v>
      </c>
      <c r="F126" s="3">
        <v>0</v>
      </c>
      <c r="G126" s="3" t="s">
        <v>10</v>
      </c>
      <c r="H126" s="3" t="s">
        <v>12</v>
      </c>
      <c r="I126" s="3" t="s">
        <v>15</v>
      </c>
      <c r="J126" s="3" t="s">
        <v>14</v>
      </c>
      <c r="K126" s="3" t="s">
        <v>14</v>
      </c>
      <c r="L126" s="3" t="s">
        <v>14</v>
      </c>
      <c r="M126" s="3" t="s">
        <v>14</v>
      </c>
      <c r="N126" s="3" t="s">
        <v>14</v>
      </c>
      <c r="O126" s="3">
        <v>1</v>
      </c>
    </row>
    <row r="127" spans="1:15" ht="15" customHeight="1" x14ac:dyDescent="0.25">
      <c r="A127" s="2"/>
      <c r="B127" s="2">
        <v>10</v>
      </c>
      <c r="C127" s="2" t="s">
        <v>18</v>
      </c>
      <c r="D127" s="2" t="s">
        <v>19</v>
      </c>
      <c r="E127" s="2">
        <v>0</v>
      </c>
      <c r="F127" s="2">
        <v>0</v>
      </c>
      <c r="G127" s="2" t="s">
        <v>10</v>
      </c>
      <c r="H127" s="2" t="s">
        <v>12</v>
      </c>
      <c r="I127" s="2" t="s">
        <v>15</v>
      </c>
      <c r="J127" s="2" t="s">
        <v>14</v>
      </c>
      <c r="K127" s="2" t="s">
        <v>14</v>
      </c>
      <c r="L127" s="2" t="s">
        <v>14</v>
      </c>
      <c r="M127" s="2" t="s">
        <v>14</v>
      </c>
      <c r="N127" s="2" t="s">
        <v>14</v>
      </c>
      <c r="O127" s="2">
        <v>1</v>
      </c>
    </row>
    <row r="128" spans="1:15" ht="15" customHeight="1" x14ac:dyDescent="0.25">
      <c r="A128" s="3"/>
      <c r="B128" s="3">
        <v>10</v>
      </c>
      <c r="C128" s="3" t="s">
        <v>10</v>
      </c>
      <c r="D128" s="3" t="s">
        <v>19</v>
      </c>
      <c r="E128" s="3">
        <v>0</v>
      </c>
      <c r="F128" s="3">
        <v>1</v>
      </c>
      <c r="G128" s="3" t="s">
        <v>10</v>
      </c>
      <c r="H128" s="3" t="s">
        <v>12</v>
      </c>
      <c r="I128" s="3" t="s">
        <v>15</v>
      </c>
      <c r="J128" s="3" t="s">
        <v>14</v>
      </c>
      <c r="K128" s="3" t="s">
        <v>14</v>
      </c>
      <c r="L128" s="3" t="s">
        <v>14</v>
      </c>
      <c r="M128" s="3" t="s">
        <v>14</v>
      </c>
      <c r="N128" s="3" t="s">
        <v>14</v>
      </c>
      <c r="O128" s="3">
        <v>1</v>
      </c>
    </row>
    <row r="129" spans="1:15" ht="15" customHeight="1" x14ac:dyDescent="0.25">
      <c r="A129" s="2"/>
      <c r="B129" s="2">
        <v>10</v>
      </c>
      <c r="C129" s="2" t="s">
        <v>10</v>
      </c>
      <c r="D129" s="2" t="s">
        <v>11</v>
      </c>
      <c r="E129" s="2">
        <v>1</v>
      </c>
      <c r="F129" s="2">
        <v>1</v>
      </c>
      <c r="G129" s="2" t="s">
        <v>10</v>
      </c>
      <c r="H129" s="2" t="s">
        <v>12</v>
      </c>
      <c r="I129" s="2">
        <v>1</v>
      </c>
      <c r="J129" s="2" t="s">
        <v>13</v>
      </c>
      <c r="K129" s="2" t="s">
        <v>13</v>
      </c>
      <c r="L129" s="2" t="s">
        <v>13</v>
      </c>
      <c r="M129" s="2" t="s">
        <v>14</v>
      </c>
      <c r="N129" s="2" t="s">
        <v>14</v>
      </c>
      <c r="O129" s="2">
        <v>1</v>
      </c>
    </row>
    <row r="130" spans="1:15" ht="15" customHeight="1" x14ac:dyDescent="0.25">
      <c r="A130" s="3"/>
      <c r="B130" s="3">
        <v>20</v>
      </c>
      <c r="C130" s="3" t="s">
        <v>14</v>
      </c>
      <c r="D130" s="3" t="s">
        <v>11</v>
      </c>
      <c r="E130" s="3">
        <v>3</v>
      </c>
      <c r="F130" s="3">
        <v>0</v>
      </c>
      <c r="G130" s="3" t="s">
        <v>10</v>
      </c>
      <c r="H130" s="3" t="s">
        <v>16</v>
      </c>
      <c r="I130" s="3">
        <v>1</v>
      </c>
      <c r="J130" s="3" t="s">
        <v>14</v>
      </c>
      <c r="K130" s="3" t="s">
        <v>14</v>
      </c>
      <c r="L130" s="3" t="s">
        <v>14</v>
      </c>
      <c r="M130" s="3" t="s">
        <v>14</v>
      </c>
      <c r="N130" s="3" t="s">
        <v>13</v>
      </c>
      <c r="O130" s="3">
        <v>0</v>
      </c>
    </row>
    <row r="131" spans="1:15" ht="15" customHeight="1" x14ac:dyDescent="0.25">
      <c r="A131" s="2"/>
      <c r="B131" s="2">
        <v>0</v>
      </c>
      <c r="C131" s="2" t="s">
        <v>18</v>
      </c>
      <c r="D131" s="2" t="s">
        <v>11</v>
      </c>
      <c r="E131" s="2">
        <v>0</v>
      </c>
      <c r="F131" s="2">
        <v>1</v>
      </c>
      <c r="G131" s="2" t="s">
        <v>10</v>
      </c>
      <c r="H131" s="2" t="s">
        <v>12</v>
      </c>
      <c r="I131" s="2" t="s">
        <v>15</v>
      </c>
      <c r="J131" s="2" t="s">
        <v>14</v>
      </c>
      <c r="K131" s="2" t="s">
        <v>14</v>
      </c>
      <c r="L131" s="2" t="s">
        <v>14</v>
      </c>
      <c r="M131" s="2" t="s">
        <v>14</v>
      </c>
      <c r="N131" s="2" t="s">
        <v>14</v>
      </c>
      <c r="O131" s="2">
        <v>1</v>
      </c>
    </row>
    <row r="132" spans="1:15" ht="15" customHeight="1" x14ac:dyDescent="0.25">
      <c r="A132" s="3"/>
      <c r="B132" s="3">
        <v>10</v>
      </c>
      <c r="C132" s="3" t="s">
        <v>18</v>
      </c>
      <c r="D132" s="3" t="s">
        <v>19</v>
      </c>
      <c r="E132" s="3">
        <v>0</v>
      </c>
      <c r="F132" s="3">
        <v>0</v>
      </c>
      <c r="G132" s="3" t="s">
        <v>10</v>
      </c>
      <c r="H132" s="3" t="s">
        <v>12</v>
      </c>
      <c r="I132" s="3" t="s">
        <v>15</v>
      </c>
      <c r="J132" s="3" t="s">
        <v>14</v>
      </c>
      <c r="K132" s="3" t="s">
        <v>14</v>
      </c>
      <c r="L132" s="3" t="s">
        <v>14</v>
      </c>
      <c r="M132" s="3" t="s">
        <v>14</v>
      </c>
      <c r="N132" s="3" t="s">
        <v>14</v>
      </c>
      <c r="O132" s="3">
        <v>1</v>
      </c>
    </row>
    <row r="133" spans="1:15" ht="15" customHeight="1" x14ac:dyDescent="0.25">
      <c r="A133" s="2"/>
      <c r="B133" s="2">
        <v>20</v>
      </c>
      <c r="C133" s="2" t="s">
        <v>18</v>
      </c>
      <c r="D133" s="2" t="s">
        <v>19</v>
      </c>
      <c r="E133" s="2">
        <v>0</v>
      </c>
      <c r="F133" s="2">
        <v>1</v>
      </c>
      <c r="G133" s="2" t="s">
        <v>10</v>
      </c>
      <c r="H133" s="2" t="s">
        <v>12</v>
      </c>
      <c r="I133" s="2" t="s">
        <v>15</v>
      </c>
      <c r="J133" s="2" t="s">
        <v>14</v>
      </c>
      <c r="K133" s="2" t="s">
        <v>14</v>
      </c>
      <c r="L133" s="2" t="s">
        <v>14</v>
      </c>
      <c r="M133" s="2" t="s">
        <v>14</v>
      </c>
      <c r="N133" s="2" t="s">
        <v>14</v>
      </c>
      <c r="O133" s="2">
        <v>1</v>
      </c>
    </row>
    <row r="134" spans="1:15" ht="15" customHeight="1" x14ac:dyDescent="0.25">
      <c r="A134" s="3"/>
      <c r="B134" s="3">
        <v>10</v>
      </c>
      <c r="C134" s="3" t="s">
        <v>14</v>
      </c>
      <c r="D134" s="3" t="s">
        <v>19</v>
      </c>
      <c r="E134" s="3">
        <v>0</v>
      </c>
      <c r="F134" s="3">
        <v>0</v>
      </c>
      <c r="G134" s="3" t="s">
        <v>10</v>
      </c>
      <c r="H134" s="3" t="s">
        <v>12</v>
      </c>
      <c r="I134" s="3">
        <v>1</v>
      </c>
      <c r="J134" s="3" t="s">
        <v>14</v>
      </c>
      <c r="K134" s="3" t="s">
        <v>14</v>
      </c>
      <c r="L134" s="3" t="s">
        <v>14</v>
      </c>
      <c r="M134" s="3" t="s">
        <v>14</v>
      </c>
      <c r="N134" s="3" t="s">
        <v>14</v>
      </c>
      <c r="O134" s="3">
        <v>1</v>
      </c>
    </row>
    <row r="135" spans="1:15" ht="15" customHeight="1" x14ac:dyDescent="0.25">
      <c r="A135" s="2"/>
      <c r="B135" s="2">
        <v>10</v>
      </c>
      <c r="C135" s="2" t="s">
        <v>14</v>
      </c>
      <c r="D135" s="2" t="s">
        <v>19</v>
      </c>
      <c r="E135" s="2">
        <v>0</v>
      </c>
      <c r="F135" s="2">
        <v>0</v>
      </c>
      <c r="G135" s="2" t="s">
        <v>10</v>
      </c>
      <c r="H135" s="2" t="s">
        <v>12</v>
      </c>
      <c r="I135" s="2">
        <v>2</v>
      </c>
      <c r="J135" s="2" t="s">
        <v>14</v>
      </c>
      <c r="K135" s="2" t="s">
        <v>14</v>
      </c>
      <c r="L135" s="2" t="s">
        <v>14</v>
      </c>
      <c r="M135" s="2" t="s">
        <v>14</v>
      </c>
      <c r="N135" s="2" t="s">
        <v>14</v>
      </c>
      <c r="O135" s="2">
        <v>1</v>
      </c>
    </row>
    <row r="136" spans="1:15" ht="15" customHeight="1" x14ac:dyDescent="0.25">
      <c r="A136" s="3"/>
      <c r="B136" s="3">
        <v>10</v>
      </c>
      <c r="C136" s="3" t="s">
        <v>18</v>
      </c>
      <c r="D136" s="3" t="s">
        <v>19</v>
      </c>
      <c r="E136" s="3">
        <v>0</v>
      </c>
      <c r="F136" s="3">
        <v>0</v>
      </c>
      <c r="G136" s="3" t="s">
        <v>10</v>
      </c>
      <c r="H136" s="3" t="s">
        <v>12</v>
      </c>
      <c r="I136" s="3">
        <v>2</v>
      </c>
      <c r="J136" s="3" t="s">
        <v>14</v>
      </c>
      <c r="K136" s="3" t="s">
        <v>14</v>
      </c>
      <c r="L136" s="3" t="s">
        <v>14</v>
      </c>
      <c r="M136" s="3" t="s">
        <v>14</v>
      </c>
      <c r="N136" s="3" t="s">
        <v>14</v>
      </c>
      <c r="O136" s="3">
        <v>1</v>
      </c>
    </row>
    <row r="137" spans="1:15" ht="15" customHeight="1" x14ac:dyDescent="0.25">
      <c r="A137" s="2"/>
      <c r="B137" s="2">
        <v>10</v>
      </c>
      <c r="C137" s="2" t="s">
        <v>18</v>
      </c>
      <c r="D137" s="2" t="s">
        <v>20</v>
      </c>
      <c r="E137" s="2">
        <v>0</v>
      </c>
      <c r="F137" s="2">
        <v>0</v>
      </c>
      <c r="G137" s="2" t="s">
        <v>10</v>
      </c>
      <c r="H137" s="2" t="s">
        <v>12</v>
      </c>
      <c r="I137" s="2">
        <v>2</v>
      </c>
      <c r="J137" s="2" t="s">
        <v>14</v>
      </c>
      <c r="K137" s="2" t="s">
        <v>14</v>
      </c>
      <c r="L137" s="2" t="s">
        <v>14</v>
      </c>
      <c r="M137" s="2" t="s">
        <v>14</v>
      </c>
      <c r="N137" s="2" t="s">
        <v>14</v>
      </c>
      <c r="O137" s="2">
        <v>1</v>
      </c>
    </row>
    <row r="138" spans="1:15" ht="15" customHeight="1" x14ac:dyDescent="0.25">
      <c r="A138" s="3"/>
      <c r="B138" s="3">
        <v>20</v>
      </c>
      <c r="C138" s="3" t="s">
        <v>14</v>
      </c>
      <c r="D138" s="3" t="s">
        <v>11</v>
      </c>
      <c r="E138" s="3">
        <v>0</v>
      </c>
      <c r="F138" s="3">
        <v>0</v>
      </c>
      <c r="G138" s="3" t="s">
        <v>10</v>
      </c>
      <c r="H138" s="3" t="s">
        <v>16</v>
      </c>
      <c r="I138" s="3">
        <v>2</v>
      </c>
      <c r="J138" s="3" t="s">
        <v>14</v>
      </c>
      <c r="K138" s="3" t="s">
        <v>14</v>
      </c>
      <c r="L138" s="3" t="s">
        <v>14</v>
      </c>
      <c r="M138" s="3" t="s">
        <v>14</v>
      </c>
      <c r="N138" s="3" t="s">
        <v>14</v>
      </c>
      <c r="O138" s="3">
        <v>1</v>
      </c>
    </row>
    <row r="139" spans="1:15" ht="15" customHeight="1" x14ac:dyDescent="0.25">
      <c r="A139" s="2"/>
      <c r="B139" s="2">
        <v>10</v>
      </c>
      <c r="C139" s="2" t="s">
        <v>18</v>
      </c>
      <c r="D139" s="2" t="s">
        <v>20</v>
      </c>
      <c r="E139" s="2">
        <v>0</v>
      </c>
      <c r="F139" s="2">
        <v>0</v>
      </c>
      <c r="G139" s="2" t="s">
        <v>10</v>
      </c>
      <c r="H139" s="2" t="s">
        <v>12</v>
      </c>
      <c r="I139" s="2" t="s">
        <v>15</v>
      </c>
      <c r="J139" s="2" t="s">
        <v>14</v>
      </c>
      <c r="K139" s="2" t="s">
        <v>14</v>
      </c>
      <c r="L139" s="2" t="s">
        <v>14</v>
      </c>
      <c r="M139" s="2" t="s">
        <v>14</v>
      </c>
      <c r="N139" s="2" t="s">
        <v>14</v>
      </c>
      <c r="O139" s="2">
        <v>1</v>
      </c>
    </row>
    <row r="140" spans="1:15" ht="15" customHeight="1" x14ac:dyDescent="0.25">
      <c r="A140" s="3"/>
      <c r="B140" s="3">
        <v>20</v>
      </c>
      <c r="C140" s="3" t="s">
        <v>10</v>
      </c>
      <c r="D140" s="3" t="s">
        <v>20</v>
      </c>
      <c r="E140" s="3">
        <v>0</v>
      </c>
      <c r="F140" s="3">
        <v>0</v>
      </c>
      <c r="G140" s="3" t="s">
        <v>10</v>
      </c>
      <c r="H140" s="3" t="s">
        <v>12</v>
      </c>
      <c r="I140" s="3" t="s">
        <v>15</v>
      </c>
      <c r="J140" s="3" t="s">
        <v>14</v>
      </c>
      <c r="K140" s="3" t="s">
        <v>14</v>
      </c>
      <c r="L140" s="3" t="s">
        <v>14</v>
      </c>
      <c r="M140" s="3" t="s">
        <v>14</v>
      </c>
      <c r="N140" s="3" t="s">
        <v>14</v>
      </c>
      <c r="O140" s="3">
        <v>1</v>
      </c>
    </row>
    <row r="141" spans="1:15" ht="15" customHeight="1" x14ac:dyDescent="0.25">
      <c r="A141" s="2"/>
      <c r="B141" s="2">
        <v>10</v>
      </c>
      <c r="C141" s="2" t="s">
        <v>18</v>
      </c>
      <c r="D141" s="2" t="s">
        <v>20</v>
      </c>
      <c r="E141" s="2">
        <v>0</v>
      </c>
      <c r="F141" s="2">
        <v>0</v>
      </c>
      <c r="G141" s="2" t="s">
        <v>10</v>
      </c>
      <c r="H141" s="2" t="s">
        <v>16</v>
      </c>
      <c r="I141" s="2" t="s">
        <v>15</v>
      </c>
      <c r="J141" s="2" t="s">
        <v>14</v>
      </c>
      <c r="K141" s="2" t="s">
        <v>14</v>
      </c>
      <c r="L141" s="2" t="s">
        <v>14</v>
      </c>
      <c r="M141" s="2" t="s">
        <v>14</v>
      </c>
      <c r="N141" s="2" t="s">
        <v>14</v>
      </c>
      <c r="O141" s="2">
        <v>1</v>
      </c>
    </row>
    <row r="142" spans="1:15" ht="15" customHeight="1" x14ac:dyDescent="0.25">
      <c r="A142" s="3"/>
      <c r="B142" s="3">
        <v>5</v>
      </c>
      <c r="C142" s="3" t="s">
        <v>14</v>
      </c>
      <c r="D142" s="3" t="s">
        <v>20</v>
      </c>
      <c r="E142" s="3">
        <v>0</v>
      </c>
      <c r="F142" s="3">
        <v>0</v>
      </c>
      <c r="G142" s="3" t="s">
        <v>10</v>
      </c>
      <c r="H142" s="3" t="s">
        <v>12</v>
      </c>
      <c r="I142" s="3" t="s">
        <v>15</v>
      </c>
      <c r="J142" s="3" t="s">
        <v>14</v>
      </c>
      <c r="K142" s="3" t="s">
        <v>14</v>
      </c>
      <c r="L142" s="3" t="s">
        <v>14</v>
      </c>
      <c r="M142" s="3" t="s">
        <v>14</v>
      </c>
      <c r="N142" s="3" t="s">
        <v>14</v>
      </c>
      <c r="O142" s="3">
        <v>1</v>
      </c>
    </row>
    <row r="143" spans="1:15" ht="15" customHeight="1" x14ac:dyDescent="0.25">
      <c r="A143" s="2"/>
      <c r="B143" s="2">
        <v>10</v>
      </c>
      <c r="C143" s="2" t="s">
        <v>14</v>
      </c>
      <c r="D143" s="2" t="s">
        <v>20</v>
      </c>
      <c r="E143" s="2">
        <v>0</v>
      </c>
      <c r="F143" s="2">
        <v>0</v>
      </c>
      <c r="G143" s="2" t="s">
        <v>10</v>
      </c>
      <c r="H143" s="2" t="s">
        <v>16</v>
      </c>
      <c r="I143" s="2">
        <v>2</v>
      </c>
      <c r="J143" s="2" t="s">
        <v>14</v>
      </c>
      <c r="K143" s="2" t="s">
        <v>14</v>
      </c>
      <c r="L143" s="2" t="s">
        <v>14</v>
      </c>
      <c r="M143" s="2" t="s">
        <v>14</v>
      </c>
      <c r="N143" s="2" t="s">
        <v>14</v>
      </c>
      <c r="O143" s="2">
        <v>1</v>
      </c>
    </row>
    <row r="144" spans="1:15" ht="15" customHeight="1" x14ac:dyDescent="0.25">
      <c r="A144" s="3"/>
      <c r="B144" s="3">
        <v>10</v>
      </c>
      <c r="C144" s="3" t="s">
        <v>18</v>
      </c>
      <c r="D144" s="3" t="s">
        <v>20</v>
      </c>
      <c r="E144" s="3">
        <v>0</v>
      </c>
      <c r="F144" s="3">
        <v>0</v>
      </c>
      <c r="G144" s="3" t="s">
        <v>10</v>
      </c>
      <c r="H144" s="3" t="s">
        <v>16</v>
      </c>
      <c r="I144" s="3">
        <v>2</v>
      </c>
      <c r="J144" s="3" t="s">
        <v>14</v>
      </c>
      <c r="K144" s="3" t="s">
        <v>14</v>
      </c>
      <c r="L144" s="3" t="s">
        <v>14</v>
      </c>
      <c r="M144" s="3" t="s">
        <v>14</v>
      </c>
      <c r="N144" s="3" t="s">
        <v>14</v>
      </c>
      <c r="O144" s="3">
        <v>1</v>
      </c>
    </row>
    <row r="145" spans="1:15" ht="15" customHeight="1" x14ac:dyDescent="0.25">
      <c r="A145" s="2"/>
      <c r="B145" s="2">
        <v>30</v>
      </c>
      <c r="C145" s="2" t="s">
        <v>10</v>
      </c>
      <c r="D145" s="2" t="s">
        <v>19</v>
      </c>
      <c r="E145" s="2">
        <v>0</v>
      </c>
      <c r="F145" s="2">
        <v>0</v>
      </c>
      <c r="G145" s="2" t="s">
        <v>10</v>
      </c>
      <c r="H145" s="2" t="s">
        <v>12</v>
      </c>
      <c r="I145" s="2" t="s">
        <v>15</v>
      </c>
      <c r="J145" s="2" t="s">
        <v>14</v>
      </c>
      <c r="K145" s="2" t="s">
        <v>14</v>
      </c>
      <c r="L145" s="2" t="s">
        <v>14</v>
      </c>
      <c r="M145" s="2" t="s">
        <v>13</v>
      </c>
      <c r="N145" s="2" t="s">
        <v>13</v>
      </c>
      <c r="O145" s="2">
        <v>1</v>
      </c>
    </row>
    <row r="146" spans="1:15" ht="15" customHeight="1" x14ac:dyDescent="0.25">
      <c r="A146" s="3"/>
      <c r="B146" s="3">
        <v>10</v>
      </c>
      <c r="C146" s="3" t="s">
        <v>18</v>
      </c>
      <c r="D146" s="3" t="s">
        <v>19</v>
      </c>
      <c r="E146" s="3">
        <v>0</v>
      </c>
      <c r="F146" s="3">
        <v>0</v>
      </c>
      <c r="G146" s="3" t="s">
        <v>10</v>
      </c>
      <c r="H146" s="3" t="s">
        <v>12</v>
      </c>
      <c r="I146" s="3">
        <v>2</v>
      </c>
      <c r="J146" s="3" t="s">
        <v>14</v>
      </c>
      <c r="K146" s="3" t="s">
        <v>13</v>
      </c>
      <c r="L146" s="3" t="s">
        <v>14</v>
      </c>
      <c r="M146" s="3" t="s">
        <v>14</v>
      </c>
      <c r="N146" s="3" t="s">
        <v>14</v>
      </c>
      <c r="O146" s="3">
        <v>1</v>
      </c>
    </row>
    <row r="147" spans="1:15" ht="15" customHeight="1" x14ac:dyDescent="0.25">
      <c r="A147" s="2"/>
      <c r="B147" s="2">
        <v>30</v>
      </c>
      <c r="C147" s="2" t="s">
        <v>14</v>
      </c>
      <c r="D147" s="2" t="s">
        <v>19</v>
      </c>
      <c r="E147" s="2">
        <v>0</v>
      </c>
      <c r="F147" s="2">
        <v>0</v>
      </c>
      <c r="G147" s="2" t="s">
        <v>10</v>
      </c>
      <c r="H147" s="2" t="s">
        <v>12</v>
      </c>
      <c r="I147" s="2">
        <v>2</v>
      </c>
      <c r="J147" s="2" t="s">
        <v>14</v>
      </c>
      <c r="K147" s="2" t="s">
        <v>14</v>
      </c>
      <c r="L147" s="2" t="s">
        <v>14</v>
      </c>
      <c r="M147" s="2" t="s">
        <v>13</v>
      </c>
      <c r="N147" s="2" t="s">
        <v>13</v>
      </c>
      <c r="O147" s="2">
        <v>1</v>
      </c>
    </row>
    <row r="148" spans="1:15" ht="15" customHeight="1" x14ac:dyDescent="0.25">
      <c r="A148" s="3"/>
      <c r="B148" s="3">
        <v>5</v>
      </c>
      <c r="C148" s="3" t="s">
        <v>14</v>
      </c>
      <c r="D148" s="3" t="s">
        <v>19</v>
      </c>
      <c r="E148" s="3">
        <v>0</v>
      </c>
      <c r="F148" s="3">
        <v>0</v>
      </c>
      <c r="G148" s="3" t="s">
        <v>10</v>
      </c>
      <c r="H148" s="3" t="s">
        <v>12</v>
      </c>
      <c r="I148" s="3">
        <v>2</v>
      </c>
      <c r="J148" s="3" t="s">
        <v>14</v>
      </c>
      <c r="K148" s="3" t="s">
        <v>14</v>
      </c>
      <c r="L148" s="3" t="s">
        <v>14</v>
      </c>
      <c r="M148" s="3" t="s">
        <v>14</v>
      </c>
      <c r="N148" s="3" t="s">
        <v>14</v>
      </c>
      <c r="O148" s="3">
        <v>1</v>
      </c>
    </row>
    <row r="149" spans="1:15" ht="15" customHeight="1" x14ac:dyDescent="0.25">
      <c r="A149" s="2"/>
      <c r="B149" s="2">
        <v>5</v>
      </c>
      <c r="C149" s="2" t="s">
        <v>18</v>
      </c>
      <c r="D149" s="2" t="s">
        <v>19</v>
      </c>
      <c r="E149" s="2">
        <v>0</v>
      </c>
      <c r="F149" s="2">
        <v>0</v>
      </c>
      <c r="G149" s="2" t="s">
        <v>10</v>
      </c>
      <c r="H149" s="2" t="s">
        <v>12</v>
      </c>
      <c r="I149" s="2" t="s">
        <v>15</v>
      </c>
      <c r="J149" s="2" t="s">
        <v>14</v>
      </c>
      <c r="K149" s="2" t="s">
        <v>14</v>
      </c>
      <c r="L149" s="2" t="s">
        <v>14</v>
      </c>
      <c r="M149" s="2" t="s">
        <v>14</v>
      </c>
      <c r="N149" s="2" t="s">
        <v>14</v>
      </c>
      <c r="O149" s="2">
        <v>1</v>
      </c>
    </row>
    <row r="150" spans="1:15" ht="15" customHeight="1" x14ac:dyDescent="0.25">
      <c r="A150" s="3"/>
      <c r="B150" s="3">
        <v>20</v>
      </c>
      <c r="C150" s="3" t="s">
        <v>14</v>
      </c>
      <c r="D150" s="3" t="s">
        <v>19</v>
      </c>
      <c r="E150" s="3">
        <v>0</v>
      </c>
      <c r="F150" s="3">
        <v>0</v>
      </c>
      <c r="G150" s="3" t="s">
        <v>10</v>
      </c>
      <c r="H150" s="3" t="s">
        <v>12</v>
      </c>
      <c r="I150" s="3">
        <v>2</v>
      </c>
      <c r="J150" s="3" t="s">
        <v>14</v>
      </c>
      <c r="K150" s="3" t="s">
        <v>14</v>
      </c>
      <c r="L150" s="3" t="s">
        <v>14</v>
      </c>
      <c r="M150" s="3" t="s">
        <v>14</v>
      </c>
      <c r="N150" s="3" t="s">
        <v>14</v>
      </c>
      <c r="O150" s="3">
        <v>1</v>
      </c>
    </row>
    <row r="151" spans="1:15" ht="15" customHeight="1" x14ac:dyDescent="0.25">
      <c r="A151" s="2"/>
      <c r="B151" s="2">
        <v>5</v>
      </c>
      <c r="C151" s="2" t="s">
        <v>14</v>
      </c>
      <c r="D151" s="2" t="s">
        <v>19</v>
      </c>
      <c r="E151" s="2">
        <v>0</v>
      </c>
      <c r="F151" s="2">
        <v>0</v>
      </c>
      <c r="G151" s="2" t="s">
        <v>10</v>
      </c>
      <c r="H151" s="2" t="s">
        <v>16</v>
      </c>
      <c r="I151" s="2">
        <v>2</v>
      </c>
      <c r="J151" s="2" t="s">
        <v>14</v>
      </c>
      <c r="K151" s="2" t="s">
        <v>14</v>
      </c>
      <c r="L151" s="2" t="s">
        <v>14</v>
      </c>
      <c r="M151" s="2" t="s">
        <v>14</v>
      </c>
      <c r="N151" s="2" t="s">
        <v>14</v>
      </c>
      <c r="O151" s="2">
        <v>1</v>
      </c>
    </row>
    <row r="152" spans="1:15" ht="15" customHeight="1" x14ac:dyDescent="0.25">
      <c r="A152" s="3"/>
      <c r="B152" s="3">
        <v>10</v>
      </c>
      <c r="C152" s="3" t="s">
        <v>10</v>
      </c>
      <c r="D152" s="3" t="s">
        <v>19</v>
      </c>
      <c r="E152" s="3">
        <v>0</v>
      </c>
      <c r="F152" s="3">
        <v>1</v>
      </c>
      <c r="G152" s="3" t="s">
        <v>10</v>
      </c>
      <c r="H152" s="3" t="s">
        <v>12</v>
      </c>
      <c r="I152" s="3">
        <v>2</v>
      </c>
      <c r="J152" s="3" t="s">
        <v>14</v>
      </c>
      <c r="K152" s="3" t="s">
        <v>14</v>
      </c>
      <c r="L152" s="3" t="s">
        <v>14</v>
      </c>
      <c r="M152" s="3" t="s">
        <v>14</v>
      </c>
      <c r="N152" s="3" t="s">
        <v>14</v>
      </c>
      <c r="O152" s="3">
        <v>1</v>
      </c>
    </row>
    <row r="153" spans="1:15" ht="15" customHeight="1" x14ac:dyDescent="0.25">
      <c r="A153" s="2"/>
      <c r="B153" s="2">
        <v>5</v>
      </c>
      <c r="C153" s="2" t="s">
        <v>14</v>
      </c>
      <c r="D153" s="2" t="s">
        <v>19</v>
      </c>
      <c r="E153" s="2">
        <v>0</v>
      </c>
      <c r="F153" s="2">
        <v>1</v>
      </c>
      <c r="G153" s="2" t="s">
        <v>10</v>
      </c>
      <c r="H153" s="2" t="s">
        <v>12</v>
      </c>
      <c r="I153" s="2">
        <v>1</v>
      </c>
      <c r="J153" s="2" t="s">
        <v>14</v>
      </c>
      <c r="K153" s="2" t="s">
        <v>14</v>
      </c>
      <c r="L153" s="2" t="s">
        <v>14</v>
      </c>
      <c r="M153" s="2" t="s">
        <v>14</v>
      </c>
      <c r="N153" s="2" t="s">
        <v>14</v>
      </c>
      <c r="O153" s="2">
        <v>1</v>
      </c>
    </row>
    <row r="154" spans="1:15" ht="15" customHeight="1" x14ac:dyDescent="0.25">
      <c r="A154" s="3"/>
      <c r="B154" s="3">
        <v>10</v>
      </c>
      <c r="C154" s="3" t="s">
        <v>10</v>
      </c>
      <c r="D154" s="3" t="s">
        <v>11</v>
      </c>
      <c r="E154" s="3">
        <v>1</v>
      </c>
      <c r="F154" s="3">
        <v>0</v>
      </c>
      <c r="G154" s="3" t="s">
        <v>10</v>
      </c>
      <c r="H154" s="3" t="s">
        <v>12</v>
      </c>
      <c r="I154" s="3">
        <v>1</v>
      </c>
      <c r="J154" s="3" t="s">
        <v>13</v>
      </c>
      <c r="K154" s="3" t="s">
        <v>14</v>
      </c>
      <c r="L154" s="3" t="s">
        <v>14</v>
      </c>
      <c r="M154" s="3" t="s">
        <v>13</v>
      </c>
      <c r="N154" s="3" t="s">
        <v>14</v>
      </c>
      <c r="O154" s="3">
        <v>0</v>
      </c>
    </row>
    <row r="155" spans="1:15" ht="15" customHeight="1" x14ac:dyDescent="0.25">
      <c r="A155" s="2"/>
      <c r="B155" s="2">
        <v>30</v>
      </c>
      <c r="C155" s="2" t="s">
        <v>10</v>
      </c>
      <c r="D155" s="2" t="s">
        <v>19</v>
      </c>
      <c r="E155" s="2">
        <v>2</v>
      </c>
      <c r="F155" s="2">
        <v>1</v>
      </c>
      <c r="G155" s="2" t="s">
        <v>10</v>
      </c>
      <c r="H155" s="2" t="s">
        <v>16</v>
      </c>
      <c r="I155" s="2">
        <v>2</v>
      </c>
      <c r="J155" s="2" t="s">
        <v>14</v>
      </c>
      <c r="K155" s="2" t="s">
        <v>14</v>
      </c>
      <c r="L155" s="2" t="s">
        <v>14</v>
      </c>
      <c r="M155" s="2" t="s">
        <v>13</v>
      </c>
      <c r="N155" s="2" t="s">
        <v>14</v>
      </c>
      <c r="O155" s="2">
        <v>0</v>
      </c>
    </row>
    <row r="156" spans="1:15" ht="15" customHeight="1" x14ac:dyDescent="0.25">
      <c r="A156" s="3"/>
      <c r="B156" s="3">
        <v>0</v>
      </c>
      <c r="C156" s="3" t="s">
        <v>14</v>
      </c>
      <c r="D156" s="3" t="s">
        <v>19</v>
      </c>
      <c r="E156" s="3">
        <v>1</v>
      </c>
      <c r="F156" s="3">
        <v>0</v>
      </c>
      <c r="G156" s="3" t="s">
        <v>10</v>
      </c>
      <c r="H156" s="3" t="s">
        <v>12</v>
      </c>
      <c r="I156" s="3">
        <v>1</v>
      </c>
      <c r="J156" s="3" t="s">
        <v>14</v>
      </c>
      <c r="K156" s="3" t="s">
        <v>13</v>
      </c>
      <c r="L156" s="3" t="s">
        <v>13</v>
      </c>
      <c r="M156" s="3" t="s">
        <v>14</v>
      </c>
      <c r="N156" s="3" t="s">
        <v>14</v>
      </c>
      <c r="O156" s="3">
        <v>1</v>
      </c>
    </row>
    <row r="157" spans="1:15" ht="15" customHeight="1" x14ac:dyDescent="0.25">
      <c r="A157" s="2"/>
      <c r="B157" s="2">
        <v>0</v>
      </c>
      <c r="C157" s="2" t="s">
        <v>10</v>
      </c>
      <c r="D157" s="2" t="s">
        <v>19</v>
      </c>
      <c r="E157" s="2">
        <v>2</v>
      </c>
      <c r="F157" s="2">
        <v>0</v>
      </c>
      <c r="G157" s="2" t="s">
        <v>10</v>
      </c>
      <c r="H157" s="2" t="s">
        <v>12</v>
      </c>
      <c r="I157" s="2">
        <v>1</v>
      </c>
      <c r="J157" s="2" t="s">
        <v>14</v>
      </c>
      <c r="K157" s="2" t="s">
        <v>13</v>
      </c>
      <c r="L157" s="2" t="s">
        <v>13</v>
      </c>
      <c r="M157" s="2" t="s">
        <v>14</v>
      </c>
      <c r="N157" s="2" t="s">
        <v>14</v>
      </c>
      <c r="O157" s="2">
        <v>1</v>
      </c>
    </row>
    <row r="158" spans="1:15" ht="15" customHeight="1" x14ac:dyDescent="0.25">
      <c r="A158" s="3"/>
      <c r="B158" s="3">
        <v>20</v>
      </c>
      <c r="C158" s="3" t="s">
        <v>10</v>
      </c>
      <c r="D158" s="3" t="s">
        <v>19</v>
      </c>
      <c r="E158" s="3">
        <v>0</v>
      </c>
      <c r="F158" s="3">
        <v>0</v>
      </c>
      <c r="G158" s="3" t="s">
        <v>10</v>
      </c>
      <c r="H158" s="3" t="s">
        <v>12</v>
      </c>
      <c r="I158" s="3">
        <v>2</v>
      </c>
      <c r="J158" s="3" t="s">
        <v>14</v>
      </c>
      <c r="K158" s="3" t="s">
        <v>14</v>
      </c>
      <c r="L158" s="3" t="s">
        <v>14</v>
      </c>
      <c r="M158" s="3" t="s">
        <v>14</v>
      </c>
      <c r="N158" s="3" t="s">
        <v>14</v>
      </c>
      <c r="O158" s="3">
        <v>1</v>
      </c>
    </row>
    <row r="159" spans="1:15" ht="15" customHeight="1" x14ac:dyDescent="0.25">
      <c r="A159" s="2"/>
      <c r="B159" s="2">
        <v>10</v>
      </c>
      <c r="C159" s="2" t="s">
        <v>10</v>
      </c>
      <c r="D159" s="2" t="s">
        <v>11</v>
      </c>
      <c r="E159" s="2">
        <v>1</v>
      </c>
      <c r="F159" s="2">
        <v>1</v>
      </c>
      <c r="G159" s="2" t="s">
        <v>10</v>
      </c>
      <c r="H159" s="2" t="s">
        <v>12</v>
      </c>
      <c r="I159" s="2">
        <v>2</v>
      </c>
      <c r="J159" s="2" t="s">
        <v>13</v>
      </c>
      <c r="K159" s="2" t="s">
        <v>14</v>
      </c>
      <c r="L159" s="2" t="s">
        <v>14</v>
      </c>
      <c r="M159" s="2" t="s">
        <v>14</v>
      </c>
      <c r="N159" s="2" t="s">
        <v>14</v>
      </c>
      <c r="O159" s="2">
        <v>0</v>
      </c>
    </row>
    <row r="160" spans="1:15" ht="15" customHeight="1" x14ac:dyDescent="0.25">
      <c r="A160" s="3"/>
      <c r="B160" s="3">
        <v>10</v>
      </c>
      <c r="C160" s="3" t="s">
        <v>18</v>
      </c>
      <c r="D160" s="3" t="s">
        <v>20</v>
      </c>
      <c r="E160" s="3">
        <v>0</v>
      </c>
      <c r="F160" s="3">
        <v>0</v>
      </c>
      <c r="G160" s="3" t="s">
        <v>10</v>
      </c>
      <c r="H160" s="3" t="s">
        <v>12</v>
      </c>
      <c r="I160" s="3">
        <v>1</v>
      </c>
      <c r="J160" s="3" t="s">
        <v>14</v>
      </c>
      <c r="K160" s="3" t="s">
        <v>14</v>
      </c>
      <c r="L160" s="3" t="s">
        <v>14</v>
      </c>
      <c r="M160" s="3" t="s">
        <v>14</v>
      </c>
      <c r="N160" s="3" t="s">
        <v>14</v>
      </c>
      <c r="O160" s="3">
        <v>1</v>
      </c>
    </row>
    <row r="161" spans="1:15" ht="15" customHeight="1" x14ac:dyDescent="0.25">
      <c r="A161" s="2"/>
      <c r="B161" s="2">
        <v>30</v>
      </c>
      <c r="C161" s="2" t="s">
        <v>10</v>
      </c>
      <c r="D161" s="2" t="s">
        <v>19</v>
      </c>
      <c r="E161" s="2">
        <v>1</v>
      </c>
      <c r="F161" s="2">
        <v>1</v>
      </c>
      <c r="G161" s="2" t="s">
        <v>10</v>
      </c>
      <c r="H161" s="2" t="s">
        <v>12</v>
      </c>
      <c r="I161" s="2">
        <v>1</v>
      </c>
      <c r="J161" s="2" t="s">
        <v>14</v>
      </c>
      <c r="K161" s="2" t="s">
        <v>14</v>
      </c>
      <c r="L161" s="2" t="s">
        <v>14</v>
      </c>
      <c r="M161" s="2" t="s">
        <v>13</v>
      </c>
      <c r="N161" s="2" t="s">
        <v>14</v>
      </c>
      <c r="O161" s="2">
        <v>0</v>
      </c>
    </row>
    <row r="162" spans="1:15" ht="15" customHeight="1" x14ac:dyDescent="0.25">
      <c r="A162" s="3"/>
      <c r="B162" s="3">
        <v>10</v>
      </c>
      <c r="C162" s="3" t="s">
        <v>10</v>
      </c>
      <c r="D162" s="3" t="s">
        <v>20</v>
      </c>
      <c r="E162" s="3">
        <v>0</v>
      </c>
      <c r="F162" s="3">
        <v>0</v>
      </c>
      <c r="G162" s="3" t="s">
        <v>10</v>
      </c>
      <c r="H162" s="3" t="s">
        <v>12</v>
      </c>
      <c r="I162" s="3">
        <v>1</v>
      </c>
      <c r="J162" s="3" t="s">
        <v>14</v>
      </c>
      <c r="K162" s="3" t="s">
        <v>14</v>
      </c>
      <c r="L162" s="3" t="s">
        <v>14</v>
      </c>
      <c r="M162" s="3" t="s">
        <v>14</v>
      </c>
      <c r="N162" s="3" t="s">
        <v>14</v>
      </c>
      <c r="O162" s="3">
        <v>1</v>
      </c>
    </row>
    <row r="163" spans="1:15" ht="15" customHeight="1" x14ac:dyDescent="0.25">
      <c r="A163" s="2"/>
      <c r="B163" s="2">
        <v>10</v>
      </c>
      <c r="C163" s="2" t="s">
        <v>10</v>
      </c>
      <c r="D163" s="2" t="s">
        <v>19</v>
      </c>
      <c r="E163" s="2">
        <v>0</v>
      </c>
      <c r="F163" s="2">
        <v>0</v>
      </c>
      <c r="G163" s="2" t="s">
        <v>10</v>
      </c>
      <c r="H163" s="2" t="s">
        <v>12</v>
      </c>
      <c r="I163" s="2">
        <v>1</v>
      </c>
      <c r="J163" s="2" t="s">
        <v>14</v>
      </c>
      <c r="K163" s="2" t="s">
        <v>14</v>
      </c>
      <c r="L163" s="2" t="s">
        <v>14</v>
      </c>
      <c r="M163" s="2" t="s">
        <v>14</v>
      </c>
      <c r="N163" s="2" t="s">
        <v>14</v>
      </c>
      <c r="O163" s="2">
        <v>1</v>
      </c>
    </row>
    <row r="164" spans="1:15" ht="15" customHeight="1" x14ac:dyDescent="0.25">
      <c r="A164" s="3"/>
      <c r="B164" s="3">
        <v>5</v>
      </c>
      <c r="C164" s="3" t="s">
        <v>18</v>
      </c>
      <c r="D164" s="3" t="s">
        <v>19</v>
      </c>
      <c r="E164" s="3">
        <v>0</v>
      </c>
      <c r="F164" s="3">
        <v>0</v>
      </c>
      <c r="G164" s="3" t="s">
        <v>10</v>
      </c>
      <c r="H164" s="3" t="s">
        <v>12</v>
      </c>
      <c r="I164" s="3" t="s">
        <v>15</v>
      </c>
      <c r="J164" s="3" t="s">
        <v>14</v>
      </c>
      <c r="K164" s="3" t="s">
        <v>14</v>
      </c>
      <c r="L164" s="3" t="s">
        <v>14</v>
      </c>
      <c r="M164" s="3" t="s">
        <v>14</v>
      </c>
      <c r="N164" s="3" t="s">
        <v>14</v>
      </c>
      <c r="O164" s="3">
        <v>1</v>
      </c>
    </row>
    <row r="165" spans="1:15" ht="15" customHeight="1" x14ac:dyDescent="0.25">
      <c r="A165" s="2"/>
      <c r="B165" s="2">
        <v>10</v>
      </c>
      <c r="C165" s="2" t="s">
        <v>14</v>
      </c>
      <c r="D165" s="2" t="s">
        <v>19</v>
      </c>
      <c r="E165" s="2">
        <v>0</v>
      </c>
      <c r="F165" s="2">
        <v>0</v>
      </c>
      <c r="G165" s="2" t="s">
        <v>10</v>
      </c>
      <c r="H165" s="2" t="s">
        <v>16</v>
      </c>
      <c r="I165" s="2" t="s">
        <v>15</v>
      </c>
      <c r="J165" s="2" t="s">
        <v>14</v>
      </c>
      <c r="K165" s="2" t="s">
        <v>14</v>
      </c>
      <c r="L165" s="2" t="s">
        <v>14</v>
      </c>
      <c r="M165" s="2" t="s">
        <v>14</v>
      </c>
      <c r="N165" s="2" t="s">
        <v>14</v>
      </c>
      <c r="O165" s="2">
        <v>1</v>
      </c>
    </row>
    <row r="166" spans="1:15" ht="15" customHeight="1" x14ac:dyDescent="0.25">
      <c r="A166" s="3"/>
      <c r="B166" s="3">
        <v>10</v>
      </c>
      <c r="C166" s="3" t="s">
        <v>10</v>
      </c>
      <c r="D166" s="3" t="s">
        <v>19</v>
      </c>
      <c r="E166" s="3">
        <v>0</v>
      </c>
      <c r="F166" s="3">
        <v>0</v>
      </c>
      <c r="G166" s="3" t="s">
        <v>10</v>
      </c>
      <c r="H166" s="3" t="s">
        <v>12</v>
      </c>
      <c r="I166" s="3">
        <v>2</v>
      </c>
      <c r="J166" s="3" t="s">
        <v>14</v>
      </c>
      <c r="K166" s="3" t="s">
        <v>14</v>
      </c>
      <c r="L166" s="3" t="s">
        <v>14</v>
      </c>
      <c r="M166" s="3" t="s">
        <v>14</v>
      </c>
      <c r="N166" s="3" t="s">
        <v>14</v>
      </c>
      <c r="O166" s="3">
        <v>1</v>
      </c>
    </row>
    <row r="167" spans="1:15" ht="15" customHeight="1" x14ac:dyDescent="0.25">
      <c r="A167" s="2"/>
      <c r="B167" s="2">
        <v>5</v>
      </c>
      <c r="C167" s="2" t="s">
        <v>18</v>
      </c>
      <c r="D167" s="2" t="s">
        <v>20</v>
      </c>
      <c r="E167" s="2">
        <v>0</v>
      </c>
      <c r="F167" s="2">
        <v>0</v>
      </c>
      <c r="G167" s="2" t="s">
        <v>10</v>
      </c>
      <c r="H167" s="2" t="s">
        <v>12</v>
      </c>
      <c r="I167" s="2" t="s">
        <v>15</v>
      </c>
      <c r="J167" s="2" t="s">
        <v>14</v>
      </c>
      <c r="K167" s="2" t="s">
        <v>14</v>
      </c>
      <c r="L167" s="2" t="s">
        <v>14</v>
      </c>
      <c r="M167" s="2" t="s">
        <v>14</v>
      </c>
      <c r="N167" s="2" t="s">
        <v>14</v>
      </c>
      <c r="O167" s="2">
        <v>1</v>
      </c>
    </row>
    <row r="168" spans="1:15" ht="15" customHeight="1" x14ac:dyDescent="0.25">
      <c r="A168" s="3"/>
      <c r="B168" s="3">
        <v>30</v>
      </c>
      <c r="C168" s="3" t="s">
        <v>18</v>
      </c>
      <c r="D168" s="3" t="s">
        <v>20</v>
      </c>
      <c r="E168" s="3">
        <v>0</v>
      </c>
      <c r="F168" s="3">
        <v>0</v>
      </c>
      <c r="G168" s="3" t="s">
        <v>10</v>
      </c>
      <c r="H168" s="3" t="s">
        <v>12</v>
      </c>
      <c r="I168" s="3">
        <v>2</v>
      </c>
      <c r="J168" s="3" t="s">
        <v>14</v>
      </c>
      <c r="K168" s="3" t="s">
        <v>14</v>
      </c>
      <c r="L168" s="3" t="s">
        <v>14</v>
      </c>
      <c r="M168" s="3" t="s">
        <v>14</v>
      </c>
      <c r="N168" s="3" t="s">
        <v>14</v>
      </c>
      <c r="O168" s="3">
        <v>1</v>
      </c>
    </row>
    <row r="169" spans="1:15" ht="15" customHeight="1" x14ac:dyDescent="0.25">
      <c r="A169" s="2"/>
      <c r="B169" s="2">
        <v>10</v>
      </c>
      <c r="C169" s="2" t="s">
        <v>10</v>
      </c>
      <c r="D169" s="2" t="s">
        <v>20</v>
      </c>
      <c r="E169" s="2">
        <v>0</v>
      </c>
      <c r="F169" s="2">
        <v>0</v>
      </c>
      <c r="G169" s="2" t="s">
        <v>10</v>
      </c>
      <c r="H169" s="2" t="s">
        <v>12</v>
      </c>
      <c r="I169" s="2" t="s">
        <v>15</v>
      </c>
      <c r="J169" s="2" t="s">
        <v>14</v>
      </c>
      <c r="K169" s="2" t="s">
        <v>14</v>
      </c>
      <c r="L169" s="2" t="s">
        <v>14</v>
      </c>
      <c r="M169" s="2" t="s">
        <v>14</v>
      </c>
      <c r="N169" s="2" t="s">
        <v>14</v>
      </c>
      <c r="O169" s="2">
        <v>1</v>
      </c>
    </row>
    <row r="170" spans="1:15" ht="15" customHeight="1" x14ac:dyDescent="0.25">
      <c r="A170" s="3"/>
      <c r="B170" s="3">
        <v>10</v>
      </c>
      <c r="C170" s="3" t="s">
        <v>18</v>
      </c>
      <c r="D170" s="3" t="s">
        <v>20</v>
      </c>
      <c r="E170" s="3">
        <v>0</v>
      </c>
      <c r="F170" s="3">
        <v>0</v>
      </c>
      <c r="G170" s="3" t="s">
        <v>10</v>
      </c>
      <c r="H170" s="3" t="s">
        <v>12</v>
      </c>
      <c r="I170" s="3">
        <v>1</v>
      </c>
      <c r="J170" s="3" t="s">
        <v>14</v>
      </c>
      <c r="K170" s="3" t="s">
        <v>14</v>
      </c>
      <c r="L170" s="3" t="s">
        <v>14</v>
      </c>
      <c r="M170" s="3" t="s">
        <v>14</v>
      </c>
      <c r="N170" s="3" t="s">
        <v>14</v>
      </c>
      <c r="O170" s="3">
        <v>1</v>
      </c>
    </row>
    <row r="171" spans="1:15" ht="15" customHeight="1" x14ac:dyDescent="0.25">
      <c r="A171" s="2"/>
      <c r="B171" s="2">
        <v>5</v>
      </c>
      <c r="C171" s="2" t="s">
        <v>10</v>
      </c>
      <c r="D171" s="2" t="s">
        <v>20</v>
      </c>
      <c r="E171" s="2">
        <v>0</v>
      </c>
      <c r="F171" s="2">
        <v>0</v>
      </c>
      <c r="G171" s="2" t="s">
        <v>10</v>
      </c>
      <c r="H171" s="2" t="s">
        <v>12</v>
      </c>
      <c r="I171" s="2">
        <v>1</v>
      </c>
      <c r="J171" s="2" t="s">
        <v>14</v>
      </c>
      <c r="K171" s="2" t="s">
        <v>14</v>
      </c>
      <c r="L171" s="2" t="s">
        <v>14</v>
      </c>
      <c r="M171" s="2" t="s">
        <v>14</v>
      </c>
      <c r="N171" s="2" t="s">
        <v>14</v>
      </c>
      <c r="O171" s="2">
        <v>1</v>
      </c>
    </row>
    <row r="172" spans="1:15" ht="15" customHeight="1" x14ac:dyDescent="0.25">
      <c r="A172" s="3"/>
      <c r="B172" s="3">
        <v>20</v>
      </c>
      <c r="C172" s="3" t="s">
        <v>10</v>
      </c>
      <c r="D172" s="3" t="s">
        <v>19</v>
      </c>
      <c r="E172" s="3">
        <v>0</v>
      </c>
      <c r="F172" s="3">
        <v>2</v>
      </c>
      <c r="G172" s="3" t="s">
        <v>10</v>
      </c>
      <c r="H172" s="3" t="s">
        <v>16</v>
      </c>
      <c r="I172" s="3">
        <v>2</v>
      </c>
      <c r="J172" s="3" t="s">
        <v>14</v>
      </c>
      <c r="K172" s="3" t="s">
        <v>14</v>
      </c>
      <c r="L172" s="3" t="s">
        <v>14</v>
      </c>
      <c r="M172" s="3" t="s">
        <v>14</v>
      </c>
      <c r="N172" s="3" t="s">
        <v>14</v>
      </c>
      <c r="O172" s="3">
        <v>1</v>
      </c>
    </row>
    <row r="173" spans="1:15" ht="15" customHeight="1" x14ac:dyDescent="0.25">
      <c r="A173" s="2"/>
      <c r="B173" s="2">
        <v>10</v>
      </c>
      <c r="C173" s="2" t="s">
        <v>18</v>
      </c>
      <c r="D173" s="2" t="s">
        <v>20</v>
      </c>
      <c r="E173" s="2">
        <v>0</v>
      </c>
      <c r="F173" s="2">
        <v>0</v>
      </c>
      <c r="G173" s="2" t="s">
        <v>10</v>
      </c>
      <c r="H173" s="2" t="s">
        <v>12</v>
      </c>
      <c r="I173" s="2">
        <v>1</v>
      </c>
      <c r="J173" s="2" t="s">
        <v>14</v>
      </c>
      <c r="K173" s="2" t="s">
        <v>14</v>
      </c>
      <c r="L173" s="2" t="s">
        <v>14</v>
      </c>
      <c r="M173" s="2" t="s">
        <v>14</v>
      </c>
      <c r="N173" s="2" t="s">
        <v>14</v>
      </c>
      <c r="O173" s="2">
        <v>1</v>
      </c>
    </row>
    <row r="174" spans="1:15" ht="15" customHeight="1" x14ac:dyDescent="0.25">
      <c r="A174" s="3"/>
      <c r="B174" s="3">
        <v>10</v>
      </c>
      <c r="C174" s="3" t="s">
        <v>10</v>
      </c>
      <c r="D174" s="3" t="s">
        <v>19</v>
      </c>
      <c r="E174" s="3">
        <v>0</v>
      </c>
      <c r="F174" s="3">
        <v>0</v>
      </c>
      <c r="G174" s="3" t="s">
        <v>10</v>
      </c>
      <c r="H174" s="3" t="s">
        <v>12</v>
      </c>
      <c r="I174" s="3" t="s">
        <v>15</v>
      </c>
      <c r="J174" s="3" t="s">
        <v>14</v>
      </c>
      <c r="K174" s="3" t="s">
        <v>14</v>
      </c>
      <c r="L174" s="3" t="s">
        <v>14</v>
      </c>
      <c r="M174" s="3" t="s">
        <v>14</v>
      </c>
      <c r="N174" s="3" t="s">
        <v>14</v>
      </c>
      <c r="O174" s="3">
        <v>1</v>
      </c>
    </row>
    <row r="175" spans="1:15" ht="15" customHeight="1" x14ac:dyDescent="0.25">
      <c r="A175" s="2"/>
      <c r="B175" s="2">
        <v>20</v>
      </c>
      <c r="C175" s="2" t="s">
        <v>10</v>
      </c>
      <c r="D175" s="2" t="s">
        <v>11</v>
      </c>
      <c r="E175" s="2">
        <v>2</v>
      </c>
      <c r="F175" s="2">
        <v>0</v>
      </c>
      <c r="G175" s="2" t="s">
        <v>10</v>
      </c>
      <c r="H175" s="2" t="s">
        <v>12</v>
      </c>
      <c r="I175" s="2" t="s">
        <v>15</v>
      </c>
      <c r="J175" s="2" t="s">
        <v>13</v>
      </c>
      <c r="K175" s="2" t="s">
        <v>14</v>
      </c>
      <c r="L175" s="2" t="s">
        <v>14</v>
      </c>
      <c r="M175" s="2" t="s">
        <v>14</v>
      </c>
      <c r="N175" s="2" t="s">
        <v>14</v>
      </c>
      <c r="O175" s="2">
        <v>1</v>
      </c>
    </row>
    <row r="176" spans="1:15" ht="15" customHeight="1" x14ac:dyDescent="0.25">
      <c r="A176" s="3"/>
      <c r="B176" s="3">
        <v>5</v>
      </c>
      <c r="C176" s="3" t="s">
        <v>10</v>
      </c>
      <c r="D176" s="3" t="s">
        <v>19</v>
      </c>
      <c r="E176" s="3">
        <v>1</v>
      </c>
      <c r="F176" s="3">
        <v>1</v>
      </c>
      <c r="G176" s="3" t="s">
        <v>10</v>
      </c>
      <c r="H176" s="3" t="s">
        <v>12</v>
      </c>
      <c r="I176" s="3" t="s">
        <v>15</v>
      </c>
      <c r="J176" s="3" t="s">
        <v>14</v>
      </c>
      <c r="K176" s="3" t="s">
        <v>14</v>
      </c>
      <c r="L176" s="3" t="s">
        <v>14</v>
      </c>
      <c r="M176" s="3" t="s">
        <v>14</v>
      </c>
      <c r="N176" s="3" t="s">
        <v>14</v>
      </c>
      <c r="O176" s="3">
        <v>1</v>
      </c>
    </row>
    <row r="177" spans="1:15" ht="15" customHeight="1" x14ac:dyDescent="0.25">
      <c r="A177" s="2"/>
      <c r="B177" s="2">
        <v>0</v>
      </c>
      <c r="C177" s="2" t="s">
        <v>14</v>
      </c>
      <c r="D177" s="2" t="s">
        <v>19</v>
      </c>
      <c r="E177" s="2">
        <v>1</v>
      </c>
      <c r="F177" s="2">
        <v>0</v>
      </c>
      <c r="G177" s="2" t="s">
        <v>10</v>
      </c>
      <c r="H177" s="2" t="s">
        <v>16</v>
      </c>
      <c r="I177" s="2" t="s">
        <v>15</v>
      </c>
      <c r="J177" s="2" t="s">
        <v>14</v>
      </c>
      <c r="K177" s="2" t="s">
        <v>14</v>
      </c>
      <c r="L177" s="2" t="s">
        <v>14</v>
      </c>
      <c r="M177" s="2" t="s">
        <v>14</v>
      </c>
      <c r="N177" s="2" t="s">
        <v>14</v>
      </c>
      <c r="O177" s="2">
        <v>1</v>
      </c>
    </row>
    <row r="178" spans="1:15" ht="15" customHeight="1" x14ac:dyDescent="0.25">
      <c r="A178" s="3"/>
      <c r="B178" s="3">
        <v>0</v>
      </c>
      <c r="C178" s="3" t="s">
        <v>18</v>
      </c>
      <c r="D178" s="3" t="s">
        <v>19</v>
      </c>
      <c r="E178" s="3">
        <v>0</v>
      </c>
      <c r="F178" s="3">
        <v>1</v>
      </c>
      <c r="G178" s="3" t="s">
        <v>10</v>
      </c>
      <c r="H178" s="3" t="s">
        <v>12</v>
      </c>
      <c r="I178" s="3">
        <v>1</v>
      </c>
      <c r="J178" s="3" t="s">
        <v>14</v>
      </c>
      <c r="K178" s="3" t="s">
        <v>14</v>
      </c>
      <c r="L178" s="3" t="s">
        <v>14</v>
      </c>
      <c r="M178" s="3" t="s">
        <v>14</v>
      </c>
      <c r="N178" s="3" t="s">
        <v>14</v>
      </c>
      <c r="O178" s="3">
        <v>1</v>
      </c>
    </row>
    <row r="179" spans="1:15" ht="15" customHeight="1" x14ac:dyDescent="0.25">
      <c r="A179" s="2"/>
      <c r="B179" s="2">
        <v>10</v>
      </c>
      <c r="C179" s="2" t="s">
        <v>14</v>
      </c>
      <c r="D179" s="2" t="s">
        <v>19</v>
      </c>
      <c r="E179" s="2">
        <v>0</v>
      </c>
      <c r="F179" s="2">
        <v>0</v>
      </c>
      <c r="G179" s="2" t="s">
        <v>10</v>
      </c>
      <c r="H179" s="2" t="s">
        <v>12</v>
      </c>
      <c r="I179" s="2" t="s">
        <v>15</v>
      </c>
      <c r="J179" s="2" t="s">
        <v>14</v>
      </c>
      <c r="K179" s="2" t="s">
        <v>14</v>
      </c>
      <c r="L179" s="2" t="s">
        <v>14</v>
      </c>
      <c r="M179" s="2" t="s">
        <v>14</v>
      </c>
      <c r="N179" s="2" t="s">
        <v>14</v>
      </c>
      <c r="O179" s="2">
        <v>1</v>
      </c>
    </row>
    <row r="180" spans="1:15" ht="15" customHeight="1" x14ac:dyDescent="0.25">
      <c r="A180" s="3"/>
      <c r="B180" s="3">
        <v>10</v>
      </c>
      <c r="C180" s="3" t="s">
        <v>10</v>
      </c>
      <c r="D180" s="3" t="s">
        <v>19</v>
      </c>
      <c r="E180" s="3">
        <v>0</v>
      </c>
      <c r="F180" s="3">
        <v>0</v>
      </c>
      <c r="G180" s="3" t="s">
        <v>10</v>
      </c>
      <c r="H180" s="3" t="s">
        <v>12</v>
      </c>
      <c r="I180" s="3">
        <v>1</v>
      </c>
      <c r="J180" s="3" t="s">
        <v>14</v>
      </c>
      <c r="K180" s="3" t="s">
        <v>14</v>
      </c>
      <c r="L180" s="3" t="s">
        <v>14</v>
      </c>
      <c r="M180" s="3" t="s">
        <v>14</v>
      </c>
      <c r="N180" s="3" t="s">
        <v>14</v>
      </c>
      <c r="O180" s="3">
        <v>1</v>
      </c>
    </row>
    <row r="181" spans="1:15" ht="15" customHeight="1" x14ac:dyDescent="0.25">
      <c r="A181" s="2"/>
      <c r="B181" s="2">
        <v>10</v>
      </c>
      <c r="C181" s="2" t="s">
        <v>10</v>
      </c>
      <c r="D181" s="2" t="s">
        <v>19</v>
      </c>
      <c r="E181" s="2">
        <v>0</v>
      </c>
      <c r="F181" s="2">
        <v>0</v>
      </c>
      <c r="G181" s="2" t="s">
        <v>10</v>
      </c>
      <c r="H181" s="2" t="s">
        <v>12</v>
      </c>
      <c r="I181" s="2">
        <v>2</v>
      </c>
      <c r="J181" s="2" t="s">
        <v>14</v>
      </c>
      <c r="K181" s="2" t="s">
        <v>14</v>
      </c>
      <c r="L181" s="2" t="s">
        <v>14</v>
      </c>
      <c r="M181" s="2" t="s">
        <v>14</v>
      </c>
      <c r="N181" s="2" t="s">
        <v>14</v>
      </c>
      <c r="O181" s="2">
        <v>1</v>
      </c>
    </row>
    <row r="182" spans="1:15" ht="15" customHeight="1" x14ac:dyDescent="0.25">
      <c r="A182" s="3"/>
      <c r="B182" s="3">
        <v>0</v>
      </c>
      <c r="C182" s="3" t="s">
        <v>14</v>
      </c>
      <c r="D182" s="3" t="s">
        <v>19</v>
      </c>
      <c r="E182" s="3">
        <v>0</v>
      </c>
      <c r="F182" s="3">
        <v>0</v>
      </c>
      <c r="G182" s="3" t="s">
        <v>10</v>
      </c>
      <c r="H182" s="3" t="s">
        <v>12</v>
      </c>
      <c r="I182" s="3">
        <v>1</v>
      </c>
      <c r="J182" s="3" t="s">
        <v>14</v>
      </c>
      <c r="K182" s="3" t="s">
        <v>14</v>
      </c>
      <c r="L182" s="3" t="s">
        <v>14</v>
      </c>
      <c r="M182" s="3" t="s">
        <v>14</v>
      </c>
      <c r="N182" s="3" t="s">
        <v>14</v>
      </c>
      <c r="O182" s="3">
        <v>1</v>
      </c>
    </row>
    <row r="183" spans="1:15" ht="15" customHeight="1" x14ac:dyDescent="0.25">
      <c r="A183" s="2"/>
      <c r="B183" s="2">
        <v>0</v>
      </c>
      <c r="C183" s="2" t="s">
        <v>18</v>
      </c>
      <c r="D183" s="2" t="s">
        <v>19</v>
      </c>
      <c r="E183" s="2">
        <v>0</v>
      </c>
      <c r="F183" s="2">
        <v>1</v>
      </c>
      <c r="G183" s="2" t="s">
        <v>10</v>
      </c>
      <c r="H183" s="2" t="s">
        <v>12</v>
      </c>
      <c r="I183" s="2">
        <v>1</v>
      </c>
      <c r="J183" s="2" t="s">
        <v>14</v>
      </c>
      <c r="K183" s="2" t="s">
        <v>14</v>
      </c>
      <c r="L183" s="2" t="s">
        <v>14</v>
      </c>
      <c r="M183" s="2" t="s">
        <v>14</v>
      </c>
      <c r="N183" s="2" t="s">
        <v>14</v>
      </c>
      <c r="O183" s="2">
        <v>1</v>
      </c>
    </row>
    <row r="184" spans="1:15" ht="15" customHeight="1" x14ac:dyDescent="0.25">
      <c r="A184" s="3"/>
      <c r="B184" s="3">
        <v>20</v>
      </c>
      <c r="C184" s="3" t="s">
        <v>10</v>
      </c>
      <c r="D184" s="3" t="s">
        <v>11</v>
      </c>
      <c r="E184" s="3">
        <v>2</v>
      </c>
      <c r="F184" s="3">
        <v>2</v>
      </c>
      <c r="G184" s="3" t="s">
        <v>10</v>
      </c>
      <c r="H184" s="3" t="s">
        <v>12</v>
      </c>
      <c r="I184" s="3" t="s">
        <v>15</v>
      </c>
      <c r="J184" s="3" t="s">
        <v>13</v>
      </c>
      <c r="K184" s="3" t="s">
        <v>14</v>
      </c>
      <c r="L184" s="3" t="s">
        <v>14</v>
      </c>
      <c r="M184" s="3" t="s">
        <v>14</v>
      </c>
      <c r="N184" s="3" t="s">
        <v>14</v>
      </c>
      <c r="O184" s="3">
        <v>0</v>
      </c>
    </row>
    <row r="185" spans="1:15" ht="15" customHeight="1" x14ac:dyDescent="0.25">
      <c r="A185" s="2"/>
      <c r="B185" s="2">
        <v>10</v>
      </c>
      <c r="C185" s="2" t="s">
        <v>10</v>
      </c>
      <c r="D185" s="2" t="s">
        <v>20</v>
      </c>
      <c r="E185" s="2">
        <v>0</v>
      </c>
      <c r="F185" s="2">
        <v>0</v>
      </c>
      <c r="G185" s="2" t="s">
        <v>10</v>
      </c>
      <c r="H185" s="2" t="s">
        <v>12</v>
      </c>
      <c r="I185" s="2" t="s">
        <v>15</v>
      </c>
      <c r="J185" s="2" t="s">
        <v>14</v>
      </c>
      <c r="K185" s="2" t="s">
        <v>14</v>
      </c>
      <c r="L185" s="2" t="s">
        <v>14</v>
      </c>
      <c r="M185" s="2" t="s">
        <v>14</v>
      </c>
      <c r="N185" s="2" t="s">
        <v>14</v>
      </c>
      <c r="O185" s="2">
        <v>1</v>
      </c>
    </row>
    <row r="186" spans="1:15" ht="15" customHeight="1" x14ac:dyDescent="0.25">
      <c r="A186" s="3"/>
      <c r="B186" s="3">
        <v>10</v>
      </c>
      <c r="C186" s="3" t="s">
        <v>18</v>
      </c>
      <c r="D186" s="3" t="s">
        <v>20</v>
      </c>
      <c r="E186" s="3">
        <v>0</v>
      </c>
      <c r="F186" s="3">
        <v>0</v>
      </c>
      <c r="G186" s="3" t="s">
        <v>10</v>
      </c>
      <c r="H186" s="3" t="s">
        <v>12</v>
      </c>
      <c r="I186" s="3">
        <v>2</v>
      </c>
      <c r="J186" s="3" t="s">
        <v>14</v>
      </c>
      <c r="K186" s="3" t="s">
        <v>14</v>
      </c>
      <c r="L186" s="3" t="s">
        <v>14</v>
      </c>
      <c r="M186" s="3" t="s">
        <v>14</v>
      </c>
      <c r="N186" s="3" t="s">
        <v>14</v>
      </c>
      <c r="O186" s="3">
        <v>1</v>
      </c>
    </row>
    <row r="187" spans="1:15" ht="15" customHeight="1" x14ac:dyDescent="0.25">
      <c r="A187" s="2"/>
      <c r="B187" s="2">
        <v>0</v>
      </c>
      <c r="C187" s="2" t="s">
        <v>10</v>
      </c>
      <c r="D187" s="2" t="s">
        <v>20</v>
      </c>
      <c r="E187" s="2">
        <v>0</v>
      </c>
      <c r="F187" s="2">
        <v>0</v>
      </c>
      <c r="G187" s="2" t="s">
        <v>10</v>
      </c>
      <c r="H187" s="2" t="s">
        <v>12</v>
      </c>
      <c r="I187" s="2">
        <v>2</v>
      </c>
      <c r="J187" s="2" t="s">
        <v>14</v>
      </c>
      <c r="K187" s="2" t="s">
        <v>14</v>
      </c>
      <c r="L187" s="2" t="s">
        <v>14</v>
      </c>
      <c r="M187" s="2" t="s">
        <v>14</v>
      </c>
      <c r="N187" s="2" t="s">
        <v>14</v>
      </c>
      <c r="O187" s="2">
        <v>1</v>
      </c>
    </row>
    <row r="188" spans="1:15" ht="15" customHeight="1" x14ac:dyDescent="0.25">
      <c r="A188" s="3"/>
      <c r="B188" s="3">
        <v>5</v>
      </c>
      <c r="C188" s="3" t="s">
        <v>14</v>
      </c>
      <c r="D188" s="3" t="s">
        <v>19</v>
      </c>
      <c r="E188" s="3">
        <v>0</v>
      </c>
      <c r="F188" s="3">
        <v>0</v>
      </c>
      <c r="G188" s="3" t="s">
        <v>10</v>
      </c>
      <c r="H188" s="3" t="s">
        <v>16</v>
      </c>
      <c r="I188" s="3" t="s">
        <v>15</v>
      </c>
      <c r="J188" s="3" t="s">
        <v>14</v>
      </c>
      <c r="K188" s="3" t="s">
        <v>14</v>
      </c>
      <c r="L188" s="3" t="s">
        <v>14</v>
      </c>
      <c r="M188" s="3" t="s">
        <v>14</v>
      </c>
      <c r="N188" s="3" t="s">
        <v>14</v>
      </c>
      <c r="O188" s="3">
        <v>1</v>
      </c>
    </row>
    <row r="189" spans="1:15" ht="15" customHeight="1" x14ac:dyDescent="0.25">
      <c r="A189" s="2"/>
      <c r="B189" s="2">
        <v>0</v>
      </c>
      <c r="C189" s="2" t="s">
        <v>14</v>
      </c>
      <c r="D189" s="2" t="s">
        <v>19</v>
      </c>
      <c r="E189" s="2">
        <v>0</v>
      </c>
      <c r="F189" s="2">
        <v>0</v>
      </c>
      <c r="G189" s="2" t="s">
        <v>10</v>
      </c>
      <c r="H189" s="2" t="s">
        <v>12</v>
      </c>
      <c r="I189" s="2">
        <v>2</v>
      </c>
      <c r="J189" s="2" t="s">
        <v>14</v>
      </c>
      <c r="K189" s="2" t="s">
        <v>14</v>
      </c>
      <c r="L189" s="2" t="s">
        <v>14</v>
      </c>
      <c r="M189" s="2" t="s">
        <v>14</v>
      </c>
      <c r="N189" s="2" t="s">
        <v>14</v>
      </c>
      <c r="O189" s="2">
        <v>1</v>
      </c>
    </row>
    <row r="190" spans="1:15" ht="15" customHeight="1" x14ac:dyDescent="0.25">
      <c r="A190" s="3"/>
      <c r="B190" s="3">
        <v>5</v>
      </c>
      <c r="C190" s="3" t="s">
        <v>14</v>
      </c>
      <c r="D190" s="3" t="s">
        <v>19</v>
      </c>
      <c r="E190" s="3">
        <v>0</v>
      </c>
      <c r="F190" s="3">
        <v>0</v>
      </c>
      <c r="G190" s="3" t="s">
        <v>10</v>
      </c>
      <c r="H190" s="3" t="s">
        <v>12</v>
      </c>
      <c r="I190" s="3">
        <v>2</v>
      </c>
      <c r="J190" s="3" t="s">
        <v>14</v>
      </c>
      <c r="K190" s="3" t="s">
        <v>14</v>
      </c>
      <c r="L190" s="3" t="s">
        <v>14</v>
      </c>
      <c r="M190" s="3" t="s">
        <v>14</v>
      </c>
      <c r="N190" s="3" t="s">
        <v>14</v>
      </c>
      <c r="O190" s="3">
        <v>1</v>
      </c>
    </row>
    <row r="191" spans="1:15" ht="15" customHeight="1" x14ac:dyDescent="0.25">
      <c r="A191" s="2"/>
      <c r="B191" s="2">
        <v>10</v>
      </c>
      <c r="C191" s="2" t="s">
        <v>18</v>
      </c>
      <c r="D191" s="2" t="s">
        <v>20</v>
      </c>
      <c r="E191" s="2">
        <v>0</v>
      </c>
      <c r="F191" s="2">
        <v>0</v>
      </c>
      <c r="G191" s="2" t="s">
        <v>10</v>
      </c>
      <c r="H191" s="2" t="s">
        <v>12</v>
      </c>
      <c r="I191" s="2">
        <v>2</v>
      </c>
      <c r="J191" s="2" t="s">
        <v>14</v>
      </c>
      <c r="K191" s="2" t="s">
        <v>14</v>
      </c>
      <c r="L191" s="2" t="s">
        <v>14</v>
      </c>
      <c r="M191" s="2" t="s">
        <v>14</v>
      </c>
      <c r="N191" s="2" t="s">
        <v>14</v>
      </c>
      <c r="O191" s="2">
        <v>1</v>
      </c>
    </row>
    <row r="192" spans="1:15" ht="15" customHeight="1" x14ac:dyDescent="0.25">
      <c r="A192" s="3"/>
      <c r="B192" s="3">
        <v>10</v>
      </c>
      <c r="C192" s="3" t="s">
        <v>14</v>
      </c>
      <c r="D192" s="3" t="s">
        <v>20</v>
      </c>
      <c r="E192" s="3">
        <v>0</v>
      </c>
      <c r="F192" s="3">
        <v>0</v>
      </c>
      <c r="G192" s="3" t="s">
        <v>10</v>
      </c>
      <c r="H192" s="3" t="s">
        <v>12</v>
      </c>
      <c r="I192" s="3" t="s">
        <v>15</v>
      </c>
      <c r="J192" s="3" t="s">
        <v>14</v>
      </c>
      <c r="K192" s="3" t="s">
        <v>14</v>
      </c>
      <c r="L192" s="3" t="s">
        <v>14</v>
      </c>
      <c r="M192" s="3" t="s">
        <v>14</v>
      </c>
      <c r="N192" s="3" t="s">
        <v>14</v>
      </c>
      <c r="O192" s="3">
        <v>1</v>
      </c>
    </row>
    <row r="193" spans="1:15" ht="15" customHeight="1" x14ac:dyDescent="0.25">
      <c r="A193" s="2"/>
      <c r="B193" s="2">
        <v>5</v>
      </c>
      <c r="C193" s="2" t="s">
        <v>14</v>
      </c>
      <c r="D193" s="2" t="s">
        <v>20</v>
      </c>
      <c r="E193" s="2">
        <v>0</v>
      </c>
      <c r="F193" s="2">
        <v>0</v>
      </c>
      <c r="G193" s="2" t="s">
        <v>10</v>
      </c>
      <c r="H193" s="2" t="s">
        <v>12</v>
      </c>
      <c r="I193" s="2">
        <v>2</v>
      </c>
      <c r="J193" s="2" t="s">
        <v>14</v>
      </c>
      <c r="K193" s="2" t="s">
        <v>14</v>
      </c>
      <c r="L193" s="2" t="s">
        <v>14</v>
      </c>
      <c r="M193" s="2" t="s">
        <v>14</v>
      </c>
      <c r="N193" s="2" t="s">
        <v>14</v>
      </c>
      <c r="O193" s="2">
        <v>1</v>
      </c>
    </row>
    <row r="194" spans="1:15" ht="15" customHeight="1" x14ac:dyDescent="0.25">
      <c r="A194" s="3"/>
      <c r="B194" s="3">
        <v>5</v>
      </c>
      <c r="C194" s="3" t="s">
        <v>14</v>
      </c>
      <c r="D194" s="3" t="s">
        <v>20</v>
      </c>
      <c r="E194" s="3">
        <v>0</v>
      </c>
      <c r="F194" s="3">
        <v>0</v>
      </c>
      <c r="G194" s="3" t="s">
        <v>10</v>
      </c>
      <c r="H194" s="3" t="s">
        <v>12</v>
      </c>
      <c r="I194" s="3">
        <v>2</v>
      </c>
      <c r="J194" s="3" t="s">
        <v>14</v>
      </c>
      <c r="K194" s="3" t="s">
        <v>14</v>
      </c>
      <c r="L194" s="3" t="s">
        <v>14</v>
      </c>
      <c r="M194" s="3" t="s">
        <v>14</v>
      </c>
      <c r="N194" s="3" t="s">
        <v>14</v>
      </c>
      <c r="O194" s="3">
        <v>1</v>
      </c>
    </row>
    <row r="195" spans="1:15" ht="15" customHeight="1" x14ac:dyDescent="0.25">
      <c r="A195" s="2"/>
      <c r="B195" s="2">
        <v>10</v>
      </c>
      <c r="C195" s="2" t="s">
        <v>14</v>
      </c>
      <c r="D195" s="2" t="s">
        <v>20</v>
      </c>
      <c r="E195" s="2">
        <v>0</v>
      </c>
      <c r="F195" s="2">
        <v>0</v>
      </c>
      <c r="G195" s="2" t="s">
        <v>10</v>
      </c>
      <c r="H195" s="2" t="s">
        <v>12</v>
      </c>
      <c r="I195" s="2">
        <v>2</v>
      </c>
      <c r="J195" s="2" t="s">
        <v>14</v>
      </c>
      <c r="K195" s="2" t="s">
        <v>14</v>
      </c>
      <c r="L195" s="2" t="s">
        <v>14</v>
      </c>
      <c r="M195" s="2" t="s">
        <v>14</v>
      </c>
      <c r="N195" s="2" t="s">
        <v>14</v>
      </c>
      <c r="O195" s="2">
        <v>1</v>
      </c>
    </row>
    <row r="196" spans="1:15" ht="15" customHeight="1" x14ac:dyDescent="0.25">
      <c r="A196" s="3"/>
      <c r="B196" s="3">
        <v>10</v>
      </c>
      <c r="C196" s="3" t="s">
        <v>10</v>
      </c>
      <c r="D196" s="3" t="s">
        <v>19</v>
      </c>
      <c r="E196" s="3">
        <v>0</v>
      </c>
      <c r="F196" s="3">
        <v>0</v>
      </c>
      <c r="G196" s="3" t="s">
        <v>10</v>
      </c>
      <c r="H196" s="3" t="s">
        <v>12</v>
      </c>
      <c r="I196" s="3" t="s">
        <v>15</v>
      </c>
      <c r="J196" s="3" t="s">
        <v>14</v>
      </c>
      <c r="K196" s="3" t="s">
        <v>14</v>
      </c>
      <c r="L196" s="3" t="s">
        <v>14</v>
      </c>
      <c r="M196" s="3" t="s">
        <v>14</v>
      </c>
      <c r="N196" s="3" t="s">
        <v>14</v>
      </c>
      <c r="O196" s="3">
        <v>1</v>
      </c>
    </row>
    <row r="197" spans="1:15" ht="15" customHeight="1" x14ac:dyDescent="0.25">
      <c r="A197" s="2"/>
      <c r="B197" s="2">
        <v>10</v>
      </c>
      <c r="C197" s="2" t="s">
        <v>18</v>
      </c>
      <c r="D197" s="2" t="s">
        <v>19</v>
      </c>
      <c r="E197" s="2">
        <v>0</v>
      </c>
      <c r="F197" s="2">
        <v>0</v>
      </c>
      <c r="G197" s="2" t="s">
        <v>10</v>
      </c>
      <c r="H197" s="2" t="s">
        <v>12</v>
      </c>
      <c r="I197" s="2">
        <v>2</v>
      </c>
      <c r="J197" s="2" t="s">
        <v>14</v>
      </c>
      <c r="K197" s="2" t="s">
        <v>14</v>
      </c>
      <c r="L197" s="2" t="s">
        <v>14</v>
      </c>
      <c r="M197" s="2" t="s">
        <v>14</v>
      </c>
      <c r="N197" s="2" t="s">
        <v>14</v>
      </c>
      <c r="O197" s="2">
        <v>1</v>
      </c>
    </row>
    <row r="198" spans="1:15" ht="15" customHeight="1" x14ac:dyDescent="0.25">
      <c r="A198" s="3"/>
      <c r="B198" s="3">
        <v>10</v>
      </c>
      <c r="C198" s="3" t="s">
        <v>18</v>
      </c>
      <c r="D198" s="3" t="s">
        <v>20</v>
      </c>
      <c r="E198" s="3">
        <v>0</v>
      </c>
      <c r="F198" s="3">
        <v>0</v>
      </c>
      <c r="G198" s="3" t="s">
        <v>10</v>
      </c>
      <c r="H198" s="3" t="s">
        <v>12</v>
      </c>
      <c r="I198" s="3">
        <v>1</v>
      </c>
      <c r="J198" s="3" t="s">
        <v>14</v>
      </c>
      <c r="K198" s="3" t="s">
        <v>14</v>
      </c>
      <c r="L198" s="3" t="s">
        <v>14</v>
      </c>
      <c r="M198" s="3" t="s">
        <v>14</v>
      </c>
      <c r="N198" s="3" t="s">
        <v>14</v>
      </c>
      <c r="O198" s="3">
        <v>1</v>
      </c>
    </row>
    <row r="199" spans="1:15" ht="15" customHeight="1" x14ac:dyDescent="0.25">
      <c r="A199" s="2"/>
      <c r="B199" s="2">
        <v>10</v>
      </c>
      <c r="C199" s="2" t="s">
        <v>14</v>
      </c>
      <c r="D199" s="2" t="s">
        <v>20</v>
      </c>
      <c r="E199" s="2">
        <v>0</v>
      </c>
      <c r="F199" s="2">
        <v>0</v>
      </c>
      <c r="G199" s="2" t="s">
        <v>10</v>
      </c>
      <c r="H199" s="2" t="s">
        <v>12</v>
      </c>
      <c r="I199" s="2" t="s">
        <v>15</v>
      </c>
      <c r="J199" s="2" t="s">
        <v>14</v>
      </c>
      <c r="K199" s="2" t="s">
        <v>14</v>
      </c>
      <c r="L199" s="2" t="s">
        <v>14</v>
      </c>
      <c r="M199" s="2" t="s">
        <v>14</v>
      </c>
      <c r="N199" s="2" t="s">
        <v>14</v>
      </c>
      <c r="O199" s="2">
        <v>1</v>
      </c>
    </row>
    <row r="200" spans="1:15" ht="15" customHeight="1" x14ac:dyDescent="0.25">
      <c r="A200" s="3"/>
      <c r="B200" s="3">
        <v>10</v>
      </c>
      <c r="C200" s="3" t="s">
        <v>10</v>
      </c>
      <c r="D200" s="3" t="s">
        <v>19</v>
      </c>
      <c r="E200" s="3">
        <v>0</v>
      </c>
      <c r="F200" s="3">
        <v>0</v>
      </c>
      <c r="G200" s="3" t="s">
        <v>10</v>
      </c>
      <c r="H200" s="3" t="s">
        <v>12</v>
      </c>
      <c r="I200" s="3">
        <v>2</v>
      </c>
      <c r="J200" s="3" t="s">
        <v>14</v>
      </c>
      <c r="K200" s="3" t="s">
        <v>14</v>
      </c>
      <c r="L200" s="3" t="s">
        <v>14</v>
      </c>
      <c r="M200" s="3" t="s">
        <v>14</v>
      </c>
      <c r="N200" s="3" t="s">
        <v>14</v>
      </c>
      <c r="O200" s="3">
        <v>1</v>
      </c>
    </row>
    <row r="201" spans="1:15" ht="15" customHeight="1" x14ac:dyDescent="0.25">
      <c r="A201" s="2"/>
      <c r="B201" s="2">
        <v>5</v>
      </c>
      <c r="C201" s="2" t="s">
        <v>10</v>
      </c>
      <c r="D201" s="2" t="s">
        <v>19</v>
      </c>
      <c r="E201" s="2">
        <v>0</v>
      </c>
      <c r="F201" s="2">
        <v>0</v>
      </c>
      <c r="G201" s="2" t="s">
        <v>10</v>
      </c>
      <c r="H201" s="2" t="s">
        <v>12</v>
      </c>
      <c r="I201" s="2">
        <v>2</v>
      </c>
      <c r="J201" s="2" t="s">
        <v>14</v>
      </c>
      <c r="K201" s="2" t="s">
        <v>14</v>
      </c>
      <c r="L201" s="2" t="s">
        <v>14</v>
      </c>
      <c r="M201" s="2" t="s">
        <v>14</v>
      </c>
      <c r="N201" s="2" t="s">
        <v>14</v>
      </c>
      <c r="O201" s="2">
        <v>1</v>
      </c>
    </row>
    <row r="202" spans="1:15" ht="15" customHeight="1" x14ac:dyDescent="0.25">
      <c r="A202" s="3"/>
      <c r="B202" s="3">
        <v>5</v>
      </c>
      <c r="C202" s="3" t="s">
        <v>10</v>
      </c>
      <c r="D202" s="3" t="s">
        <v>19</v>
      </c>
      <c r="E202" s="3">
        <v>1</v>
      </c>
      <c r="F202" s="3">
        <v>0</v>
      </c>
      <c r="G202" s="3" t="s">
        <v>10</v>
      </c>
      <c r="H202" s="3" t="s">
        <v>12</v>
      </c>
      <c r="I202" s="3" t="s">
        <v>15</v>
      </c>
      <c r="J202" s="3" t="s">
        <v>14</v>
      </c>
      <c r="K202" s="3" t="s">
        <v>14</v>
      </c>
      <c r="L202" s="3" t="s">
        <v>14</v>
      </c>
      <c r="M202" s="3" t="s">
        <v>14</v>
      </c>
      <c r="N202" s="3" t="s">
        <v>14</v>
      </c>
      <c r="O202" s="3">
        <v>1</v>
      </c>
    </row>
    <row r="203" spans="1:15" ht="15" customHeight="1" x14ac:dyDescent="0.25">
      <c r="A203" s="2"/>
      <c r="B203" s="2">
        <v>20</v>
      </c>
      <c r="C203" s="2" t="s">
        <v>10</v>
      </c>
      <c r="D203" s="2" t="s">
        <v>11</v>
      </c>
      <c r="E203" s="2">
        <v>0</v>
      </c>
      <c r="F203" s="2">
        <v>1</v>
      </c>
      <c r="G203" s="2" t="s">
        <v>10</v>
      </c>
      <c r="H203" s="2" t="s">
        <v>12</v>
      </c>
      <c r="I203" s="2">
        <v>1</v>
      </c>
      <c r="J203" s="2" t="s">
        <v>14</v>
      </c>
      <c r="K203" s="2" t="s">
        <v>14</v>
      </c>
      <c r="L203" s="2" t="s">
        <v>14</v>
      </c>
      <c r="M203" s="2" t="s">
        <v>14</v>
      </c>
      <c r="N203" s="2" t="s">
        <v>14</v>
      </c>
      <c r="O203" s="2">
        <v>0</v>
      </c>
    </row>
    <row r="204" spans="1:15" ht="15" customHeight="1" x14ac:dyDescent="0.25">
      <c r="A204" s="3" t="s">
        <v>20</v>
      </c>
      <c r="B204" s="3">
        <v>5</v>
      </c>
      <c r="C204" s="3" t="s">
        <v>18</v>
      </c>
      <c r="D204" s="3" t="s">
        <v>20</v>
      </c>
      <c r="E204" s="3">
        <v>0</v>
      </c>
      <c r="F204" s="3">
        <v>0</v>
      </c>
      <c r="G204" s="3" t="s">
        <v>10</v>
      </c>
      <c r="H204" s="3" t="s">
        <v>12</v>
      </c>
      <c r="I204" s="3">
        <v>1</v>
      </c>
      <c r="J204" s="3" t="s">
        <v>14</v>
      </c>
      <c r="K204" s="3" t="s">
        <v>13</v>
      </c>
      <c r="L204" s="3" t="s">
        <v>13</v>
      </c>
      <c r="M204" s="3" t="s">
        <v>14</v>
      </c>
      <c r="N204" s="3" t="s">
        <v>14</v>
      </c>
      <c r="O204" s="3">
        <v>1</v>
      </c>
    </row>
    <row r="205" spans="1:15" ht="15" customHeight="1" x14ac:dyDescent="0.25">
      <c r="A205" s="2"/>
      <c r="B205" s="2">
        <v>20</v>
      </c>
      <c r="C205" s="2" t="s">
        <v>10</v>
      </c>
      <c r="D205" s="2" t="s">
        <v>19</v>
      </c>
      <c r="E205" s="2">
        <v>0</v>
      </c>
      <c r="F205" s="2">
        <v>1</v>
      </c>
      <c r="G205" s="2" t="s">
        <v>10</v>
      </c>
      <c r="H205" s="2" t="s">
        <v>12</v>
      </c>
      <c r="I205" s="2">
        <v>1</v>
      </c>
      <c r="J205" s="2" t="s">
        <v>14</v>
      </c>
      <c r="K205" s="2" t="s">
        <v>14</v>
      </c>
      <c r="L205" s="2" t="s">
        <v>14</v>
      </c>
      <c r="M205" s="2" t="s">
        <v>13</v>
      </c>
      <c r="N205" s="2" t="s">
        <v>14</v>
      </c>
      <c r="O205" s="2">
        <v>0</v>
      </c>
    </row>
    <row r="206" spans="1:15" ht="15" customHeight="1" x14ac:dyDescent="0.25">
      <c r="A206" s="3"/>
      <c r="B206" s="3">
        <v>20</v>
      </c>
      <c r="C206" s="3" t="s">
        <v>10</v>
      </c>
      <c r="D206" s="3" t="s">
        <v>11</v>
      </c>
      <c r="E206" s="3">
        <v>1</v>
      </c>
      <c r="F206" s="3">
        <v>0</v>
      </c>
      <c r="G206" s="3" t="s">
        <v>17</v>
      </c>
      <c r="H206" s="3" t="s">
        <v>108</v>
      </c>
      <c r="I206" s="3">
        <v>1</v>
      </c>
      <c r="J206" s="3" t="s">
        <v>14</v>
      </c>
      <c r="K206" s="3" t="s">
        <v>13</v>
      </c>
      <c r="L206" s="3" t="s">
        <v>13</v>
      </c>
      <c r="M206" s="3" t="s">
        <v>13</v>
      </c>
      <c r="N206" s="3" t="s">
        <v>14</v>
      </c>
      <c r="O206" s="3">
        <v>0</v>
      </c>
    </row>
    <row r="207" spans="1:15" ht="15" customHeight="1" x14ac:dyDescent="0.25">
      <c r="A207" s="2"/>
      <c r="B207" s="2">
        <v>5</v>
      </c>
      <c r="C207" s="2" t="s">
        <v>14</v>
      </c>
      <c r="D207" s="2" t="s">
        <v>19</v>
      </c>
      <c r="E207" s="2">
        <v>1</v>
      </c>
      <c r="F207" s="2">
        <v>0</v>
      </c>
      <c r="G207" s="2" t="s">
        <v>17</v>
      </c>
      <c r="H207" s="2" t="s">
        <v>108</v>
      </c>
      <c r="I207" s="2">
        <v>1</v>
      </c>
      <c r="J207" s="2" t="s">
        <v>14</v>
      </c>
      <c r="K207" s="2" t="s">
        <v>13</v>
      </c>
      <c r="L207" s="2" t="s">
        <v>13</v>
      </c>
      <c r="M207" s="2" t="s">
        <v>13</v>
      </c>
      <c r="N207" s="2" t="s">
        <v>14</v>
      </c>
      <c r="O207" s="2">
        <v>1</v>
      </c>
    </row>
    <row r="208" spans="1:15" ht="15" customHeight="1" x14ac:dyDescent="0.25">
      <c r="A208" s="3"/>
      <c r="B208" s="3">
        <v>10</v>
      </c>
      <c r="C208" s="3" t="s">
        <v>10</v>
      </c>
      <c r="D208" s="3" t="s">
        <v>19</v>
      </c>
      <c r="E208" s="3">
        <v>1</v>
      </c>
      <c r="F208" s="3">
        <v>0</v>
      </c>
      <c r="G208" s="3" t="s">
        <v>17</v>
      </c>
      <c r="H208" s="3" t="s">
        <v>108</v>
      </c>
      <c r="I208" s="3">
        <v>1</v>
      </c>
      <c r="J208" s="3" t="s">
        <v>14</v>
      </c>
      <c r="K208" s="3" t="s">
        <v>13</v>
      </c>
      <c r="L208" s="3" t="s">
        <v>13</v>
      </c>
      <c r="M208" s="3" t="s">
        <v>13</v>
      </c>
      <c r="N208" s="3" t="s">
        <v>14</v>
      </c>
      <c r="O208" s="3">
        <v>0</v>
      </c>
    </row>
    <row r="209" spans="1:15" ht="15" customHeight="1" x14ac:dyDescent="0.25">
      <c r="A209" s="2"/>
      <c r="B209" s="2">
        <v>0</v>
      </c>
      <c r="C209" s="2" t="s">
        <v>10</v>
      </c>
      <c r="D209" s="2" t="s">
        <v>19</v>
      </c>
      <c r="E209" s="2">
        <v>0</v>
      </c>
      <c r="F209" s="2">
        <v>0</v>
      </c>
      <c r="G209" s="2" t="s">
        <v>17</v>
      </c>
      <c r="H209" s="2" t="s">
        <v>108</v>
      </c>
      <c r="I209" s="2">
        <v>1</v>
      </c>
      <c r="J209" s="2" t="s">
        <v>14</v>
      </c>
      <c r="K209" s="2" t="s">
        <v>13</v>
      </c>
      <c r="L209" s="2" t="s">
        <v>13</v>
      </c>
      <c r="M209" s="2" t="s">
        <v>13</v>
      </c>
      <c r="N209" s="2" t="s">
        <v>14</v>
      </c>
      <c r="O209" s="2">
        <v>1</v>
      </c>
    </row>
    <row r="210" spans="1:15" ht="15" customHeight="1" x14ac:dyDescent="0.25">
      <c r="A210" s="3"/>
      <c r="B210" s="3">
        <v>10</v>
      </c>
      <c r="C210" s="3" t="s">
        <v>18</v>
      </c>
      <c r="D210" s="3" t="s">
        <v>19</v>
      </c>
      <c r="E210" s="3">
        <v>0</v>
      </c>
      <c r="F210" s="3">
        <v>0</v>
      </c>
      <c r="G210" s="3" t="s">
        <v>10</v>
      </c>
      <c r="H210" s="3" t="s">
        <v>12</v>
      </c>
      <c r="I210" s="3">
        <v>1</v>
      </c>
      <c r="J210" s="3" t="s">
        <v>14</v>
      </c>
      <c r="K210" s="3" t="s">
        <v>13</v>
      </c>
      <c r="L210" s="3" t="s">
        <v>13</v>
      </c>
      <c r="M210" s="3" t="s">
        <v>13</v>
      </c>
      <c r="N210" s="3" t="s">
        <v>14</v>
      </c>
      <c r="O210" s="3">
        <v>1</v>
      </c>
    </row>
    <row r="211" spans="1:15" ht="15" customHeight="1" x14ac:dyDescent="0.25">
      <c r="A211" s="2"/>
      <c r="B211" s="2">
        <v>30</v>
      </c>
      <c r="C211" s="2" t="s">
        <v>10</v>
      </c>
      <c r="D211" s="2" t="s">
        <v>11</v>
      </c>
      <c r="E211" s="2">
        <v>1</v>
      </c>
      <c r="F211" s="2">
        <v>0</v>
      </c>
      <c r="G211" s="2" t="s">
        <v>10</v>
      </c>
      <c r="H211" s="2" t="s">
        <v>16</v>
      </c>
      <c r="I211" s="2" t="s">
        <v>15</v>
      </c>
      <c r="J211" s="2" t="s">
        <v>13</v>
      </c>
      <c r="K211" s="2" t="s">
        <v>13</v>
      </c>
      <c r="L211" s="2" t="s">
        <v>14</v>
      </c>
      <c r="M211" s="2" t="s">
        <v>13</v>
      </c>
      <c r="N211" s="2" t="s">
        <v>14</v>
      </c>
      <c r="O211" s="2">
        <v>0</v>
      </c>
    </row>
    <row r="212" spans="1:15" ht="15" customHeight="1" x14ac:dyDescent="0.25">
      <c r="A212" s="3"/>
      <c r="B212" s="3">
        <v>10</v>
      </c>
      <c r="C212" s="3" t="s">
        <v>10</v>
      </c>
      <c r="D212" s="3" t="s">
        <v>20</v>
      </c>
      <c r="E212" s="3">
        <v>0</v>
      </c>
      <c r="F212" s="3">
        <v>1</v>
      </c>
      <c r="G212" s="3" t="s">
        <v>17</v>
      </c>
      <c r="H212" s="3" t="s">
        <v>108</v>
      </c>
      <c r="I212" s="3">
        <v>1</v>
      </c>
      <c r="J212" s="3" t="s">
        <v>14</v>
      </c>
      <c r="K212" s="3" t="s">
        <v>13</v>
      </c>
      <c r="L212" s="3" t="s">
        <v>13</v>
      </c>
      <c r="M212" s="3" t="s">
        <v>13</v>
      </c>
      <c r="N212" s="3" t="s">
        <v>14</v>
      </c>
      <c r="O212" s="3">
        <v>1</v>
      </c>
    </row>
    <row r="213" spans="1:15" ht="15" customHeight="1" x14ac:dyDescent="0.25">
      <c r="A213" s="2"/>
      <c r="B213" s="2">
        <v>10</v>
      </c>
      <c r="C213" s="2" t="s">
        <v>14</v>
      </c>
      <c r="D213" s="2" t="s">
        <v>20</v>
      </c>
      <c r="E213" s="2">
        <v>0</v>
      </c>
      <c r="F213" s="2">
        <v>0</v>
      </c>
      <c r="G213" s="2" t="s">
        <v>10</v>
      </c>
      <c r="H213" s="2" t="s">
        <v>12</v>
      </c>
      <c r="I213" s="2">
        <v>2</v>
      </c>
      <c r="J213" s="2" t="s">
        <v>14</v>
      </c>
      <c r="K213" s="2" t="s">
        <v>14</v>
      </c>
      <c r="L213" s="2" t="s">
        <v>14</v>
      </c>
      <c r="M213" s="2" t="s">
        <v>14</v>
      </c>
      <c r="N213" s="2" t="s">
        <v>14</v>
      </c>
      <c r="O213" s="2">
        <v>1</v>
      </c>
    </row>
    <row r="214" spans="1:15" ht="15" customHeight="1" x14ac:dyDescent="0.25">
      <c r="A214" s="3"/>
      <c r="B214" s="3">
        <v>30</v>
      </c>
      <c r="C214" s="3" t="s">
        <v>10</v>
      </c>
      <c r="D214" s="3" t="s">
        <v>11</v>
      </c>
      <c r="E214" s="3">
        <v>0</v>
      </c>
      <c r="F214" s="3">
        <v>0</v>
      </c>
      <c r="G214" s="3" t="s">
        <v>10</v>
      </c>
      <c r="H214" s="3" t="s">
        <v>12</v>
      </c>
      <c r="I214" s="3">
        <v>2</v>
      </c>
      <c r="J214" s="3" t="s">
        <v>13</v>
      </c>
      <c r="K214" s="3" t="s">
        <v>14</v>
      </c>
      <c r="L214" s="3" t="s">
        <v>14</v>
      </c>
      <c r="M214" s="3" t="s">
        <v>13</v>
      </c>
      <c r="N214" s="3" t="s">
        <v>14</v>
      </c>
      <c r="O214" s="3">
        <v>0</v>
      </c>
    </row>
    <row r="215" spans="1:15" ht="15" customHeight="1" x14ac:dyDescent="0.25">
      <c r="A215" s="2"/>
      <c r="B215" s="2">
        <v>10</v>
      </c>
      <c r="C215" s="2" t="s">
        <v>10</v>
      </c>
      <c r="D215" s="2" t="s">
        <v>19</v>
      </c>
      <c r="E215" s="2">
        <v>0</v>
      </c>
      <c r="F215" s="2">
        <v>0</v>
      </c>
      <c r="G215" s="2" t="s">
        <v>10</v>
      </c>
      <c r="H215" s="2" t="s">
        <v>12</v>
      </c>
      <c r="I215" s="2">
        <v>2</v>
      </c>
      <c r="J215" s="2" t="s">
        <v>14</v>
      </c>
      <c r="K215" s="2" t="s">
        <v>13</v>
      </c>
      <c r="L215" s="2" t="s">
        <v>14</v>
      </c>
      <c r="M215" s="2" t="s">
        <v>14</v>
      </c>
      <c r="N215" s="2" t="s">
        <v>14</v>
      </c>
      <c r="O215" s="2">
        <v>1</v>
      </c>
    </row>
    <row r="216" spans="1:15" ht="15" customHeight="1" x14ac:dyDescent="0.25">
      <c r="A216" s="3"/>
      <c r="B216" s="3">
        <v>10</v>
      </c>
      <c r="C216" s="3" t="s">
        <v>18</v>
      </c>
      <c r="D216" s="3" t="s">
        <v>20</v>
      </c>
      <c r="E216" s="3">
        <v>0</v>
      </c>
      <c r="F216" s="3">
        <v>0</v>
      </c>
      <c r="G216" s="3" t="s">
        <v>10</v>
      </c>
      <c r="H216" s="3" t="s">
        <v>12</v>
      </c>
      <c r="I216" s="3">
        <v>2</v>
      </c>
      <c r="J216" s="3" t="s">
        <v>14</v>
      </c>
      <c r="K216" s="3" t="s">
        <v>14</v>
      </c>
      <c r="L216" s="3" t="s">
        <v>14</v>
      </c>
      <c r="M216" s="3" t="s">
        <v>14</v>
      </c>
      <c r="N216" s="3" t="s">
        <v>14</v>
      </c>
      <c r="O216" s="3">
        <v>1</v>
      </c>
    </row>
    <row r="217" spans="1:15" ht="15" customHeight="1" x14ac:dyDescent="0.25">
      <c r="A217" s="2"/>
      <c r="B217" s="2">
        <v>20</v>
      </c>
      <c r="C217" s="2" t="s">
        <v>10</v>
      </c>
      <c r="D217" s="2" t="s">
        <v>19</v>
      </c>
      <c r="E217" s="2">
        <v>0</v>
      </c>
      <c r="F217" s="2">
        <v>1</v>
      </c>
      <c r="G217" s="2" t="s">
        <v>10</v>
      </c>
      <c r="H217" s="2" t="s">
        <v>12</v>
      </c>
      <c r="I217" s="2">
        <v>2</v>
      </c>
      <c r="J217" s="2" t="s">
        <v>14</v>
      </c>
      <c r="K217" s="2" t="s">
        <v>14</v>
      </c>
      <c r="L217" s="2" t="s">
        <v>14</v>
      </c>
      <c r="M217" s="2" t="s">
        <v>14</v>
      </c>
      <c r="N217" s="2" t="s">
        <v>14</v>
      </c>
      <c r="O217" s="2">
        <v>1</v>
      </c>
    </row>
    <row r="218" spans="1:15" ht="15" customHeight="1" x14ac:dyDescent="0.25">
      <c r="A218" s="3"/>
      <c r="B218" s="3">
        <v>10</v>
      </c>
      <c r="C218" s="3" t="s">
        <v>10</v>
      </c>
      <c r="D218" s="3" t="s">
        <v>11</v>
      </c>
      <c r="E218" s="3">
        <v>0</v>
      </c>
      <c r="F218" s="3">
        <v>1</v>
      </c>
      <c r="G218" s="3" t="s">
        <v>10</v>
      </c>
      <c r="H218" s="3" t="s">
        <v>12</v>
      </c>
      <c r="I218" s="3" t="s">
        <v>15</v>
      </c>
      <c r="J218" s="3" t="s">
        <v>13</v>
      </c>
      <c r="K218" s="3" t="s">
        <v>14</v>
      </c>
      <c r="L218" s="3" t="s">
        <v>14</v>
      </c>
      <c r="M218" s="3" t="s">
        <v>14</v>
      </c>
      <c r="N218" s="3" t="s">
        <v>14</v>
      </c>
      <c r="O218" s="3">
        <v>1</v>
      </c>
    </row>
    <row r="219" spans="1:15" ht="15" customHeight="1" x14ac:dyDescent="0.25">
      <c r="A219" s="2"/>
      <c r="B219" s="2">
        <v>10</v>
      </c>
      <c r="C219" s="2" t="s">
        <v>14</v>
      </c>
      <c r="D219" s="2" t="s">
        <v>20</v>
      </c>
      <c r="E219" s="2">
        <v>0</v>
      </c>
      <c r="F219" s="2">
        <v>0</v>
      </c>
      <c r="G219" s="2" t="s">
        <v>10</v>
      </c>
      <c r="H219" s="2" t="s">
        <v>12</v>
      </c>
      <c r="I219" s="2">
        <v>2</v>
      </c>
      <c r="J219" s="2" t="s">
        <v>14</v>
      </c>
      <c r="K219" s="2" t="s">
        <v>14</v>
      </c>
      <c r="L219" s="2" t="s">
        <v>14</v>
      </c>
      <c r="M219" s="2" t="s">
        <v>14</v>
      </c>
      <c r="N219" s="2" t="s">
        <v>14</v>
      </c>
      <c r="O219" s="2">
        <v>1</v>
      </c>
    </row>
    <row r="220" spans="1:15" ht="15" customHeight="1" x14ac:dyDescent="0.25">
      <c r="A220" s="3"/>
      <c r="B220" s="3">
        <v>20</v>
      </c>
      <c r="C220" s="3" t="s">
        <v>10</v>
      </c>
      <c r="D220" s="3" t="s">
        <v>19</v>
      </c>
      <c r="E220" s="3">
        <v>0</v>
      </c>
      <c r="F220" s="3">
        <v>0</v>
      </c>
      <c r="G220" s="3" t="s">
        <v>10</v>
      </c>
      <c r="H220" s="3" t="s">
        <v>12</v>
      </c>
      <c r="I220" s="3">
        <v>2</v>
      </c>
      <c r="J220" s="3" t="s">
        <v>14</v>
      </c>
      <c r="K220" s="3" t="s">
        <v>14</v>
      </c>
      <c r="L220" s="3" t="s">
        <v>14</v>
      </c>
      <c r="M220" s="3" t="s">
        <v>14</v>
      </c>
      <c r="N220" s="3" t="s">
        <v>14</v>
      </c>
      <c r="O220" s="3">
        <v>1</v>
      </c>
    </row>
    <row r="221" spans="1:15" ht="15" customHeight="1" x14ac:dyDescent="0.25">
      <c r="A221" s="2"/>
      <c r="B221" s="2">
        <v>10</v>
      </c>
      <c r="C221" s="2" t="s">
        <v>10</v>
      </c>
      <c r="D221" s="2" t="s">
        <v>19</v>
      </c>
      <c r="E221" s="2">
        <v>0</v>
      </c>
      <c r="F221" s="2">
        <v>1</v>
      </c>
      <c r="G221" s="2" t="s">
        <v>10</v>
      </c>
      <c r="H221" s="2" t="s">
        <v>12</v>
      </c>
      <c r="I221" s="2">
        <v>1</v>
      </c>
      <c r="J221" s="2" t="s">
        <v>14</v>
      </c>
      <c r="K221" s="2" t="s">
        <v>14</v>
      </c>
      <c r="L221" s="2" t="s">
        <v>14</v>
      </c>
      <c r="M221" s="2" t="s">
        <v>14</v>
      </c>
      <c r="N221" s="2" t="s">
        <v>14</v>
      </c>
      <c r="O221" s="2">
        <v>1</v>
      </c>
    </row>
    <row r="222" spans="1:15" ht="15" customHeight="1" x14ac:dyDescent="0.25">
      <c r="A222" s="3"/>
      <c r="B222" s="3">
        <v>10</v>
      </c>
      <c r="C222" s="3" t="s">
        <v>10</v>
      </c>
      <c r="D222" s="3" t="s">
        <v>11</v>
      </c>
      <c r="E222" s="3">
        <v>1</v>
      </c>
      <c r="F222" s="3">
        <v>0</v>
      </c>
      <c r="G222" s="3" t="s">
        <v>10</v>
      </c>
      <c r="H222" s="3" t="s">
        <v>12</v>
      </c>
      <c r="I222" s="3">
        <v>2</v>
      </c>
      <c r="J222" s="3" t="s">
        <v>13</v>
      </c>
      <c r="K222" s="3" t="s">
        <v>14</v>
      </c>
      <c r="L222" s="3" t="s">
        <v>14</v>
      </c>
      <c r="M222" s="3" t="s">
        <v>14</v>
      </c>
      <c r="N222" s="3" t="s">
        <v>14</v>
      </c>
      <c r="O222" s="3">
        <v>1</v>
      </c>
    </row>
    <row r="223" spans="1:15" ht="15" customHeight="1" x14ac:dyDescent="0.25">
      <c r="A223" s="2"/>
      <c r="B223" s="2">
        <v>10</v>
      </c>
      <c r="C223" s="2" t="s">
        <v>10</v>
      </c>
      <c r="D223" s="2" t="s">
        <v>20</v>
      </c>
      <c r="E223" s="2">
        <v>0</v>
      </c>
      <c r="F223" s="2">
        <v>0</v>
      </c>
      <c r="G223" s="2" t="s">
        <v>17</v>
      </c>
      <c r="H223" s="2" t="s">
        <v>108</v>
      </c>
      <c r="I223" s="2">
        <v>1</v>
      </c>
      <c r="J223" s="2" t="s">
        <v>14</v>
      </c>
      <c r="K223" s="2" t="s">
        <v>13</v>
      </c>
      <c r="L223" s="2" t="s">
        <v>13</v>
      </c>
      <c r="M223" s="2" t="s">
        <v>13</v>
      </c>
      <c r="N223" s="2" t="s">
        <v>14</v>
      </c>
      <c r="O223" s="2">
        <v>0</v>
      </c>
    </row>
    <row r="224" spans="1:15" ht="15" customHeight="1" x14ac:dyDescent="0.25">
      <c r="A224" s="3"/>
      <c r="B224" s="3">
        <v>0</v>
      </c>
      <c r="C224" s="3" t="s">
        <v>18</v>
      </c>
      <c r="D224" s="3" t="s">
        <v>11</v>
      </c>
      <c r="E224" s="3">
        <v>0</v>
      </c>
      <c r="F224" s="3">
        <v>1</v>
      </c>
      <c r="G224" s="3" t="s">
        <v>10</v>
      </c>
      <c r="H224" s="3" t="s">
        <v>16</v>
      </c>
      <c r="I224" s="3">
        <v>1</v>
      </c>
      <c r="J224" s="3" t="s">
        <v>14</v>
      </c>
      <c r="K224" s="3" t="s">
        <v>14</v>
      </c>
      <c r="L224" s="3" t="s">
        <v>14</v>
      </c>
      <c r="M224" s="3" t="s">
        <v>14</v>
      </c>
      <c r="N224" s="3" t="s">
        <v>14</v>
      </c>
      <c r="O224" s="3">
        <v>1</v>
      </c>
    </row>
    <row r="225" spans="1:15" ht="15" customHeight="1" x14ac:dyDescent="0.25">
      <c r="A225" s="2"/>
      <c r="B225" s="2">
        <v>30</v>
      </c>
      <c r="C225" s="2" t="s">
        <v>10</v>
      </c>
      <c r="D225" s="2" t="s">
        <v>11</v>
      </c>
      <c r="E225" s="2">
        <v>0</v>
      </c>
      <c r="F225" s="2">
        <v>0</v>
      </c>
      <c r="G225" s="2" t="s">
        <v>10</v>
      </c>
      <c r="H225" s="2" t="s">
        <v>12</v>
      </c>
      <c r="I225" s="2">
        <v>2</v>
      </c>
      <c r="J225" s="2" t="s">
        <v>14</v>
      </c>
      <c r="K225" s="2" t="s">
        <v>14</v>
      </c>
      <c r="L225" s="2" t="s">
        <v>14</v>
      </c>
      <c r="M225" s="2" t="s">
        <v>13</v>
      </c>
      <c r="N225" s="2" t="s">
        <v>13</v>
      </c>
      <c r="O225" s="2">
        <v>1</v>
      </c>
    </row>
    <row r="226" spans="1:15" ht="15" customHeight="1" x14ac:dyDescent="0.25">
      <c r="A226" s="3"/>
      <c r="B226" s="3">
        <v>10</v>
      </c>
      <c r="C226" s="3" t="s">
        <v>18</v>
      </c>
      <c r="D226" s="3" t="s">
        <v>19</v>
      </c>
      <c r="E226" s="3">
        <v>0</v>
      </c>
      <c r="F226" s="3">
        <v>1</v>
      </c>
      <c r="G226" s="3" t="s">
        <v>10</v>
      </c>
      <c r="H226" s="3" t="s">
        <v>12</v>
      </c>
      <c r="I226" s="3" t="s">
        <v>15</v>
      </c>
      <c r="J226" s="3" t="s">
        <v>14</v>
      </c>
      <c r="K226" s="3" t="s">
        <v>13</v>
      </c>
      <c r="L226" s="3" t="s">
        <v>14</v>
      </c>
      <c r="M226" s="3" t="s">
        <v>14</v>
      </c>
      <c r="N226" s="3" t="s">
        <v>14</v>
      </c>
      <c r="O226" s="3">
        <v>1</v>
      </c>
    </row>
    <row r="227" spans="1:15" ht="15" customHeight="1" x14ac:dyDescent="0.25">
      <c r="A227" s="2"/>
      <c r="B227" s="2">
        <v>10</v>
      </c>
      <c r="C227" s="2" t="s">
        <v>10</v>
      </c>
      <c r="D227" s="2" t="s">
        <v>19</v>
      </c>
      <c r="E227" s="2">
        <v>0</v>
      </c>
      <c r="F227" s="2">
        <v>0</v>
      </c>
      <c r="G227" s="2" t="s">
        <v>10</v>
      </c>
      <c r="H227" s="2" t="s">
        <v>12</v>
      </c>
      <c r="I227" s="2">
        <v>2</v>
      </c>
      <c r="J227" s="2" t="s">
        <v>14</v>
      </c>
      <c r="K227" s="2" t="s">
        <v>14</v>
      </c>
      <c r="L227" s="2" t="s">
        <v>14</v>
      </c>
      <c r="M227" s="2" t="s">
        <v>14</v>
      </c>
      <c r="N227" s="2" t="s">
        <v>14</v>
      </c>
      <c r="O227" s="2">
        <v>1</v>
      </c>
    </row>
    <row r="228" spans="1:15" ht="15" customHeight="1" x14ac:dyDescent="0.25">
      <c r="A228" s="3"/>
      <c r="B228" s="3">
        <v>5</v>
      </c>
      <c r="C228" s="3" t="s">
        <v>18</v>
      </c>
      <c r="D228" s="3" t="s">
        <v>20</v>
      </c>
      <c r="E228" s="3">
        <v>0</v>
      </c>
      <c r="F228" s="3">
        <v>0</v>
      </c>
      <c r="G228" s="3" t="s">
        <v>10</v>
      </c>
      <c r="H228" s="3" t="s">
        <v>12</v>
      </c>
      <c r="I228" s="3" t="s">
        <v>15</v>
      </c>
      <c r="J228" s="3" t="s">
        <v>14</v>
      </c>
      <c r="K228" s="3" t="s">
        <v>14</v>
      </c>
      <c r="L228" s="3" t="s">
        <v>14</v>
      </c>
      <c r="M228" s="3" t="s">
        <v>14</v>
      </c>
      <c r="N228" s="3" t="s">
        <v>14</v>
      </c>
      <c r="O228" s="3">
        <v>1</v>
      </c>
    </row>
    <row r="229" spans="1:15" ht="15" customHeight="1" x14ac:dyDescent="0.25">
      <c r="A229" s="2"/>
      <c r="B229" s="2">
        <v>30</v>
      </c>
      <c r="C229" s="2" t="s">
        <v>10</v>
      </c>
      <c r="D229" s="2" t="s">
        <v>19</v>
      </c>
      <c r="E229" s="2">
        <v>1</v>
      </c>
      <c r="F229" s="2">
        <v>0</v>
      </c>
      <c r="G229" s="2" t="s">
        <v>10</v>
      </c>
      <c r="H229" s="2" t="s">
        <v>12</v>
      </c>
      <c r="I229" s="2">
        <v>1</v>
      </c>
      <c r="J229" s="2" t="s">
        <v>14</v>
      </c>
      <c r="K229" s="2" t="s">
        <v>14</v>
      </c>
      <c r="L229" s="2" t="s">
        <v>14</v>
      </c>
      <c r="M229" s="2" t="s">
        <v>13</v>
      </c>
      <c r="N229" s="2" t="s">
        <v>14</v>
      </c>
      <c r="O229" s="2">
        <v>0</v>
      </c>
    </row>
    <row r="230" spans="1:15" ht="15" customHeight="1" x14ac:dyDescent="0.25">
      <c r="A230" s="3"/>
      <c r="B230" s="3">
        <v>10</v>
      </c>
      <c r="C230" s="3" t="s">
        <v>14</v>
      </c>
      <c r="D230" s="3" t="s">
        <v>19</v>
      </c>
      <c r="E230" s="3">
        <v>0</v>
      </c>
      <c r="F230" s="3">
        <v>0</v>
      </c>
      <c r="G230" s="3" t="s">
        <v>10</v>
      </c>
      <c r="H230" s="3" t="s">
        <v>12</v>
      </c>
      <c r="I230" s="3" t="s">
        <v>15</v>
      </c>
      <c r="J230" s="3" t="s">
        <v>14</v>
      </c>
      <c r="K230" s="3" t="s">
        <v>14</v>
      </c>
      <c r="L230" s="3" t="s">
        <v>14</v>
      </c>
      <c r="M230" s="3" t="s">
        <v>14</v>
      </c>
      <c r="N230" s="3" t="s">
        <v>14</v>
      </c>
      <c r="O230" s="3">
        <v>1</v>
      </c>
    </row>
    <row r="231" spans="1:15" ht="15" customHeight="1" x14ac:dyDescent="0.25">
      <c r="A231" s="2"/>
      <c r="B231" s="2">
        <v>0</v>
      </c>
      <c r="C231" s="2" t="s">
        <v>14</v>
      </c>
      <c r="D231" s="2" t="s">
        <v>19</v>
      </c>
      <c r="E231" s="2">
        <v>0</v>
      </c>
      <c r="F231" s="2">
        <v>0</v>
      </c>
      <c r="G231" s="2" t="s">
        <v>10</v>
      </c>
      <c r="H231" s="2" t="s">
        <v>12</v>
      </c>
      <c r="I231" s="2">
        <v>2</v>
      </c>
      <c r="J231" s="2" t="s">
        <v>14</v>
      </c>
      <c r="K231" s="2" t="s">
        <v>14</v>
      </c>
      <c r="L231" s="2" t="s">
        <v>14</v>
      </c>
      <c r="M231" s="2" t="s">
        <v>14</v>
      </c>
      <c r="N231" s="2" t="s">
        <v>14</v>
      </c>
      <c r="O231" s="2">
        <v>1</v>
      </c>
    </row>
    <row r="232" spans="1:15" ht="15" customHeight="1" x14ac:dyDescent="0.25">
      <c r="A232" s="3"/>
      <c r="B232" s="3">
        <v>5</v>
      </c>
      <c r="C232" s="3" t="s">
        <v>18</v>
      </c>
      <c r="D232" s="3" t="s">
        <v>19</v>
      </c>
      <c r="E232" s="3">
        <v>0</v>
      </c>
      <c r="F232" s="3">
        <v>0</v>
      </c>
      <c r="G232" s="3" t="s">
        <v>10</v>
      </c>
      <c r="H232" s="3" t="s">
        <v>12</v>
      </c>
      <c r="I232" s="3">
        <v>2</v>
      </c>
      <c r="J232" s="3" t="s">
        <v>14</v>
      </c>
      <c r="K232" s="3" t="s">
        <v>14</v>
      </c>
      <c r="L232" s="3" t="s">
        <v>14</v>
      </c>
      <c r="M232" s="3" t="s">
        <v>14</v>
      </c>
      <c r="N232" s="3" t="s">
        <v>14</v>
      </c>
      <c r="O232" s="3">
        <v>1</v>
      </c>
    </row>
    <row r="233" spans="1:15" ht="15" customHeight="1" x14ac:dyDescent="0.25">
      <c r="A233" s="2"/>
      <c r="B233" s="2">
        <v>5</v>
      </c>
      <c r="C233" s="2" t="s">
        <v>18</v>
      </c>
      <c r="D233" s="2" t="s">
        <v>19</v>
      </c>
      <c r="E233" s="2">
        <v>0</v>
      </c>
      <c r="F233" s="2">
        <v>0</v>
      </c>
      <c r="G233" s="2" t="s">
        <v>10</v>
      </c>
      <c r="H233" s="2" t="s">
        <v>16</v>
      </c>
      <c r="I233" s="2">
        <v>2</v>
      </c>
      <c r="J233" s="2" t="s">
        <v>14</v>
      </c>
      <c r="K233" s="2" t="s">
        <v>14</v>
      </c>
      <c r="L233" s="2" t="s">
        <v>14</v>
      </c>
      <c r="M233" s="2" t="s">
        <v>14</v>
      </c>
      <c r="N233" s="2" t="s">
        <v>14</v>
      </c>
      <c r="O233" s="2">
        <v>1</v>
      </c>
    </row>
    <row r="234" spans="1:15" ht="15" customHeight="1" x14ac:dyDescent="0.25">
      <c r="A234" s="3"/>
      <c r="B234" s="3">
        <v>20</v>
      </c>
      <c r="C234" s="3" t="s">
        <v>10</v>
      </c>
      <c r="D234" s="3" t="s">
        <v>19</v>
      </c>
      <c r="E234" s="3">
        <v>0</v>
      </c>
      <c r="F234" s="3">
        <v>0</v>
      </c>
      <c r="G234" s="3" t="s">
        <v>10</v>
      </c>
      <c r="H234" s="3" t="s">
        <v>12</v>
      </c>
      <c r="I234" s="3">
        <v>2</v>
      </c>
      <c r="J234" s="3" t="s">
        <v>14</v>
      </c>
      <c r="K234" s="3" t="s">
        <v>14</v>
      </c>
      <c r="L234" s="3" t="s">
        <v>14</v>
      </c>
      <c r="M234" s="3" t="s">
        <v>14</v>
      </c>
      <c r="N234" s="3" t="s">
        <v>14</v>
      </c>
      <c r="O234" s="3">
        <v>1</v>
      </c>
    </row>
    <row r="235" spans="1:15" ht="15" customHeight="1" x14ac:dyDescent="0.25">
      <c r="A235" s="2"/>
      <c r="B235" s="2">
        <v>10</v>
      </c>
      <c r="C235" s="2" t="s">
        <v>10</v>
      </c>
      <c r="D235" s="2" t="s">
        <v>19</v>
      </c>
      <c r="E235" s="2">
        <v>0</v>
      </c>
      <c r="F235" s="2">
        <v>0</v>
      </c>
      <c r="G235" s="2" t="s">
        <v>10</v>
      </c>
      <c r="H235" s="2" t="s">
        <v>12</v>
      </c>
      <c r="I235" s="2">
        <v>2</v>
      </c>
      <c r="J235" s="2" t="s">
        <v>14</v>
      </c>
      <c r="K235" s="2" t="s">
        <v>14</v>
      </c>
      <c r="L235" s="2" t="s">
        <v>14</v>
      </c>
      <c r="M235" s="2" t="s">
        <v>14</v>
      </c>
      <c r="N235" s="2" t="s">
        <v>14</v>
      </c>
      <c r="O235" s="2">
        <v>1</v>
      </c>
    </row>
    <row r="236" spans="1:15" ht="15" customHeight="1" x14ac:dyDescent="0.25">
      <c r="A236" s="3"/>
      <c r="B236" s="3">
        <v>5</v>
      </c>
      <c r="C236" s="3" t="s">
        <v>10</v>
      </c>
      <c r="D236" s="3" t="s">
        <v>19</v>
      </c>
      <c r="E236" s="3">
        <v>1</v>
      </c>
      <c r="F236" s="3">
        <v>0</v>
      </c>
      <c r="G236" s="3" t="s">
        <v>10</v>
      </c>
      <c r="H236" s="3" t="s">
        <v>12</v>
      </c>
      <c r="I236" s="3">
        <v>1</v>
      </c>
      <c r="J236" s="3" t="s">
        <v>14</v>
      </c>
      <c r="K236" s="3" t="s">
        <v>14</v>
      </c>
      <c r="L236" s="3" t="s">
        <v>14</v>
      </c>
      <c r="M236" s="3" t="s">
        <v>14</v>
      </c>
      <c r="N236" s="3" t="s">
        <v>14</v>
      </c>
      <c r="O236" s="3">
        <v>1</v>
      </c>
    </row>
    <row r="237" spans="1:15" ht="15" customHeight="1" x14ac:dyDescent="0.25">
      <c r="A237" s="2"/>
      <c r="B237" s="2">
        <v>20</v>
      </c>
      <c r="C237" s="2" t="s">
        <v>14</v>
      </c>
      <c r="D237" s="2" t="s">
        <v>11</v>
      </c>
      <c r="E237" s="2">
        <v>1</v>
      </c>
      <c r="F237" s="2">
        <v>1</v>
      </c>
      <c r="G237" s="2" t="s">
        <v>10</v>
      </c>
      <c r="H237" s="2" t="s">
        <v>12</v>
      </c>
      <c r="I237" s="2">
        <v>2</v>
      </c>
      <c r="J237" s="2" t="s">
        <v>14</v>
      </c>
      <c r="K237" s="2" t="s">
        <v>14</v>
      </c>
      <c r="L237" s="2" t="s">
        <v>14</v>
      </c>
      <c r="M237" s="2" t="s">
        <v>13</v>
      </c>
      <c r="N237" s="2" t="s">
        <v>13</v>
      </c>
      <c r="O237" s="2">
        <v>0</v>
      </c>
    </row>
    <row r="238" spans="1:15" ht="15" customHeight="1" x14ac:dyDescent="0.25">
      <c r="A238" s="3"/>
      <c r="B238" s="3">
        <v>10</v>
      </c>
      <c r="C238" s="3" t="s">
        <v>10</v>
      </c>
      <c r="D238" s="3" t="s">
        <v>20</v>
      </c>
      <c r="E238" s="3">
        <v>0</v>
      </c>
      <c r="F238" s="3">
        <v>1</v>
      </c>
      <c r="G238" s="3" t="s">
        <v>10</v>
      </c>
      <c r="H238" s="3" t="s">
        <v>12</v>
      </c>
      <c r="I238" s="3">
        <v>2</v>
      </c>
      <c r="J238" s="3" t="s">
        <v>14</v>
      </c>
      <c r="K238" s="3" t="s">
        <v>13</v>
      </c>
      <c r="L238" s="3" t="s">
        <v>14</v>
      </c>
      <c r="M238" s="3" t="s">
        <v>14</v>
      </c>
      <c r="N238" s="3" t="s">
        <v>14</v>
      </c>
      <c r="O238" s="3">
        <v>1</v>
      </c>
    </row>
    <row r="239" spans="1:15" ht="15" customHeight="1" x14ac:dyDescent="0.25">
      <c r="A239" s="2"/>
      <c r="B239" s="2">
        <v>5</v>
      </c>
      <c r="C239" s="2" t="s">
        <v>18</v>
      </c>
      <c r="D239" s="2" t="s">
        <v>20</v>
      </c>
      <c r="E239" s="2">
        <v>0</v>
      </c>
      <c r="F239" s="2">
        <v>1</v>
      </c>
      <c r="G239" s="2" t="s">
        <v>10</v>
      </c>
      <c r="H239" s="2" t="s">
        <v>12</v>
      </c>
      <c r="I239" s="2">
        <v>2</v>
      </c>
      <c r="J239" s="2" t="s">
        <v>14</v>
      </c>
      <c r="K239" s="2" t="s">
        <v>14</v>
      </c>
      <c r="L239" s="2" t="s">
        <v>14</v>
      </c>
      <c r="M239" s="2" t="s">
        <v>14</v>
      </c>
      <c r="N239" s="2" t="s">
        <v>14</v>
      </c>
      <c r="O239" s="2">
        <v>0</v>
      </c>
    </row>
    <row r="240" spans="1:15" ht="15" customHeight="1" x14ac:dyDescent="0.25">
      <c r="A240" s="3"/>
      <c r="B240" s="3">
        <v>10</v>
      </c>
      <c r="C240" s="3" t="s">
        <v>10</v>
      </c>
      <c r="D240" s="3" t="s">
        <v>20</v>
      </c>
      <c r="E240" s="3">
        <v>0</v>
      </c>
      <c r="F240" s="3">
        <v>1</v>
      </c>
      <c r="G240" s="3" t="s">
        <v>10</v>
      </c>
      <c r="H240" s="3" t="s">
        <v>12</v>
      </c>
      <c r="I240" s="3">
        <v>2</v>
      </c>
      <c r="J240" s="3" t="s">
        <v>14</v>
      </c>
      <c r="K240" s="3" t="s">
        <v>14</v>
      </c>
      <c r="L240" s="3" t="s">
        <v>14</v>
      </c>
      <c r="M240" s="3" t="s">
        <v>14</v>
      </c>
      <c r="N240" s="3" t="s">
        <v>14</v>
      </c>
      <c r="O240" s="3">
        <v>1</v>
      </c>
    </row>
    <row r="241" spans="1:15" ht="15" customHeight="1" x14ac:dyDescent="0.25">
      <c r="A241" s="2"/>
      <c r="B241" s="2">
        <v>10</v>
      </c>
      <c r="C241" s="2" t="s">
        <v>18</v>
      </c>
      <c r="D241" s="2" t="s">
        <v>20</v>
      </c>
      <c r="E241" s="2">
        <v>2</v>
      </c>
      <c r="F241" s="2">
        <v>1</v>
      </c>
      <c r="G241" s="2" t="s">
        <v>10</v>
      </c>
      <c r="H241" s="2" t="s">
        <v>12</v>
      </c>
      <c r="I241" s="2">
        <v>2</v>
      </c>
      <c r="J241" s="2" t="s">
        <v>14</v>
      </c>
      <c r="K241" s="2" t="s">
        <v>14</v>
      </c>
      <c r="L241" s="2" t="s">
        <v>14</v>
      </c>
      <c r="M241" s="2" t="s">
        <v>13</v>
      </c>
      <c r="N241" s="2" t="s">
        <v>14</v>
      </c>
      <c r="O241" s="2">
        <v>1</v>
      </c>
    </row>
    <row r="242" spans="1:15" ht="15" customHeight="1" x14ac:dyDescent="0.25">
      <c r="A242" s="3"/>
      <c r="B242" s="3">
        <v>10</v>
      </c>
      <c r="C242" s="3" t="s">
        <v>10</v>
      </c>
      <c r="D242" s="3" t="s">
        <v>20</v>
      </c>
      <c r="E242" s="3">
        <v>0</v>
      </c>
      <c r="F242" s="3">
        <v>0</v>
      </c>
      <c r="G242" s="3" t="s">
        <v>10</v>
      </c>
      <c r="H242" s="3" t="s">
        <v>12</v>
      </c>
      <c r="I242" s="3">
        <v>2</v>
      </c>
      <c r="J242" s="3" t="s">
        <v>14</v>
      </c>
      <c r="K242" s="3" t="s">
        <v>14</v>
      </c>
      <c r="L242" s="3" t="s">
        <v>14</v>
      </c>
      <c r="M242" s="3" t="s">
        <v>14</v>
      </c>
      <c r="N242" s="3" t="s">
        <v>14</v>
      </c>
      <c r="O242" s="3">
        <v>1</v>
      </c>
    </row>
    <row r="243" spans="1:15" ht="15" customHeight="1" x14ac:dyDescent="0.25">
      <c r="A243" s="2"/>
      <c r="B243" s="2">
        <v>10</v>
      </c>
      <c r="C243" s="2" t="s">
        <v>10</v>
      </c>
      <c r="D243" s="2" t="s">
        <v>19</v>
      </c>
      <c r="E243" s="2">
        <v>1</v>
      </c>
      <c r="F243" s="2">
        <v>0</v>
      </c>
      <c r="G243" s="2" t="s">
        <v>10</v>
      </c>
      <c r="H243" s="2" t="s">
        <v>16</v>
      </c>
      <c r="I243" s="2">
        <v>1</v>
      </c>
      <c r="J243" s="2" t="s">
        <v>14</v>
      </c>
      <c r="K243" s="2" t="s">
        <v>14</v>
      </c>
      <c r="L243" s="2" t="s">
        <v>14</v>
      </c>
      <c r="M243" s="2" t="s">
        <v>14</v>
      </c>
      <c r="N243" s="2" t="s">
        <v>14</v>
      </c>
      <c r="O243" s="2">
        <v>0</v>
      </c>
    </row>
    <row r="244" spans="1:15" ht="15" customHeight="1" x14ac:dyDescent="0.25">
      <c r="A244" s="3"/>
      <c r="B244" s="3">
        <v>10</v>
      </c>
      <c r="C244" s="3" t="s">
        <v>10</v>
      </c>
      <c r="D244" s="3" t="s">
        <v>11</v>
      </c>
      <c r="E244" s="3">
        <v>1</v>
      </c>
      <c r="F244" s="3">
        <v>0</v>
      </c>
      <c r="G244" s="3" t="s">
        <v>10</v>
      </c>
      <c r="H244" s="3" t="s">
        <v>12</v>
      </c>
      <c r="I244" s="3">
        <v>1</v>
      </c>
      <c r="J244" s="3" t="s">
        <v>14</v>
      </c>
      <c r="K244" s="3" t="s">
        <v>13</v>
      </c>
      <c r="L244" s="3" t="s">
        <v>13</v>
      </c>
      <c r="M244" s="3" t="s">
        <v>14</v>
      </c>
      <c r="N244" s="3" t="s">
        <v>14</v>
      </c>
      <c r="O244" s="3">
        <v>1</v>
      </c>
    </row>
    <row r="245" spans="1:15" ht="15" customHeight="1" x14ac:dyDescent="0.25">
      <c r="A245" s="2"/>
      <c r="B245" s="2">
        <v>0</v>
      </c>
      <c r="C245" s="2" t="s">
        <v>18</v>
      </c>
      <c r="D245" s="2" t="s">
        <v>11</v>
      </c>
      <c r="E245" s="2">
        <v>0</v>
      </c>
      <c r="F245" s="2">
        <v>0</v>
      </c>
      <c r="G245" s="2" t="s">
        <v>10</v>
      </c>
      <c r="H245" s="2" t="s">
        <v>12</v>
      </c>
      <c r="I245" s="2">
        <v>2</v>
      </c>
      <c r="J245" s="2" t="s">
        <v>14</v>
      </c>
      <c r="K245" s="2" t="s">
        <v>14</v>
      </c>
      <c r="L245" s="2" t="s">
        <v>14</v>
      </c>
      <c r="M245" s="2" t="s">
        <v>14</v>
      </c>
      <c r="N245" s="2" t="s">
        <v>14</v>
      </c>
      <c r="O245" s="2">
        <v>1</v>
      </c>
    </row>
    <row r="246" spans="1:15" ht="15" customHeight="1" x14ac:dyDescent="0.25">
      <c r="A246" s="3"/>
      <c r="B246" s="3">
        <v>10</v>
      </c>
      <c r="C246" s="3" t="s">
        <v>14</v>
      </c>
      <c r="D246" s="3" t="s">
        <v>11</v>
      </c>
      <c r="E246" s="3">
        <v>0</v>
      </c>
      <c r="F246" s="3">
        <v>0</v>
      </c>
      <c r="G246" s="3" t="s">
        <v>10</v>
      </c>
      <c r="H246" s="3" t="s">
        <v>12</v>
      </c>
      <c r="I246" s="3">
        <v>2</v>
      </c>
      <c r="J246" s="3" t="s">
        <v>14</v>
      </c>
      <c r="K246" s="3" t="s">
        <v>14</v>
      </c>
      <c r="L246" s="3" t="s">
        <v>14</v>
      </c>
      <c r="M246" s="3" t="s">
        <v>14</v>
      </c>
      <c r="N246" s="3" t="s">
        <v>14</v>
      </c>
      <c r="O246" s="3">
        <v>1</v>
      </c>
    </row>
    <row r="247" spans="1:15" ht="15" customHeight="1" x14ac:dyDescent="0.25">
      <c r="A247" s="2"/>
      <c r="B247" s="2">
        <v>10</v>
      </c>
      <c r="C247" s="2" t="s">
        <v>10</v>
      </c>
      <c r="D247" s="2" t="s">
        <v>11</v>
      </c>
      <c r="E247" s="2">
        <v>1</v>
      </c>
      <c r="F247" s="2">
        <v>0</v>
      </c>
      <c r="G247" s="2" t="s">
        <v>10</v>
      </c>
      <c r="H247" s="2" t="s">
        <v>12</v>
      </c>
      <c r="I247" s="2">
        <v>2</v>
      </c>
      <c r="J247" s="2" t="s">
        <v>14</v>
      </c>
      <c r="K247" s="2" t="s">
        <v>14</v>
      </c>
      <c r="L247" s="2" t="s">
        <v>14</v>
      </c>
      <c r="M247" s="2" t="s">
        <v>14</v>
      </c>
      <c r="N247" s="2" t="s">
        <v>13</v>
      </c>
      <c r="O247" s="2">
        <v>1</v>
      </c>
    </row>
    <row r="248" spans="1:15" ht="15" customHeight="1" x14ac:dyDescent="0.25">
      <c r="A248" s="3"/>
      <c r="B248" s="3">
        <v>10</v>
      </c>
      <c r="C248" s="3" t="s">
        <v>14</v>
      </c>
      <c r="D248" s="3" t="s">
        <v>20</v>
      </c>
      <c r="E248" s="3">
        <v>0</v>
      </c>
      <c r="F248" s="3">
        <v>0</v>
      </c>
      <c r="G248" s="3" t="s">
        <v>17</v>
      </c>
      <c r="H248" s="3" t="s">
        <v>108</v>
      </c>
      <c r="I248" s="3">
        <v>1</v>
      </c>
      <c r="J248" s="3" t="s">
        <v>14</v>
      </c>
      <c r="K248" s="3" t="s">
        <v>13</v>
      </c>
      <c r="L248" s="3" t="s">
        <v>13</v>
      </c>
      <c r="M248" s="3" t="s">
        <v>13</v>
      </c>
      <c r="N248" s="3" t="s">
        <v>14</v>
      </c>
      <c r="O248" s="3">
        <v>0</v>
      </c>
    </row>
    <row r="249" spans="1:15" ht="15" customHeight="1" x14ac:dyDescent="0.25">
      <c r="A249" s="2"/>
      <c r="B249" s="2">
        <v>10</v>
      </c>
      <c r="C249" s="2" t="s">
        <v>14</v>
      </c>
      <c r="D249" s="2" t="s">
        <v>11</v>
      </c>
      <c r="E249" s="2">
        <v>2</v>
      </c>
      <c r="F249" s="2">
        <v>0</v>
      </c>
      <c r="G249" s="2" t="s">
        <v>10</v>
      </c>
      <c r="H249" s="2" t="s">
        <v>12</v>
      </c>
      <c r="I249" s="2">
        <v>1</v>
      </c>
      <c r="J249" s="2" t="s">
        <v>14</v>
      </c>
      <c r="K249" s="2" t="s">
        <v>13</v>
      </c>
      <c r="L249" s="2" t="s">
        <v>13</v>
      </c>
      <c r="M249" s="2" t="s">
        <v>13</v>
      </c>
      <c r="N249" s="2" t="s">
        <v>13</v>
      </c>
      <c r="O249" s="2">
        <v>0</v>
      </c>
    </row>
    <row r="250" spans="1:15" ht="15" customHeight="1" x14ac:dyDescent="0.25">
      <c r="A250" s="3"/>
      <c r="B250" s="3">
        <v>10</v>
      </c>
      <c r="C250" s="3" t="s">
        <v>18</v>
      </c>
      <c r="D250" s="3" t="s">
        <v>11</v>
      </c>
      <c r="E250" s="3">
        <v>0</v>
      </c>
      <c r="F250" s="3">
        <v>0</v>
      </c>
      <c r="G250" s="3" t="s">
        <v>10</v>
      </c>
      <c r="H250" s="3" t="s">
        <v>12</v>
      </c>
      <c r="I250" s="3" t="s">
        <v>15</v>
      </c>
      <c r="J250" s="3" t="s">
        <v>14</v>
      </c>
      <c r="K250" s="3" t="s">
        <v>14</v>
      </c>
      <c r="L250" s="3" t="s">
        <v>14</v>
      </c>
      <c r="M250" s="3" t="s">
        <v>14</v>
      </c>
      <c r="N250" s="3" t="s">
        <v>14</v>
      </c>
      <c r="O250" s="3">
        <v>1</v>
      </c>
    </row>
    <row r="251" spans="1:15" ht="15" customHeight="1" x14ac:dyDescent="0.25">
      <c r="A251" s="2"/>
      <c r="B251" s="2">
        <v>5</v>
      </c>
      <c r="C251" s="2" t="s">
        <v>10</v>
      </c>
      <c r="D251" s="2" t="s">
        <v>11</v>
      </c>
      <c r="E251" s="2">
        <v>0</v>
      </c>
      <c r="F251" s="2">
        <v>0</v>
      </c>
      <c r="G251" s="2" t="s">
        <v>10</v>
      </c>
      <c r="H251" s="2" t="s">
        <v>12</v>
      </c>
      <c r="I251" s="2">
        <v>1</v>
      </c>
      <c r="J251" s="2" t="s">
        <v>14</v>
      </c>
      <c r="K251" s="2" t="s">
        <v>14</v>
      </c>
      <c r="L251" s="2" t="s">
        <v>14</v>
      </c>
      <c r="M251" s="2" t="s">
        <v>14</v>
      </c>
      <c r="N251" s="2" t="s">
        <v>14</v>
      </c>
      <c r="O251" s="2">
        <v>1</v>
      </c>
    </row>
    <row r="252" spans="1:15" ht="15" customHeight="1" x14ac:dyDescent="0.25">
      <c r="A252" s="3"/>
      <c r="B252" s="3">
        <v>10</v>
      </c>
      <c r="C252" s="3" t="s">
        <v>18</v>
      </c>
      <c r="D252" s="3" t="s">
        <v>11</v>
      </c>
      <c r="E252" s="3">
        <v>0</v>
      </c>
      <c r="F252" s="3">
        <v>0</v>
      </c>
      <c r="G252" s="3" t="s">
        <v>10</v>
      </c>
      <c r="H252" s="3" t="s">
        <v>12</v>
      </c>
      <c r="I252" s="3" t="s">
        <v>15</v>
      </c>
      <c r="J252" s="3" t="s">
        <v>14</v>
      </c>
      <c r="K252" s="3" t="s">
        <v>14</v>
      </c>
      <c r="L252" s="3" t="s">
        <v>14</v>
      </c>
      <c r="M252" s="3" t="s">
        <v>14</v>
      </c>
      <c r="N252" s="3" t="s">
        <v>14</v>
      </c>
      <c r="O252" s="3">
        <v>1</v>
      </c>
    </row>
    <row r="253" spans="1:15" ht="15" customHeight="1" x14ac:dyDescent="0.25">
      <c r="A253" s="2"/>
      <c r="B253" s="2">
        <v>10</v>
      </c>
      <c r="C253" s="2" t="s">
        <v>10</v>
      </c>
      <c r="D253" s="2" t="s">
        <v>11</v>
      </c>
      <c r="E253" s="2">
        <v>1</v>
      </c>
      <c r="F253" s="2">
        <v>1</v>
      </c>
      <c r="G253" s="2" t="s">
        <v>10</v>
      </c>
      <c r="H253" s="2" t="s">
        <v>12</v>
      </c>
      <c r="I253" s="2">
        <v>2</v>
      </c>
      <c r="J253" s="2" t="s">
        <v>13</v>
      </c>
      <c r="K253" s="2" t="s">
        <v>14</v>
      </c>
      <c r="L253" s="2" t="s">
        <v>14</v>
      </c>
      <c r="M253" s="2" t="s">
        <v>14</v>
      </c>
      <c r="N253" s="2" t="s">
        <v>14</v>
      </c>
      <c r="O253" s="2">
        <v>0</v>
      </c>
    </row>
    <row r="254" spans="1:15" ht="15" customHeight="1" x14ac:dyDescent="0.25">
      <c r="A254" s="3"/>
      <c r="B254" s="3">
        <v>5</v>
      </c>
      <c r="C254" s="3" t="s">
        <v>14</v>
      </c>
      <c r="D254" s="3" t="s">
        <v>20</v>
      </c>
      <c r="E254" s="3">
        <v>0</v>
      </c>
      <c r="F254" s="3">
        <v>0</v>
      </c>
      <c r="G254" s="3" t="s">
        <v>10</v>
      </c>
      <c r="H254" s="3" t="s">
        <v>12</v>
      </c>
      <c r="I254" s="3">
        <v>2</v>
      </c>
      <c r="J254" s="3" t="s">
        <v>14</v>
      </c>
      <c r="K254" s="3" t="s">
        <v>14</v>
      </c>
      <c r="L254" s="3" t="s">
        <v>14</v>
      </c>
      <c r="M254" s="3" t="s">
        <v>14</v>
      </c>
      <c r="N254" s="3" t="s">
        <v>14</v>
      </c>
      <c r="O254" s="3">
        <v>1</v>
      </c>
    </row>
    <row r="255" spans="1:15" ht="15" customHeight="1" x14ac:dyDescent="0.25">
      <c r="A255" s="2"/>
      <c r="B255" s="2">
        <v>5</v>
      </c>
      <c r="C255" s="2" t="s">
        <v>10</v>
      </c>
      <c r="D255" s="2" t="s">
        <v>20</v>
      </c>
      <c r="E255" s="2">
        <v>0</v>
      </c>
      <c r="F255" s="2">
        <v>1</v>
      </c>
      <c r="G255" s="2" t="s">
        <v>10</v>
      </c>
      <c r="H255" s="2" t="s">
        <v>16</v>
      </c>
      <c r="I255" s="2">
        <v>2</v>
      </c>
      <c r="J255" s="2" t="s">
        <v>14</v>
      </c>
      <c r="K255" s="2" t="s">
        <v>14</v>
      </c>
      <c r="L255" s="2" t="s">
        <v>14</v>
      </c>
      <c r="M255" s="2" t="s">
        <v>14</v>
      </c>
      <c r="N255" s="2" t="s">
        <v>14</v>
      </c>
      <c r="O255" s="2">
        <v>1</v>
      </c>
    </row>
    <row r="256" spans="1:15" ht="15" customHeight="1" x14ac:dyDescent="0.25">
      <c r="A256" s="3"/>
      <c r="B256" s="3">
        <v>20</v>
      </c>
      <c r="C256" s="3" t="s">
        <v>14</v>
      </c>
      <c r="D256" s="3" t="s">
        <v>20</v>
      </c>
      <c r="E256" s="3">
        <v>0</v>
      </c>
      <c r="F256" s="3">
        <v>1</v>
      </c>
      <c r="G256" s="3" t="s">
        <v>10</v>
      </c>
      <c r="H256" s="3" t="s">
        <v>12</v>
      </c>
      <c r="I256" s="3">
        <v>1</v>
      </c>
      <c r="J256" s="3" t="s">
        <v>14</v>
      </c>
      <c r="K256" s="3" t="s">
        <v>14</v>
      </c>
      <c r="L256" s="3" t="s">
        <v>14</v>
      </c>
      <c r="M256" s="3" t="s">
        <v>14</v>
      </c>
      <c r="N256" s="3" t="s">
        <v>13</v>
      </c>
      <c r="O256" s="3">
        <v>1</v>
      </c>
    </row>
    <row r="257" spans="1:15" ht="15" customHeight="1" x14ac:dyDescent="0.25">
      <c r="A257" s="2"/>
      <c r="B257" s="2">
        <v>20</v>
      </c>
      <c r="C257" s="2" t="s">
        <v>10</v>
      </c>
      <c r="D257" s="2" t="s">
        <v>19</v>
      </c>
      <c r="E257" s="2">
        <v>0</v>
      </c>
      <c r="F257" s="2">
        <v>1</v>
      </c>
      <c r="G257" s="2" t="s">
        <v>10</v>
      </c>
      <c r="H257" s="2" t="s">
        <v>12</v>
      </c>
      <c r="I257" s="2">
        <v>2</v>
      </c>
      <c r="J257" s="2" t="s">
        <v>14</v>
      </c>
      <c r="K257" s="2" t="s">
        <v>14</v>
      </c>
      <c r="L257" s="2" t="s">
        <v>14</v>
      </c>
      <c r="M257" s="2" t="s">
        <v>14</v>
      </c>
      <c r="N257" s="2" t="s">
        <v>14</v>
      </c>
      <c r="O257" s="2">
        <v>0</v>
      </c>
    </row>
    <row r="258" spans="1:15" ht="15" customHeight="1" x14ac:dyDescent="0.25">
      <c r="A258" s="3"/>
      <c r="B258" s="3">
        <v>10</v>
      </c>
      <c r="C258" s="3" t="s">
        <v>10</v>
      </c>
      <c r="D258" s="3" t="s">
        <v>11</v>
      </c>
      <c r="E258" s="3">
        <v>1</v>
      </c>
      <c r="F258" s="3">
        <v>0</v>
      </c>
      <c r="G258" s="3" t="s">
        <v>10</v>
      </c>
      <c r="H258" s="3" t="s">
        <v>12</v>
      </c>
      <c r="I258" s="3">
        <v>1</v>
      </c>
      <c r="J258" s="3" t="s">
        <v>14</v>
      </c>
      <c r="K258" s="3" t="s">
        <v>14</v>
      </c>
      <c r="L258" s="3" t="s">
        <v>14</v>
      </c>
      <c r="M258" s="3" t="s">
        <v>14</v>
      </c>
      <c r="N258" s="3" t="s">
        <v>14</v>
      </c>
      <c r="O258" s="3">
        <v>0</v>
      </c>
    </row>
    <row r="259" spans="1:15" ht="15" customHeight="1" x14ac:dyDescent="0.25">
      <c r="A259" s="2"/>
      <c r="B259" s="2">
        <v>10</v>
      </c>
      <c r="C259" s="2" t="s">
        <v>14</v>
      </c>
      <c r="D259" s="2" t="s">
        <v>20</v>
      </c>
      <c r="E259" s="2">
        <v>0</v>
      </c>
      <c r="F259" s="2">
        <v>0</v>
      </c>
      <c r="G259" s="2" t="s">
        <v>10</v>
      </c>
      <c r="H259" s="2" t="s">
        <v>12</v>
      </c>
      <c r="I259" s="2">
        <v>2</v>
      </c>
      <c r="J259" s="2" t="s">
        <v>14</v>
      </c>
      <c r="K259" s="2" t="s">
        <v>14</v>
      </c>
      <c r="L259" s="2" t="s">
        <v>14</v>
      </c>
      <c r="M259" s="2" t="s">
        <v>14</v>
      </c>
      <c r="N259" s="2" t="s">
        <v>14</v>
      </c>
      <c r="O259" s="2">
        <v>1</v>
      </c>
    </row>
    <row r="260" spans="1:15" ht="15" customHeight="1" x14ac:dyDescent="0.25">
      <c r="A260" s="3"/>
      <c r="B260" s="3">
        <v>10</v>
      </c>
      <c r="C260" s="3" t="s">
        <v>14</v>
      </c>
      <c r="D260" s="3" t="s">
        <v>20</v>
      </c>
      <c r="E260" s="3">
        <v>0</v>
      </c>
      <c r="F260" s="3">
        <v>0</v>
      </c>
      <c r="G260" s="3" t="s">
        <v>10</v>
      </c>
      <c r="H260" s="3" t="s">
        <v>12</v>
      </c>
      <c r="I260" s="3">
        <v>2</v>
      </c>
      <c r="J260" s="3" t="s">
        <v>14</v>
      </c>
      <c r="K260" s="3" t="s">
        <v>14</v>
      </c>
      <c r="L260" s="3" t="s">
        <v>14</v>
      </c>
      <c r="M260" s="3" t="s">
        <v>14</v>
      </c>
      <c r="N260" s="3" t="s">
        <v>14</v>
      </c>
      <c r="O260" s="3">
        <v>1</v>
      </c>
    </row>
    <row r="261" spans="1:15" ht="15" customHeight="1" x14ac:dyDescent="0.25">
      <c r="A261" s="2"/>
      <c r="B261" s="2">
        <v>10</v>
      </c>
      <c r="C261" s="2" t="s">
        <v>10</v>
      </c>
      <c r="D261" s="2" t="s">
        <v>19</v>
      </c>
      <c r="E261" s="2">
        <v>1</v>
      </c>
      <c r="F261" s="2">
        <v>0</v>
      </c>
      <c r="G261" s="2" t="s">
        <v>10</v>
      </c>
      <c r="H261" s="2" t="s">
        <v>12</v>
      </c>
      <c r="I261" s="2">
        <v>2</v>
      </c>
      <c r="J261" s="2" t="s">
        <v>14</v>
      </c>
      <c r="K261" s="2" t="s">
        <v>14</v>
      </c>
      <c r="L261" s="2" t="s">
        <v>14</v>
      </c>
      <c r="M261" s="2" t="s">
        <v>14</v>
      </c>
      <c r="N261" s="2" t="s">
        <v>14</v>
      </c>
      <c r="O261" s="2">
        <v>0</v>
      </c>
    </row>
    <row r="262" spans="1:15" ht="15" customHeight="1" x14ac:dyDescent="0.25">
      <c r="A262" s="3"/>
      <c r="B262" s="3">
        <v>5</v>
      </c>
      <c r="C262" s="3" t="s">
        <v>10</v>
      </c>
      <c r="D262" s="3" t="s">
        <v>11</v>
      </c>
      <c r="E262" s="3">
        <v>0</v>
      </c>
      <c r="F262" s="3">
        <v>1</v>
      </c>
      <c r="G262" s="3" t="s">
        <v>10</v>
      </c>
      <c r="H262" s="3" t="s">
        <v>12</v>
      </c>
      <c r="I262" s="3" t="s">
        <v>15</v>
      </c>
      <c r="J262" s="3" t="s">
        <v>13</v>
      </c>
      <c r="K262" s="3" t="s">
        <v>14</v>
      </c>
      <c r="L262" s="3" t="s">
        <v>14</v>
      </c>
      <c r="M262" s="3" t="s">
        <v>14</v>
      </c>
      <c r="N262" s="3" t="s">
        <v>14</v>
      </c>
      <c r="O262" s="3">
        <v>1</v>
      </c>
    </row>
    <row r="263" spans="1:15" ht="15" customHeight="1" x14ac:dyDescent="0.25">
      <c r="A263" s="2"/>
      <c r="B263" s="2">
        <v>20</v>
      </c>
      <c r="C263" s="2" t="s">
        <v>14</v>
      </c>
      <c r="D263" s="2" t="s">
        <v>11</v>
      </c>
      <c r="E263" s="2">
        <v>1</v>
      </c>
      <c r="F263" s="2">
        <v>0</v>
      </c>
      <c r="G263" s="2" t="s">
        <v>10</v>
      </c>
      <c r="H263" s="2" t="s">
        <v>12</v>
      </c>
      <c r="I263" s="2">
        <v>1</v>
      </c>
      <c r="J263" s="2" t="s">
        <v>14</v>
      </c>
      <c r="K263" s="2" t="s">
        <v>14</v>
      </c>
      <c r="L263" s="2" t="s">
        <v>14</v>
      </c>
      <c r="M263" s="2" t="s">
        <v>13</v>
      </c>
      <c r="N263" s="2" t="s">
        <v>13</v>
      </c>
      <c r="O263" s="2">
        <v>0</v>
      </c>
    </row>
    <row r="264" spans="1:15" ht="15" customHeight="1" x14ac:dyDescent="0.25">
      <c r="A264" s="3"/>
      <c r="B264" s="3">
        <v>10</v>
      </c>
      <c r="C264" s="3" t="s">
        <v>10</v>
      </c>
      <c r="D264" s="3" t="s">
        <v>19</v>
      </c>
      <c r="E264" s="3">
        <v>1</v>
      </c>
      <c r="F264" s="3">
        <v>0</v>
      </c>
      <c r="G264" s="3" t="s">
        <v>10</v>
      </c>
      <c r="H264" s="3" t="s">
        <v>12</v>
      </c>
      <c r="I264" s="3">
        <v>1</v>
      </c>
      <c r="J264" s="3" t="s">
        <v>14</v>
      </c>
      <c r="K264" s="3" t="s">
        <v>13</v>
      </c>
      <c r="L264" s="3" t="s">
        <v>13</v>
      </c>
      <c r="M264" s="3" t="s">
        <v>13</v>
      </c>
      <c r="N264" s="3" t="s">
        <v>14</v>
      </c>
      <c r="O264" s="3">
        <v>0</v>
      </c>
    </row>
    <row r="265" spans="1:15" ht="15" customHeight="1" x14ac:dyDescent="0.25">
      <c r="A265" s="2"/>
      <c r="B265" s="2">
        <v>0</v>
      </c>
      <c r="C265" s="2" t="s">
        <v>18</v>
      </c>
      <c r="D265" s="2" t="s">
        <v>11</v>
      </c>
      <c r="E265" s="2">
        <v>1</v>
      </c>
      <c r="F265" s="2">
        <v>0</v>
      </c>
      <c r="G265" s="2" t="s">
        <v>10</v>
      </c>
      <c r="H265" s="2" t="s">
        <v>12</v>
      </c>
      <c r="I265" s="2">
        <v>1</v>
      </c>
      <c r="J265" s="2" t="s">
        <v>14</v>
      </c>
      <c r="K265" s="2" t="s">
        <v>14</v>
      </c>
      <c r="L265" s="2" t="s">
        <v>14</v>
      </c>
      <c r="M265" s="2" t="s">
        <v>14</v>
      </c>
      <c r="N265" s="2" t="s">
        <v>14</v>
      </c>
      <c r="O265" s="2">
        <v>0</v>
      </c>
    </row>
    <row r="266" spans="1:15" ht="15" customHeight="1" x14ac:dyDescent="0.25">
      <c r="A266" s="3"/>
      <c r="B266" s="3">
        <v>10</v>
      </c>
      <c r="C266" s="3" t="s">
        <v>14</v>
      </c>
      <c r="D266" s="3" t="s">
        <v>20</v>
      </c>
      <c r="E266" s="3">
        <v>0</v>
      </c>
      <c r="F266" s="3">
        <v>0</v>
      </c>
      <c r="G266" s="3" t="s">
        <v>10</v>
      </c>
      <c r="H266" s="3" t="s">
        <v>12</v>
      </c>
      <c r="I266" s="3">
        <v>1</v>
      </c>
      <c r="J266" s="3" t="s">
        <v>14</v>
      </c>
      <c r="K266" s="3" t="s">
        <v>14</v>
      </c>
      <c r="L266" s="3" t="s">
        <v>14</v>
      </c>
      <c r="M266" s="3" t="s">
        <v>14</v>
      </c>
      <c r="N266" s="3" t="s">
        <v>14</v>
      </c>
      <c r="O266" s="3">
        <v>1</v>
      </c>
    </row>
    <row r="267" spans="1:15" ht="15" customHeight="1" x14ac:dyDescent="0.25">
      <c r="A267" s="2"/>
      <c r="B267" s="2">
        <v>30</v>
      </c>
      <c r="C267" s="2" t="s">
        <v>10</v>
      </c>
      <c r="D267" s="2" t="s">
        <v>19</v>
      </c>
      <c r="E267" s="2">
        <v>1</v>
      </c>
      <c r="F267" s="2">
        <v>0</v>
      </c>
      <c r="G267" s="2" t="s">
        <v>10</v>
      </c>
      <c r="H267" s="2" t="s">
        <v>12</v>
      </c>
      <c r="I267" s="2">
        <v>1</v>
      </c>
      <c r="J267" s="2" t="s">
        <v>14</v>
      </c>
      <c r="K267" s="2" t="s">
        <v>14</v>
      </c>
      <c r="L267" s="2" t="s">
        <v>14</v>
      </c>
      <c r="M267" s="2" t="s">
        <v>13</v>
      </c>
      <c r="N267" s="2" t="s">
        <v>14</v>
      </c>
      <c r="O267" s="2">
        <v>0</v>
      </c>
    </row>
    <row r="268" spans="1:15" ht="15" customHeight="1" x14ac:dyDescent="0.25">
      <c r="A268" s="3"/>
      <c r="B268" s="3">
        <v>20</v>
      </c>
      <c r="C268" s="3" t="s">
        <v>18</v>
      </c>
      <c r="D268" s="3" t="s">
        <v>20</v>
      </c>
      <c r="E268" s="3">
        <v>0</v>
      </c>
      <c r="F268" s="3">
        <v>1</v>
      </c>
      <c r="G268" s="3" t="s">
        <v>10</v>
      </c>
      <c r="H268" s="3" t="s">
        <v>16</v>
      </c>
      <c r="I268" s="3">
        <v>1</v>
      </c>
      <c r="J268" s="3" t="s">
        <v>14</v>
      </c>
      <c r="K268" s="3" t="s">
        <v>13</v>
      </c>
      <c r="L268" s="3" t="s">
        <v>13</v>
      </c>
      <c r="M268" s="3" t="s">
        <v>14</v>
      </c>
      <c r="N268" s="3" t="s">
        <v>14</v>
      </c>
      <c r="O268" s="3">
        <v>1</v>
      </c>
    </row>
    <row r="269" spans="1:15" ht="15" customHeight="1" x14ac:dyDescent="0.25">
      <c r="A269" s="2"/>
      <c r="B269" s="2">
        <v>10</v>
      </c>
      <c r="C269" s="2" t="s">
        <v>14</v>
      </c>
      <c r="D269" s="2" t="s">
        <v>20</v>
      </c>
      <c r="E269" s="2">
        <v>0</v>
      </c>
      <c r="F269" s="2">
        <v>0</v>
      </c>
      <c r="G269" s="2" t="s">
        <v>10</v>
      </c>
      <c r="H269" s="2" t="s">
        <v>12</v>
      </c>
      <c r="I269" s="2" t="s">
        <v>15</v>
      </c>
      <c r="J269" s="2" t="s">
        <v>14</v>
      </c>
      <c r="K269" s="2" t="s">
        <v>14</v>
      </c>
      <c r="L269" s="2" t="s">
        <v>14</v>
      </c>
      <c r="M269" s="2" t="s">
        <v>14</v>
      </c>
      <c r="N269" s="2" t="s">
        <v>14</v>
      </c>
      <c r="O269" s="2">
        <v>1</v>
      </c>
    </row>
    <row r="270" spans="1:15" ht="15" customHeight="1" x14ac:dyDescent="0.25">
      <c r="A270" s="3"/>
      <c r="B270" s="3">
        <v>30</v>
      </c>
      <c r="C270" s="3" t="s">
        <v>10</v>
      </c>
      <c r="D270" s="3" t="s">
        <v>19</v>
      </c>
      <c r="E270" s="3">
        <v>0</v>
      </c>
      <c r="F270" s="3">
        <v>1</v>
      </c>
      <c r="G270" s="3" t="s">
        <v>10</v>
      </c>
      <c r="H270" s="3" t="s">
        <v>12</v>
      </c>
      <c r="I270" s="3">
        <v>1</v>
      </c>
      <c r="J270" s="3" t="s">
        <v>14</v>
      </c>
      <c r="K270" s="3" t="s">
        <v>14</v>
      </c>
      <c r="L270" s="3" t="s">
        <v>14</v>
      </c>
      <c r="M270" s="3" t="s">
        <v>13</v>
      </c>
      <c r="N270" s="3" t="s">
        <v>14</v>
      </c>
      <c r="O270" s="3">
        <v>1</v>
      </c>
    </row>
    <row r="271" spans="1:15" ht="15" customHeight="1" x14ac:dyDescent="0.25">
      <c r="A271" s="2"/>
      <c r="B271" s="2">
        <v>5</v>
      </c>
      <c r="C271" s="2" t="s">
        <v>18</v>
      </c>
      <c r="D271" s="2" t="s">
        <v>19</v>
      </c>
      <c r="E271" s="2">
        <v>1</v>
      </c>
      <c r="F271" s="2">
        <v>0</v>
      </c>
      <c r="G271" s="2" t="s">
        <v>10</v>
      </c>
      <c r="H271" s="2" t="s">
        <v>12</v>
      </c>
      <c r="I271" s="2">
        <v>1</v>
      </c>
      <c r="J271" s="2" t="s">
        <v>14</v>
      </c>
      <c r="K271" s="2" t="s">
        <v>13</v>
      </c>
      <c r="L271" s="2" t="s">
        <v>14</v>
      </c>
      <c r="M271" s="2" t="s">
        <v>14</v>
      </c>
      <c r="N271" s="2" t="s">
        <v>14</v>
      </c>
      <c r="O271" s="2">
        <v>1</v>
      </c>
    </row>
    <row r="272" spans="1:15" ht="15" customHeight="1" x14ac:dyDescent="0.25">
      <c r="A272" s="3"/>
      <c r="B272" s="3">
        <v>0</v>
      </c>
      <c r="C272" s="3" t="s">
        <v>10</v>
      </c>
      <c r="D272" s="3" t="s">
        <v>19</v>
      </c>
      <c r="E272" s="3">
        <v>0</v>
      </c>
      <c r="F272" s="3">
        <v>0</v>
      </c>
      <c r="G272" s="3" t="s">
        <v>10</v>
      </c>
      <c r="H272" s="3" t="s">
        <v>12</v>
      </c>
      <c r="I272" s="3">
        <v>2</v>
      </c>
      <c r="J272" s="3" t="s">
        <v>14</v>
      </c>
      <c r="K272" s="3" t="s">
        <v>14</v>
      </c>
      <c r="L272" s="3" t="s">
        <v>14</v>
      </c>
      <c r="M272" s="3" t="s">
        <v>14</v>
      </c>
      <c r="N272" s="3" t="s">
        <v>14</v>
      </c>
      <c r="O272" s="3">
        <v>1</v>
      </c>
    </row>
    <row r="273" spans="1:15" ht="15" customHeight="1" x14ac:dyDescent="0.25">
      <c r="A273" s="2"/>
      <c r="B273" s="2">
        <v>5</v>
      </c>
      <c r="C273" s="2" t="s">
        <v>18</v>
      </c>
      <c r="D273" s="2" t="s">
        <v>20</v>
      </c>
      <c r="E273" s="2">
        <v>0</v>
      </c>
      <c r="F273" s="2">
        <v>0</v>
      </c>
      <c r="G273" s="2" t="s">
        <v>10</v>
      </c>
      <c r="H273" s="2" t="s">
        <v>12</v>
      </c>
      <c r="I273" s="2">
        <v>2</v>
      </c>
      <c r="J273" s="2" t="s">
        <v>14</v>
      </c>
      <c r="K273" s="2" t="s">
        <v>14</v>
      </c>
      <c r="L273" s="2" t="s">
        <v>14</v>
      </c>
      <c r="M273" s="2" t="s">
        <v>14</v>
      </c>
      <c r="N273" s="2" t="s">
        <v>14</v>
      </c>
      <c r="O273" s="2">
        <v>1</v>
      </c>
    </row>
    <row r="274" spans="1:15" ht="15" customHeight="1" x14ac:dyDescent="0.25">
      <c r="A274" s="3"/>
      <c r="B274" s="3">
        <v>20</v>
      </c>
      <c r="C274" s="3" t="s">
        <v>10</v>
      </c>
      <c r="D274" s="3" t="s">
        <v>19</v>
      </c>
      <c r="E274" s="3">
        <v>0</v>
      </c>
      <c r="F274" s="3">
        <v>0</v>
      </c>
      <c r="G274" s="3" t="s">
        <v>10</v>
      </c>
      <c r="H274" s="3" t="s">
        <v>12</v>
      </c>
      <c r="I274" s="3">
        <v>2</v>
      </c>
      <c r="J274" s="3" t="s">
        <v>14</v>
      </c>
      <c r="K274" s="3" t="s">
        <v>14</v>
      </c>
      <c r="L274" s="3" t="s">
        <v>14</v>
      </c>
      <c r="M274" s="3" t="s">
        <v>14</v>
      </c>
      <c r="N274" s="3" t="s">
        <v>14</v>
      </c>
      <c r="O274" s="3">
        <v>1</v>
      </c>
    </row>
    <row r="275" spans="1:15" ht="15" customHeight="1" x14ac:dyDescent="0.25">
      <c r="A275" s="2"/>
      <c r="B275" s="2">
        <v>5</v>
      </c>
      <c r="C275" s="2" t="s">
        <v>10</v>
      </c>
      <c r="D275" s="2" t="s">
        <v>19</v>
      </c>
      <c r="E275" s="2">
        <v>0</v>
      </c>
      <c r="F275" s="2">
        <v>0</v>
      </c>
      <c r="G275" s="2" t="s">
        <v>10</v>
      </c>
      <c r="H275" s="2" t="s">
        <v>12</v>
      </c>
      <c r="I275" s="2">
        <v>2</v>
      </c>
      <c r="J275" s="2" t="s">
        <v>14</v>
      </c>
      <c r="K275" s="2" t="s">
        <v>14</v>
      </c>
      <c r="L275" s="2" t="s">
        <v>14</v>
      </c>
      <c r="M275" s="2" t="s">
        <v>14</v>
      </c>
      <c r="N275" s="2" t="s">
        <v>14</v>
      </c>
      <c r="O275" s="2">
        <v>1</v>
      </c>
    </row>
    <row r="276" spans="1:15" ht="15" customHeight="1" x14ac:dyDescent="0.25">
      <c r="A276" s="3"/>
      <c r="B276" s="3">
        <v>5</v>
      </c>
      <c r="C276" s="3" t="s">
        <v>18</v>
      </c>
      <c r="D276" s="3" t="s">
        <v>19</v>
      </c>
      <c r="E276" s="3">
        <v>0</v>
      </c>
      <c r="F276" s="3">
        <v>0</v>
      </c>
      <c r="G276" s="3" t="s">
        <v>10</v>
      </c>
      <c r="H276" s="3" t="s">
        <v>16</v>
      </c>
      <c r="I276" s="3">
        <v>2</v>
      </c>
      <c r="J276" s="3" t="s">
        <v>14</v>
      </c>
      <c r="K276" s="3" t="s">
        <v>14</v>
      </c>
      <c r="L276" s="3" t="s">
        <v>14</v>
      </c>
      <c r="M276" s="3" t="s">
        <v>14</v>
      </c>
      <c r="N276" s="3" t="s">
        <v>14</v>
      </c>
      <c r="O276" s="3">
        <v>1</v>
      </c>
    </row>
    <row r="277" spans="1:15" ht="15" customHeight="1" x14ac:dyDescent="0.25">
      <c r="A277" s="2"/>
      <c r="B277" s="2">
        <v>30</v>
      </c>
      <c r="C277" s="2" t="s">
        <v>10</v>
      </c>
      <c r="D277" s="2" t="s">
        <v>11</v>
      </c>
      <c r="E277" s="2">
        <v>1</v>
      </c>
      <c r="F277" s="2">
        <v>0</v>
      </c>
      <c r="G277" s="2" t="s">
        <v>10</v>
      </c>
      <c r="H277" s="2" t="s">
        <v>12</v>
      </c>
      <c r="I277" s="2" t="s">
        <v>15</v>
      </c>
      <c r="J277" s="2" t="s">
        <v>13</v>
      </c>
      <c r="K277" s="2" t="s">
        <v>14</v>
      </c>
      <c r="L277" s="2" t="s">
        <v>14</v>
      </c>
      <c r="M277" s="2" t="s">
        <v>14</v>
      </c>
      <c r="N277" s="2" t="s">
        <v>13</v>
      </c>
      <c r="O277" s="2">
        <v>0</v>
      </c>
    </row>
    <row r="278" spans="1:15" ht="15" customHeight="1" x14ac:dyDescent="0.25">
      <c r="A278" s="3"/>
      <c r="B278" s="3">
        <v>10</v>
      </c>
      <c r="C278" s="3" t="s">
        <v>10</v>
      </c>
      <c r="D278" s="3" t="s">
        <v>20</v>
      </c>
      <c r="E278" s="3">
        <v>0</v>
      </c>
      <c r="F278" s="3">
        <v>1</v>
      </c>
      <c r="G278" s="3" t="s">
        <v>10</v>
      </c>
      <c r="H278" s="3" t="s">
        <v>16</v>
      </c>
      <c r="I278" s="3" t="s">
        <v>15</v>
      </c>
      <c r="J278" s="3" t="s">
        <v>14</v>
      </c>
      <c r="K278" s="3" t="s">
        <v>14</v>
      </c>
      <c r="L278" s="3" t="s">
        <v>14</v>
      </c>
      <c r="M278" s="3" t="s">
        <v>14</v>
      </c>
      <c r="N278" s="3" t="s">
        <v>14</v>
      </c>
      <c r="O278" s="3">
        <v>1</v>
      </c>
    </row>
    <row r="279" spans="1:15" ht="15" customHeight="1" x14ac:dyDescent="0.25">
      <c r="A279" s="2"/>
      <c r="B279" s="2">
        <v>10</v>
      </c>
      <c r="C279" s="2" t="s">
        <v>18</v>
      </c>
      <c r="D279" s="2" t="s">
        <v>20</v>
      </c>
      <c r="E279" s="2">
        <v>0</v>
      </c>
      <c r="F279" s="2">
        <v>0</v>
      </c>
      <c r="G279" s="2" t="s">
        <v>10</v>
      </c>
      <c r="H279" s="2" t="s">
        <v>12</v>
      </c>
      <c r="I279" s="2">
        <v>2</v>
      </c>
      <c r="J279" s="2" t="s">
        <v>14</v>
      </c>
      <c r="K279" s="2" t="s">
        <v>14</v>
      </c>
      <c r="L279" s="2" t="s">
        <v>14</v>
      </c>
      <c r="M279" s="2" t="s">
        <v>14</v>
      </c>
      <c r="N279" s="2" t="s">
        <v>14</v>
      </c>
      <c r="O279" s="2">
        <v>1</v>
      </c>
    </row>
    <row r="280" spans="1:15" ht="15" customHeight="1" x14ac:dyDescent="0.25">
      <c r="A280" s="3"/>
      <c r="B280" s="3">
        <v>5</v>
      </c>
      <c r="C280" s="3" t="s">
        <v>10</v>
      </c>
      <c r="D280" s="3" t="s">
        <v>20</v>
      </c>
      <c r="E280" s="3">
        <v>0</v>
      </c>
      <c r="F280" s="3">
        <v>0</v>
      </c>
      <c r="G280" s="3" t="s">
        <v>10</v>
      </c>
      <c r="H280" s="3" t="s">
        <v>16</v>
      </c>
      <c r="I280" s="3">
        <v>1</v>
      </c>
      <c r="J280" s="3" t="s">
        <v>14</v>
      </c>
      <c r="K280" s="3" t="s">
        <v>14</v>
      </c>
      <c r="L280" s="3" t="s">
        <v>14</v>
      </c>
      <c r="M280" s="3" t="s">
        <v>14</v>
      </c>
      <c r="N280" s="3" t="s">
        <v>14</v>
      </c>
      <c r="O280" s="3">
        <v>1</v>
      </c>
    </row>
    <row r="281" spans="1:15" ht="15" customHeight="1" x14ac:dyDescent="0.25">
      <c r="A281" s="2"/>
      <c r="B281" s="2">
        <v>30</v>
      </c>
      <c r="C281" s="2" t="s">
        <v>10</v>
      </c>
      <c r="D281" s="2" t="s">
        <v>11</v>
      </c>
      <c r="E281" s="2">
        <v>1</v>
      </c>
      <c r="F281" s="2">
        <v>0</v>
      </c>
      <c r="G281" s="2" t="s">
        <v>10</v>
      </c>
      <c r="H281" s="2" t="s">
        <v>12</v>
      </c>
      <c r="I281" s="2" t="s">
        <v>15</v>
      </c>
      <c r="J281" s="2" t="s">
        <v>14</v>
      </c>
      <c r="K281" s="2" t="s">
        <v>14</v>
      </c>
      <c r="L281" s="2" t="s">
        <v>14</v>
      </c>
      <c r="M281" s="2" t="s">
        <v>13</v>
      </c>
      <c r="N281" s="2" t="s">
        <v>14</v>
      </c>
      <c r="O281" s="2">
        <v>0</v>
      </c>
    </row>
    <row r="282" spans="1:15" ht="15" customHeight="1" x14ac:dyDescent="0.25">
      <c r="A282" s="3"/>
      <c r="B282" s="3">
        <v>5</v>
      </c>
      <c r="C282" s="3" t="s">
        <v>18</v>
      </c>
      <c r="D282" s="3" t="s">
        <v>19</v>
      </c>
      <c r="E282" s="3">
        <v>0</v>
      </c>
      <c r="F282" s="3">
        <v>0</v>
      </c>
      <c r="G282" s="3" t="s">
        <v>10</v>
      </c>
      <c r="H282" s="3" t="s">
        <v>16</v>
      </c>
      <c r="I282" s="3" t="s">
        <v>15</v>
      </c>
      <c r="J282" s="3" t="s">
        <v>14</v>
      </c>
      <c r="K282" s="3" t="s">
        <v>14</v>
      </c>
      <c r="L282" s="3" t="s">
        <v>14</v>
      </c>
      <c r="M282" s="3" t="s">
        <v>14</v>
      </c>
      <c r="N282" s="3" t="s">
        <v>14</v>
      </c>
      <c r="O282" s="3">
        <v>1</v>
      </c>
    </row>
    <row r="283" spans="1:15" ht="15" customHeight="1" x14ac:dyDescent="0.25">
      <c r="A283" s="2"/>
      <c r="B283" s="2">
        <v>20</v>
      </c>
      <c r="C283" s="2" t="s">
        <v>18</v>
      </c>
      <c r="D283" s="2" t="s">
        <v>19</v>
      </c>
      <c r="E283" s="2">
        <v>0</v>
      </c>
      <c r="F283" s="2">
        <v>0</v>
      </c>
      <c r="G283" s="2" t="s">
        <v>10</v>
      </c>
      <c r="H283" s="2" t="s">
        <v>12</v>
      </c>
      <c r="I283" s="2">
        <v>2</v>
      </c>
      <c r="J283" s="2" t="s">
        <v>14</v>
      </c>
      <c r="K283" s="2" t="s">
        <v>14</v>
      </c>
      <c r="L283" s="2" t="s">
        <v>14</v>
      </c>
      <c r="M283" s="2" t="s">
        <v>14</v>
      </c>
      <c r="N283" s="2" t="s">
        <v>14</v>
      </c>
      <c r="O283" s="2">
        <v>1</v>
      </c>
    </row>
    <row r="284" spans="1:15" ht="15" customHeight="1" x14ac:dyDescent="0.25">
      <c r="A284" s="3"/>
      <c r="B284" s="3">
        <v>5</v>
      </c>
      <c r="C284" s="3" t="s">
        <v>10</v>
      </c>
      <c r="D284" s="3" t="s">
        <v>19</v>
      </c>
      <c r="E284" s="3">
        <v>0</v>
      </c>
      <c r="F284" s="3">
        <v>0</v>
      </c>
      <c r="G284" s="3" t="s">
        <v>10</v>
      </c>
      <c r="H284" s="3" t="s">
        <v>12</v>
      </c>
      <c r="I284" s="3">
        <v>2</v>
      </c>
      <c r="J284" s="3" t="s">
        <v>14</v>
      </c>
      <c r="K284" s="3" t="s">
        <v>14</v>
      </c>
      <c r="L284" s="3" t="s">
        <v>14</v>
      </c>
      <c r="M284" s="3" t="s">
        <v>14</v>
      </c>
      <c r="N284" s="3" t="s">
        <v>14</v>
      </c>
      <c r="O284" s="3">
        <v>1</v>
      </c>
    </row>
    <row r="285" spans="1:15" ht="15" customHeight="1" x14ac:dyDescent="0.25">
      <c r="A285" s="2"/>
      <c r="B285" s="2">
        <v>10</v>
      </c>
      <c r="C285" s="2" t="s">
        <v>14</v>
      </c>
      <c r="D285" s="2" t="s">
        <v>19</v>
      </c>
      <c r="E285" s="2">
        <v>0</v>
      </c>
      <c r="F285" s="2">
        <v>0</v>
      </c>
      <c r="G285" s="2" t="s">
        <v>10</v>
      </c>
      <c r="H285" s="2" t="s">
        <v>12</v>
      </c>
      <c r="I285" s="2" t="s">
        <v>15</v>
      </c>
      <c r="J285" s="2" t="s">
        <v>14</v>
      </c>
      <c r="K285" s="2" t="s">
        <v>14</v>
      </c>
      <c r="L285" s="2" t="s">
        <v>14</v>
      </c>
      <c r="M285" s="2" t="s">
        <v>14</v>
      </c>
      <c r="N285" s="2" t="s">
        <v>14</v>
      </c>
      <c r="O285" s="2">
        <v>1</v>
      </c>
    </row>
    <row r="286" spans="1:15" ht="15" customHeight="1" x14ac:dyDescent="0.25">
      <c r="A286" s="3"/>
      <c r="B286" s="3">
        <v>30</v>
      </c>
      <c r="C286" s="3" t="s">
        <v>10</v>
      </c>
      <c r="D286" s="3" t="s">
        <v>11</v>
      </c>
      <c r="E286" s="3">
        <v>1</v>
      </c>
      <c r="F286" s="3">
        <v>1</v>
      </c>
      <c r="G286" s="3" t="s">
        <v>10</v>
      </c>
      <c r="H286" s="3" t="s">
        <v>12</v>
      </c>
      <c r="I286" s="3">
        <v>2</v>
      </c>
      <c r="J286" s="3" t="s">
        <v>13</v>
      </c>
      <c r="K286" s="3" t="s">
        <v>14</v>
      </c>
      <c r="L286" s="3" t="s">
        <v>14</v>
      </c>
      <c r="M286" s="3" t="s">
        <v>13</v>
      </c>
      <c r="N286" s="3" t="s">
        <v>13</v>
      </c>
      <c r="O286" s="3">
        <v>0</v>
      </c>
    </row>
    <row r="287" spans="1:15" ht="15" customHeight="1" x14ac:dyDescent="0.25">
      <c r="A287" s="2"/>
      <c r="B287" s="2">
        <v>10</v>
      </c>
      <c r="C287" s="2" t="s">
        <v>14</v>
      </c>
      <c r="D287" s="2" t="s">
        <v>20</v>
      </c>
      <c r="E287" s="2">
        <v>0</v>
      </c>
      <c r="F287" s="2">
        <v>0</v>
      </c>
      <c r="G287" s="2" t="s">
        <v>10</v>
      </c>
      <c r="H287" s="2" t="s">
        <v>12</v>
      </c>
      <c r="I287" s="2" t="s">
        <v>15</v>
      </c>
      <c r="J287" s="2" t="s">
        <v>14</v>
      </c>
      <c r="K287" s="2" t="s">
        <v>14</v>
      </c>
      <c r="L287" s="2" t="s">
        <v>14</v>
      </c>
      <c r="M287" s="2" t="s">
        <v>14</v>
      </c>
      <c r="N287" s="2" t="s">
        <v>14</v>
      </c>
      <c r="O287" s="2">
        <v>1</v>
      </c>
    </row>
    <row r="288" spans="1:15" ht="15" customHeight="1" x14ac:dyDescent="0.25">
      <c r="A288" s="3"/>
      <c r="B288" s="3">
        <v>30</v>
      </c>
      <c r="C288" s="3" t="s">
        <v>10</v>
      </c>
      <c r="D288" s="3" t="s">
        <v>11</v>
      </c>
      <c r="E288" s="3">
        <v>1</v>
      </c>
      <c r="F288" s="3">
        <v>0</v>
      </c>
      <c r="G288" s="3" t="s">
        <v>10</v>
      </c>
      <c r="H288" s="3" t="s">
        <v>12</v>
      </c>
      <c r="I288" s="3" t="s">
        <v>15</v>
      </c>
      <c r="J288" s="3" t="s">
        <v>14</v>
      </c>
      <c r="K288" s="3" t="s">
        <v>14</v>
      </c>
      <c r="L288" s="3" t="s">
        <v>14</v>
      </c>
      <c r="M288" s="3" t="s">
        <v>13</v>
      </c>
      <c r="N288" s="3" t="s">
        <v>14</v>
      </c>
      <c r="O288" s="3">
        <v>0</v>
      </c>
    </row>
    <row r="289" spans="1:15" ht="15" customHeight="1" x14ac:dyDescent="0.25">
      <c r="A289" s="2"/>
      <c r="B289" s="2">
        <v>5</v>
      </c>
      <c r="C289" s="2" t="s">
        <v>10</v>
      </c>
      <c r="D289" s="2" t="s">
        <v>19</v>
      </c>
      <c r="E289" s="2">
        <v>0</v>
      </c>
      <c r="F289" s="2">
        <v>0</v>
      </c>
      <c r="G289" s="2" t="s">
        <v>10</v>
      </c>
      <c r="H289" s="2" t="s">
        <v>12</v>
      </c>
      <c r="I289" s="2">
        <v>2</v>
      </c>
      <c r="J289" s="2" t="s">
        <v>14</v>
      </c>
      <c r="K289" s="2" t="s">
        <v>14</v>
      </c>
      <c r="L289" s="2" t="s">
        <v>14</v>
      </c>
      <c r="M289" s="2" t="s">
        <v>14</v>
      </c>
      <c r="N289" s="2" t="s">
        <v>14</v>
      </c>
      <c r="O289" s="2">
        <v>1</v>
      </c>
    </row>
    <row r="290" spans="1:15" ht="15" customHeight="1" x14ac:dyDescent="0.25">
      <c r="A290" s="3"/>
      <c r="B290" s="3">
        <v>10</v>
      </c>
      <c r="C290" s="3" t="s">
        <v>10</v>
      </c>
      <c r="D290" s="3" t="s">
        <v>19</v>
      </c>
      <c r="E290" s="3">
        <v>0</v>
      </c>
      <c r="F290" s="3">
        <v>1</v>
      </c>
      <c r="G290" s="3" t="s">
        <v>10</v>
      </c>
      <c r="H290" s="3" t="s">
        <v>12</v>
      </c>
      <c r="I290" s="3" t="s">
        <v>15</v>
      </c>
      <c r="J290" s="3" t="s">
        <v>14</v>
      </c>
      <c r="K290" s="3" t="s">
        <v>14</v>
      </c>
      <c r="L290" s="3" t="s">
        <v>14</v>
      </c>
      <c r="M290" s="3" t="s">
        <v>14</v>
      </c>
      <c r="N290" s="3" t="s">
        <v>14</v>
      </c>
      <c r="O290" s="3">
        <v>1</v>
      </c>
    </row>
    <row r="291" spans="1:15" ht="15" customHeight="1" x14ac:dyDescent="0.25">
      <c r="A291" s="2"/>
      <c r="B291" s="2">
        <v>5</v>
      </c>
      <c r="C291" s="2" t="s">
        <v>10</v>
      </c>
      <c r="D291" s="2" t="s">
        <v>11</v>
      </c>
      <c r="E291" s="2">
        <v>0</v>
      </c>
      <c r="F291" s="2">
        <v>1</v>
      </c>
      <c r="G291" s="2" t="s">
        <v>10</v>
      </c>
      <c r="H291" s="2" t="s">
        <v>12</v>
      </c>
      <c r="I291" s="2">
        <v>1</v>
      </c>
      <c r="J291" s="2" t="s">
        <v>13</v>
      </c>
      <c r="K291" s="2" t="s">
        <v>14</v>
      </c>
      <c r="L291" s="2" t="s">
        <v>14</v>
      </c>
      <c r="M291" s="2" t="s">
        <v>14</v>
      </c>
      <c r="N291" s="2" t="s">
        <v>14</v>
      </c>
      <c r="O291" s="2">
        <v>1</v>
      </c>
    </row>
    <row r="292" spans="1:15" ht="15" customHeight="1" x14ac:dyDescent="0.25">
      <c r="A292" s="3"/>
      <c r="B292" s="3">
        <v>0</v>
      </c>
      <c r="C292" s="3" t="s">
        <v>10</v>
      </c>
      <c r="D292" s="3" t="s">
        <v>11</v>
      </c>
      <c r="E292" s="3">
        <v>1</v>
      </c>
      <c r="F292" s="3">
        <v>0</v>
      </c>
      <c r="G292" s="3" t="s">
        <v>10</v>
      </c>
      <c r="H292" s="3" t="s">
        <v>12</v>
      </c>
      <c r="I292" s="3">
        <v>1</v>
      </c>
      <c r="J292" s="3" t="s">
        <v>13</v>
      </c>
      <c r="K292" s="3" t="s">
        <v>14</v>
      </c>
      <c r="L292" s="3" t="s">
        <v>14</v>
      </c>
      <c r="M292" s="3" t="s">
        <v>14</v>
      </c>
      <c r="N292" s="3" t="s">
        <v>14</v>
      </c>
      <c r="O292" s="3">
        <v>1</v>
      </c>
    </row>
    <row r="293" spans="1:15" ht="15" customHeight="1" x14ac:dyDescent="0.25">
      <c r="A293" s="2"/>
      <c r="B293" s="2">
        <v>5</v>
      </c>
      <c r="C293" s="2" t="s">
        <v>14</v>
      </c>
      <c r="D293" s="2" t="s">
        <v>19</v>
      </c>
      <c r="E293" s="2">
        <v>1</v>
      </c>
      <c r="F293" s="2">
        <v>0</v>
      </c>
      <c r="G293" s="2" t="s">
        <v>10</v>
      </c>
      <c r="H293" s="2" t="s">
        <v>12</v>
      </c>
      <c r="I293" s="2">
        <v>2</v>
      </c>
      <c r="J293" s="2" t="s">
        <v>14</v>
      </c>
      <c r="K293" s="2" t="s">
        <v>13</v>
      </c>
      <c r="L293" s="2" t="s">
        <v>13</v>
      </c>
      <c r="M293" s="2" t="s">
        <v>14</v>
      </c>
      <c r="N293" s="2" t="s">
        <v>14</v>
      </c>
      <c r="O293" s="2">
        <v>1</v>
      </c>
    </row>
    <row r="294" spans="1:15" ht="15" customHeight="1" x14ac:dyDescent="0.25">
      <c r="A294" s="3"/>
      <c r="B294" s="3">
        <v>5</v>
      </c>
      <c r="C294" s="3" t="s">
        <v>18</v>
      </c>
      <c r="D294" s="3" t="s">
        <v>19</v>
      </c>
      <c r="E294" s="3">
        <v>0</v>
      </c>
      <c r="F294" s="3">
        <v>0</v>
      </c>
      <c r="G294" s="3" t="s">
        <v>10</v>
      </c>
      <c r="H294" s="3" t="s">
        <v>12</v>
      </c>
      <c r="I294" s="3" t="s">
        <v>15</v>
      </c>
      <c r="J294" s="3" t="s">
        <v>14</v>
      </c>
      <c r="K294" s="3" t="s">
        <v>14</v>
      </c>
      <c r="L294" s="3" t="s">
        <v>14</v>
      </c>
      <c r="M294" s="3" t="s">
        <v>14</v>
      </c>
      <c r="N294" s="3" t="s">
        <v>14</v>
      </c>
      <c r="O294" s="3">
        <v>1</v>
      </c>
    </row>
    <row r="295" spans="1:15" ht="15" customHeight="1" x14ac:dyDescent="0.25">
      <c r="A295" s="2"/>
      <c r="B295" s="2">
        <v>10</v>
      </c>
      <c r="C295" s="2" t="s">
        <v>18</v>
      </c>
      <c r="D295" s="2" t="s">
        <v>19</v>
      </c>
      <c r="E295" s="2">
        <v>0</v>
      </c>
      <c r="F295" s="2">
        <v>0</v>
      </c>
      <c r="G295" s="2" t="s">
        <v>10</v>
      </c>
      <c r="H295" s="2" t="s">
        <v>12</v>
      </c>
      <c r="I295" s="2">
        <v>2</v>
      </c>
      <c r="J295" s="2" t="s">
        <v>14</v>
      </c>
      <c r="K295" s="2" t="s">
        <v>14</v>
      </c>
      <c r="L295" s="2" t="s">
        <v>14</v>
      </c>
      <c r="M295" s="2" t="s">
        <v>14</v>
      </c>
      <c r="N295" s="2" t="s">
        <v>14</v>
      </c>
      <c r="O295" s="2">
        <v>1</v>
      </c>
    </row>
    <row r="296" spans="1:15" ht="15" customHeight="1" x14ac:dyDescent="0.25">
      <c r="A296" s="3"/>
      <c r="B296" s="3">
        <v>20</v>
      </c>
      <c r="C296" s="3" t="s">
        <v>18</v>
      </c>
      <c r="D296" s="3" t="s">
        <v>20</v>
      </c>
      <c r="E296" s="3">
        <v>0</v>
      </c>
      <c r="F296" s="3">
        <v>0</v>
      </c>
      <c r="G296" s="3" t="s">
        <v>10</v>
      </c>
      <c r="H296" s="3" t="s">
        <v>12</v>
      </c>
      <c r="I296" s="3">
        <v>1</v>
      </c>
      <c r="J296" s="3" t="s">
        <v>14</v>
      </c>
      <c r="K296" s="3" t="s">
        <v>14</v>
      </c>
      <c r="L296" s="3" t="s">
        <v>14</v>
      </c>
      <c r="M296" s="3" t="s">
        <v>14</v>
      </c>
      <c r="N296" s="3" t="s">
        <v>14</v>
      </c>
      <c r="O296" s="3">
        <v>1</v>
      </c>
    </row>
    <row r="297" spans="1:15" ht="15" customHeight="1" x14ac:dyDescent="0.25">
      <c r="A297" s="2"/>
      <c r="B297" s="2">
        <v>20</v>
      </c>
      <c r="C297" s="2" t="s">
        <v>14</v>
      </c>
      <c r="D297" s="2" t="s">
        <v>20</v>
      </c>
      <c r="E297" s="2">
        <v>0</v>
      </c>
      <c r="F297" s="2">
        <v>0</v>
      </c>
      <c r="G297" s="2" t="s">
        <v>10</v>
      </c>
      <c r="H297" s="2" t="s">
        <v>12</v>
      </c>
      <c r="I297" s="2">
        <v>1</v>
      </c>
      <c r="J297" s="2" t="s">
        <v>14</v>
      </c>
      <c r="K297" s="2" t="s">
        <v>14</v>
      </c>
      <c r="L297" s="2" t="s">
        <v>14</v>
      </c>
      <c r="M297" s="2" t="s">
        <v>14</v>
      </c>
      <c r="N297" s="2" t="s">
        <v>14</v>
      </c>
      <c r="O297" s="2">
        <v>1</v>
      </c>
    </row>
    <row r="298" spans="1:15" ht="15" customHeight="1" x14ac:dyDescent="0.25">
      <c r="A298" s="3"/>
      <c r="B298" s="3">
        <v>10</v>
      </c>
      <c r="C298" s="3" t="s">
        <v>10</v>
      </c>
      <c r="D298" s="3" t="s">
        <v>19</v>
      </c>
      <c r="E298" s="3">
        <v>0</v>
      </c>
      <c r="F298" s="3">
        <v>1</v>
      </c>
      <c r="G298" s="3" t="s">
        <v>10</v>
      </c>
      <c r="H298" s="3" t="s">
        <v>16</v>
      </c>
      <c r="I298" s="3">
        <v>1</v>
      </c>
      <c r="J298" s="3" t="s">
        <v>14</v>
      </c>
      <c r="K298" s="3" t="s">
        <v>14</v>
      </c>
      <c r="L298" s="3" t="s">
        <v>14</v>
      </c>
      <c r="M298" s="3" t="s">
        <v>14</v>
      </c>
      <c r="N298" s="3" t="s">
        <v>14</v>
      </c>
      <c r="O298" s="3">
        <v>1</v>
      </c>
    </row>
    <row r="299" spans="1:15" ht="15" customHeight="1" x14ac:dyDescent="0.25">
      <c r="A299" s="2"/>
      <c r="B299" s="2">
        <v>20</v>
      </c>
      <c r="C299" s="2" t="s">
        <v>10</v>
      </c>
      <c r="D299" s="2" t="s">
        <v>19</v>
      </c>
      <c r="E299" s="2">
        <v>2</v>
      </c>
      <c r="F299" s="2">
        <v>1</v>
      </c>
      <c r="G299" s="2" t="s">
        <v>10</v>
      </c>
      <c r="H299" s="2" t="s">
        <v>12</v>
      </c>
      <c r="I299" s="2">
        <v>2</v>
      </c>
      <c r="J299" s="2" t="s">
        <v>14</v>
      </c>
      <c r="K299" s="2" t="s">
        <v>14</v>
      </c>
      <c r="L299" s="2" t="s">
        <v>14</v>
      </c>
      <c r="M299" s="2" t="s">
        <v>13</v>
      </c>
      <c r="N299" s="2" t="s">
        <v>14</v>
      </c>
      <c r="O299" s="2">
        <v>1</v>
      </c>
    </row>
    <row r="300" spans="1:15" ht="15" customHeight="1" x14ac:dyDescent="0.25">
      <c r="A300" s="3"/>
      <c r="B300" s="3">
        <v>0</v>
      </c>
      <c r="C300" s="3" t="s">
        <v>14</v>
      </c>
      <c r="D300" s="3" t="s">
        <v>19</v>
      </c>
      <c r="E300" s="3">
        <v>0</v>
      </c>
      <c r="F300" s="3">
        <v>0</v>
      </c>
      <c r="G300" s="3" t="s">
        <v>10</v>
      </c>
      <c r="H300" s="3" t="s">
        <v>12</v>
      </c>
      <c r="I300" s="3">
        <v>2</v>
      </c>
      <c r="J300" s="3" t="s">
        <v>14</v>
      </c>
      <c r="K300" s="3" t="s">
        <v>14</v>
      </c>
      <c r="L300" s="3" t="s">
        <v>14</v>
      </c>
      <c r="M300" s="3" t="s">
        <v>14</v>
      </c>
      <c r="N300" s="3" t="s">
        <v>14</v>
      </c>
      <c r="O300" s="3">
        <v>1</v>
      </c>
    </row>
    <row r="301" spans="1:15" ht="15" customHeight="1" x14ac:dyDescent="0.25">
      <c r="A301" s="2"/>
      <c r="B301" s="2">
        <v>10</v>
      </c>
      <c r="C301" s="2" t="s">
        <v>10</v>
      </c>
      <c r="D301" s="2" t="s">
        <v>11</v>
      </c>
      <c r="E301" s="2">
        <v>1</v>
      </c>
      <c r="F301" s="2">
        <v>1</v>
      </c>
      <c r="G301" s="2" t="s">
        <v>10</v>
      </c>
      <c r="H301" s="2" t="s">
        <v>16</v>
      </c>
      <c r="I301" s="2" t="s">
        <v>15</v>
      </c>
      <c r="J301" s="2" t="s">
        <v>13</v>
      </c>
      <c r="K301" s="2" t="s">
        <v>14</v>
      </c>
      <c r="L301" s="2" t="s">
        <v>14</v>
      </c>
      <c r="M301" s="2" t="s">
        <v>14</v>
      </c>
      <c r="N301" s="2" t="s">
        <v>14</v>
      </c>
      <c r="O301" s="2">
        <v>0</v>
      </c>
    </row>
    <row r="302" spans="1:15" ht="15" customHeight="1" x14ac:dyDescent="0.25">
      <c r="A302" s="3"/>
      <c r="B302" s="3">
        <v>5</v>
      </c>
      <c r="C302" s="3" t="s">
        <v>18</v>
      </c>
      <c r="D302" s="3" t="s">
        <v>20</v>
      </c>
      <c r="E302" s="3">
        <v>0</v>
      </c>
      <c r="F302" s="3">
        <v>1</v>
      </c>
      <c r="G302" s="3" t="s">
        <v>10</v>
      </c>
      <c r="H302" s="3" t="s">
        <v>16</v>
      </c>
      <c r="I302" s="3">
        <v>1</v>
      </c>
      <c r="J302" s="3" t="s">
        <v>14</v>
      </c>
      <c r="K302" s="3" t="s">
        <v>14</v>
      </c>
      <c r="L302" s="3" t="s">
        <v>14</v>
      </c>
      <c r="M302" s="3" t="s">
        <v>14</v>
      </c>
      <c r="N302" s="3" t="s">
        <v>14</v>
      </c>
      <c r="O302" s="3">
        <v>1</v>
      </c>
    </row>
    <row r="303" spans="1:15" ht="15" customHeight="1" x14ac:dyDescent="0.25">
      <c r="A303" s="2"/>
      <c r="B303" s="2">
        <v>30</v>
      </c>
      <c r="C303" s="2" t="s">
        <v>10</v>
      </c>
      <c r="D303" s="2" t="s">
        <v>19</v>
      </c>
      <c r="E303" s="2">
        <v>1</v>
      </c>
      <c r="F303" s="2">
        <v>0</v>
      </c>
      <c r="G303" s="2" t="s">
        <v>10</v>
      </c>
      <c r="H303" s="2" t="s">
        <v>12</v>
      </c>
      <c r="I303" s="2">
        <v>1</v>
      </c>
      <c r="J303" s="2" t="s">
        <v>14</v>
      </c>
      <c r="K303" s="2" t="s">
        <v>14</v>
      </c>
      <c r="L303" s="2" t="s">
        <v>14</v>
      </c>
      <c r="M303" s="2" t="s">
        <v>13</v>
      </c>
      <c r="N303" s="2" t="s">
        <v>14</v>
      </c>
      <c r="O303" s="2">
        <v>0</v>
      </c>
    </row>
    <row r="304" spans="1:15" ht="15" customHeight="1" x14ac:dyDescent="0.25">
      <c r="A304" s="3"/>
      <c r="B304" s="3">
        <v>10</v>
      </c>
      <c r="C304" s="3" t="s">
        <v>10</v>
      </c>
      <c r="D304" s="3" t="s">
        <v>19</v>
      </c>
      <c r="E304" s="3">
        <v>0</v>
      </c>
      <c r="F304" s="3">
        <v>0</v>
      </c>
      <c r="G304" s="3" t="s">
        <v>10</v>
      </c>
      <c r="H304" s="3" t="s">
        <v>12</v>
      </c>
      <c r="I304" s="3">
        <v>2</v>
      </c>
      <c r="J304" s="3" t="s">
        <v>14</v>
      </c>
      <c r="K304" s="3" t="s">
        <v>14</v>
      </c>
      <c r="L304" s="3" t="s">
        <v>14</v>
      </c>
      <c r="M304" s="3" t="s">
        <v>14</v>
      </c>
      <c r="N304" s="3" t="s">
        <v>14</v>
      </c>
      <c r="O304" s="3">
        <v>1</v>
      </c>
    </row>
    <row r="305" spans="1:15" ht="15" customHeight="1" x14ac:dyDescent="0.25">
      <c r="A305" s="2"/>
      <c r="B305" s="2">
        <v>5</v>
      </c>
      <c r="C305" s="2" t="s">
        <v>18</v>
      </c>
      <c r="D305" s="2" t="s">
        <v>19</v>
      </c>
      <c r="E305" s="2">
        <v>0</v>
      </c>
      <c r="F305" s="2">
        <v>0</v>
      </c>
      <c r="G305" s="2" t="s">
        <v>10</v>
      </c>
      <c r="H305" s="2" t="s">
        <v>12</v>
      </c>
      <c r="I305" s="2" t="s">
        <v>15</v>
      </c>
      <c r="J305" s="2" t="s">
        <v>14</v>
      </c>
      <c r="K305" s="2" t="s">
        <v>14</v>
      </c>
      <c r="L305" s="2" t="s">
        <v>14</v>
      </c>
      <c r="M305" s="2" t="s">
        <v>14</v>
      </c>
      <c r="N305" s="2" t="s">
        <v>14</v>
      </c>
      <c r="O305" s="2">
        <v>1</v>
      </c>
    </row>
    <row r="306" spans="1:15" ht="15" customHeight="1" x14ac:dyDescent="0.25">
      <c r="A306" s="3"/>
      <c r="B306" s="3">
        <v>0</v>
      </c>
      <c r="C306" s="3" t="s">
        <v>10</v>
      </c>
      <c r="D306" s="3" t="s">
        <v>19</v>
      </c>
      <c r="E306" s="3">
        <v>0</v>
      </c>
      <c r="F306" s="3">
        <v>0</v>
      </c>
      <c r="G306" s="3" t="s">
        <v>10</v>
      </c>
      <c r="H306" s="3" t="s">
        <v>12</v>
      </c>
      <c r="I306" s="3" t="s">
        <v>15</v>
      </c>
      <c r="J306" s="3" t="s">
        <v>14</v>
      </c>
      <c r="K306" s="3" t="s">
        <v>14</v>
      </c>
      <c r="L306" s="3" t="s">
        <v>14</v>
      </c>
      <c r="M306" s="3" t="s">
        <v>14</v>
      </c>
      <c r="N306" s="3" t="s">
        <v>14</v>
      </c>
      <c r="O306" s="3">
        <v>1</v>
      </c>
    </row>
    <row r="307" spans="1:15" ht="15" customHeight="1" x14ac:dyDescent="0.25">
      <c r="A307" s="2"/>
      <c r="B307" s="2">
        <v>0</v>
      </c>
      <c r="C307" s="2" t="s">
        <v>18</v>
      </c>
      <c r="D307" s="2" t="s">
        <v>19</v>
      </c>
      <c r="E307" s="2">
        <v>0</v>
      </c>
      <c r="F307" s="2">
        <v>0</v>
      </c>
      <c r="G307" s="2" t="s">
        <v>10</v>
      </c>
      <c r="H307" s="2" t="s">
        <v>12</v>
      </c>
      <c r="I307" s="2">
        <v>1</v>
      </c>
      <c r="J307" s="2" t="s">
        <v>14</v>
      </c>
      <c r="K307" s="2" t="s">
        <v>14</v>
      </c>
      <c r="L307" s="2" t="s">
        <v>14</v>
      </c>
      <c r="M307" s="2" t="s">
        <v>14</v>
      </c>
      <c r="N307" s="2" t="s">
        <v>14</v>
      </c>
      <c r="O307" s="2">
        <v>1</v>
      </c>
    </row>
    <row r="308" spans="1:15" ht="15" customHeight="1" x14ac:dyDescent="0.25">
      <c r="A308" s="3"/>
      <c r="B308" s="3">
        <v>0</v>
      </c>
      <c r="C308" s="3" t="s">
        <v>14</v>
      </c>
      <c r="D308" s="3" t="s">
        <v>19</v>
      </c>
      <c r="E308" s="3">
        <v>0</v>
      </c>
      <c r="F308" s="3">
        <v>0</v>
      </c>
      <c r="G308" s="3" t="s">
        <v>10</v>
      </c>
      <c r="H308" s="3" t="s">
        <v>12</v>
      </c>
      <c r="I308" s="3">
        <v>1</v>
      </c>
      <c r="J308" s="3" t="s">
        <v>14</v>
      </c>
      <c r="K308" s="3" t="s">
        <v>14</v>
      </c>
      <c r="L308" s="3" t="s">
        <v>14</v>
      </c>
      <c r="M308" s="3" t="s">
        <v>14</v>
      </c>
      <c r="N308" s="3" t="s">
        <v>14</v>
      </c>
      <c r="O308" s="3">
        <v>1</v>
      </c>
    </row>
    <row r="309" spans="1:15" ht="15" customHeight="1" x14ac:dyDescent="0.25">
      <c r="A309" s="2"/>
      <c r="B309" s="2">
        <v>10</v>
      </c>
      <c r="C309" s="2" t="s">
        <v>18</v>
      </c>
      <c r="D309" s="2" t="s">
        <v>19</v>
      </c>
      <c r="E309" s="2">
        <v>0</v>
      </c>
      <c r="F309" s="2">
        <v>0</v>
      </c>
      <c r="G309" s="2" t="s">
        <v>10</v>
      </c>
      <c r="H309" s="2" t="s">
        <v>12</v>
      </c>
      <c r="I309" s="2">
        <v>2</v>
      </c>
      <c r="J309" s="2" t="s">
        <v>14</v>
      </c>
      <c r="K309" s="2" t="s">
        <v>14</v>
      </c>
      <c r="L309" s="2" t="s">
        <v>14</v>
      </c>
      <c r="M309" s="2" t="s">
        <v>14</v>
      </c>
      <c r="N309" s="2" t="s">
        <v>14</v>
      </c>
      <c r="O309" s="2">
        <v>1</v>
      </c>
    </row>
    <row r="310" spans="1:15" ht="15" customHeight="1" x14ac:dyDescent="0.25">
      <c r="A310" s="3"/>
      <c r="B310" s="3">
        <v>20</v>
      </c>
      <c r="C310" s="3" t="s">
        <v>10</v>
      </c>
      <c r="D310" s="3" t="s">
        <v>19</v>
      </c>
      <c r="E310" s="3">
        <v>0</v>
      </c>
      <c r="F310" s="3">
        <v>1</v>
      </c>
      <c r="G310" s="3" t="s">
        <v>10</v>
      </c>
      <c r="H310" s="3" t="s">
        <v>12</v>
      </c>
      <c r="I310" s="3">
        <v>2</v>
      </c>
      <c r="J310" s="3" t="s">
        <v>14</v>
      </c>
      <c r="K310" s="3" t="s">
        <v>14</v>
      </c>
      <c r="L310" s="3" t="s">
        <v>14</v>
      </c>
      <c r="M310" s="3" t="s">
        <v>14</v>
      </c>
      <c r="N310" s="3" t="s">
        <v>14</v>
      </c>
      <c r="O310" s="3">
        <v>1</v>
      </c>
    </row>
    <row r="311" spans="1:15" ht="15" customHeight="1" x14ac:dyDescent="0.25">
      <c r="A311" s="2"/>
      <c r="B311" s="2">
        <v>10</v>
      </c>
      <c r="C311" s="2" t="s">
        <v>18</v>
      </c>
      <c r="D311" s="2" t="s">
        <v>20</v>
      </c>
      <c r="E311" s="2">
        <v>0</v>
      </c>
      <c r="F311" s="2">
        <v>1</v>
      </c>
      <c r="G311" s="2" t="s">
        <v>10</v>
      </c>
      <c r="H311" s="2" t="s">
        <v>16</v>
      </c>
      <c r="I311" s="2">
        <v>1</v>
      </c>
      <c r="J311" s="2" t="s">
        <v>14</v>
      </c>
      <c r="K311" s="2" t="s">
        <v>14</v>
      </c>
      <c r="L311" s="2" t="s">
        <v>14</v>
      </c>
      <c r="M311" s="2" t="s">
        <v>14</v>
      </c>
      <c r="N311" s="2" t="s">
        <v>14</v>
      </c>
      <c r="O311" s="2">
        <v>1</v>
      </c>
    </row>
    <row r="312" spans="1:15" ht="15" customHeight="1" x14ac:dyDescent="0.25">
      <c r="A312" s="3"/>
      <c r="B312" s="3">
        <v>10</v>
      </c>
      <c r="C312" s="3" t="s">
        <v>18</v>
      </c>
      <c r="D312" s="3" t="s">
        <v>20</v>
      </c>
      <c r="E312" s="3">
        <v>0</v>
      </c>
      <c r="F312" s="3">
        <v>0</v>
      </c>
      <c r="G312" s="3" t="s">
        <v>10</v>
      </c>
      <c r="H312" s="3" t="s">
        <v>12</v>
      </c>
      <c r="I312" s="3">
        <v>1</v>
      </c>
      <c r="J312" s="3" t="s">
        <v>14</v>
      </c>
      <c r="K312" s="3" t="s">
        <v>14</v>
      </c>
      <c r="L312" s="3" t="s">
        <v>14</v>
      </c>
      <c r="M312" s="3" t="s">
        <v>14</v>
      </c>
      <c r="N312" s="3" t="s">
        <v>14</v>
      </c>
      <c r="O312" s="3">
        <v>1</v>
      </c>
    </row>
    <row r="313" spans="1:15" ht="15" customHeight="1" x14ac:dyDescent="0.25">
      <c r="A313" s="2"/>
      <c r="B313" s="2">
        <v>5</v>
      </c>
      <c r="C313" s="2" t="s">
        <v>10</v>
      </c>
      <c r="D313" s="2" t="s">
        <v>20</v>
      </c>
      <c r="E313" s="2">
        <v>0</v>
      </c>
      <c r="F313" s="2">
        <v>0</v>
      </c>
      <c r="G313" s="2" t="s">
        <v>10</v>
      </c>
      <c r="H313" s="2" t="s">
        <v>12</v>
      </c>
      <c r="I313" s="2">
        <v>2</v>
      </c>
      <c r="J313" s="2" t="s">
        <v>14</v>
      </c>
      <c r="K313" s="2" t="s">
        <v>14</v>
      </c>
      <c r="L313" s="2" t="s">
        <v>14</v>
      </c>
      <c r="M313" s="2" t="s">
        <v>14</v>
      </c>
      <c r="N313" s="2" t="s">
        <v>14</v>
      </c>
      <c r="O313" s="2">
        <v>1</v>
      </c>
    </row>
    <row r="314" spans="1:15" ht="15" customHeight="1" x14ac:dyDescent="0.25">
      <c r="A314" s="3"/>
      <c r="B314" s="3">
        <v>30</v>
      </c>
      <c r="C314" s="3" t="s">
        <v>10</v>
      </c>
      <c r="D314" s="3" t="s">
        <v>11</v>
      </c>
      <c r="E314" s="3">
        <v>0</v>
      </c>
      <c r="F314" s="3">
        <v>1</v>
      </c>
      <c r="G314" s="3" t="s">
        <v>10</v>
      </c>
      <c r="H314" s="3" t="s">
        <v>12</v>
      </c>
      <c r="I314" s="3">
        <v>2</v>
      </c>
      <c r="J314" s="3" t="s">
        <v>14</v>
      </c>
      <c r="K314" s="3" t="s">
        <v>14</v>
      </c>
      <c r="L314" s="3" t="s">
        <v>14</v>
      </c>
      <c r="M314" s="3" t="s">
        <v>13</v>
      </c>
      <c r="N314" s="3" t="s">
        <v>14</v>
      </c>
      <c r="O314" s="3">
        <v>0</v>
      </c>
    </row>
    <row r="315" spans="1:15" ht="15" customHeight="1" x14ac:dyDescent="0.25">
      <c r="A315" s="2"/>
      <c r="B315" s="2">
        <v>30</v>
      </c>
      <c r="C315" s="2" t="s">
        <v>10</v>
      </c>
      <c r="D315" s="2" t="s">
        <v>19</v>
      </c>
      <c r="E315" s="2">
        <v>1</v>
      </c>
      <c r="F315" s="2">
        <v>0</v>
      </c>
      <c r="G315" s="2" t="s">
        <v>10</v>
      </c>
      <c r="H315" s="2" t="s">
        <v>12</v>
      </c>
      <c r="I315" s="2" t="s">
        <v>15</v>
      </c>
      <c r="J315" s="2" t="s">
        <v>14</v>
      </c>
      <c r="K315" s="2" t="s">
        <v>14</v>
      </c>
      <c r="L315" s="2" t="s">
        <v>14</v>
      </c>
      <c r="M315" s="2" t="s">
        <v>13</v>
      </c>
      <c r="N315" s="2" t="s">
        <v>14</v>
      </c>
      <c r="O315" s="2">
        <v>0</v>
      </c>
    </row>
    <row r="316" spans="1:15" ht="15" customHeight="1" x14ac:dyDescent="0.25">
      <c r="A316" s="3"/>
      <c r="B316" s="3">
        <v>0</v>
      </c>
      <c r="C316" s="3" t="s">
        <v>14</v>
      </c>
      <c r="D316" s="3" t="s">
        <v>19</v>
      </c>
      <c r="E316" s="3">
        <v>0</v>
      </c>
      <c r="F316" s="3">
        <v>1</v>
      </c>
      <c r="G316" s="3" t="s">
        <v>10</v>
      </c>
      <c r="H316" s="3" t="s">
        <v>16</v>
      </c>
      <c r="I316" s="3" t="s">
        <v>15</v>
      </c>
      <c r="J316" s="3" t="s">
        <v>14</v>
      </c>
      <c r="K316" s="3" t="s">
        <v>14</v>
      </c>
      <c r="L316" s="3" t="s">
        <v>14</v>
      </c>
      <c r="M316" s="3" t="s">
        <v>14</v>
      </c>
      <c r="N316" s="3" t="s">
        <v>14</v>
      </c>
      <c r="O316" s="3">
        <v>0</v>
      </c>
    </row>
    <row r="317" spans="1:15" ht="15" customHeight="1" x14ac:dyDescent="0.25">
      <c r="A317" s="2"/>
      <c r="B317" s="2">
        <v>0</v>
      </c>
      <c r="C317" s="2" t="s">
        <v>18</v>
      </c>
      <c r="D317" s="2" t="s">
        <v>11</v>
      </c>
      <c r="E317" s="2">
        <v>0</v>
      </c>
      <c r="F317" s="2">
        <v>0</v>
      </c>
      <c r="G317" s="2" t="s">
        <v>10</v>
      </c>
      <c r="H317" s="2" t="s">
        <v>12</v>
      </c>
      <c r="I317" s="2" t="s">
        <v>15</v>
      </c>
      <c r="J317" s="2" t="s">
        <v>14</v>
      </c>
      <c r="K317" s="2" t="s">
        <v>14</v>
      </c>
      <c r="L317" s="2" t="s">
        <v>14</v>
      </c>
      <c r="M317" s="2" t="s">
        <v>14</v>
      </c>
      <c r="N317" s="2" t="s">
        <v>14</v>
      </c>
      <c r="O317" s="2">
        <v>1</v>
      </c>
    </row>
    <row r="318" spans="1:15" ht="15" customHeight="1" x14ac:dyDescent="0.25">
      <c r="A318" s="3"/>
      <c r="B318" s="3">
        <v>5</v>
      </c>
      <c r="C318" s="3" t="s">
        <v>10</v>
      </c>
      <c r="D318" s="3" t="s">
        <v>11</v>
      </c>
      <c r="E318" s="3">
        <v>0</v>
      </c>
      <c r="F318" s="3">
        <v>1</v>
      </c>
      <c r="G318" s="3" t="s">
        <v>10</v>
      </c>
      <c r="H318" s="3" t="s">
        <v>12</v>
      </c>
      <c r="I318" s="3">
        <v>2</v>
      </c>
      <c r="J318" s="3" t="s">
        <v>14</v>
      </c>
      <c r="K318" s="3" t="s">
        <v>14</v>
      </c>
      <c r="L318" s="3" t="s">
        <v>14</v>
      </c>
      <c r="M318" s="3" t="s">
        <v>14</v>
      </c>
      <c r="N318" s="3" t="s">
        <v>14</v>
      </c>
      <c r="O318" s="3">
        <v>1</v>
      </c>
    </row>
    <row r="319" spans="1:15" ht="15" customHeight="1" x14ac:dyDescent="0.25">
      <c r="A319" s="2"/>
      <c r="B319" s="2">
        <v>0</v>
      </c>
      <c r="C319" s="2" t="s">
        <v>10</v>
      </c>
      <c r="D319" s="2" t="s">
        <v>11</v>
      </c>
      <c r="E319" s="2">
        <v>0</v>
      </c>
      <c r="F319" s="2">
        <v>0</v>
      </c>
      <c r="G319" s="2" t="s">
        <v>10</v>
      </c>
      <c r="H319" s="2" t="s">
        <v>12</v>
      </c>
      <c r="I319" s="2" t="s">
        <v>15</v>
      </c>
      <c r="J319" s="2" t="s">
        <v>13</v>
      </c>
      <c r="K319" s="2" t="s">
        <v>14</v>
      </c>
      <c r="L319" s="2" t="s">
        <v>14</v>
      </c>
      <c r="M319" s="2" t="s">
        <v>14</v>
      </c>
      <c r="N319" s="2" t="s">
        <v>14</v>
      </c>
      <c r="O319" s="2">
        <v>0</v>
      </c>
    </row>
    <row r="320" spans="1:15" ht="15" customHeight="1" x14ac:dyDescent="0.25">
      <c r="A320" s="3"/>
      <c r="B320" s="3">
        <v>10</v>
      </c>
      <c r="C320" s="3" t="s">
        <v>10</v>
      </c>
      <c r="D320" s="3" t="s">
        <v>19</v>
      </c>
      <c r="E320" s="3">
        <v>0</v>
      </c>
      <c r="F320" s="3">
        <v>0</v>
      </c>
      <c r="G320" s="3" t="s">
        <v>10</v>
      </c>
      <c r="H320" s="3" t="s">
        <v>12</v>
      </c>
      <c r="I320" s="3">
        <v>2</v>
      </c>
      <c r="J320" s="3" t="s">
        <v>14</v>
      </c>
      <c r="K320" s="3" t="s">
        <v>14</v>
      </c>
      <c r="L320" s="3" t="s">
        <v>14</v>
      </c>
      <c r="M320" s="3" t="s">
        <v>14</v>
      </c>
      <c r="N320" s="3" t="s">
        <v>14</v>
      </c>
      <c r="O320" s="3">
        <v>1</v>
      </c>
    </row>
    <row r="321" spans="1:15" ht="15" customHeight="1" x14ac:dyDescent="0.25">
      <c r="A321" s="2"/>
      <c r="B321" s="2">
        <v>5</v>
      </c>
      <c r="C321" s="2" t="s">
        <v>18</v>
      </c>
      <c r="D321" s="2" t="s">
        <v>19</v>
      </c>
      <c r="E321" s="2">
        <v>0</v>
      </c>
      <c r="F321" s="2">
        <v>0</v>
      </c>
      <c r="G321" s="2" t="s">
        <v>10</v>
      </c>
      <c r="H321" s="2" t="s">
        <v>12</v>
      </c>
      <c r="I321" s="2" t="s">
        <v>15</v>
      </c>
      <c r="J321" s="2" t="s">
        <v>14</v>
      </c>
      <c r="K321" s="2" t="s">
        <v>14</v>
      </c>
      <c r="L321" s="2" t="s">
        <v>14</v>
      </c>
      <c r="M321" s="2" t="s">
        <v>14</v>
      </c>
      <c r="N321" s="2" t="s">
        <v>14</v>
      </c>
      <c r="O321" s="2">
        <v>1</v>
      </c>
    </row>
    <row r="322" spans="1:15" ht="15" customHeight="1" x14ac:dyDescent="0.25">
      <c r="A322" s="3"/>
      <c r="B322" s="3">
        <v>10</v>
      </c>
      <c r="C322" s="3" t="s">
        <v>10</v>
      </c>
      <c r="D322" s="3" t="s">
        <v>11</v>
      </c>
      <c r="E322" s="3">
        <v>0</v>
      </c>
      <c r="F322" s="3">
        <v>1</v>
      </c>
      <c r="G322" s="3" t="s">
        <v>10</v>
      </c>
      <c r="H322" s="3" t="s">
        <v>12</v>
      </c>
      <c r="I322" s="3" t="s">
        <v>15</v>
      </c>
      <c r="J322" s="3" t="s">
        <v>14</v>
      </c>
      <c r="K322" s="3" t="s">
        <v>14</v>
      </c>
      <c r="L322" s="3" t="s">
        <v>14</v>
      </c>
      <c r="M322" s="3" t="s">
        <v>14</v>
      </c>
      <c r="N322" s="3" t="s">
        <v>14</v>
      </c>
      <c r="O322" s="3">
        <v>1</v>
      </c>
    </row>
    <row r="323" spans="1:15" ht="15" customHeight="1" x14ac:dyDescent="0.25">
      <c r="A323" s="2"/>
      <c r="B323" s="2">
        <v>0</v>
      </c>
      <c r="C323" s="2" t="s">
        <v>18</v>
      </c>
      <c r="D323" s="2" t="s">
        <v>11</v>
      </c>
      <c r="E323" s="2">
        <v>1</v>
      </c>
      <c r="F323" s="2">
        <v>0</v>
      </c>
      <c r="G323" s="2" t="s">
        <v>10</v>
      </c>
      <c r="H323" s="2" t="s">
        <v>12</v>
      </c>
      <c r="I323" s="2">
        <v>2</v>
      </c>
      <c r="J323" s="2" t="s">
        <v>14</v>
      </c>
      <c r="K323" s="2" t="s">
        <v>14</v>
      </c>
      <c r="L323" s="2" t="s">
        <v>14</v>
      </c>
      <c r="M323" s="2" t="s">
        <v>13</v>
      </c>
      <c r="N323" s="2" t="s">
        <v>14</v>
      </c>
      <c r="O323" s="2">
        <v>1</v>
      </c>
    </row>
    <row r="324" spans="1:15" ht="15" customHeight="1" x14ac:dyDescent="0.25">
      <c r="A324" s="3"/>
      <c r="B324" s="3">
        <v>0</v>
      </c>
      <c r="C324" s="3" t="s">
        <v>10</v>
      </c>
      <c r="D324" s="3" t="s">
        <v>20</v>
      </c>
      <c r="E324" s="3">
        <v>0</v>
      </c>
      <c r="F324" s="3">
        <v>0</v>
      </c>
      <c r="G324" s="3" t="s">
        <v>17</v>
      </c>
      <c r="H324" s="3" t="s">
        <v>108</v>
      </c>
      <c r="I324" s="3">
        <v>1</v>
      </c>
      <c r="J324" s="3" t="s">
        <v>14</v>
      </c>
      <c r="K324" s="3" t="s">
        <v>13</v>
      </c>
      <c r="L324" s="3" t="s">
        <v>13</v>
      </c>
      <c r="M324" s="3" t="s">
        <v>13</v>
      </c>
      <c r="N324" s="3" t="s">
        <v>14</v>
      </c>
      <c r="O324" s="3">
        <v>1</v>
      </c>
    </row>
    <row r="325" spans="1:15" ht="15" customHeight="1" x14ac:dyDescent="0.25">
      <c r="A325" s="2"/>
      <c r="B325" s="2">
        <v>0</v>
      </c>
      <c r="C325" s="2" t="s">
        <v>10</v>
      </c>
      <c r="D325" s="2" t="s">
        <v>20</v>
      </c>
      <c r="E325" s="2">
        <v>0</v>
      </c>
      <c r="F325" s="2">
        <v>2</v>
      </c>
      <c r="G325" s="2" t="s">
        <v>17</v>
      </c>
      <c r="H325" s="2" t="s">
        <v>108</v>
      </c>
      <c r="I325" s="2">
        <v>1</v>
      </c>
      <c r="J325" s="2" t="s">
        <v>14</v>
      </c>
      <c r="K325" s="2" t="s">
        <v>13</v>
      </c>
      <c r="L325" s="2" t="s">
        <v>13</v>
      </c>
      <c r="M325" s="2" t="s">
        <v>13</v>
      </c>
      <c r="N325" s="2" t="s">
        <v>14</v>
      </c>
      <c r="O325" s="2">
        <v>1</v>
      </c>
    </row>
    <row r="326" spans="1:15" ht="15" customHeight="1" x14ac:dyDescent="0.25">
      <c r="A326" s="3"/>
      <c r="B326" s="3">
        <v>10</v>
      </c>
      <c r="C326" s="3" t="s">
        <v>18</v>
      </c>
      <c r="D326" s="3" t="s">
        <v>19</v>
      </c>
      <c r="E326" s="3">
        <v>0</v>
      </c>
      <c r="F326" s="3">
        <v>0</v>
      </c>
      <c r="G326" s="3" t="s">
        <v>10</v>
      </c>
      <c r="H326" s="3" t="s">
        <v>12</v>
      </c>
      <c r="I326" s="3">
        <v>1</v>
      </c>
      <c r="J326" s="3" t="s">
        <v>14</v>
      </c>
      <c r="K326" s="3" t="s">
        <v>13</v>
      </c>
      <c r="L326" s="3" t="s">
        <v>13</v>
      </c>
      <c r="M326" s="3" t="s">
        <v>14</v>
      </c>
      <c r="N326" s="3" t="s">
        <v>14</v>
      </c>
      <c r="O326" s="3">
        <v>1</v>
      </c>
    </row>
    <row r="327" spans="1:15" ht="15" customHeight="1" x14ac:dyDescent="0.25">
      <c r="A327" s="2"/>
      <c r="B327" s="2">
        <v>30</v>
      </c>
      <c r="C327" s="2" t="s">
        <v>10</v>
      </c>
      <c r="D327" s="2" t="s">
        <v>11</v>
      </c>
      <c r="E327" s="2">
        <v>0</v>
      </c>
      <c r="F327" s="2">
        <v>0</v>
      </c>
      <c r="G327" s="2" t="s">
        <v>10</v>
      </c>
      <c r="H327" s="2" t="s">
        <v>12</v>
      </c>
      <c r="I327" s="2">
        <v>2</v>
      </c>
      <c r="J327" s="2" t="s">
        <v>13</v>
      </c>
      <c r="K327" s="2" t="s">
        <v>14</v>
      </c>
      <c r="L327" s="2" t="s">
        <v>14</v>
      </c>
      <c r="M327" s="2" t="s">
        <v>13</v>
      </c>
      <c r="N327" s="2" t="s">
        <v>14</v>
      </c>
      <c r="O327" s="2">
        <v>1</v>
      </c>
    </row>
    <row r="328" spans="1:15" ht="15" customHeight="1" x14ac:dyDescent="0.25">
      <c r="A328" s="3"/>
      <c r="B328" s="3">
        <v>5</v>
      </c>
      <c r="C328" s="3" t="s">
        <v>10</v>
      </c>
      <c r="D328" s="3" t="s">
        <v>11</v>
      </c>
      <c r="E328" s="3">
        <v>0</v>
      </c>
      <c r="F328" s="3">
        <v>1</v>
      </c>
      <c r="G328" s="3" t="s">
        <v>10</v>
      </c>
      <c r="H328" s="3" t="s">
        <v>12</v>
      </c>
      <c r="I328" s="3">
        <v>2</v>
      </c>
      <c r="J328" s="3" t="s">
        <v>14</v>
      </c>
      <c r="K328" s="3" t="s">
        <v>14</v>
      </c>
      <c r="L328" s="3" t="s">
        <v>14</v>
      </c>
      <c r="M328" s="3" t="s">
        <v>14</v>
      </c>
      <c r="N328" s="3" t="s">
        <v>14</v>
      </c>
      <c r="O328" s="3">
        <v>1</v>
      </c>
    </row>
    <row r="329" spans="1:15" ht="15" customHeight="1" x14ac:dyDescent="0.25">
      <c r="A329" s="2"/>
      <c r="B329" s="2">
        <v>20</v>
      </c>
      <c r="C329" s="2" t="s">
        <v>10</v>
      </c>
      <c r="D329" s="2" t="s">
        <v>19</v>
      </c>
      <c r="E329" s="2">
        <v>0</v>
      </c>
      <c r="F329" s="2">
        <v>0</v>
      </c>
      <c r="G329" s="2" t="s">
        <v>10</v>
      </c>
      <c r="H329" s="2" t="s">
        <v>12</v>
      </c>
      <c r="I329" s="2">
        <v>1</v>
      </c>
      <c r="J329" s="2" t="s">
        <v>14</v>
      </c>
      <c r="K329" s="2" t="s">
        <v>14</v>
      </c>
      <c r="L329" s="2" t="s">
        <v>14</v>
      </c>
      <c r="M329" s="2" t="s">
        <v>13</v>
      </c>
      <c r="N329" s="2" t="s">
        <v>14</v>
      </c>
      <c r="O329" s="2">
        <v>1</v>
      </c>
    </row>
    <row r="330" spans="1:15" ht="15" customHeight="1" x14ac:dyDescent="0.25">
      <c r="A330" s="3"/>
      <c r="B330" s="3">
        <v>5</v>
      </c>
      <c r="C330" s="3" t="s">
        <v>10</v>
      </c>
      <c r="D330" s="3" t="s">
        <v>11</v>
      </c>
      <c r="E330" s="3">
        <v>1</v>
      </c>
      <c r="F330" s="3">
        <v>0</v>
      </c>
      <c r="G330" s="3" t="s">
        <v>17</v>
      </c>
      <c r="H330" s="3" t="s">
        <v>108</v>
      </c>
      <c r="I330" s="3">
        <v>1</v>
      </c>
      <c r="J330" s="3" t="s">
        <v>14</v>
      </c>
      <c r="K330" s="3" t="s">
        <v>13</v>
      </c>
      <c r="L330" s="3" t="s">
        <v>13</v>
      </c>
      <c r="M330" s="3" t="s">
        <v>13</v>
      </c>
      <c r="N330" s="3" t="s">
        <v>14</v>
      </c>
      <c r="O330" s="3">
        <v>0</v>
      </c>
    </row>
    <row r="331" spans="1:15" ht="15" customHeight="1" x14ac:dyDescent="0.25">
      <c r="A331" s="2"/>
      <c r="B331" s="2">
        <v>20</v>
      </c>
      <c r="C331" s="2" t="s">
        <v>14</v>
      </c>
      <c r="D331" s="2" t="s">
        <v>20</v>
      </c>
      <c r="E331" s="2">
        <v>0</v>
      </c>
      <c r="F331" s="2">
        <v>0</v>
      </c>
      <c r="G331" s="2" t="s">
        <v>10</v>
      </c>
      <c r="H331" s="2" t="s">
        <v>12</v>
      </c>
      <c r="I331" s="2">
        <v>1</v>
      </c>
      <c r="J331" s="2" t="s">
        <v>14</v>
      </c>
      <c r="K331" s="2" t="s">
        <v>14</v>
      </c>
      <c r="L331" s="2" t="s">
        <v>14</v>
      </c>
      <c r="M331" s="2" t="s">
        <v>13</v>
      </c>
      <c r="N331" s="2" t="s">
        <v>14</v>
      </c>
      <c r="O331" s="2">
        <v>0</v>
      </c>
    </row>
    <row r="332" spans="1:15" ht="15" customHeight="1" x14ac:dyDescent="0.25">
      <c r="A332" s="3"/>
      <c r="B332" s="3">
        <v>5</v>
      </c>
      <c r="C332" s="3" t="s">
        <v>18</v>
      </c>
      <c r="D332" s="3" t="s">
        <v>19</v>
      </c>
      <c r="E332" s="3">
        <v>0</v>
      </c>
      <c r="F332" s="3">
        <v>0</v>
      </c>
      <c r="G332" s="3" t="s">
        <v>10</v>
      </c>
      <c r="H332" s="3" t="s">
        <v>12</v>
      </c>
      <c r="I332" s="3">
        <v>1</v>
      </c>
      <c r="J332" s="3" t="s">
        <v>14</v>
      </c>
      <c r="K332" s="3" t="s">
        <v>14</v>
      </c>
      <c r="L332" s="3" t="s">
        <v>14</v>
      </c>
      <c r="M332" s="3" t="s">
        <v>14</v>
      </c>
      <c r="N332" s="3" t="s">
        <v>14</v>
      </c>
      <c r="O332" s="3">
        <v>1</v>
      </c>
    </row>
    <row r="333" spans="1:15" ht="15" customHeight="1" x14ac:dyDescent="0.25">
      <c r="A333" s="2"/>
      <c r="B333" s="2">
        <v>20</v>
      </c>
      <c r="C333" s="2" t="s">
        <v>10</v>
      </c>
      <c r="D333" s="2" t="s">
        <v>11</v>
      </c>
      <c r="E333" s="2">
        <v>2</v>
      </c>
      <c r="F333" s="2">
        <v>0</v>
      </c>
      <c r="G333" s="2" t="s">
        <v>10</v>
      </c>
      <c r="H333" s="2" t="s">
        <v>12</v>
      </c>
      <c r="I333" s="2">
        <v>2</v>
      </c>
      <c r="J333" s="2" t="s">
        <v>14</v>
      </c>
      <c r="K333" s="2" t="s">
        <v>14</v>
      </c>
      <c r="L333" s="2" t="s">
        <v>14</v>
      </c>
      <c r="M333" s="2" t="s">
        <v>13</v>
      </c>
      <c r="N333" s="2" t="s">
        <v>13</v>
      </c>
      <c r="O333" s="2">
        <v>0</v>
      </c>
    </row>
    <row r="334" spans="1:15" ht="15" customHeight="1" x14ac:dyDescent="0.25">
      <c r="A334" s="3"/>
      <c r="B334" s="3">
        <v>10</v>
      </c>
      <c r="C334" s="3" t="s">
        <v>10</v>
      </c>
      <c r="D334" s="3" t="s">
        <v>19</v>
      </c>
      <c r="E334" s="3">
        <v>0</v>
      </c>
      <c r="F334" s="3">
        <v>0</v>
      </c>
      <c r="G334" s="3" t="s">
        <v>10</v>
      </c>
      <c r="H334" s="3" t="s">
        <v>12</v>
      </c>
      <c r="I334" s="3">
        <v>2</v>
      </c>
      <c r="J334" s="3" t="s">
        <v>14</v>
      </c>
      <c r="K334" s="3" t="s">
        <v>14</v>
      </c>
      <c r="L334" s="3" t="s">
        <v>14</v>
      </c>
      <c r="M334" s="3" t="s">
        <v>14</v>
      </c>
      <c r="N334" s="3" t="s">
        <v>14</v>
      </c>
      <c r="O334" s="3">
        <v>1</v>
      </c>
    </row>
    <row r="335" spans="1:15" ht="15" customHeight="1" x14ac:dyDescent="0.25">
      <c r="A335" s="2"/>
      <c r="B335" s="2">
        <v>5</v>
      </c>
      <c r="C335" s="2" t="s">
        <v>10</v>
      </c>
      <c r="D335" s="2" t="s">
        <v>19</v>
      </c>
      <c r="E335" s="2">
        <v>0</v>
      </c>
      <c r="F335" s="2">
        <v>1</v>
      </c>
      <c r="G335" s="2" t="s">
        <v>10</v>
      </c>
      <c r="H335" s="2" t="s">
        <v>12</v>
      </c>
      <c r="I335" s="2">
        <v>2</v>
      </c>
      <c r="J335" s="2" t="s">
        <v>14</v>
      </c>
      <c r="K335" s="2" t="s">
        <v>14</v>
      </c>
      <c r="L335" s="2" t="s">
        <v>14</v>
      </c>
      <c r="M335" s="2" t="s">
        <v>14</v>
      </c>
      <c r="N335" s="2" t="s">
        <v>14</v>
      </c>
      <c r="O335" s="2">
        <v>1</v>
      </c>
    </row>
    <row r="336" spans="1:15" ht="15" customHeight="1" x14ac:dyDescent="0.25">
      <c r="A336" s="3"/>
      <c r="B336" s="3">
        <v>0</v>
      </c>
      <c r="C336" s="3" t="s">
        <v>14</v>
      </c>
      <c r="D336" s="3" t="s">
        <v>19</v>
      </c>
      <c r="E336" s="3">
        <v>0</v>
      </c>
      <c r="F336" s="3">
        <v>1</v>
      </c>
      <c r="G336" s="3" t="s">
        <v>10</v>
      </c>
      <c r="H336" s="3" t="s">
        <v>12</v>
      </c>
      <c r="I336" s="3" t="s">
        <v>15</v>
      </c>
      <c r="J336" s="3" t="s">
        <v>14</v>
      </c>
      <c r="K336" s="3" t="s">
        <v>14</v>
      </c>
      <c r="L336" s="3" t="s">
        <v>14</v>
      </c>
      <c r="M336" s="3" t="s">
        <v>14</v>
      </c>
      <c r="N336" s="3" t="s">
        <v>14</v>
      </c>
      <c r="O336" s="3">
        <v>1</v>
      </c>
    </row>
    <row r="337" spans="1:15" ht="15" customHeight="1" x14ac:dyDescent="0.25">
      <c r="A337" s="2"/>
      <c r="B337" s="2">
        <v>0</v>
      </c>
      <c r="C337" s="2" t="s">
        <v>14</v>
      </c>
      <c r="D337" s="2" t="s">
        <v>19</v>
      </c>
      <c r="E337" s="2">
        <v>0</v>
      </c>
      <c r="F337" s="2">
        <v>0</v>
      </c>
      <c r="G337" s="2" t="s">
        <v>10</v>
      </c>
      <c r="H337" s="2" t="s">
        <v>12</v>
      </c>
      <c r="I337" s="2">
        <v>2</v>
      </c>
      <c r="J337" s="2" t="s">
        <v>14</v>
      </c>
      <c r="K337" s="2" t="s">
        <v>14</v>
      </c>
      <c r="L337" s="2" t="s">
        <v>14</v>
      </c>
      <c r="M337" s="2" t="s">
        <v>14</v>
      </c>
      <c r="N337" s="2" t="s">
        <v>14</v>
      </c>
      <c r="O337" s="2">
        <v>1</v>
      </c>
    </row>
    <row r="338" spans="1:15" ht="15" customHeight="1" x14ac:dyDescent="0.25">
      <c r="A338" s="3"/>
      <c r="B338" s="3">
        <v>10</v>
      </c>
      <c r="C338" s="3" t="s">
        <v>18</v>
      </c>
      <c r="D338" s="3" t="s">
        <v>19</v>
      </c>
      <c r="E338" s="3">
        <v>0</v>
      </c>
      <c r="F338" s="3">
        <v>0</v>
      </c>
      <c r="G338" s="3" t="s">
        <v>10</v>
      </c>
      <c r="H338" s="3" t="s">
        <v>12</v>
      </c>
      <c r="I338" s="3" t="s">
        <v>15</v>
      </c>
      <c r="J338" s="3" t="s">
        <v>14</v>
      </c>
      <c r="K338" s="3" t="s">
        <v>14</v>
      </c>
      <c r="L338" s="3" t="s">
        <v>14</v>
      </c>
      <c r="M338" s="3" t="s">
        <v>14</v>
      </c>
      <c r="N338" s="3" t="s">
        <v>14</v>
      </c>
      <c r="O338" s="3">
        <v>1</v>
      </c>
    </row>
    <row r="339" spans="1:15" ht="15" customHeight="1" x14ac:dyDescent="0.25">
      <c r="A339" s="2"/>
      <c r="B339" s="2">
        <v>10</v>
      </c>
      <c r="C339" s="2" t="s">
        <v>18</v>
      </c>
      <c r="D339" s="2" t="s">
        <v>20</v>
      </c>
      <c r="E339" s="2">
        <v>0</v>
      </c>
      <c r="F339" s="2">
        <v>0</v>
      </c>
      <c r="G339" s="2" t="s">
        <v>10</v>
      </c>
      <c r="H339" s="2" t="s">
        <v>12</v>
      </c>
      <c r="I339" s="2">
        <v>2</v>
      </c>
      <c r="J339" s="2" t="s">
        <v>14</v>
      </c>
      <c r="K339" s="2" t="s">
        <v>14</v>
      </c>
      <c r="L339" s="2" t="s">
        <v>14</v>
      </c>
      <c r="M339" s="2" t="s">
        <v>14</v>
      </c>
      <c r="N339" s="2" t="s">
        <v>14</v>
      </c>
      <c r="O339" s="2">
        <v>1</v>
      </c>
    </row>
    <row r="340" spans="1:15" ht="15" customHeight="1" x14ac:dyDescent="0.25">
      <c r="A340" s="3"/>
      <c r="B340" s="3">
        <v>10</v>
      </c>
      <c r="C340" s="3" t="s">
        <v>10</v>
      </c>
      <c r="D340" s="3" t="s">
        <v>20</v>
      </c>
      <c r="E340" s="3">
        <v>0</v>
      </c>
      <c r="F340" s="3">
        <v>0</v>
      </c>
      <c r="G340" s="3" t="s">
        <v>10</v>
      </c>
      <c r="H340" s="3" t="s">
        <v>12</v>
      </c>
      <c r="I340" s="3">
        <v>2</v>
      </c>
      <c r="J340" s="3" t="s">
        <v>14</v>
      </c>
      <c r="K340" s="3" t="s">
        <v>14</v>
      </c>
      <c r="L340" s="3" t="s">
        <v>14</v>
      </c>
      <c r="M340" s="3" t="s">
        <v>14</v>
      </c>
      <c r="N340" s="3" t="s">
        <v>14</v>
      </c>
      <c r="O340" s="3">
        <v>1</v>
      </c>
    </row>
    <row r="341" spans="1:15" ht="15" customHeight="1" x14ac:dyDescent="0.25">
      <c r="A341" s="2"/>
      <c r="B341" s="2">
        <v>30</v>
      </c>
      <c r="C341" s="2" t="s">
        <v>10</v>
      </c>
      <c r="D341" s="2" t="s">
        <v>19</v>
      </c>
      <c r="E341" s="2">
        <v>1</v>
      </c>
      <c r="F341" s="2">
        <v>0</v>
      </c>
      <c r="G341" s="2" t="s">
        <v>10</v>
      </c>
      <c r="H341" s="2" t="s">
        <v>12</v>
      </c>
      <c r="I341" s="2" t="s">
        <v>15</v>
      </c>
      <c r="J341" s="2" t="s">
        <v>14</v>
      </c>
      <c r="K341" s="2" t="s">
        <v>14</v>
      </c>
      <c r="L341" s="2" t="s">
        <v>14</v>
      </c>
      <c r="M341" s="2" t="s">
        <v>13</v>
      </c>
      <c r="N341" s="2" t="s">
        <v>14</v>
      </c>
      <c r="O341" s="2">
        <v>0</v>
      </c>
    </row>
    <row r="342" spans="1:15" ht="15" customHeight="1" x14ac:dyDescent="0.25">
      <c r="A342" s="3"/>
      <c r="B342" s="3">
        <v>0</v>
      </c>
      <c r="C342" s="3" t="s">
        <v>10</v>
      </c>
      <c r="D342" s="3" t="s">
        <v>19</v>
      </c>
      <c r="E342" s="3">
        <v>0</v>
      </c>
      <c r="F342" s="3">
        <v>1</v>
      </c>
      <c r="G342" s="3" t="s">
        <v>10</v>
      </c>
      <c r="H342" s="3" t="s">
        <v>12</v>
      </c>
      <c r="I342" s="3">
        <v>2</v>
      </c>
      <c r="J342" s="3" t="s">
        <v>14</v>
      </c>
      <c r="K342" s="3" t="s">
        <v>13</v>
      </c>
      <c r="L342" s="3" t="s">
        <v>14</v>
      </c>
      <c r="M342" s="3" t="s">
        <v>14</v>
      </c>
      <c r="N342" s="3" t="s">
        <v>14</v>
      </c>
      <c r="O342" s="3">
        <v>1</v>
      </c>
    </row>
    <row r="343" spans="1:15" ht="15" customHeight="1" x14ac:dyDescent="0.25">
      <c r="A343" s="2"/>
      <c r="B343" s="2">
        <v>10</v>
      </c>
      <c r="C343" s="2" t="s">
        <v>10</v>
      </c>
      <c r="D343" s="2" t="s">
        <v>11</v>
      </c>
      <c r="E343" s="2">
        <v>1</v>
      </c>
      <c r="F343" s="2">
        <v>0</v>
      </c>
      <c r="G343" s="2" t="s">
        <v>10</v>
      </c>
      <c r="H343" s="2" t="s">
        <v>12</v>
      </c>
      <c r="I343" s="2">
        <v>2</v>
      </c>
      <c r="J343" s="2" t="s">
        <v>14</v>
      </c>
      <c r="K343" s="2" t="s">
        <v>14</v>
      </c>
      <c r="L343" s="2" t="s">
        <v>14</v>
      </c>
      <c r="M343" s="2" t="s">
        <v>14</v>
      </c>
      <c r="N343" s="2" t="s">
        <v>14</v>
      </c>
      <c r="O343" s="2">
        <v>1</v>
      </c>
    </row>
    <row r="344" spans="1:15" ht="15" customHeight="1" x14ac:dyDescent="0.25">
      <c r="A344" s="3"/>
      <c r="B344" s="3">
        <v>10</v>
      </c>
      <c r="C344" s="3" t="s">
        <v>14</v>
      </c>
      <c r="D344" s="3" t="s">
        <v>19</v>
      </c>
      <c r="E344" s="3">
        <v>0</v>
      </c>
      <c r="F344" s="3">
        <v>1</v>
      </c>
      <c r="G344" s="3" t="s">
        <v>10</v>
      </c>
      <c r="H344" s="3" t="s">
        <v>12</v>
      </c>
      <c r="I344" s="3">
        <v>2</v>
      </c>
      <c r="J344" s="3" t="s">
        <v>14</v>
      </c>
      <c r="K344" s="3" t="s">
        <v>14</v>
      </c>
      <c r="L344" s="3" t="s">
        <v>14</v>
      </c>
      <c r="M344" s="3" t="s">
        <v>14</v>
      </c>
      <c r="N344" s="3" t="s">
        <v>14</v>
      </c>
      <c r="O344" s="3">
        <v>1</v>
      </c>
    </row>
    <row r="345" spans="1:15" ht="15" customHeight="1" x14ac:dyDescent="0.25">
      <c r="A345" s="2"/>
      <c r="B345" s="2">
        <v>5</v>
      </c>
      <c r="C345" s="2" t="s">
        <v>18</v>
      </c>
      <c r="D345" s="2" t="s">
        <v>19</v>
      </c>
      <c r="E345" s="2">
        <v>0</v>
      </c>
      <c r="F345" s="2">
        <v>0</v>
      </c>
      <c r="G345" s="2" t="s">
        <v>10</v>
      </c>
      <c r="H345" s="2" t="s">
        <v>12</v>
      </c>
      <c r="I345" s="2" t="s">
        <v>15</v>
      </c>
      <c r="J345" s="3" t="s">
        <v>14</v>
      </c>
      <c r="K345" s="3" t="s">
        <v>14</v>
      </c>
      <c r="L345" s="3" t="s">
        <v>14</v>
      </c>
      <c r="M345" s="3" t="s">
        <v>14</v>
      </c>
      <c r="N345" s="3" t="s">
        <v>14</v>
      </c>
      <c r="O345" s="2">
        <v>1</v>
      </c>
    </row>
    <row r="346" spans="1:15" ht="15" customHeight="1" x14ac:dyDescent="0.25">
      <c r="A346" s="3"/>
      <c r="B346" s="3">
        <v>5</v>
      </c>
      <c r="C346" s="3" t="s">
        <v>14</v>
      </c>
      <c r="D346" s="3" t="s">
        <v>19</v>
      </c>
      <c r="E346" s="3">
        <v>0</v>
      </c>
      <c r="F346" s="3">
        <v>0</v>
      </c>
      <c r="G346" s="3" t="s">
        <v>10</v>
      </c>
      <c r="H346" s="3" t="s">
        <v>12</v>
      </c>
      <c r="I346" s="3" t="s">
        <v>15</v>
      </c>
      <c r="J346" s="3" t="s">
        <v>14</v>
      </c>
      <c r="K346" s="3" t="s">
        <v>14</v>
      </c>
      <c r="L346" s="3" t="s">
        <v>14</v>
      </c>
      <c r="M346" s="3" t="s">
        <v>14</v>
      </c>
      <c r="N346" s="3" t="s">
        <v>14</v>
      </c>
      <c r="O346" s="3">
        <v>1</v>
      </c>
    </row>
    <row r="347" spans="1:15" ht="15" customHeight="1" x14ac:dyDescent="0.25">
      <c r="A347" s="2"/>
      <c r="B347" s="2">
        <v>5</v>
      </c>
      <c r="C347" s="2" t="s">
        <v>14</v>
      </c>
      <c r="D347" s="2" t="s">
        <v>19</v>
      </c>
      <c r="E347" s="2">
        <v>0</v>
      </c>
      <c r="F347" s="2">
        <v>0</v>
      </c>
      <c r="G347" s="2" t="s">
        <v>10</v>
      </c>
      <c r="H347" s="2" t="s">
        <v>12</v>
      </c>
      <c r="I347" s="2" t="s">
        <v>15</v>
      </c>
      <c r="J347" s="3" t="s">
        <v>14</v>
      </c>
      <c r="K347" s="3" t="s">
        <v>14</v>
      </c>
      <c r="L347" s="3" t="s">
        <v>14</v>
      </c>
      <c r="M347" s="3" t="s">
        <v>14</v>
      </c>
      <c r="N347" s="3" t="s">
        <v>14</v>
      </c>
      <c r="O347" s="2">
        <v>1</v>
      </c>
    </row>
    <row r="348" spans="1:15" ht="15" customHeight="1" x14ac:dyDescent="0.25">
      <c r="A348" s="3"/>
      <c r="B348" s="3">
        <v>5</v>
      </c>
      <c r="C348" s="3" t="s">
        <v>10</v>
      </c>
      <c r="D348" s="3" t="s">
        <v>11</v>
      </c>
      <c r="E348" s="3">
        <v>0</v>
      </c>
      <c r="F348" s="3">
        <v>0</v>
      </c>
      <c r="G348" s="3" t="s">
        <v>10</v>
      </c>
      <c r="H348" s="3" t="s">
        <v>12</v>
      </c>
      <c r="I348" s="3" t="s">
        <v>15</v>
      </c>
      <c r="J348" s="3" t="s">
        <v>14</v>
      </c>
      <c r="K348" s="3" t="s">
        <v>14</v>
      </c>
      <c r="L348" s="3" t="s">
        <v>14</v>
      </c>
      <c r="M348" s="3" t="s">
        <v>14</v>
      </c>
      <c r="N348" s="3" t="s">
        <v>14</v>
      </c>
      <c r="O348" s="3">
        <v>1</v>
      </c>
    </row>
    <row r="349" spans="1:15" ht="15" customHeight="1" x14ac:dyDescent="0.25">
      <c r="A349" s="2"/>
      <c r="B349" s="2">
        <v>5</v>
      </c>
      <c r="C349" s="2" t="s">
        <v>18</v>
      </c>
      <c r="D349" s="2" t="s">
        <v>19</v>
      </c>
      <c r="E349" s="2">
        <v>0</v>
      </c>
      <c r="F349" s="2">
        <v>0</v>
      </c>
      <c r="G349" s="2" t="s">
        <v>10</v>
      </c>
      <c r="H349" s="2" t="s">
        <v>12</v>
      </c>
      <c r="I349" s="2">
        <v>1</v>
      </c>
      <c r="J349" s="2" t="s">
        <v>14</v>
      </c>
      <c r="K349" s="2" t="s">
        <v>14</v>
      </c>
      <c r="L349" s="2" t="s">
        <v>14</v>
      </c>
      <c r="M349" s="2" t="s">
        <v>14</v>
      </c>
      <c r="N349" s="2" t="s">
        <v>14</v>
      </c>
      <c r="O349" s="2">
        <v>1</v>
      </c>
    </row>
    <row r="350" spans="1:15" ht="15" customHeight="1" x14ac:dyDescent="0.25">
      <c r="A350" s="3"/>
      <c r="B350" s="3">
        <v>10</v>
      </c>
      <c r="C350" s="3" t="s">
        <v>10</v>
      </c>
      <c r="D350" s="3" t="s">
        <v>11</v>
      </c>
      <c r="E350" s="3">
        <v>1</v>
      </c>
      <c r="F350" s="3">
        <v>0</v>
      </c>
      <c r="G350" s="3" t="s">
        <v>10</v>
      </c>
      <c r="H350" s="3" t="s">
        <v>12</v>
      </c>
      <c r="I350" s="3">
        <v>2</v>
      </c>
      <c r="J350" s="3" t="s">
        <v>13</v>
      </c>
      <c r="K350" s="3" t="s">
        <v>14</v>
      </c>
      <c r="L350" s="3" t="s">
        <v>14</v>
      </c>
      <c r="M350" s="3" t="s">
        <v>14</v>
      </c>
      <c r="N350" s="3" t="s">
        <v>14</v>
      </c>
      <c r="O350" s="3">
        <v>0</v>
      </c>
    </row>
    <row r="351" spans="1:15" ht="15" customHeight="1" x14ac:dyDescent="0.25">
      <c r="A351" s="2"/>
      <c r="B351" s="2">
        <v>10</v>
      </c>
      <c r="C351" s="2" t="s">
        <v>10</v>
      </c>
      <c r="D351" s="2" t="s">
        <v>19</v>
      </c>
      <c r="E351" s="2">
        <v>0</v>
      </c>
      <c r="F351" s="2">
        <v>0</v>
      </c>
      <c r="G351" s="2" t="s">
        <v>17</v>
      </c>
      <c r="H351" s="2" t="s">
        <v>108</v>
      </c>
      <c r="I351" s="2">
        <v>1</v>
      </c>
      <c r="J351" s="2" t="s">
        <v>14</v>
      </c>
      <c r="K351" s="2" t="s">
        <v>13</v>
      </c>
      <c r="L351" s="2" t="s">
        <v>13</v>
      </c>
      <c r="M351" s="2" t="s">
        <v>13</v>
      </c>
      <c r="N351" s="2" t="s">
        <v>14</v>
      </c>
      <c r="O351" s="2">
        <v>1</v>
      </c>
    </row>
    <row r="352" spans="1:15" ht="15" customHeight="1" x14ac:dyDescent="0.25">
      <c r="A352" s="3"/>
      <c r="B352" s="3">
        <v>5</v>
      </c>
      <c r="C352" s="3" t="s">
        <v>18</v>
      </c>
      <c r="D352" s="3" t="s">
        <v>20</v>
      </c>
      <c r="E352" s="3">
        <v>0</v>
      </c>
      <c r="F352" s="3">
        <v>0</v>
      </c>
      <c r="G352" s="3" t="s">
        <v>10</v>
      </c>
      <c r="H352" s="3" t="s">
        <v>12</v>
      </c>
      <c r="I352" s="3" t="s">
        <v>15</v>
      </c>
      <c r="J352" s="3" t="s">
        <v>14</v>
      </c>
      <c r="K352" s="3" t="s">
        <v>13</v>
      </c>
      <c r="L352" s="3" t="s">
        <v>14</v>
      </c>
      <c r="M352" s="3" t="s">
        <v>14</v>
      </c>
      <c r="N352" s="3" t="s">
        <v>14</v>
      </c>
      <c r="O352" s="3">
        <v>1</v>
      </c>
    </row>
    <row r="353" spans="1:15" ht="15" customHeight="1" x14ac:dyDescent="0.25">
      <c r="A353" s="2"/>
      <c r="B353" s="2">
        <v>10</v>
      </c>
      <c r="C353" s="2" t="s">
        <v>18</v>
      </c>
      <c r="D353" s="2" t="s">
        <v>20</v>
      </c>
      <c r="E353" s="2">
        <v>0</v>
      </c>
      <c r="F353" s="2">
        <v>0</v>
      </c>
      <c r="G353" s="2" t="s">
        <v>10</v>
      </c>
      <c r="H353" s="2" t="s">
        <v>12</v>
      </c>
      <c r="I353" s="2">
        <v>1</v>
      </c>
      <c r="J353" s="2" t="s">
        <v>14</v>
      </c>
      <c r="K353" s="2" t="s">
        <v>14</v>
      </c>
      <c r="L353" s="2" t="s">
        <v>14</v>
      </c>
      <c r="M353" s="2" t="s">
        <v>14</v>
      </c>
      <c r="N353" s="2" t="s">
        <v>14</v>
      </c>
      <c r="O353" s="2">
        <v>1</v>
      </c>
    </row>
    <row r="354" spans="1:15" ht="15" customHeight="1" x14ac:dyDescent="0.25">
      <c r="A354" s="3"/>
      <c r="B354" s="3">
        <v>10</v>
      </c>
      <c r="C354" s="3" t="s">
        <v>14</v>
      </c>
      <c r="D354" s="3" t="s">
        <v>20</v>
      </c>
      <c r="E354" s="3">
        <v>0</v>
      </c>
      <c r="F354" s="3">
        <v>0</v>
      </c>
      <c r="G354" s="3" t="s">
        <v>10</v>
      </c>
      <c r="H354" s="3" t="s">
        <v>12</v>
      </c>
      <c r="I354" s="3">
        <v>2</v>
      </c>
      <c r="J354" s="3" t="s">
        <v>14</v>
      </c>
      <c r="K354" s="3" t="s">
        <v>14</v>
      </c>
      <c r="L354" s="3" t="s">
        <v>14</v>
      </c>
      <c r="M354" s="3" t="s">
        <v>14</v>
      </c>
      <c r="N354" s="3" t="s">
        <v>14</v>
      </c>
      <c r="O354" s="3">
        <v>1</v>
      </c>
    </row>
    <row r="355" spans="1:15" ht="15" customHeight="1" x14ac:dyDescent="0.25">
      <c r="A355" s="2"/>
      <c r="B355" s="2">
        <v>10</v>
      </c>
      <c r="C355" s="2" t="s">
        <v>10</v>
      </c>
      <c r="D355" s="2" t="s">
        <v>19</v>
      </c>
      <c r="E355" s="2">
        <v>0</v>
      </c>
      <c r="F355" s="2">
        <v>0</v>
      </c>
      <c r="G355" s="2" t="s">
        <v>10</v>
      </c>
      <c r="H355" s="2" t="s">
        <v>16</v>
      </c>
      <c r="I355" s="2">
        <v>2</v>
      </c>
      <c r="J355" s="2" t="s">
        <v>14</v>
      </c>
      <c r="K355" s="2" t="s">
        <v>14</v>
      </c>
      <c r="L355" s="2" t="s">
        <v>14</v>
      </c>
      <c r="M355" s="2" t="s">
        <v>14</v>
      </c>
      <c r="N355" s="2" t="s">
        <v>14</v>
      </c>
      <c r="O355" s="2">
        <v>1</v>
      </c>
    </row>
    <row r="356" spans="1:15" ht="15" customHeight="1" x14ac:dyDescent="0.25">
      <c r="A356" s="3"/>
      <c r="B356" s="3">
        <v>5</v>
      </c>
      <c r="C356" s="3" t="s">
        <v>10</v>
      </c>
      <c r="D356" s="3" t="s">
        <v>19</v>
      </c>
      <c r="E356" s="3">
        <v>0</v>
      </c>
      <c r="F356" s="3">
        <v>0</v>
      </c>
      <c r="G356" s="3" t="s">
        <v>10</v>
      </c>
      <c r="H356" s="3" t="s">
        <v>12</v>
      </c>
      <c r="I356" s="3" t="s">
        <v>15</v>
      </c>
      <c r="J356" s="3" t="s">
        <v>14</v>
      </c>
      <c r="K356" s="3" t="s">
        <v>14</v>
      </c>
      <c r="L356" s="3" t="s">
        <v>14</v>
      </c>
      <c r="M356" s="3" t="s">
        <v>14</v>
      </c>
      <c r="N356" s="3" t="s">
        <v>14</v>
      </c>
      <c r="O356" s="3">
        <v>1</v>
      </c>
    </row>
    <row r="357" spans="1:15" ht="15" customHeight="1" x14ac:dyDescent="0.25">
      <c r="A357" s="2"/>
      <c r="B357" s="2">
        <v>10</v>
      </c>
      <c r="C357" s="2" t="s">
        <v>10</v>
      </c>
      <c r="D357" s="2" t="s">
        <v>19</v>
      </c>
      <c r="E357" s="2">
        <v>0</v>
      </c>
      <c r="F357" s="2">
        <v>0</v>
      </c>
      <c r="G357" s="2" t="s">
        <v>10</v>
      </c>
      <c r="H357" s="2" t="s">
        <v>12</v>
      </c>
      <c r="I357" s="2" t="s">
        <v>15</v>
      </c>
      <c r="J357" s="2" t="s">
        <v>13</v>
      </c>
      <c r="K357" s="3" t="s">
        <v>14</v>
      </c>
      <c r="L357" s="3" t="s">
        <v>14</v>
      </c>
      <c r="M357" s="3" t="s">
        <v>14</v>
      </c>
      <c r="N357" s="3" t="s">
        <v>14</v>
      </c>
      <c r="O357" s="2">
        <v>1</v>
      </c>
    </row>
    <row r="358" spans="1:15" ht="15" customHeight="1" x14ac:dyDescent="0.25">
      <c r="A358" s="3"/>
      <c r="B358" s="3">
        <v>10</v>
      </c>
      <c r="C358" s="3" t="s">
        <v>18</v>
      </c>
      <c r="D358" s="3" t="s">
        <v>19</v>
      </c>
      <c r="E358" s="3">
        <v>0</v>
      </c>
      <c r="F358" s="3">
        <v>0</v>
      </c>
      <c r="G358" s="3" t="s">
        <v>10</v>
      </c>
      <c r="H358" s="3" t="s">
        <v>12</v>
      </c>
      <c r="I358" s="3" t="s">
        <v>15</v>
      </c>
      <c r="J358" s="3" t="s">
        <v>14</v>
      </c>
      <c r="K358" s="3" t="s">
        <v>14</v>
      </c>
      <c r="L358" s="3" t="s">
        <v>14</v>
      </c>
      <c r="M358" s="3" t="s">
        <v>14</v>
      </c>
      <c r="N358" s="3" t="s">
        <v>14</v>
      </c>
      <c r="O358" s="3">
        <v>1</v>
      </c>
    </row>
    <row r="359" spans="1:15" ht="15" customHeight="1" x14ac:dyDescent="0.25">
      <c r="A359" s="2"/>
      <c r="B359" s="2">
        <v>10</v>
      </c>
      <c r="C359" s="2" t="s">
        <v>18</v>
      </c>
      <c r="D359" s="2" t="s">
        <v>19</v>
      </c>
      <c r="E359" s="2">
        <v>0</v>
      </c>
      <c r="F359" s="2">
        <v>0</v>
      </c>
      <c r="G359" s="2" t="s">
        <v>10</v>
      </c>
      <c r="H359" s="2" t="s">
        <v>12</v>
      </c>
      <c r="I359" s="2">
        <v>2</v>
      </c>
      <c r="J359" s="3" t="s">
        <v>14</v>
      </c>
      <c r="K359" s="3" t="s">
        <v>14</v>
      </c>
      <c r="L359" s="3" t="s">
        <v>14</v>
      </c>
      <c r="M359" s="3" t="s">
        <v>14</v>
      </c>
      <c r="N359" s="3" t="s">
        <v>14</v>
      </c>
      <c r="O359" s="2">
        <v>1</v>
      </c>
    </row>
    <row r="360" spans="1:15" ht="15" customHeight="1" x14ac:dyDescent="0.25">
      <c r="A360" s="3"/>
      <c r="B360" s="3">
        <v>10</v>
      </c>
      <c r="C360" s="3" t="s">
        <v>14</v>
      </c>
      <c r="D360" s="3" t="s">
        <v>19</v>
      </c>
      <c r="E360" s="3">
        <v>0</v>
      </c>
      <c r="F360" s="3">
        <v>0</v>
      </c>
      <c r="G360" s="3" t="s">
        <v>10</v>
      </c>
      <c r="H360" s="3" t="s">
        <v>12</v>
      </c>
      <c r="I360" s="3">
        <v>2</v>
      </c>
      <c r="J360" s="3" t="s">
        <v>14</v>
      </c>
      <c r="K360" s="3" t="s">
        <v>14</v>
      </c>
      <c r="L360" s="3" t="s">
        <v>14</v>
      </c>
      <c r="M360" s="3" t="s">
        <v>14</v>
      </c>
      <c r="N360" s="3" t="s">
        <v>14</v>
      </c>
      <c r="O360" s="3">
        <v>1</v>
      </c>
    </row>
    <row r="361" spans="1:15" ht="15" customHeight="1" x14ac:dyDescent="0.25">
      <c r="A361" s="2"/>
      <c r="B361" s="2">
        <v>5</v>
      </c>
      <c r="C361" s="2" t="s">
        <v>10</v>
      </c>
      <c r="D361" s="2" t="s">
        <v>19</v>
      </c>
      <c r="E361" s="2">
        <v>0</v>
      </c>
      <c r="F361" s="2">
        <v>0</v>
      </c>
      <c r="G361" s="2" t="s">
        <v>10</v>
      </c>
      <c r="H361" s="2" t="s">
        <v>12</v>
      </c>
      <c r="I361" s="2">
        <v>2</v>
      </c>
      <c r="J361" s="3" t="s">
        <v>14</v>
      </c>
      <c r="K361" s="3" t="s">
        <v>14</v>
      </c>
      <c r="L361" s="3" t="s">
        <v>14</v>
      </c>
      <c r="M361" s="3" t="s">
        <v>14</v>
      </c>
      <c r="N361" s="3" t="s">
        <v>14</v>
      </c>
      <c r="O361" s="2">
        <v>1</v>
      </c>
    </row>
    <row r="362" spans="1:15" ht="15" customHeight="1" x14ac:dyDescent="0.25">
      <c r="A362" s="3"/>
      <c r="B362" s="3">
        <v>5</v>
      </c>
      <c r="C362" s="3" t="s">
        <v>10</v>
      </c>
      <c r="D362" s="3" t="s">
        <v>19</v>
      </c>
      <c r="E362" s="3">
        <v>0</v>
      </c>
      <c r="F362" s="3">
        <v>0</v>
      </c>
      <c r="G362" s="3" t="s">
        <v>10</v>
      </c>
      <c r="H362" s="3" t="s">
        <v>12</v>
      </c>
      <c r="I362" s="3">
        <v>2</v>
      </c>
      <c r="J362" s="3" t="s">
        <v>14</v>
      </c>
      <c r="K362" s="3" t="s">
        <v>14</v>
      </c>
      <c r="L362" s="3" t="s">
        <v>14</v>
      </c>
      <c r="M362" s="3" t="s">
        <v>14</v>
      </c>
      <c r="N362" s="3" t="s">
        <v>14</v>
      </c>
      <c r="O362" s="3">
        <v>0</v>
      </c>
    </row>
    <row r="363" spans="1:15" ht="15" customHeight="1" x14ac:dyDescent="0.25">
      <c r="A363" s="2"/>
      <c r="B363" s="2">
        <v>5</v>
      </c>
      <c r="C363" s="2" t="s">
        <v>18</v>
      </c>
      <c r="D363" s="2" t="s">
        <v>19</v>
      </c>
      <c r="E363" s="2">
        <v>0</v>
      </c>
      <c r="F363" s="2">
        <v>1</v>
      </c>
      <c r="G363" s="2" t="s">
        <v>10</v>
      </c>
      <c r="H363" s="2" t="s">
        <v>16</v>
      </c>
      <c r="I363" s="2" t="s">
        <v>15</v>
      </c>
      <c r="J363" s="3" t="s">
        <v>14</v>
      </c>
      <c r="K363" s="2" t="s">
        <v>13</v>
      </c>
      <c r="L363" s="3" t="s">
        <v>14</v>
      </c>
      <c r="M363" s="3" t="s">
        <v>14</v>
      </c>
      <c r="N363" s="3" t="s">
        <v>14</v>
      </c>
      <c r="O363" s="2">
        <v>1</v>
      </c>
    </row>
    <row r="364" spans="1:15" ht="15" customHeight="1" x14ac:dyDescent="0.25">
      <c r="A364" s="3"/>
      <c r="B364" s="3">
        <v>30</v>
      </c>
      <c r="C364" s="3" t="s">
        <v>10</v>
      </c>
      <c r="D364" s="3" t="s">
        <v>19</v>
      </c>
      <c r="E364" s="3">
        <v>1</v>
      </c>
      <c r="F364" s="3">
        <v>1</v>
      </c>
      <c r="G364" s="3" t="s">
        <v>10</v>
      </c>
      <c r="H364" s="3" t="s">
        <v>12</v>
      </c>
      <c r="I364" s="3">
        <v>1</v>
      </c>
      <c r="J364" s="3" t="s">
        <v>14</v>
      </c>
      <c r="K364" s="3" t="s">
        <v>13</v>
      </c>
      <c r="L364" s="3" t="s">
        <v>13</v>
      </c>
      <c r="M364" s="3" t="s">
        <v>13</v>
      </c>
      <c r="N364" s="3" t="s">
        <v>14</v>
      </c>
      <c r="O364" s="3">
        <v>0</v>
      </c>
    </row>
    <row r="365" spans="1:15" ht="15" customHeight="1" x14ac:dyDescent="0.25">
      <c r="A365" s="2"/>
      <c r="B365" s="2">
        <v>10</v>
      </c>
      <c r="C365" s="2" t="s">
        <v>10</v>
      </c>
      <c r="D365" s="2" t="s">
        <v>19</v>
      </c>
      <c r="E365" s="2">
        <v>1</v>
      </c>
      <c r="F365" s="2">
        <v>0</v>
      </c>
      <c r="G365" s="2" t="s">
        <v>17</v>
      </c>
      <c r="H365" s="2" t="s">
        <v>108</v>
      </c>
      <c r="I365" s="2">
        <v>1</v>
      </c>
      <c r="J365" s="3" t="s">
        <v>14</v>
      </c>
      <c r="K365" s="2" t="s">
        <v>13</v>
      </c>
      <c r="L365" s="2" t="s">
        <v>13</v>
      </c>
      <c r="M365" s="2" t="s">
        <v>13</v>
      </c>
      <c r="N365" s="3" t="s">
        <v>14</v>
      </c>
      <c r="O365" s="2">
        <v>0</v>
      </c>
    </row>
    <row r="366" spans="1:15" ht="15" customHeight="1" x14ac:dyDescent="0.25">
      <c r="A366" s="3"/>
      <c r="B366" s="3">
        <v>0</v>
      </c>
      <c r="C366" s="3" t="s">
        <v>10</v>
      </c>
      <c r="D366" s="3" t="s">
        <v>19</v>
      </c>
      <c r="E366" s="3">
        <v>0</v>
      </c>
      <c r="F366" s="3">
        <v>1</v>
      </c>
      <c r="G366" s="3" t="s">
        <v>10</v>
      </c>
      <c r="H366" s="3" t="s">
        <v>12</v>
      </c>
      <c r="I366" s="3" t="s">
        <v>15</v>
      </c>
      <c r="J366" s="3" t="s">
        <v>14</v>
      </c>
      <c r="K366" s="3" t="s">
        <v>14</v>
      </c>
      <c r="L366" s="3" t="s">
        <v>14</v>
      </c>
      <c r="M366" s="3" t="s">
        <v>14</v>
      </c>
      <c r="N366" s="3" t="s">
        <v>14</v>
      </c>
      <c r="O366" s="3">
        <v>1</v>
      </c>
    </row>
    <row r="367" spans="1:15" ht="15" customHeight="1" x14ac:dyDescent="0.25">
      <c r="A367" s="2"/>
      <c r="B367" s="2">
        <v>5</v>
      </c>
      <c r="C367" s="2" t="s">
        <v>10</v>
      </c>
      <c r="D367" s="2" t="s">
        <v>19</v>
      </c>
      <c r="E367" s="2">
        <v>0</v>
      </c>
      <c r="F367" s="2">
        <v>0</v>
      </c>
      <c r="G367" s="2" t="s">
        <v>10</v>
      </c>
      <c r="H367" s="2" t="s">
        <v>12</v>
      </c>
      <c r="I367" s="2">
        <v>1</v>
      </c>
      <c r="J367" s="3" t="s">
        <v>14</v>
      </c>
      <c r="K367" s="3" t="s">
        <v>14</v>
      </c>
      <c r="L367" s="3" t="s">
        <v>14</v>
      </c>
      <c r="M367" s="3" t="s">
        <v>14</v>
      </c>
      <c r="N367" s="3" t="s">
        <v>14</v>
      </c>
      <c r="O367" s="2">
        <v>1</v>
      </c>
    </row>
    <row r="368" spans="1:15" ht="15" customHeight="1" x14ac:dyDescent="0.25">
      <c r="A368" s="3"/>
      <c r="B368" s="3">
        <v>10</v>
      </c>
      <c r="C368" s="3" t="s">
        <v>18</v>
      </c>
      <c r="D368" s="3" t="s">
        <v>19</v>
      </c>
      <c r="E368" s="3">
        <v>0</v>
      </c>
      <c r="F368" s="3">
        <v>0</v>
      </c>
      <c r="G368" s="3" t="s">
        <v>10</v>
      </c>
      <c r="H368" s="3" t="s">
        <v>12</v>
      </c>
      <c r="I368" s="3">
        <v>2</v>
      </c>
      <c r="J368" s="3" t="s">
        <v>14</v>
      </c>
      <c r="K368" s="3" t="s">
        <v>14</v>
      </c>
      <c r="L368" s="3" t="s">
        <v>14</v>
      </c>
      <c r="M368" s="3" t="s">
        <v>14</v>
      </c>
      <c r="N368" s="3" t="s">
        <v>14</v>
      </c>
      <c r="O368" s="3">
        <v>1</v>
      </c>
    </row>
    <row r="369" spans="1:15" ht="15" customHeight="1" x14ac:dyDescent="0.25">
      <c r="A369" s="2"/>
      <c r="B369" s="2">
        <v>5</v>
      </c>
      <c r="C369" s="2" t="s">
        <v>14</v>
      </c>
      <c r="D369" s="2" t="s">
        <v>19</v>
      </c>
      <c r="E369" s="2">
        <v>0</v>
      </c>
      <c r="F369" s="2">
        <v>0</v>
      </c>
      <c r="G369" s="2" t="s">
        <v>10</v>
      </c>
      <c r="H369" s="2" t="s">
        <v>12</v>
      </c>
      <c r="I369" s="2" t="s">
        <v>15</v>
      </c>
      <c r="J369" s="3" t="s">
        <v>14</v>
      </c>
      <c r="K369" s="3" t="s">
        <v>14</v>
      </c>
      <c r="L369" s="3" t="s">
        <v>14</v>
      </c>
      <c r="M369" s="3" t="s">
        <v>14</v>
      </c>
      <c r="N369" s="3" t="s">
        <v>14</v>
      </c>
      <c r="O369" s="2">
        <v>1</v>
      </c>
    </row>
    <row r="370" spans="1:15" ht="15" customHeight="1" x14ac:dyDescent="0.25">
      <c r="A370" s="3"/>
      <c r="B370" s="3">
        <v>5</v>
      </c>
      <c r="C370" s="3" t="s">
        <v>14</v>
      </c>
      <c r="D370" s="3" t="s">
        <v>19</v>
      </c>
      <c r="E370" s="3">
        <v>0</v>
      </c>
      <c r="F370" s="3">
        <v>0</v>
      </c>
      <c r="G370" s="3" t="s">
        <v>10</v>
      </c>
      <c r="H370" s="3" t="s">
        <v>16</v>
      </c>
      <c r="I370" s="3">
        <v>2</v>
      </c>
      <c r="J370" s="3" t="s">
        <v>14</v>
      </c>
      <c r="K370" s="3" t="s">
        <v>14</v>
      </c>
      <c r="L370" s="3" t="s">
        <v>14</v>
      </c>
      <c r="M370" s="3" t="s">
        <v>14</v>
      </c>
      <c r="N370" s="3" t="s">
        <v>14</v>
      </c>
      <c r="O370" s="3">
        <v>1</v>
      </c>
    </row>
    <row r="371" spans="1:15" ht="15" customHeight="1" x14ac:dyDescent="0.25">
      <c r="A371" s="2"/>
      <c r="B371" s="2">
        <v>10</v>
      </c>
      <c r="C371" s="2" t="s">
        <v>18</v>
      </c>
      <c r="D371" s="2" t="s">
        <v>19</v>
      </c>
      <c r="E371" s="2">
        <v>0</v>
      </c>
      <c r="F371" s="2">
        <v>0</v>
      </c>
      <c r="G371" s="2" t="s">
        <v>10</v>
      </c>
      <c r="H371" s="2" t="s">
        <v>12</v>
      </c>
      <c r="I371" s="2">
        <v>1</v>
      </c>
      <c r="J371" s="3" t="s">
        <v>14</v>
      </c>
      <c r="K371" s="3" t="s">
        <v>14</v>
      </c>
      <c r="L371" s="3" t="s">
        <v>14</v>
      </c>
      <c r="M371" s="3" t="s">
        <v>14</v>
      </c>
      <c r="N371" s="3" t="s">
        <v>14</v>
      </c>
      <c r="O371" s="2">
        <v>1</v>
      </c>
    </row>
    <row r="372" spans="1:15" ht="15" customHeight="1" x14ac:dyDescent="0.25">
      <c r="A372" s="3"/>
      <c r="B372" s="3">
        <v>5</v>
      </c>
      <c r="C372" s="3" t="s">
        <v>10</v>
      </c>
      <c r="D372" s="3" t="s">
        <v>19</v>
      </c>
      <c r="E372" s="3">
        <v>0</v>
      </c>
      <c r="F372" s="3">
        <v>0</v>
      </c>
      <c r="G372" s="3" t="s">
        <v>10</v>
      </c>
      <c r="H372" s="3" t="s">
        <v>12</v>
      </c>
      <c r="I372" s="3">
        <v>2</v>
      </c>
      <c r="J372" s="3" t="s">
        <v>14</v>
      </c>
      <c r="K372" s="3" t="s">
        <v>14</v>
      </c>
      <c r="L372" s="3" t="s">
        <v>14</v>
      </c>
      <c r="M372" s="3" t="s">
        <v>14</v>
      </c>
      <c r="N372" s="3" t="s">
        <v>14</v>
      </c>
      <c r="O372" s="3">
        <v>1</v>
      </c>
    </row>
    <row r="373" spans="1:15" ht="15" customHeight="1" x14ac:dyDescent="0.25">
      <c r="A373" s="2"/>
      <c r="B373" s="2">
        <v>10</v>
      </c>
      <c r="C373" s="2" t="s">
        <v>10</v>
      </c>
      <c r="D373" s="2" t="s">
        <v>11</v>
      </c>
      <c r="E373" s="2">
        <v>0</v>
      </c>
      <c r="F373" s="2">
        <v>1</v>
      </c>
      <c r="G373" s="2" t="s">
        <v>10</v>
      </c>
      <c r="H373" s="2" t="s">
        <v>12</v>
      </c>
      <c r="I373" s="2" t="s">
        <v>15</v>
      </c>
      <c r="J373" s="3" t="s">
        <v>14</v>
      </c>
      <c r="K373" s="3" t="s">
        <v>14</v>
      </c>
      <c r="L373" s="3" t="s">
        <v>14</v>
      </c>
      <c r="M373" s="3" t="s">
        <v>14</v>
      </c>
      <c r="N373" s="2" t="s">
        <v>14</v>
      </c>
      <c r="O373" s="2">
        <v>1</v>
      </c>
    </row>
    <row r="374" spans="1:15" ht="15" customHeight="1" x14ac:dyDescent="0.25">
      <c r="A374" s="3"/>
      <c r="B374" s="3">
        <v>0</v>
      </c>
      <c r="C374" s="3" t="s">
        <v>14</v>
      </c>
      <c r="D374" s="3" t="s">
        <v>11</v>
      </c>
      <c r="E374" s="3">
        <v>1</v>
      </c>
      <c r="F374" s="3">
        <v>0</v>
      </c>
      <c r="G374" s="3" t="s">
        <v>10</v>
      </c>
      <c r="H374" s="3" t="s">
        <v>12</v>
      </c>
      <c r="I374" s="3">
        <v>2</v>
      </c>
      <c r="J374" s="3" t="s">
        <v>14</v>
      </c>
      <c r="K374" s="3" t="s">
        <v>13</v>
      </c>
      <c r="L374" s="3" t="s">
        <v>14</v>
      </c>
      <c r="M374" s="3" t="s">
        <v>14</v>
      </c>
      <c r="N374" s="3" t="s">
        <v>14</v>
      </c>
      <c r="O374" s="3">
        <v>1</v>
      </c>
    </row>
    <row r="375" spans="1:15" ht="15" customHeight="1" x14ac:dyDescent="0.25">
      <c r="A375" s="2"/>
      <c r="B375" s="2">
        <v>5</v>
      </c>
      <c r="C375" s="2" t="s">
        <v>18</v>
      </c>
      <c r="D375" s="2" t="s">
        <v>20</v>
      </c>
      <c r="E375" s="2">
        <v>0</v>
      </c>
      <c r="F375" s="2">
        <v>0</v>
      </c>
      <c r="G375" s="2" t="s">
        <v>17</v>
      </c>
      <c r="H375" s="2" t="s">
        <v>108</v>
      </c>
      <c r="I375" s="2">
        <v>1</v>
      </c>
      <c r="J375" s="3" t="s">
        <v>14</v>
      </c>
      <c r="K375" s="2" t="s">
        <v>13</v>
      </c>
      <c r="L375" s="2" t="s">
        <v>13</v>
      </c>
      <c r="M375" s="2" t="s">
        <v>13</v>
      </c>
      <c r="N375" s="2" t="s">
        <v>14</v>
      </c>
      <c r="O375" s="2">
        <v>1</v>
      </c>
    </row>
    <row r="376" spans="1:15" ht="15" customHeight="1" x14ac:dyDescent="0.25">
      <c r="A376" s="3"/>
      <c r="B376" s="3">
        <v>5</v>
      </c>
      <c r="C376" s="3" t="s">
        <v>10</v>
      </c>
      <c r="D376" s="3" t="s">
        <v>20</v>
      </c>
      <c r="E376" s="3">
        <v>0</v>
      </c>
      <c r="F376" s="3">
        <v>0</v>
      </c>
      <c r="G376" s="3" t="s">
        <v>10</v>
      </c>
      <c r="H376" s="3" t="s">
        <v>12</v>
      </c>
      <c r="I376" s="3" t="s">
        <v>15</v>
      </c>
      <c r="J376" s="3" t="s">
        <v>14</v>
      </c>
      <c r="K376" s="3" t="s">
        <v>14</v>
      </c>
      <c r="L376" s="3" t="s">
        <v>14</v>
      </c>
      <c r="M376" s="3" t="s">
        <v>14</v>
      </c>
      <c r="N376" s="3" t="s">
        <v>14</v>
      </c>
      <c r="O376" s="3">
        <v>1</v>
      </c>
    </row>
    <row r="377" spans="1:15" ht="15" customHeight="1" x14ac:dyDescent="0.25">
      <c r="A377" s="2"/>
      <c r="B377" s="2">
        <v>10</v>
      </c>
      <c r="C377" s="2" t="s">
        <v>10</v>
      </c>
      <c r="D377" s="2" t="s">
        <v>19</v>
      </c>
      <c r="E377" s="2">
        <v>0</v>
      </c>
      <c r="F377" s="2">
        <v>0</v>
      </c>
      <c r="G377" s="2" t="s">
        <v>10</v>
      </c>
      <c r="H377" s="2" t="s">
        <v>12</v>
      </c>
      <c r="I377" s="2">
        <v>2</v>
      </c>
      <c r="J377" s="3" t="s">
        <v>14</v>
      </c>
      <c r="K377" s="3" t="s">
        <v>14</v>
      </c>
      <c r="L377" s="3" t="s">
        <v>14</v>
      </c>
      <c r="M377" s="3" t="s">
        <v>14</v>
      </c>
      <c r="N377" s="3" t="s">
        <v>14</v>
      </c>
      <c r="O377" s="2">
        <v>1</v>
      </c>
    </row>
    <row r="378" spans="1:15" ht="15" customHeight="1" x14ac:dyDescent="0.25">
      <c r="A378" s="3"/>
      <c r="B378" s="3">
        <v>10</v>
      </c>
      <c r="C378" s="3" t="s">
        <v>18</v>
      </c>
      <c r="D378" s="3" t="s">
        <v>19</v>
      </c>
      <c r="E378" s="3">
        <v>0</v>
      </c>
      <c r="F378" s="3">
        <v>0</v>
      </c>
      <c r="G378" s="3" t="s">
        <v>10</v>
      </c>
      <c r="H378" s="3" t="s">
        <v>12</v>
      </c>
      <c r="I378" s="3" t="s">
        <v>15</v>
      </c>
      <c r="J378" s="3" t="s">
        <v>14</v>
      </c>
      <c r="K378" s="3" t="s">
        <v>14</v>
      </c>
      <c r="L378" s="3" t="s">
        <v>14</v>
      </c>
      <c r="M378" s="3" t="s">
        <v>14</v>
      </c>
      <c r="N378" s="3" t="s">
        <v>14</v>
      </c>
      <c r="O378" s="3">
        <v>1</v>
      </c>
    </row>
    <row r="379" spans="1:15" ht="15" customHeight="1" x14ac:dyDescent="0.25">
      <c r="A379" s="2"/>
      <c r="B379" s="2">
        <v>10</v>
      </c>
      <c r="C379" s="2" t="s">
        <v>14</v>
      </c>
      <c r="D379" s="2" t="s">
        <v>19</v>
      </c>
      <c r="E379" s="2">
        <v>0</v>
      </c>
      <c r="F379" s="2">
        <v>0</v>
      </c>
      <c r="G379" s="2" t="s">
        <v>10</v>
      </c>
      <c r="H379" s="2" t="s">
        <v>12</v>
      </c>
      <c r="I379" s="2">
        <v>2</v>
      </c>
      <c r="J379" s="3" t="s">
        <v>14</v>
      </c>
      <c r="K379" s="3" t="s">
        <v>14</v>
      </c>
      <c r="L379" s="3" t="s">
        <v>14</v>
      </c>
      <c r="M379" s="3" t="s">
        <v>14</v>
      </c>
      <c r="N379" s="3" t="s">
        <v>14</v>
      </c>
      <c r="O379" s="2">
        <v>1</v>
      </c>
    </row>
    <row r="380" spans="1:15" ht="15" customHeight="1" x14ac:dyDescent="0.25">
      <c r="A380" s="3"/>
      <c r="B380" s="3">
        <v>10</v>
      </c>
      <c r="C380" s="3" t="s">
        <v>14</v>
      </c>
      <c r="D380" s="3" t="s">
        <v>19</v>
      </c>
      <c r="E380" s="3">
        <v>0</v>
      </c>
      <c r="F380" s="3">
        <v>0</v>
      </c>
      <c r="G380" s="3" t="s">
        <v>10</v>
      </c>
      <c r="H380" s="3" t="s">
        <v>12</v>
      </c>
      <c r="I380" s="3" t="s">
        <v>15</v>
      </c>
      <c r="J380" s="3" t="s">
        <v>14</v>
      </c>
      <c r="K380" s="3" t="s">
        <v>14</v>
      </c>
      <c r="L380" s="3" t="s">
        <v>14</v>
      </c>
      <c r="M380" s="3" t="s">
        <v>14</v>
      </c>
      <c r="N380" s="3" t="s">
        <v>14</v>
      </c>
      <c r="O380" s="3">
        <v>1</v>
      </c>
    </row>
    <row r="381" spans="1:15" ht="15" customHeight="1" x14ac:dyDescent="0.25">
      <c r="A381" s="2"/>
      <c r="B381" s="2">
        <v>5</v>
      </c>
      <c r="C381" s="2" t="s">
        <v>14</v>
      </c>
      <c r="D381" s="2" t="s">
        <v>19</v>
      </c>
      <c r="E381" s="2">
        <v>0</v>
      </c>
      <c r="F381" s="2">
        <v>0</v>
      </c>
      <c r="G381" s="2" t="s">
        <v>10</v>
      </c>
      <c r="H381" s="2" t="s">
        <v>16</v>
      </c>
      <c r="I381" s="2">
        <v>2</v>
      </c>
      <c r="J381" s="3" t="s">
        <v>14</v>
      </c>
      <c r="K381" s="3" t="s">
        <v>14</v>
      </c>
      <c r="L381" s="3" t="s">
        <v>14</v>
      </c>
      <c r="M381" s="3" t="s">
        <v>14</v>
      </c>
      <c r="N381" s="3" t="s">
        <v>14</v>
      </c>
      <c r="O381" s="2">
        <v>1</v>
      </c>
    </row>
    <row r="382" spans="1:15" ht="15" customHeight="1" x14ac:dyDescent="0.25">
      <c r="A382" s="3"/>
      <c r="B382" s="3">
        <v>10</v>
      </c>
      <c r="C382" s="3" t="s">
        <v>18</v>
      </c>
      <c r="D382" s="3" t="s">
        <v>19</v>
      </c>
      <c r="E382" s="3">
        <v>0</v>
      </c>
      <c r="F382" s="3">
        <v>0</v>
      </c>
      <c r="G382" s="3" t="s">
        <v>10</v>
      </c>
      <c r="H382" s="3" t="s">
        <v>12</v>
      </c>
      <c r="I382" s="3">
        <v>2</v>
      </c>
      <c r="J382" s="3" t="s">
        <v>14</v>
      </c>
      <c r="K382" s="3" t="s">
        <v>14</v>
      </c>
      <c r="L382" s="3" t="s">
        <v>14</v>
      </c>
      <c r="M382" s="3" t="s">
        <v>14</v>
      </c>
      <c r="N382" s="3" t="s">
        <v>14</v>
      </c>
      <c r="O382" s="3">
        <v>1</v>
      </c>
    </row>
    <row r="383" spans="1:15" ht="15" customHeight="1" x14ac:dyDescent="0.25">
      <c r="A383" s="2"/>
      <c r="B383" s="2">
        <v>10</v>
      </c>
      <c r="C383" s="2" t="s">
        <v>14</v>
      </c>
      <c r="D383" s="2" t="s">
        <v>19</v>
      </c>
      <c r="E383" s="2">
        <v>0</v>
      </c>
      <c r="F383" s="2">
        <v>0</v>
      </c>
      <c r="G383" s="2" t="s">
        <v>10</v>
      </c>
      <c r="H383" s="2" t="s">
        <v>12</v>
      </c>
      <c r="I383" s="2">
        <v>2</v>
      </c>
      <c r="J383" s="3" t="s">
        <v>14</v>
      </c>
      <c r="K383" s="3" t="s">
        <v>14</v>
      </c>
      <c r="L383" s="3" t="s">
        <v>14</v>
      </c>
      <c r="M383" s="3" t="s">
        <v>14</v>
      </c>
      <c r="N383" s="3" t="s">
        <v>14</v>
      </c>
      <c r="O383" s="2">
        <v>1</v>
      </c>
    </row>
    <row r="384" spans="1:15" ht="15" customHeight="1" x14ac:dyDescent="0.25">
      <c r="A384" s="3"/>
      <c r="B384" s="3">
        <v>10</v>
      </c>
      <c r="C384" s="3" t="s">
        <v>10</v>
      </c>
      <c r="D384" s="3" t="s">
        <v>19</v>
      </c>
      <c r="E384" s="3">
        <v>0</v>
      </c>
      <c r="F384" s="3">
        <v>0</v>
      </c>
      <c r="G384" s="3" t="s">
        <v>10</v>
      </c>
      <c r="H384" s="3" t="s">
        <v>12</v>
      </c>
      <c r="I384" s="3">
        <v>2</v>
      </c>
      <c r="J384" s="3" t="s">
        <v>14</v>
      </c>
      <c r="K384" s="3" t="s">
        <v>14</v>
      </c>
      <c r="L384" s="3" t="s">
        <v>14</v>
      </c>
      <c r="M384" s="3" t="s">
        <v>14</v>
      </c>
      <c r="N384" s="3" t="s">
        <v>14</v>
      </c>
      <c r="O384" s="3">
        <v>1</v>
      </c>
    </row>
    <row r="385" spans="1:15" ht="15" customHeight="1" x14ac:dyDescent="0.25">
      <c r="A385" s="2"/>
      <c r="B385" s="2">
        <v>5</v>
      </c>
      <c r="C385" s="2" t="s">
        <v>18</v>
      </c>
      <c r="D385" s="2" t="s">
        <v>19</v>
      </c>
      <c r="E385" s="2">
        <v>0</v>
      </c>
      <c r="F385" s="2">
        <v>0</v>
      </c>
      <c r="G385" s="2" t="s">
        <v>10</v>
      </c>
      <c r="H385" s="2" t="s">
        <v>12</v>
      </c>
      <c r="I385" s="2" t="s">
        <v>15</v>
      </c>
      <c r="J385" s="3" t="s">
        <v>14</v>
      </c>
      <c r="K385" s="3" t="s">
        <v>14</v>
      </c>
      <c r="L385" s="3" t="s">
        <v>14</v>
      </c>
      <c r="M385" s="3" t="s">
        <v>14</v>
      </c>
      <c r="N385" s="3" t="s">
        <v>14</v>
      </c>
      <c r="O385" s="2">
        <v>1</v>
      </c>
    </row>
    <row r="386" spans="1:15" ht="15" customHeight="1" x14ac:dyDescent="0.25">
      <c r="A386" s="3"/>
      <c r="B386" s="3">
        <v>10</v>
      </c>
      <c r="C386" s="3" t="s">
        <v>10</v>
      </c>
      <c r="D386" s="3" t="s">
        <v>19</v>
      </c>
      <c r="E386" s="3">
        <v>0</v>
      </c>
      <c r="F386" s="3">
        <v>0</v>
      </c>
      <c r="G386" s="3" t="s">
        <v>10</v>
      </c>
      <c r="H386" s="3" t="s">
        <v>12</v>
      </c>
      <c r="I386" s="3">
        <v>2</v>
      </c>
      <c r="J386" s="3" t="s">
        <v>14</v>
      </c>
      <c r="K386" s="3" t="s">
        <v>14</v>
      </c>
      <c r="L386" s="3" t="s">
        <v>14</v>
      </c>
      <c r="M386" s="3" t="s">
        <v>14</v>
      </c>
      <c r="N386" s="3" t="s">
        <v>14</v>
      </c>
      <c r="O386" s="3">
        <v>1</v>
      </c>
    </row>
    <row r="387" spans="1:15" ht="15" customHeight="1" x14ac:dyDescent="0.25">
      <c r="A387" s="2"/>
      <c r="B387" s="2">
        <v>5</v>
      </c>
      <c r="C387" s="2" t="s">
        <v>10</v>
      </c>
      <c r="D387" s="2" t="s">
        <v>19</v>
      </c>
      <c r="E387" s="2">
        <v>1</v>
      </c>
      <c r="F387" s="2">
        <v>0</v>
      </c>
      <c r="G387" s="2" t="s">
        <v>10</v>
      </c>
      <c r="H387" s="2" t="s">
        <v>12</v>
      </c>
      <c r="I387" s="2">
        <v>2</v>
      </c>
      <c r="J387" s="2" t="s">
        <v>13</v>
      </c>
      <c r="K387" s="3" t="s">
        <v>14</v>
      </c>
      <c r="L387" s="3" t="s">
        <v>14</v>
      </c>
      <c r="M387" s="3" t="s">
        <v>14</v>
      </c>
      <c r="N387" s="3" t="s">
        <v>14</v>
      </c>
      <c r="O387" s="2">
        <v>0</v>
      </c>
    </row>
    <row r="388" spans="1:15" ht="15" customHeight="1" x14ac:dyDescent="0.25">
      <c r="A388" s="3"/>
      <c r="B388" s="3">
        <v>0</v>
      </c>
      <c r="C388" s="3" t="s">
        <v>14</v>
      </c>
      <c r="D388" s="3" t="s">
        <v>19</v>
      </c>
      <c r="E388" s="3">
        <v>0</v>
      </c>
      <c r="F388" s="3">
        <v>0</v>
      </c>
      <c r="G388" s="3" t="s">
        <v>10</v>
      </c>
      <c r="H388" s="3" t="s">
        <v>12</v>
      </c>
      <c r="I388" s="3">
        <v>1</v>
      </c>
      <c r="J388" s="3" t="s">
        <v>14</v>
      </c>
      <c r="K388" s="3" t="s">
        <v>14</v>
      </c>
      <c r="L388" s="3" t="s">
        <v>14</v>
      </c>
      <c r="M388" s="3" t="s">
        <v>14</v>
      </c>
      <c r="N388" s="3" t="s">
        <v>14</v>
      </c>
      <c r="O388" s="3">
        <v>1</v>
      </c>
    </row>
    <row r="389" spans="1:15" ht="15" customHeight="1" x14ac:dyDescent="0.25">
      <c r="A389" s="2"/>
      <c r="B389" s="2">
        <v>0</v>
      </c>
      <c r="C389" s="2" t="s">
        <v>10</v>
      </c>
      <c r="D389" s="2" t="s">
        <v>19</v>
      </c>
      <c r="E389" s="2">
        <v>1</v>
      </c>
      <c r="F389" s="2"/>
      <c r="G389" s="2" t="s">
        <v>10</v>
      </c>
      <c r="H389" s="2" t="s">
        <v>12</v>
      </c>
      <c r="I389" s="2">
        <v>2</v>
      </c>
      <c r="J389" s="3" t="s">
        <v>14</v>
      </c>
      <c r="K389" s="3" t="s">
        <v>14</v>
      </c>
      <c r="L389" s="3" t="s">
        <v>14</v>
      </c>
      <c r="M389" s="3" t="s">
        <v>14</v>
      </c>
      <c r="N389" s="3" t="s">
        <v>14</v>
      </c>
      <c r="O389" s="2">
        <v>1</v>
      </c>
    </row>
    <row r="390" spans="1:15" ht="15" customHeight="1" x14ac:dyDescent="0.25">
      <c r="A390" s="3"/>
      <c r="B390" s="3">
        <v>0</v>
      </c>
      <c r="C390" s="3" t="s">
        <v>14</v>
      </c>
      <c r="D390" s="3" t="s">
        <v>19</v>
      </c>
      <c r="E390" s="3">
        <v>0</v>
      </c>
      <c r="F390" s="3">
        <v>0</v>
      </c>
      <c r="G390" s="3" t="s">
        <v>10</v>
      </c>
      <c r="H390" s="3" t="s">
        <v>16</v>
      </c>
      <c r="I390" s="3" t="s">
        <v>15</v>
      </c>
      <c r="J390" s="3" t="s">
        <v>14</v>
      </c>
      <c r="K390" s="3" t="s">
        <v>14</v>
      </c>
      <c r="L390" s="3" t="s">
        <v>14</v>
      </c>
      <c r="M390" s="3" t="s">
        <v>14</v>
      </c>
      <c r="N390" s="3" t="s">
        <v>14</v>
      </c>
      <c r="O390" s="3">
        <v>1</v>
      </c>
    </row>
    <row r="391" spans="1:15" ht="15" customHeight="1" x14ac:dyDescent="0.25">
      <c r="A391" s="2"/>
      <c r="B391" s="2">
        <v>0</v>
      </c>
      <c r="C391" s="2" t="s">
        <v>10</v>
      </c>
      <c r="D391" s="2" t="s">
        <v>19</v>
      </c>
      <c r="E391" s="2">
        <v>1</v>
      </c>
      <c r="F391" s="2">
        <v>0</v>
      </c>
      <c r="G391" s="2" t="s">
        <v>10</v>
      </c>
      <c r="H391" s="2" t="s">
        <v>16</v>
      </c>
      <c r="I391" s="2">
        <v>1</v>
      </c>
      <c r="J391" s="2" t="s">
        <v>14</v>
      </c>
      <c r="K391" s="3" t="s">
        <v>14</v>
      </c>
      <c r="L391" s="3" t="s">
        <v>14</v>
      </c>
      <c r="M391" s="3" t="s">
        <v>14</v>
      </c>
      <c r="N391" s="3" t="s">
        <v>14</v>
      </c>
      <c r="O391" s="2">
        <v>0</v>
      </c>
    </row>
    <row r="392" spans="1:15" ht="15" customHeight="1" x14ac:dyDescent="0.25">
      <c r="A392" s="3"/>
      <c r="B392" s="3">
        <v>30</v>
      </c>
      <c r="C392" s="3" t="s">
        <v>10</v>
      </c>
      <c r="D392" s="3" t="s">
        <v>11</v>
      </c>
      <c r="E392" s="3">
        <v>0</v>
      </c>
      <c r="F392" s="3">
        <v>0</v>
      </c>
      <c r="G392" s="3" t="s">
        <v>10</v>
      </c>
      <c r="H392" s="3" t="s">
        <v>12</v>
      </c>
      <c r="I392" s="3">
        <v>2</v>
      </c>
      <c r="J392" s="3" t="s">
        <v>13</v>
      </c>
      <c r="K392" s="3" t="s">
        <v>14</v>
      </c>
      <c r="L392" s="3" t="s">
        <v>14</v>
      </c>
      <c r="M392" s="3" t="s">
        <v>13</v>
      </c>
      <c r="N392" s="3" t="s">
        <v>13</v>
      </c>
      <c r="O392" s="3">
        <v>1</v>
      </c>
    </row>
    <row r="393" spans="1:15" ht="15" customHeight="1" x14ac:dyDescent="0.25">
      <c r="A393" s="2"/>
      <c r="B393" s="2">
        <v>10</v>
      </c>
      <c r="C393" s="2" t="s">
        <v>14</v>
      </c>
      <c r="D393" s="2" t="s">
        <v>11</v>
      </c>
      <c r="E393" s="2">
        <v>1</v>
      </c>
      <c r="F393" s="2">
        <v>0</v>
      </c>
      <c r="G393" s="2" t="s">
        <v>10</v>
      </c>
      <c r="H393" s="2" t="s">
        <v>16</v>
      </c>
      <c r="I393" s="2">
        <v>1</v>
      </c>
      <c r="J393" s="3" t="s">
        <v>14</v>
      </c>
      <c r="K393" s="2" t="s">
        <v>13</v>
      </c>
      <c r="L393" s="2" t="s">
        <v>13</v>
      </c>
      <c r="M393" s="2" t="s">
        <v>13</v>
      </c>
      <c r="N393" s="2" t="s">
        <v>13</v>
      </c>
      <c r="O393" s="2">
        <v>0</v>
      </c>
    </row>
    <row r="394" spans="1:15" ht="15" customHeight="1" x14ac:dyDescent="0.25">
      <c r="A394" s="3"/>
      <c r="B394" s="3">
        <v>5</v>
      </c>
      <c r="C394" s="3" t="s">
        <v>10</v>
      </c>
      <c r="D394" s="3" t="s">
        <v>20</v>
      </c>
      <c r="E394" s="3">
        <v>1</v>
      </c>
      <c r="F394" s="3">
        <v>1</v>
      </c>
      <c r="G394" s="3" t="s">
        <v>10</v>
      </c>
      <c r="H394" s="3" t="s">
        <v>12</v>
      </c>
      <c r="I394" s="3">
        <v>1</v>
      </c>
      <c r="J394" s="3" t="s">
        <v>14</v>
      </c>
      <c r="K394" s="3" t="s">
        <v>14</v>
      </c>
      <c r="L394" s="3" t="s">
        <v>13</v>
      </c>
      <c r="M394" s="3" t="s">
        <v>14</v>
      </c>
      <c r="N394" s="3" t="s">
        <v>14</v>
      </c>
      <c r="O394" s="3">
        <v>0</v>
      </c>
    </row>
    <row r="395" spans="1:15" ht="15" customHeight="1" x14ac:dyDescent="0.25">
      <c r="A395" s="2"/>
      <c r="B395" s="2">
        <v>0</v>
      </c>
      <c r="C395" s="2" t="s">
        <v>14</v>
      </c>
      <c r="D395" s="2" t="s">
        <v>19</v>
      </c>
      <c r="E395" s="2">
        <v>1</v>
      </c>
      <c r="F395" s="2">
        <v>1</v>
      </c>
      <c r="G395" s="2" t="s">
        <v>10</v>
      </c>
      <c r="H395" s="2" t="s">
        <v>12</v>
      </c>
      <c r="I395" s="2" t="s">
        <v>15</v>
      </c>
      <c r="J395" s="3" t="s">
        <v>14</v>
      </c>
      <c r="K395" s="3" t="s">
        <v>14</v>
      </c>
      <c r="L395" s="3" t="s">
        <v>14</v>
      </c>
      <c r="M395" s="3" t="s">
        <v>14</v>
      </c>
      <c r="N395" s="3" t="s">
        <v>14</v>
      </c>
      <c r="O395" s="2">
        <v>0</v>
      </c>
    </row>
    <row r="396" spans="1:15" ht="15" customHeight="1" x14ac:dyDescent="0.25">
      <c r="A396" s="3"/>
      <c r="B396" s="3">
        <v>5</v>
      </c>
      <c r="C396" s="3" t="s">
        <v>10</v>
      </c>
      <c r="D396" s="3" t="s">
        <v>11</v>
      </c>
      <c r="E396" s="3">
        <v>1</v>
      </c>
      <c r="F396" s="3">
        <v>1</v>
      </c>
      <c r="G396" s="3" t="s">
        <v>10</v>
      </c>
      <c r="H396" s="3" t="s">
        <v>12</v>
      </c>
      <c r="I396" s="3" t="s">
        <v>15</v>
      </c>
      <c r="J396" s="3" t="s">
        <v>14</v>
      </c>
      <c r="K396" s="3" t="s">
        <v>14</v>
      </c>
      <c r="L396" s="3" t="s">
        <v>14</v>
      </c>
      <c r="M396" s="3" t="s">
        <v>14</v>
      </c>
      <c r="N396" s="3" t="s">
        <v>14</v>
      </c>
      <c r="O396" s="3">
        <v>0</v>
      </c>
    </row>
    <row r="397" spans="1:15" ht="15" customHeight="1" x14ac:dyDescent="0.25">
      <c r="A397" s="2"/>
      <c r="B397" s="2">
        <v>10</v>
      </c>
      <c r="C397" s="2" t="s">
        <v>10</v>
      </c>
      <c r="D397" s="2" t="s">
        <v>11</v>
      </c>
      <c r="E397" s="2">
        <v>0</v>
      </c>
      <c r="F397" s="2">
        <v>2</v>
      </c>
      <c r="G397" s="2" t="s">
        <v>10</v>
      </c>
      <c r="H397" s="2" t="s">
        <v>12</v>
      </c>
      <c r="I397" s="2">
        <v>2</v>
      </c>
      <c r="J397" s="2" t="s">
        <v>13</v>
      </c>
      <c r="K397" s="3" t="s">
        <v>14</v>
      </c>
      <c r="L397" s="3" t="s">
        <v>14</v>
      </c>
      <c r="M397" s="2" t="s">
        <v>13</v>
      </c>
      <c r="N397" s="2" t="s">
        <v>13</v>
      </c>
      <c r="O397" s="2">
        <v>1</v>
      </c>
    </row>
    <row r="398" spans="1:15" ht="15" customHeight="1" x14ac:dyDescent="0.25">
      <c r="A398" s="3"/>
      <c r="B398" s="3">
        <v>5</v>
      </c>
      <c r="C398" s="3" t="s">
        <v>10</v>
      </c>
      <c r="D398" s="3" t="s">
        <v>20</v>
      </c>
      <c r="E398" s="3">
        <v>0</v>
      </c>
      <c r="F398" s="3">
        <v>1</v>
      </c>
      <c r="G398" s="3" t="s">
        <v>10</v>
      </c>
      <c r="H398" s="3" t="s">
        <v>12</v>
      </c>
      <c r="I398" s="3">
        <v>2</v>
      </c>
      <c r="J398" s="3" t="s">
        <v>14</v>
      </c>
      <c r="K398" s="3" t="s">
        <v>14</v>
      </c>
      <c r="L398" s="3" t="s">
        <v>14</v>
      </c>
      <c r="M398" s="3" t="s">
        <v>14</v>
      </c>
      <c r="N398" s="3" t="s">
        <v>14</v>
      </c>
      <c r="O398" s="3">
        <v>1</v>
      </c>
    </row>
    <row r="399" spans="1:15" ht="15" customHeight="1" x14ac:dyDescent="0.25">
      <c r="A399" s="2"/>
      <c r="B399" s="2">
        <v>5</v>
      </c>
      <c r="C399" s="2" t="s">
        <v>18</v>
      </c>
      <c r="D399" s="2" t="s">
        <v>20</v>
      </c>
      <c r="E399" s="2">
        <v>0</v>
      </c>
      <c r="F399" s="2">
        <v>0</v>
      </c>
      <c r="G399" s="2" t="s">
        <v>10</v>
      </c>
      <c r="H399" s="2" t="s">
        <v>12</v>
      </c>
      <c r="I399" s="2">
        <v>1</v>
      </c>
      <c r="J399" s="3" t="s">
        <v>14</v>
      </c>
      <c r="K399" s="3" t="s">
        <v>14</v>
      </c>
      <c r="L399" s="3" t="s">
        <v>14</v>
      </c>
      <c r="M399" s="3" t="s">
        <v>14</v>
      </c>
      <c r="N399" s="3" t="s">
        <v>14</v>
      </c>
      <c r="O399" s="2">
        <v>1</v>
      </c>
    </row>
    <row r="400" spans="1:15" ht="15" customHeight="1" x14ac:dyDescent="0.25">
      <c r="A400" s="3"/>
      <c r="B400" s="3">
        <v>10</v>
      </c>
      <c r="C400" s="3" t="s">
        <v>10</v>
      </c>
      <c r="D400" s="3" t="s">
        <v>19</v>
      </c>
      <c r="E400" s="3">
        <v>0</v>
      </c>
      <c r="F400" s="3">
        <v>1</v>
      </c>
      <c r="G400" s="3" t="s">
        <v>10</v>
      </c>
      <c r="H400" s="3" t="s">
        <v>16</v>
      </c>
      <c r="I400" s="3">
        <v>1</v>
      </c>
      <c r="J400" s="3" t="s">
        <v>14</v>
      </c>
      <c r="K400" s="3" t="s">
        <v>14</v>
      </c>
      <c r="L400" s="3" t="s">
        <v>14</v>
      </c>
      <c r="M400" s="3" t="s">
        <v>13</v>
      </c>
      <c r="N400" s="3" t="s">
        <v>14</v>
      </c>
      <c r="O400" s="3">
        <v>1</v>
      </c>
    </row>
    <row r="401" spans="1:15" ht="15" customHeight="1" x14ac:dyDescent="0.25">
      <c r="A401" s="2"/>
      <c r="B401" s="2">
        <v>0</v>
      </c>
      <c r="C401" s="2" t="s">
        <v>18</v>
      </c>
      <c r="D401" s="2" t="s">
        <v>19</v>
      </c>
      <c r="E401" s="2">
        <v>0</v>
      </c>
      <c r="F401" s="2">
        <v>1</v>
      </c>
      <c r="G401" s="2" t="s">
        <v>10</v>
      </c>
      <c r="H401" s="2" t="s">
        <v>12</v>
      </c>
      <c r="I401" s="2">
        <v>1</v>
      </c>
      <c r="J401" s="3" t="s">
        <v>14</v>
      </c>
      <c r="K401" s="2" t="s">
        <v>13</v>
      </c>
      <c r="L401" s="2" t="s">
        <v>13</v>
      </c>
      <c r="M401" s="2" t="s">
        <v>13</v>
      </c>
      <c r="N401" s="3" t="s">
        <v>14</v>
      </c>
      <c r="O401" s="2">
        <v>1</v>
      </c>
    </row>
    <row r="402" spans="1:15" ht="15" customHeight="1" x14ac:dyDescent="0.25">
      <c r="A402" s="3"/>
      <c r="B402" s="3">
        <v>0</v>
      </c>
      <c r="C402" s="3" t="s">
        <v>10</v>
      </c>
      <c r="D402" s="3" t="s">
        <v>19</v>
      </c>
      <c r="E402" s="3">
        <v>1</v>
      </c>
      <c r="F402" s="3">
        <v>0</v>
      </c>
      <c r="G402" s="3" t="s">
        <v>10</v>
      </c>
      <c r="H402" s="3" t="s">
        <v>12</v>
      </c>
      <c r="I402" s="3">
        <v>1</v>
      </c>
      <c r="J402" s="3" t="s">
        <v>14</v>
      </c>
      <c r="K402" s="3" t="s">
        <v>13</v>
      </c>
      <c r="L402" s="3" t="s">
        <v>13</v>
      </c>
      <c r="M402" s="3" t="s">
        <v>13</v>
      </c>
      <c r="N402" s="3" t="s">
        <v>14</v>
      </c>
      <c r="O402" s="3">
        <v>0</v>
      </c>
    </row>
    <row r="403" spans="1:15" ht="15" customHeight="1" x14ac:dyDescent="0.25">
      <c r="A403" s="2"/>
      <c r="B403" s="2">
        <v>5</v>
      </c>
      <c r="C403" s="2" t="s">
        <v>18</v>
      </c>
      <c r="D403" s="2" t="s">
        <v>11</v>
      </c>
      <c r="E403" s="2">
        <v>0</v>
      </c>
      <c r="F403" s="2">
        <v>1</v>
      </c>
      <c r="G403" s="2" t="s">
        <v>17</v>
      </c>
      <c r="H403" s="2" t="s">
        <v>108</v>
      </c>
      <c r="I403" s="2">
        <v>1</v>
      </c>
      <c r="J403" s="2" t="s">
        <v>14</v>
      </c>
      <c r="K403" s="2" t="s">
        <v>13</v>
      </c>
      <c r="L403" s="2" t="s">
        <v>13</v>
      </c>
      <c r="M403" s="2" t="s">
        <v>13</v>
      </c>
      <c r="N403" s="2" t="s">
        <v>14</v>
      </c>
      <c r="O403" s="2">
        <v>0</v>
      </c>
    </row>
    <row r="404" spans="1:15" ht="15" customHeight="1" x14ac:dyDescent="0.25">
      <c r="A404" s="3"/>
      <c r="B404" s="3">
        <v>20</v>
      </c>
      <c r="C404" s="3" t="s">
        <v>18</v>
      </c>
      <c r="D404" s="3" t="s">
        <v>20</v>
      </c>
      <c r="E404" s="3">
        <v>0</v>
      </c>
      <c r="F404" s="3">
        <v>0</v>
      </c>
      <c r="G404" s="3" t="s">
        <v>10</v>
      </c>
      <c r="H404" s="3" t="s">
        <v>12</v>
      </c>
      <c r="I404" s="3">
        <v>2</v>
      </c>
      <c r="J404" s="3" t="s">
        <v>14</v>
      </c>
      <c r="K404" s="3" t="s">
        <v>13</v>
      </c>
      <c r="L404" s="3" t="s">
        <v>14</v>
      </c>
      <c r="M404" s="3" t="s">
        <v>14</v>
      </c>
      <c r="N404" s="3" t="s">
        <v>14</v>
      </c>
      <c r="O404" s="3">
        <v>1</v>
      </c>
    </row>
    <row r="405" spans="1:15" ht="15" customHeight="1" x14ac:dyDescent="0.25">
      <c r="A405" s="2"/>
      <c r="B405" s="2">
        <v>20</v>
      </c>
      <c r="C405" s="2" t="s">
        <v>10</v>
      </c>
      <c r="D405" s="2" t="s">
        <v>19</v>
      </c>
      <c r="E405" s="2">
        <v>0</v>
      </c>
      <c r="F405" s="2">
        <v>0</v>
      </c>
      <c r="G405" s="2" t="s">
        <v>10</v>
      </c>
      <c r="H405" s="2" t="s">
        <v>12</v>
      </c>
      <c r="I405" s="2">
        <v>2</v>
      </c>
      <c r="J405" s="2" t="s">
        <v>14</v>
      </c>
      <c r="K405" s="2" t="s">
        <v>14</v>
      </c>
      <c r="L405" s="2" t="s">
        <v>14</v>
      </c>
      <c r="M405" s="2" t="s">
        <v>14</v>
      </c>
      <c r="N405" s="2" t="s">
        <v>14</v>
      </c>
      <c r="O405" s="2">
        <v>1</v>
      </c>
    </row>
    <row r="406" spans="1:15" ht="15" customHeight="1" x14ac:dyDescent="0.25">
      <c r="A406" s="3"/>
      <c r="B406" s="3">
        <v>10</v>
      </c>
      <c r="C406" s="3" t="s">
        <v>18</v>
      </c>
      <c r="D406" s="3" t="s">
        <v>20</v>
      </c>
      <c r="E406" s="3">
        <v>0</v>
      </c>
      <c r="F406" s="3">
        <v>0</v>
      </c>
      <c r="G406" s="3" t="s">
        <v>10</v>
      </c>
      <c r="H406" s="3" t="s">
        <v>16</v>
      </c>
      <c r="I406" s="3" t="s">
        <v>15</v>
      </c>
      <c r="J406" s="3" t="s">
        <v>14</v>
      </c>
      <c r="K406" s="3" t="s">
        <v>14</v>
      </c>
      <c r="L406" s="3" t="s">
        <v>14</v>
      </c>
      <c r="M406" s="3" t="s">
        <v>14</v>
      </c>
      <c r="N406" s="3" t="s">
        <v>14</v>
      </c>
      <c r="O406" s="3">
        <v>1</v>
      </c>
    </row>
    <row r="407" spans="1:15" ht="15" customHeight="1" x14ac:dyDescent="0.25">
      <c r="A407" s="2"/>
      <c r="B407" s="2">
        <v>20</v>
      </c>
      <c r="C407" s="2" t="s">
        <v>10</v>
      </c>
      <c r="D407" s="2" t="s">
        <v>19</v>
      </c>
      <c r="E407" s="2">
        <v>0</v>
      </c>
      <c r="F407" s="2">
        <v>1</v>
      </c>
      <c r="G407" s="2" t="s">
        <v>10</v>
      </c>
      <c r="H407" s="2" t="s">
        <v>12</v>
      </c>
      <c r="I407" s="2">
        <v>1</v>
      </c>
      <c r="J407" s="2" t="s">
        <v>14</v>
      </c>
      <c r="K407" s="2" t="s">
        <v>14</v>
      </c>
      <c r="L407" s="2" t="s">
        <v>14</v>
      </c>
      <c r="M407" s="2" t="s">
        <v>13</v>
      </c>
      <c r="N407" s="2" t="s">
        <v>14</v>
      </c>
      <c r="O407" s="2">
        <v>0</v>
      </c>
    </row>
    <row r="408" spans="1:15" ht="15" customHeight="1" x14ac:dyDescent="0.25">
      <c r="A408" s="3"/>
      <c r="B408" s="3">
        <v>5</v>
      </c>
      <c r="C408" s="3" t="s">
        <v>10</v>
      </c>
      <c r="D408" s="3" t="s">
        <v>19</v>
      </c>
      <c r="E408" s="3">
        <v>2</v>
      </c>
      <c r="F408" s="3">
        <v>0</v>
      </c>
      <c r="G408" s="3" t="s">
        <v>17</v>
      </c>
      <c r="H408" s="3" t="s">
        <v>108</v>
      </c>
      <c r="I408" s="3">
        <v>1</v>
      </c>
      <c r="J408" s="3" t="s">
        <v>14</v>
      </c>
      <c r="K408" s="3" t="s">
        <v>13</v>
      </c>
      <c r="L408" s="3" t="s">
        <v>13</v>
      </c>
      <c r="M408" s="3" t="s">
        <v>13</v>
      </c>
      <c r="N408" s="3" t="s">
        <v>14</v>
      </c>
      <c r="O408" s="3">
        <v>0</v>
      </c>
    </row>
    <row r="409" spans="1:15" ht="15" customHeight="1" x14ac:dyDescent="0.25">
      <c r="A409" s="2"/>
      <c r="B409" s="2">
        <v>10</v>
      </c>
      <c r="C409" s="2" t="s">
        <v>10</v>
      </c>
      <c r="D409" s="2" t="s">
        <v>11</v>
      </c>
      <c r="E409" s="2">
        <v>1</v>
      </c>
      <c r="F409" s="2">
        <v>1</v>
      </c>
      <c r="G409" s="2" t="s">
        <v>17</v>
      </c>
      <c r="H409" s="2" t="s">
        <v>108</v>
      </c>
      <c r="I409" s="2">
        <v>1</v>
      </c>
      <c r="J409" s="2" t="s">
        <v>14</v>
      </c>
      <c r="K409" s="2" t="s">
        <v>13</v>
      </c>
      <c r="L409" s="2" t="s">
        <v>13</v>
      </c>
      <c r="M409" s="2" t="s">
        <v>13</v>
      </c>
      <c r="N409" s="2" t="s">
        <v>13</v>
      </c>
      <c r="O409" s="2">
        <v>1</v>
      </c>
    </row>
    <row r="410" spans="1:15" ht="15" customHeight="1" x14ac:dyDescent="0.25">
      <c r="A410" s="3"/>
      <c r="B410" s="3">
        <v>5</v>
      </c>
      <c r="C410" s="3" t="s">
        <v>14</v>
      </c>
      <c r="D410" s="3" t="s">
        <v>11</v>
      </c>
      <c r="E410" s="3">
        <v>1</v>
      </c>
      <c r="F410" s="3">
        <v>1</v>
      </c>
      <c r="G410" s="3" t="s">
        <v>10</v>
      </c>
      <c r="H410" s="3" t="s">
        <v>16</v>
      </c>
      <c r="I410" s="3" t="s">
        <v>15</v>
      </c>
      <c r="J410" s="3" t="s">
        <v>14</v>
      </c>
      <c r="K410" s="3" t="s">
        <v>13</v>
      </c>
      <c r="L410" s="3" t="s">
        <v>14</v>
      </c>
      <c r="M410" s="3" t="s">
        <v>14</v>
      </c>
      <c r="N410" s="3" t="s">
        <v>14</v>
      </c>
      <c r="O410" s="3">
        <v>1</v>
      </c>
    </row>
    <row r="411" spans="1:15" ht="15" customHeight="1" x14ac:dyDescent="0.25">
      <c r="A411" s="2"/>
      <c r="B411" s="2">
        <v>10</v>
      </c>
      <c r="C411" s="2" t="s">
        <v>18</v>
      </c>
      <c r="D411" s="2" t="s">
        <v>19</v>
      </c>
      <c r="E411" s="2">
        <v>0</v>
      </c>
      <c r="F411" s="2">
        <v>0</v>
      </c>
      <c r="G411" s="2" t="s">
        <v>10</v>
      </c>
      <c r="H411" s="2" t="s">
        <v>12</v>
      </c>
      <c r="I411" s="2">
        <v>2</v>
      </c>
      <c r="J411" s="2" t="s">
        <v>14</v>
      </c>
      <c r="K411" s="2" t="s">
        <v>13</v>
      </c>
      <c r="L411" s="2" t="s">
        <v>14</v>
      </c>
      <c r="M411" s="2" t="s">
        <v>14</v>
      </c>
      <c r="N411" s="2" t="s">
        <v>14</v>
      </c>
      <c r="O411" s="2">
        <v>1</v>
      </c>
    </row>
    <row r="412" spans="1:15" ht="15" customHeight="1" x14ac:dyDescent="0.25">
      <c r="A412" s="3"/>
      <c r="B412" s="3">
        <v>5</v>
      </c>
      <c r="C412" s="3" t="s">
        <v>10</v>
      </c>
      <c r="D412" s="3" t="s">
        <v>11</v>
      </c>
      <c r="E412" s="3">
        <v>0</v>
      </c>
      <c r="F412" s="3">
        <v>0</v>
      </c>
      <c r="G412" s="3" t="s">
        <v>10</v>
      </c>
      <c r="H412" s="3" t="s">
        <v>12</v>
      </c>
      <c r="I412" s="3">
        <v>2</v>
      </c>
      <c r="J412" s="3" t="s">
        <v>14</v>
      </c>
      <c r="K412" s="3" t="s">
        <v>14</v>
      </c>
      <c r="L412" s="3" t="s">
        <v>14</v>
      </c>
      <c r="M412" s="3" t="s">
        <v>14</v>
      </c>
      <c r="N412" s="3" t="s">
        <v>14</v>
      </c>
      <c r="O412" s="3">
        <v>1</v>
      </c>
    </row>
    <row r="413" spans="1:15" ht="15" customHeight="1" x14ac:dyDescent="0.25">
      <c r="A413" s="2"/>
      <c r="B413" s="2">
        <v>5</v>
      </c>
      <c r="C413" s="2" t="s">
        <v>10</v>
      </c>
      <c r="D413" s="2" t="s">
        <v>11</v>
      </c>
      <c r="E413" s="2">
        <v>0</v>
      </c>
      <c r="F413" s="2">
        <v>1</v>
      </c>
      <c r="G413" s="2" t="s">
        <v>10</v>
      </c>
      <c r="H413" s="2" t="s">
        <v>12</v>
      </c>
      <c r="I413" s="2" t="s">
        <v>15</v>
      </c>
      <c r="J413" s="2" t="s">
        <v>14</v>
      </c>
      <c r="K413" s="2" t="s">
        <v>14</v>
      </c>
      <c r="L413" s="2" t="s">
        <v>14</v>
      </c>
      <c r="M413" s="2" t="s">
        <v>14</v>
      </c>
      <c r="N413" s="2" t="s">
        <v>14</v>
      </c>
      <c r="O413" s="2">
        <v>1</v>
      </c>
    </row>
    <row r="414" spans="1:15" ht="15" customHeight="1" x14ac:dyDescent="0.25">
      <c r="A414" s="3"/>
      <c r="B414" s="3">
        <v>20</v>
      </c>
      <c r="C414" s="3" t="s">
        <v>10</v>
      </c>
      <c r="D414" s="3" t="s">
        <v>11</v>
      </c>
      <c r="E414" s="3">
        <v>3</v>
      </c>
      <c r="F414" s="3">
        <v>1</v>
      </c>
      <c r="G414" s="3" t="s">
        <v>10</v>
      </c>
      <c r="H414" s="3" t="s">
        <v>12</v>
      </c>
      <c r="I414" s="3">
        <v>2</v>
      </c>
      <c r="J414" s="3" t="s">
        <v>14</v>
      </c>
      <c r="K414" s="3" t="s">
        <v>14</v>
      </c>
      <c r="L414" s="3" t="s">
        <v>14</v>
      </c>
      <c r="M414" s="3" t="s">
        <v>13</v>
      </c>
      <c r="N414" s="3" t="s">
        <v>13</v>
      </c>
      <c r="O414" s="3">
        <v>0</v>
      </c>
    </row>
    <row r="415" spans="1:15" ht="15" customHeight="1" x14ac:dyDescent="0.25">
      <c r="A415" s="2"/>
      <c r="B415" s="2">
        <v>10</v>
      </c>
      <c r="C415" s="2" t="s">
        <v>10</v>
      </c>
      <c r="D415" s="2" t="s">
        <v>20</v>
      </c>
      <c r="E415" s="2">
        <v>0</v>
      </c>
      <c r="F415" s="2">
        <v>0</v>
      </c>
      <c r="G415" s="2" t="s">
        <v>17</v>
      </c>
      <c r="H415" s="2" t="s">
        <v>108</v>
      </c>
      <c r="I415" s="2">
        <v>1</v>
      </c>
      <c r="J415" s="2" t="s">
        <v>14</v>
      </c>
      <c r="K415" s="2" t="s">
        <v>13</v>
      </c>
      <c r="L415" s="2" t="s">
        <v>13</v>
      </c>
      <c r="M415" s="2" t="s">
        <v>13</v>
      </c>
      <c r="N415" s="2" t="s">
        <v>14</v>
      </c>
      <c r="O415" s="2">
        <v>1</v>
      </c>
    </row>
    <row r="416" spans="1:15" ht="15" customHeight="1" x14ac:dyDescent="0.25">
      <c r="A416" s="3"/>
      <c r="B416" s="3">
        <v>0</v>
      </c>
      <c r="C416" s="3" t="s">
        <v>18</v>
      </c>
      <c r="D416" s="3" t="s">
        <v>20</v>
      </c>
      <c r="E416" s="3">
        <v>0</v>
      </c>
      <c r="F416" s="3">
        <v>0</v>
      </c>
      <c r="G416" s="3" t="s">
        <v>10</v>
      </c>
      <c r="H416" s="3" t="s">
        <v>12</v>
      </c>
      <c r="I416" s="3">
        <v>2</v>
      </c>
      <c r="J416" s="3" t="s">
        <v>14</v>
      </c>
      <c r="K416" s="3" t="s">
        <v>13</v>
      </c>
      <c r="L416" s="3" t="s">
        <v>14</v>
      </c>
      <c r="M416" s="3" t="s">
        <v>14</v>
      </c>
      <c r="N416" s="3" t="s">
        <v>14</v>
      </c>
      <c r="O416" s="3">
        <v>1</v>
      </c>
    </row>
    <row r="417" spans="1:15" ht="15" customHeight="1" x14ac:dyDescent="0.25">
      <c r="A417" s="2"/>
      <c r="B417" s="2">
        <v>30</v>
      </c>
      <c r="C417" s="2" t="s">
        <v>10</v>
      </c>
      <c r="D417" s="2" t="s">
        <v>11</v>
      </c>
      <c r="E417" s="2">
        <v>1</v>
      </c>
      <c r="F417" s="2">
        <v>0</v>
      </c>
      <c r="G417" s="2" t="s">
        <v>10</v>
      </c>
      <c r="H417" s="2" t="s">
        <v>12</v>
      </c>
      <c r="I417" s="2">
        <v>2</v>
      </c>
      <c r="J417" s="2" t="s">
        <v>13</v>
      </c>
      <c r="K417" s="2" t="s">
        <v>14</v>
      </c>
      <c r="L417" s="2" t="s">
        <v>14</v>
      </c>
      <c r="M417" s="2" t="s">
        <v>13</v>
      </c>
      <c r="N417" s="2" t="s">
        <v>14</v>
      </c>
      <c r="O417" s="2">
        <v>1</v>
      </c>
    </row>
    <row r="418" spans="1:15" ht="15" customHeight="1" x14ac:dyDescent="0.25">
      <c r="A418" s="3"/>
      <c r="B418" s="3">
        <v>30</v>
      </c>
      <c r="C418" s="3" t="s">
        <v>10</v>
      </c>
      <c r="D418" s="3" t="s">
        <v>19</v>
      </c>
      <c r="E418" s="3">
        <v>1</v>
      </c>
      <c r="F418" s="3">
        <v>0</v>
      </c>
      <c r="G418" s="3" t="s">
        <v>10</v>
      </c>
      <c r="H418" s="3" t="s">
        <v>12</v>
      </c>
      <c r="I418" s="3">
        <v>1</v>
      </c>
      <c r="J418" s="3" t="s">
        <v>14</v>
      </c>
      <c r="K418" s="3" t="s">
        <v>14</v>
      </c>
      <c r="L418" s="3" t="s">
        <v>14</v>
      </c>
      <c r="M418" s="3" t="s">
        <v>14</v>
      </c>
      <c r="N418" s="3" t="s">
        <v>14</v>
      </c>
      <c r="O418" s="3">
        <v>0</v>
      </c>
    </row>
    <row r="419" spans="1:15" ht="15" customHeight="1" x14ac:dyDescent="0.25">
      <c r="A419" s="2"/>
      <c r="B419" s="2">
        <v>20</v>
      </c>
      <c r="C419" s="2" t="s">
        <v>10</v>
      </c>
      <c r="D419" s="2" t="s">
        <v>11</v>
      </c>
      <c r="E419" s="2">
        <v>0</v>
      </c>
      <c r="F419" s="2">
        <v>1</v>
      </c>
      <c r="G419" s="2" t="s">
        <v>10</v>
      </c>
      <c r="H419" s="2" t="s">
        <v>12</v>
      </c>
      <c r="I419" s="2">
        <v>1</v>
      </c>
      <c r="J419" s="2" t="s">
        <v>14</v>
      </c>
      <c r="K419" s="2" t="s">
        <v>14</v>
      </c>
      <c r="L419" s="2" t="s">
        <v>14</v>
      </c>
      <c r="M419" s="2" t="s">
        <v>13</v>
      </c>
      <c r="N419" s="2" t="s">
        <v>14</v>
      </c>
      <c r="O419" s="2">
        <v>0</v>
      </c>
    </row>
    <row r="420" spans="1:15" ht="15" customHeight="1" x14ac:dyDescent="0.25">
      <c r="A420" s="3"/>
      <c r="B420" s="3">
        <v>5</v>
      </c>
      <c r="C420" s="3" t="s">
        <v>10</v>
      </c>
      <c r="D420" s="3" t="s">
        <v>19</v>
      </c>
      <c r="E420" s="3">
        <v>1</v>
      </c>
      <c r="F420" s="3">
        <v>1</v>
      </c>
      <c r="G420" s="3" t="s">
        <v>17</v>
      </c>
      <c r="H420" s="3" t="s">
        <v>108</v>
      </c>
      <c r="I420" s="3">
        <v>1</v>
      </c>
      <c r="J420" s="3" t="s">
        <v>14</v>
      </c>
      <c r="K420" s="3" t="s">
        <v>13</v>
      </c>
      <c r="L420" s="3" t="s">
        <v>13</v>
      </c>
      <c r="M420" s="3" t="s">
        <v>13</v>
      </c>
      <c r="N420" s="3" t="s">
        <v>14</v>
      </c>
      <c r="O420" s="3">
        <v>1</v>
      </c>
    </row>
    <row r="421" spans="1:15" ht="15" customHeight="1" x14ac:dyDescent="0.25">
      <c r="A421" s="2"/>
      <c r="B421" s="2">
        <v>0</v>
      </c>
      <c r="C421" s="2" t="s">
        <v>14</v>
      </c>
      <c r="D421" s="2" t="s">
        <v>19</v>
      </c>
      <c r="E421" s="2">
        <v>0</v>
      </c>
      <c r="F421" s="2">
        <v>1</v>
      </c>
      <c r="G421" s="2" t="s">
        <v>17</v>
      </c>
      <c r="H421" s="2" t="s">
        <v>108</v>
      </c>
      <c r="I421" s="2">
        <v>1</v>
      </c>
      <c r="J421" s="2" t="s">
        <v>14</v>
      </c>
      <c r="K421" s="2" t="s">
        <v>13</v>
      </c>
      <c r="L421" s="2" t="s">
        <v>13</v>
      </c>
      <c r="M421" s="2" t="s">
        <v>14</v>
      </c>
      <c r="N421" s="2" t="s">
        <v>14</v>
      </c>
      <c r="O421" s="2">
        <v>1</v>
      </c>
    </row>
    <row r="422" spans="1:15" ht="15" customHeight="1" x14ac:dyDescent="0.25">
      <c r="A422" s="3"/>
      <c r="B422" s="3">
        <v>20</v>
      </c>
      <c r="C422" s="3" t="s">
        <v>10</v>
      </c>
      <c r="D422" s="3" t="s">
        <v>11</v>
      </c>
      <c r="E422" s="3">
        <v>1</v>
      </c>
      <c r="F422" s="3">
        <v>0</v>
      </c>
      <c r="G422" s="3" t="s">
        <v>10</v>
      </c>
      <c r="H422" s="3" t="s">
        <v>12</v>
      </c>
      <c r="I422" s="3" t="s">
        <v>15</v>
      </c>
      <c r="J422" s="3" t="s">
        <v>13</v>
      </c>
      <c r="K422" s="3" t="s">
        <v>14</v>
      </c>
      <c r="L422" s="3" t="s">
        <v>14</v>
      </c>
      <c r="M422" s="3" t="s">
        <v>13</v>
      </c>
      <c r="N422" s="3" t="s">
        <v>14</v>
      </c>
      <c r="O422" s="3">
        <v>0</v>
      </c>
    </row>
    <row r="423" spans="1:15" ht="15" customHeight="1" x14ac:dyDescent="0.25">
      <c r="A423" s="2"/>
      <c r="B423" s="2">
        <v>0</v>
      </c>
      <c r="C423" s="2" t="s">
        <v>10</v>
      </c>
      <c r="D423" s="2" t="s">
        <v>19</v>
      </c>
      <c r="E423" s="2">
        <v>1</v>
      </c>
      <c r="F423" s="2">
        <v>0</v>
      </c>
      <c r="G423" s="2" t="s">
        <v>18</v>
      </c>
      <c r="H423" s="2" t="s">
        <v>108</v>
      </c>
      <c r="I423" s="2">
        <v>1</v>
      </c>
      <c r="J423" s="2" t="s">
        <v>14</v>
      </c>
      <c r="K423" s="2" t="s">
        <v>13</v>
      </c>
      <c r="L423" s="2" t="s">
        <v>13</v>
      </c>
      <c r="M423" s="2" t="s">
        <v>14</v>
      </c>
      <c r="N423" s="2" t="s">
        <v>14</v>
      </c>
      <c r="O423" s="2">
        <v>1</v>
      </c>
    </row>
    <row r="424" spans="1:15" ht="15" customHeight="1" x14ac:dyDescent="0.25">
      <c r="A424" s="3"/>
      <c r="B424" s="3">
        <v>0</v>
      </c>
      <c r="C424" s="3" t="s">
        <v>14</v>
      </c>
      <c r="D424" s="3" t="s">
        <v>19</v>
      </c>
      <c r="E424" s="3">
        <v>1</v>
      </c>
      <c r="F424" s="3">
        <v>1</v>
      </c>
      <c r="G424" s="3" t="s">
        <v>10</v>
      </c>
      <c r="H424" s="3" t="s">
        <v>12</v>
      </c>
      <c r="I424" s="3" t="s">
        <v>15</v>
      </c>
      <c r="J424" s="3" t="s">
        <v>14</v>
      </c>
      <c r="K424" s="3" t="s">
        <v>14</v>
      </c>
      <c r="L424" s="3" t="s">
        <v>14</v>
      </c>
      <c r="M424" s="3" t="s">
        <v>14</v>
      </c>
      <c r="N424" s="3" t="s">
        <v>14</v>
      </c>
      <c r="O424" s="3">
        <v>0</v>
      </c>
    </row>
    <row r="425" spans="1:15" ht="15" customHeight="1" x14ac:dyDescent="0.25">
      <c r="A425" s="2"/>
      <c r="B425" s="2">
        <v>5</v>
      </c>
      <c r="C425" s="2" t="s">
        <v>14</v>
      </c>
      <c r="D425" s="2" t="s">
        <v>19</v>
      </c>
      <c r="E425" s="2">
        <v>0</v>
      </c>
      <c r="F425" s="2">
        <v>0</v>
      </c>
      <c r="G425" s="2" t="s">
        <v>10</v>
      </c>
      <c r="H425" s="2" t="s">
        <v>12</v>
      </c>
      <c r="I425" s="2" t="s">
        <v>15</v>
      </c>
      <c r="J425" s="2" t="s">
        <v>14</v>
      </c>
      <c r="K425" s="2" t="s">
        <v>14</v>
      </c>
      <c r="L425" s="2" t="s">
        <v>14</v>
      </c>
      <c r="M425" s="2" t="s">
        <v>14</v>
      </c>
      <c r="N425" s="2" t="s">
        <v>14</v>
      </c>
      <c r="O425" s="2">
        <v>1</v>
      </c>
    </row>
    <row r="426" spans="1:15" ht="15" customHeight="1" x14ac:dyDescent="0.25">
      <c r="A426" s="3"/>
      <c r="B426" s="3">
        <v>5</v>
      </c>
      <c r="C426" s="3" t="s">
        <v>18</v>
      </c>
      <c r="D426" s="3" t="s">
        <v>19</v>
      </c>
      <c r="E426" s="3">
        <v>0</v>
      </c>
      <c r="F426" s="3">
        <v>0</v>
      </c>
      <c r="G426" s="3" t="s">
        <v>10</v>
      </c>
      <c r="H426" s="3" t="s">
        <v>12</v>
      </c>
      <c r="I426" s="3">
        <v>1</v>
      </c>
      <c r="J426" s="3" t="s">
        <v>14</v>
      </c>
      <c r="K426" s="3" t="s">
        <v>14</v>
      </c>
      <c r="L426" s="3" t="s">
        <v>14</v>
      </c>
      <c r="M426" s="3" t="s">
        <v>14</v>
      </c>
      <c r="N426" s="3" t="s">
        <v>14</v>
      </c>
      <c r="O426" s="3">
        <v>1</v>
      </c>
    </row>
    <row r="427" spans="1:15" ht="15" customHeight="1" x14ac:dyDescent="0.25">
      <c r="A427" s="2"/>
      <c r="B427" s="2">
        <v>0</v>
      </c>
      <c r="C427" s="2" t="s">
        <v>10</v>
      </c>
      <c r="D427" s="2" t="s">
        <v>19</v>
      </c>
      <c r="E427" s="2">
        <v>1</v>
      </c>
      <c r="F427" s="2">
        <v>1</v>
      </c>
      <c r="G427" s="2" t="s">
        <v>10</v>
      </c>
      <c r="H427" s="2" t="s">
        <v>12</v>
      </c>
      <c r="I427" s="2" t="s">
        <v>15</v>
      </c>
      <c r="J427" s="2" t="s">
        <v>14</v>
      </c>
      <c r="K427" s="2" t="s">
        <v>14</v>
      </c>
      <c r="L427" s="2" t="s">
        <v>14</v>
      </c>
      <c r="M427" s="2" t="s">
        <v>14</v>
      </c>
      <c r="N427" s="2" t="s">
        <v>14</v>
      </c>
      <c r="O427" s="2">
        <v>1</v>
      </c>
    </row>
    <row r="428" spans="1:15" ht="15" customHeight="1" x14ac:dyDescent="0.25">
      <c r="A428" s="3"/>
      <c r="B428" s="3">
        <v>0</v>
      </c>
      <c r="C428" s="3" t="s">
        <v>10</v>
      </c>
      <c r="D428" s="3" t="s">
        <v>19</v>
      </c>
      <c r="E428" s="3">
        <v>0</v>
      </c>
      <c r="F428" s="3">
        <v>1</v>
      </c>
      <c r="G428" s="3" t="s">
        <v>10</v>
      </c>
      <c r="H428" s="3" t="s">
        <v>16</v>
      </c>
      <c r="I428" s="3">
        <v>1</v>
      </c>
      <c r="J428" s="3" t="s">
        <v>14</v>
      </c>
      <c r="K428" s="3" t="s">
        <v>14</v>
      </c>
      <c r="L428" s="3" t="s">
        <v>14</v>
      </c>
      <c r="M428" s="3" t="s">
        <v>14</v>
      </c>
      <c r="N428" s="3" t="s">
        <v>14</v>
      </c>
      <c r="O428" s="3">
        <v>1</v>
      </c>
    </row>
    <row r="429" spans="1:15" ht="15" customHeight="1" x14ac:dyDescent="0.25">
      <c r="A429" s="2"/>
      <c r="B429" s="2">
        <v>0</v>
      </c>
      <c r="C429" s="2" t="s">
        <v>14</v>
      </c>
      <c r="D429" s="2" t="s">
        <v>19</v>
      </c>
      <c r="E429" s="2">
        <v>0</v>
      </c>
      <c r="F429" s="2">
        <v>1</v>
      </c>
      <c r="G429" s="2" t="s">
        <v>10</v>
      </c>
      <c r="H429" s="2" t="s">
        <v>16</v>
      </c>
      <c r="I429" s="2">
        <v>1</v>
      </c>
      <c r="J429" s="2" t="s">
        <v>14</v>
      </c>
      <c r="K429" s="2" t="s">
        <v>14</v>
      </c>
      <c r="L429" s="2" t="s">
        <v>14</v>
      </c>
      <c r="M429" s="2" t="s">
        <v>14</v>
      </c>
      <c r="N429" s="2" t="s">
        <v>14</v>
      </c>
      <c r="O429" s="2">
        <v>1</v>
      </c>
    </row>
    <row r="430" spans="1:15" ht="15" customHeight="1" x14ac:dyDescent="0.25">
      <c r="A430" s="3"/>
      <c r="B430" s="3">
        <v>10</v>
      </c>
      <c r="C430" s="3" t="s">
        <v>10</v>
      </c>
      <c r="D430" s="3" t="s">
        <v>19</v>
      </c>
      <c r="E430" s="3">
        <v>0</v>
      </c>
      <c r="F430" s="3">
        <v>0</v>
      </c>
      <c r="G430" s="3" t="s">
        <v>17</v>
      </c>
      <c r="H430" s="3" t="s">
        <v>108</v>
      </c>
      <c r="I430" s="3">
        <v>1</v>
      </c>
      <c r="J430" s="3" t="s">
        <v>14</v>
      </c>
      <c r="K430" s="3" t="s">
        <v>13</v>
      </c>
      <c r="L430" s="3" t="s">
        <v>13</v>
      </c>
      <c r="M430" s="3" t="s">
        <v>13</v>
      </c>
      <c r="N430" s="3" t="s">
        <v>14</v>
      </c>
      <c r="O430" s="3">
        <v>1</v>
      </c>
    </row>
    <row r="431" spans="1:15" ht="15" customHeight="1" x14ac:dyDescent="0.25">
      <c r="A431" s="2"/>
      <c r="B431" s="2">
        <v>10</v>
      </c>
      <c r="C431" s="2" t="s">
        <v>10</v>
      </c>
      <c r="D431" s="2" t="s">
        <v>19</v>
      </c>
      <c r="E431" s="2">
        <v>0</v>
      </c>
      <c r="F431" s="2">
        <v>0</v>
      </c>
      <c r="G431" s="2" t="s">
        <v>17</v>
      </c>
      <c r="H431" s="2" t="s">
        <v>108</v>
      </c>
      <c r="I431" s="2">
        <v>1</v>
      </c>
      <c r="J431" s="2" t="s">
        <v>14</v>
      </c>
      <c r="K431" s="2" t="s">
        <v>13</v>
      </c>
      <c r="L431" s="2" t="s">
        <v>13</v>
      </c>
      <c r="M431" s="2" t="s">
        <v>13</v>
      </c>
      <c r="N431" s="2" t="s">
        <v>14</v>
      </c>
      <c r="O431" s="2">
        <v>1</v>
      </c>
    </row>
    <row r="432" spans="1:15" ht="15" customHeight="1" x14ac:dyDescent="0.25">
      <c r="A432" s="3"/>
      <c r="B432" s="3">
        <v>10</v>
      </c>
      <c r="C432" s="3" t="s">
        <v>10</v>
      </c>
      <c r="D432" s="3" t="s">
        <v>19</v>
      </c>
      <c r="E432" s="3">
        <v>0</v>
      </c>
      <c r="F432" s="3">
        <v>1</v>
      </c>
      <c r="G432" s="3" t="s">
        <v>17</v>
      </c>
      <c r="H432" s="3" t="s">
        <v>108</v>
      </c>
      <c r="I432" s="3">
        <v>1</v>
      </c>
      <c r="J432" s="3" t="s">
        <v>14</v>
      </c>
      <c r="K432" s="3" t="s">
        <v>13</v>
      </c>
      <c r="L432" s="3" t="s">
        <v>13</v>
      </c>
      <c r="M432" s="3" t="s">
        <v>13</v>
      </c>
      <c r="N432" s="3" t="s">
        <v>14</v>
      </c>
      <c r="O432" s="3">
        <v>1</v>
      </c>
    </row>
    <row r="433" spans="1:15" ht="15" customHeight="1" x14ac:dyDescent="0.25">
      <c r="A433" s="2"/>
      <c r="B433" s="2">
        <v>10</v>
      </c>
      <c r="C433" s="2" t="s">
        <v>18</v>
      </c>
      <c r="D433" s="2" t="s">
        <v>19</v>
      </c>
      <c r="E433" s="2">
        <v>0</v>
      </c>
      <c r="F433" s="2">
        <v>1</v>
      </c>
      <c r="G433" s="2" t="s">
        <v>10</v>
      </c>
      <c r="H433" s="2" t="s">
        <v>16</v>
      </c>
      <c r="I433" s="2">
        <v>1</v>
      </c>
      <c r="J433" s="2" t="s">
        <v>14</v>
      </c>
      <c r="K433" s="2" t="s">
        <v>13</v>
      </c>
      <c r="L433" s="2" t="s">
        <v>13</v>
      </c>
      <c r="M433" s="2" t="s">
        <v>13</v>
      </c>
      <c r="N433" s="2" t="s">
        <v>14</v>
      </c>
      <c r="O433" s="2">
        <v>0</v>
      </c>
    </row>
    <row r="434" spans="1:15" ht="15" customHeight="1" x14ac:dyDescent="0.25">
      <c r="A434" s="3"/>
      <c r="B434" s="3">
        <v>10</v>
      </c>
      <c r="C434" s="3" t="s">
        <v>18</v>
      </c>
      <c r="D434" s="3" t="s">
        <v>19</v>
      </c>
      <c r="E434" s="3">
        <v>0</v>
      </c>
      <c r="F434" s="3">
        <v>0</v>
      </c>
      <c r="G434" s="3" t="s">
        <v>10</v>
      </c>
      <c r="H434" s="3" t="s">
        <v>12</v>
      </c>
      <c r="I434" s="3" t="s">
        <v>15</v>
      </c>
      <c r="J434" s="3" t="s">
        <v>14</v>
      </c>
      <c r="K434" s="3" t="s">
        <v>13</v>
      </c>
      <c r="L434" s="3" t="s">
        <v>14</v>
      </c>
      <c r="M434" s="3" t="s">
        <v>14</v>
      </c>
      <c r="N434" s="3" t="s">
        <v>14</v>
      </c>
      <c r="O434" s="3">
        <v>1</v>
      </c>
    </row>
    <row r="435" spans="1:15" ht="15" customHeight="1" x14ac:dyDescent="0.25">
      <c r="A435" s="2"/>
      <c r="B435" s="2">
        <v>10</v>
      </c>
      <c r="C435" s="2" t="s">
        <v>18</v>
      </c>
      <c r="D435" s="2" t="s">
        <v>19</v>
      </c>
      <c r="E435" s="2">
        <v>0</v>
      </c>
      <c r="F435" s="2">
        <v>0</v>
      </c>
      <c r="G435" s="2" t="s">
        <v>10</v>
      </c>
      <c r="H435" s="2" t="s">
        <v>16</v>
      </c>
      <c r="I435" s="2">
        <v>1</v>
      </c>
      <c r="J435" s="2" t="s">
        <v>14</v>
      </c>
      <c r="K435" s="2" t="s">
        <v>14</v>
      </c>
      <c r="L435" s="2" t="s">
        <v>14</v>
      </c>
      <c r="M435" s="2" t="s">
        <v>14</v>
      </c>
      <c r="N435" s="2" t="s">
        <v>14</v>
      </c>
      <c r="O435" s="2">
        <v>1</v>
      </c>
    </row>
    <row r="436" spans="1:15" ht="15" customHeight="1" x14ac:dyDescent="0.25">
      <c r="A436" s="3"/>
      <c r="B436" s="3">
        <v>10</v>
      </c>
      <c r="C436" s="3" t="s">
        <v>18</v>
      </c>
      <c r="D436" s="3" t="s">
        <v>19</v>
      </c>
      <c r="E436" s="3">
        <v>1</v>
      </c>
      <c r="F436" s="3">
        <v>0</v>
      </c>
      <c r="G436" s="3" t="s">
        <v>10</v>
      </c>
      <c r="H436" s="3" t="s">
        <v>12</v>
      </c>
      <c r="I436" s="3" t="s">
        <v>15</v>
      </c>
      <c r="J436" s="3" t="s">
        <v>14</v>
      </c>
      <c r="K436" s="3" t="s">
        <v>14</v>
      </c>
      <c r="L436" s="3" t="s">
        <v>14</v>
      </c>
      <c r="M436" s="3" t="s">
        <v>14</v>
      </c>
      <c r="N436" s="3" t="s">
        <v>14</v>
      </c>
      <c r="O436" s="3">
        <v>1</v>
      </c>
    </row>
    <row r="437" spans="1:15" ht="15" customHeight="1" x14ac:dyDescent="0.25">
      <c r="A437" s="2"/>
      <c r="B437" s="2">
        <v>10</v>
      </c>
      <c r="C437" s="2" t="s">
        <v>18</v>
      </c>
      <c r="D437" s="2" t="s">
        <v>20</v>
      </c>
      <c r="E437" s="2">
        <v>0</v>
      </c>
      <c r="F437" s="2">
        <v>0</v>
      </c>
      <c r="G437" s="2" t="s">
        <v>10</v>
      </c>
      <c r="H437" s="2" t="s">
        <v>12</v>
      </c>
      <c r="I437" s="2">
        <v>1</v>
      </c>
      <c r="J437" s="2" t="s">
        <v>14</v>
      </c>
      <c r="K437" s="2" t="s">
        <v>14</v>
      </c>
      <c r="L437" s="2" t="s">
        <v>14</v>
      </c>
      <c r="M437" s="2" t="s">
        <v>14</v>
      </c>
      <c r="N437" s="2" t="s">
        <v>14</v>
      </c>
      <c r="O437" s="2">
        <v>1</v>
      </c>
    </row>
    <row r="438" spans="1:15" ht="15" customHeight="1" x14ac:dyDescent="0.25">
      <c r="A438" s="3"/>
      <c r="B438" s="3">
        <v>20</v>
      </c>
      <c r="C438" s="3" t="s">
        <v>10</v>
      </c>
      <c r="D438" s="3" t="s">
        <v>19</v>
      </c>
      <c r="E438" s="3">
        <v>1</v>
      </c>
      <c r="F438" s="3">
        <v>1</v>
      </c>
      <c r="G438" s="3" t="s">
        <v>10</v>
      </c>
      <c r="H438" s="3" t="s">
        <v>12</v>
      </c>
      <c r="I438" s="3">
        <v>2</v>
      </c>
      <c r="J438" s="3" t="s">
        <v>14</v>
      </c>
      <c r="K438" s="3" t="s">
        <v>14</v>
      </c>
      <c r="L438" s="3" t="s">
        <v>14</v>
      </c>
      <c r="M438" s="3" t="s">
        <v>13</v>
      </c>
      <c r="N438" s="3" t="s">
        <v>14</v>
      </c>
      <c r="O438" s="3">
        <v>1</v>
      </c>
    </row>
    <row r="439" spans="1:15" ht="15" customHeight="1" x14ac:dyDescent="0.25">
      <c r="A439" s="2"/>
      <c r="B439" s="2">
        <v>10</v>
      </c>
      <c r="C439" s="2" t="s">
        <v>14</v>
      </c>
      <c r="D439" s="2" t="s">
        <v>19</v>
      </c>
      <c r="E439" s="2">
        <v>1</v>
      </c>
      <c r="F439" s="2">
        <v>0</v>
      </c>
      <c r="G439" s="2" t="s">
        <v>10</v>
      </c>
      <c r="H439" s="2" t="s">
        <v>12</v>
      </c>
      <c r="I439" s="2">
        <v>1</v>
      </c>
      <c r="J439" s="2" t="s">
        <v>14</v>
      </c>
      <c r="K439" s="2" t="s">
        <v>13</v>
      </c>
      <c r="L439" s="2" t="s">
        <v>13</v>
      </c>
      <c r="M439" s="2" t="s">
        <v>13</v>
      </c>
      <c r="N439" s="2" t="s">
        <v>14</v>
      </c>
      <c r="O439" s="2">
        <v>1</v>
      </c>
    </row>
    <row r="440" spans="1:15" ht="15" customHeight="1" x14ac:dyDescent="0.25">
      <c r="A440" s="3"/>
      <c r="B440" s="3">
        <v>30</v>
      </c>
      <c r="C440" s="3" t="s">
        <v>10</v>
      </c>
      <c r="D440" s="3" t="s">
        <v>19</v>
      </c>
      <c r="E440" s="3">
        <v>0</v>
      </c>
      <c r="F440" s="3">
        <v>1</v>
      </c>
      <c r="G440" s="3" t="s">
        <v>10</v>
      </c>
      <c r="H440" s="3" t="s">
        <v>12</v>
      </c>
      <c r="I440" s="3">
        <v>1</v>
      </c>
      <c r="J440" s="3" t="s">
        <v>13</v>
      </c>
      <c r="K440" s="3" t="s">
        <v>13</v>
      </c>
      <c r="L440" s="3" t="s">
        <v>13</v>
      </c>
      <c r="M440" s="3" t="s">
        <v>13</v>
      </c>
      <c r="N440" s="3" t="s">
        <v>14</v>
      </c>
      <c r="O440" s="3">
        <v>0</v>
      </c>
    </row>
    <row r="441" spans="1:15" ht="15" customHeight="1" x14ac:dyDescent="0.25">
      <c r="A441" s="2"/>
      <c r="B441" s="2">
        <v>5</v>
      </c>
      <c r="C441" s="2" t="s">
        <v>10</v>
      </c>
      <c r="D441" s="2" t="s">
        <v>11</v>
      </c>
      <c r="E441" s="2">
        <v>0</v>
      </c>
      <c r="F441" s="2">
        <v>1</v>
      </c>
      <c r="G441" s="2" t="s">
        <v>10</v>
      </c>
      <c r="H441" s="2" t="s">
        <v>12</v>
      </c>
      <c r="I441" s="2">
        <v>1</v>
      </c>
      <c r="J441" s="2" t="s">
        <v>13</v>
      </c>
      <c r="K441" s="2" t="s">
        <v>13</v>
      </c>
      <c r="L441" s="2" t="s">
        <v>13</v>
      </c>
      <c r="M441" s="2" t="s">
        <v>13</v>
      </c>
      <c r="N441" s="2" t="s">
        <v>14</v>
      </c>
      <c r="O441" s="2">
        <v>0</v>
      </c>
    </row>
    <row r="442" spans="1:15" ht="15" customHeight="1" x14ac:dyDescent="0.25">
      <c r="A442" s="3"/>
      <c r="B442" s="3">
        <v>5</v>
      </c>
      <c r="C442" s="3" t="s">
        <v>10</v>
      </c>
      <c r="D442" s="3" t="s">
        <v>20</v>
      </c>
      <c r="E442" s="3">
        <v>0</v>
      </c>
      <c r="F442" s="3">
        <v>0</v>
      </c>
      <c r="G442" s="3" t="s">
        <v>10</v>
      </c>
      <c r="H442" s="3" t="s">
        <v>12</v>
      </c>
      <c r="I442" s="3">
        <v>1</v>
      </c>
      <c r="J442" s="3" t="s">
        <v>14</v>
      </c>
      <c r="K442" s="3" t="s">
        <v>14</v>
      </c>
      <c r="L442" s="3" t="s">
        <v>14</v>
      </c>
      <c r="M442" s="3" t="s">
        <v>14</v>
      </c>
      <c r="N442" s="3" t="s">
        <v>14</v>
      </c>
      <c r="O442" s="3">
        <v>1</v>
      </c>
    </row>
    <row r="443" spans="1:15" ht="15" customHeight="1" x14ac:dyDescent="0.25">
      <c r="A443" s="2"/>
      <c r="B443" s="2">
        <v>10</v>
      </c>
      <c r="C443" s="2" t="s">
        <v>18</v>
      </c>
      <c r="D443" s="2" t="s">
        <v>20</v>
      </c>
      <c r="E443" s="2">
        <v>0</v>
      </c>
      <c r="F443" s="2">
        <v>0</v>
      </c>
      <c r="G443" s="2" t="s">
        <v>10</v>
      </c>
      <c r="H443" s="2" t="s">
        <v>12</v>
      </c>
      <c r="I443" s="2" t="s">
        <v>15</v>
      </c>
      <c r="J443" s="2" t="s">
        <v>14</v>
      </c>
      <c r="K443" s="2" t="s">
        <v>14</v>
      </c>
      <c r="L443" s="2" t="s">
        <v>14</v>
      </c>
      <c r="M443" s="2" t="s">
        <v>14</v>
      </c>
      <c r="N443" s="2" t="s">
        <v>14</v>
      </c>
      <c r="O443" s="2">
        <v>1</v>
      </c>
    </row>
    <row r="444" spans="1:15" ht="15" customHeight="1" x14ac:dyDescent="0.25">
      <c r="A444" s="3"/>
      <c r="B444" s="3">
        <v>30</v>
      </c>
      <c r="C444" s="3" t="s">
        <v>10</v>
      </c>
      <c r="D444" s="3" t="s">
        <v>19</v>
      </c>
      <c r="E444" s="3">
        <v>0</v>
      </c>
      <c r="F444" s="3">
        <v>1</v>
      </c>
      <c r="G444" s="3" t="s">
        <v>10</v>
      </c>
      <c r="H444" s="3" t="s">
        <v>12</v>
      </c>
      <c r="I444" s="3" t="s">
        <v>15</v>
      </c>
      <c r="J444" s="3" t="s">
        <v>14</v>
      </c>
      <c r="K444" s="3" t="s">
        <v>14</v>
      </c>
      <c r="L444" s="3" t="s">
        <v>14</v>
      </c>
      <c r="M444" s="3" t="s">
        <v>13</v>
      </c>
      <c r="N444" s="3" t="s">
        <v>14</v>
      </c>
      <c r="O444" s="3">
        <v>1</v>
      </c>
    </row>
    <row r="445" spans="1:15" ht="15" customHeight="1" x14ac:dyDescent="0.25">
      <c r="A445" s="2"/>
      <c r="B445" s="2">
        <v>10</v>
      </c>
      <c r="C445" s="2" t="s">
        <v>10</v>
      </c>
      <c r="D445" s="2" t="s">
        <v>19</v>
      </c>
      <c r="E445" s="2">
        <v>0</v>
      </c>
      <c r="F445" s="2">
        <v>0</v>
      </c>
      <c r="G445" s="2" t="s">
        <v>10</v>
      </c>
      <c r="H445" s="2" t="s">
        <v>12</v>
      </c>
      <c r="I445" s="2">
        <v>2</v>
      </c>
      <c r="J445" s="2" t="s">
        <v>14</v>
      </c>
      <c r="K445" s="2" t="s">
        <v>14</v>
      </c>
      <c r="L445" s="2" t="s">
        <v>14</v>
      </c>
      <c r="M445" s="2" t="s">
        <v>14</v>
      </c>
      <c r="N445" s="2" t="s">
        <v>14</v>
      </c>
      <c r="O445" s="2">
        <v>1</v>
      </c>
    </row>
    <row r="446" spans="1:15" ht="15" customHeight="1" x14ac:dyDescent="0.25">
      <c r="A446" s="3"/>
      <c r="B446" s="3">
        <v>5</v>
      </c>
      <c r="C446" s="3" t="s">
        <v>18</v>
      </c>
      <c r="D446" s="3" t="s">
        <v>19</v>
      </c>
      <c r="E446" s="3">
        <v>0</v>
      </c>
      <c r="F446" s="3">
        <v>0</v>
      </c>
      <c r="G446" s="3" t="s">
        <v>10</v>
      </c>
      <c r="H446" s="3" t="s">
        <v>12</v>
      </c>
      <c r="I446" s="3" t="s">
        <v>15</v>
      </c>
      <c r="J446" s="3" t="s">
        <v>14</v>
      </c>
      <c r="K446" s="3" t="s">
        <v>14</v>
      </c>
      <c r="L446" s="3" t="s">
        <v>14</v>
      </c>
      <c r="M446" s="3" t="s">
        <v>14</v>
      </c>
      <c r="N446" s="3" t="s">
        <v>14</v>
      </c>
      <c r="O446" s="3">
        <v>1</v>
      </c>
    </row>
    <row r="447" spans="1:15" ht="15" customHeight="1" x14ac:dyDescent="0.25">
      <c r="A447" s="2"/>
      <c r="B447" s="2">
        <v>10</v>
      </c>
      <c r="C447" s="2" t="s">
        <v>14</v>
      </c>
      <c r="D447" s="2" t="s">
        <v>19</v>
      </c>
      <c r="E447" s="2">
        <v>0</v>
      </c>
      <c r="F447" s="2">
        <v>0</v>
      </c>
      <c r="G447" s="2" t="s">
        <v>10</v>
      </c>
      <c r="H447" s="2" t="s">
        <v>12</v>
      </c>
      <c r="I447" s="2">
        <v>2</v>
      </c>
      <c r="J447" s="2" t="s">
        <v>14</v>
      </c>
      <c r="K447" s="2" t="s">
        <v>14</v>
      </c>
      <c r="L447" s="2" t="s">
        <v>14</v>
      </c>
      <c r="M447" s="2" t="s">
        <v>14</v>
      </c>
      <c r="N447" s="2" t="s">
        <v>14</v>
      </c>
      <c r="O447" s="2">
        <v>1</v>
      </c>
    </row>
    <row r="448" spans="1:15" ht="15" customHeight="1" x14ac:dyDescent="0.25">
      <c r="A448" s="3"/>
      <c r="B448" s="3">
        <v>10</v>
      </c>
      <c r="C448" s="3" t="s">
        <v>14</v>
      </c>
      <c r="D448" s="3" t="s">
        <v>19</v>
      </c>
      <c r="E448" s="3">
        <v>0</v>
      </c>
      <c r="F448" s="3">
        <v>0</v>
      </c>
      <c r="G448" s="3" t="s">
        <v>10</v>
      </c>
      <c r="H448" s="3" t="s">
        <v>12</v>
      </c>
      <c r="I448" s="3">
        <v>2</v>
      </c>
      <c r="J448" s="3" t="s">
        <v>14</v>
      </c>
      <c r="K448" s="3" t="s">
        <v>14</v>
      </c>
      <c r="L448" s="3" t="s">
        <v>14</v>
      </c>
      <c r="M448" s="3" t="s">
        <v>14</v>
      </c>
      <c r="N448" s="3" t="s">
        <v>14</v>
      </c>
      <c r="O448" s="3">
        <v>1</v>
      </c>
    </row>
    <row r="449" spans="1:15" ht="15" customHeight="1" x14ac:dyDescent="0.25">
      <c r="A449" s="2"/>
      <c r="B449" s="2">
        <v>10</v>
      </c>
      <c r="C449" s="2" t="s">
        <v>10</v>
      </c>
      <c r="D449" s="2" t="s">
        <v>19</v>
      </c>
      <c r="E449" s="2">
        <v>0</v>
      </c>
      <c r="F449" s="2">
        <v>0</v>
      </c>
      <c r="G449" s="2" t="s">
        <v>10</v>
      </c>
      <c r="H449" s="2" t="s">
        <v>12</v>
      </c>
      <c r="I449" s="2" t="s">
        <v>15</v>
      </c>
      <c r="J449" s="2" t="s">
        <v>14</v>
      </c>
      <c r="K449" s="2" t="s">
        <v>14</v>
      </c>
      <c r="L449" s="2" t="s">
        <v>14</v>
      </c>
      <c r="M449" s="2" t="s">
        <v>14</v>
      </c>
      <c r="N449" s="2" t="s">
        <v>14</v>
      </c>
      <c r="O449" s="2">
        <v>0</v>
      </c>
    </row>
    <row r="450" spans="1:15" ht="15" customHeight="1" x14ac:dyDescent="0.25">
      <c r="A450" s="3"/>
      <c r="B450" s="3">
        <v>5</v>
      </c>
      <c r="C450" s="3" t="s">
        <v>10</v>
      </c>
      <c r="D450" s="3" t="s">
        <v>19</v>
      </c>
      <c r="E450" s="3">
        <v>0</v>
      </c>
      <c r="F450" s="3">
        <v>0</v>
      </c>
      <c r="G450" s="3" t="s">
        <v>10</v>
      </c>
      <c r="H450" s="3" t="s">
        <v>12</v>
      </c>
      <c r="I450" s="3">
        <v>1</v>
      </c>
      <c r="J450" s="3" t="s">
        <v>14</v>
      </c>
      <c r="K450" s="3" t="s">
        <v>14</v>
      </c>
      <c r="L450" s="3" t="s">
        <v>14</v>
      </c>
      <c r="M450" s="3" t="s">
        <v>14</v>
      </c>
      <c r="N450" s="3" t="s">
        <v>14</v>
      </c>
      <c r="O450" s="3">
        <v>1</v>
      </c>
    </row>
    <row r="451" spans="1:15" ht="15" customHeight="1" x14ac:dyDescent="0.25">
      <c r="A451" s="2"/>
      <c r="B451" s="2">
        <v>0</v>
      </c>
      <c r="C451" s="2" t="s">
        <v>18</v>
      </c>
      <c r="D451" s="2" t="s">
        <v>19</v>
      </c>
      <c r="E451" s="2">
        <v>0</v>
      </c>
      <c r="F451" s="2">
        <v>0</v>
      </c>
      <c r="G451" s="2" t="s">
        <v>10</v>
      </c>
      <c r="H451" s="2" t="s">
        <v>12</v>
      </c>
      <c r="I451" s="2">
        <v>1</v>
      </c>
      <c r="J451" s="2" t="s">
        <v>14</v>
      </c>
      <c r="K451" s="2" t="s">
        <v>14</v>
      </c>
      <c r="L451" s="2" t="s">
        <v>14</v>
      </c>
      <c r="M451" s="2" t="s">
        <v>14</v>
      </c>
      <c r="N451" s="2" t="s">
        <v>14</v>
      </c>
      <c r="O451" s="2">
        <v>1</v>
      </c>
    </row>
    <row r="452" spans="1:15" ht="15" customHeight="1" x14ac:dyDescent="0.25">
      <c r="A452" s="3"/>
      <c r="B452" s="3">
        <v>10</v>
      </c>
      <c r="C452" s="3" t="s">
        <v>10</v>
      </c>
      <c r="D452" s="3" t="s">
        <v>11</v>
      </c>
      <c r="E452" s="3">
        <v>0</v>
      </c>
      <c r="F452" s="3">
        <v>0</v>
      </c>
      <c r="G452" s="3" t="s">
        <v>10</v>
      </c>
      <c r="H452" s="3" t="s">
        <v>12</v>
      </c>
      <c r="I452" s="3" t="s">
        <v>15</v>
      </c>
      <c r="J452" s="3" t="s">
        <v>14</v>
      </c>
      <c r="K452" s="3" t="s">
        <v>14</v>
      </c>
      <c r="L452" s="3" t="s">
        <v>14</v>
      </c>
      <c r="M452" s="3" t="s">
        <v>14</v>
      </c>
      <c r="N452" s="3" t="s">
        <v>14</v>
      </c>
      <c r="O452" s="3">
        <v>1</v>
      </c>
    </row>
    <row r="453" spans="1:15" ht="15" customHeight="1" x14ac:dyDescent="0.25">
      <c r="A453" s="2"/>
      <c r="B453" s="2">
        <v>20</v>
      </c>
      <c r="C453" s="2" t="s">
        <v>14</v>
      </c>
      <c r="D453" s="2" t="s">
        <v>11</v>
      </c>
      <c r="E453" s="2">
        <v>1</v>
      </c>
      <c r="F453" s="2">
        <v>0</v>
      </c>
      <c r="G453" s="2" t="s">
        <v>10</v>
      </c>
      <c r="H453" s="2" t="s">
        <v>12</v>
      </c>
      <c r="I453" s="2">
        <v>2</v>
      </c>
      <c r="J453" s="2" t="s">
        <v>14</v>
      </c>
      <c r="K453" s="2" t="s">
        <v>14</v>
      </c>
      <c r="L453" s="2" t="s">
        <v>14</v>
      </c>
      <c r="M453" s="2" t="s">
        <v>13</v>
      </c>
      <c r="N453" s="2" t="s">
        <v>13</v>
      </c>
      <c r="O453" s="2">
        <v>0</v>
      </c>
    </row>
    <row r="454" spans="1:15" ht="15" customHeight="1" x14ac:dyDescent="0.25">
      <c r="A454" s="3"/>
      <c r="B454" s="3">
        <v>0</v>
      </c>
      <c r="C454" s="3" t="s">
        <v>14</v>
      </c>
      <c r="D454" s="3" t="s">
        <v>19</v>
      </c>
      <c r="E454" s="3">
        <v>0</v>
      </c>
      <c r="F454" s="3">
        <v>1</v>
      </c>
      <c r="G454" s="3" t="s">
        <v>18</v>
      </c>
      <c r="H454" s="3" t="s">
        <v>108</v>
      </c>
      <c r="I454" s="3">
        <v>1</v>
      </c>
      <c r="J454" s="3" t="s">
        <v>14</v>
      </c>
      <c r="K454" s="3" t="s">
        <v>13</v>
      </c>
      <c r="L454" s="3" t="s">
        <v>13</v>
      </c>
      <c r="M454" s="3" t="s">
        <v>13</v>
      </c>
      <c r="N454" s="3" t="s">
        <v>14</v>
      </c>
      <c r="O454" s="3">
        <v>1</v>
      </c>
    </row>
    <row r="455" spans="1:15" ht="15" customHeight="1" x14ac:dyDescent="0.25">
      <c r="A455" s="2"/>
      <c r="B455" s="2">
        <v>10</v>
      </c>
      <c r="C455" s="2" t="s">
        <v>18</v>
      </c>
      <c r="D455" s="2" t="s">
        <v>11</v>
      </c>
      <c r="E455" s="2">
        <v>0</v>
      </c>
      <c r="F455" s="2">
        <v>1</v>
      </c>
      <c r="G455" s="2" t="s">
        <v>10</v>
      </c>
      <c r="H455" s="2" t="s">
        <v>16</v>
      </c>
      <c r="I455" s="2" t="s">
        <v>15</v>
      </c>
      <c r="J455" s="2" t="s">
        <v>14</v>
      </c>
      <c r="K455" s="2" t="s">
        <v>13</v>
      </c>
      <c r="L455" s="2" t="s">
        <v>14</v>
      </c>
      <c r="M455" s="2" t="s">
        <v>14</v>
      </c>
      <c r="N455" s="2" t="s">
        <v>14</v>
      </c>
      <c r="O455" s="2">
        <v>1</v>
      </c>
    </row>
    <row r="456" spans="1:15" ht="15" customHeight="1" x14ac:dyDescent="0.25">
      <c r="A456" s="3"/>
      <c r="B456" s="3">
        <v>0</v>
      </c>
      <c r="C456" s="3" t="s">
        <v>10</v>
      </c>
      <c r="D456" s="3" t="s">
        <v>11</v>
      </c>
      <c r="E456" s="3">
        <v>0</v>
      </c>
      <c r="F456" s="3">
        <v>1</v>
      </c>
      <c r="G456" s="3" t="s">
        <v>10</v>
      </c>
      <c r="H456" s="3" t="s">
        <v>12</v>
      </c>
      <c r="I456" s="3">
        <v>2</v>
      </c>
      <c r="J456" s="3" t="s">
        <v>14</v>
      </c>
      <c r="K456" s="3" t="s">
        <v>14</v>
      </c>
      <c r="L456" s="3" t="s">
        <v>14</v>
      </c>
      <c r="M456" s="3" t="s">
        <v>14</v>
      </c>
      <c r="N456" s="3" t="s">
        <v>14</v>
      </c>
      <c r="O456" s="3">
        <v>1</v>
      </c>
    </row>
    <row r="457" spans="1:15" ht="15" customHeight="1" x14ac:dyDescent="0.25">
      <c r="A457" s="2"/>
      <c r="B457" s="2">
        <v>5</v>
      </c>
      <c r="C457" s="2" t="s">
        <v>10</v>
      </c>
      <c r="D457" s="2" t="s">
        <v>11</v>
      </c>
      <c r="E457" s="2">
        <v>0</v>
      </c>
      <c r="F457" s="2">
        <v>0</v>
      </c>
      <c r="G457" s="2" t="s">
        <v>10</v>
      </c>
      <c r="H457" s="2" t="s">
        <v>12</v>
      </c>
      <c r="I457" s="2">
        <v>2</v>
      </c>
      <c r="J457" s="2" t="s">
        <v>13</v>
      </c>
      <c r="K457" s="2" t="s">
        <v>14</v>
      </c>
      <c r="L457" s="2" t="s">
        <v>14</v>
      </c>
      <c r="M457" s="2" t="s">
        <v>14</v>
      </c>
      <c r="N457" s="2" t="s">
        <v>14</v>
      </c>
      <c r="O457" s="2">
        <v>1</v>
      </c>
    </row>
    <row r="458" spans="1:15" ht="15" customHeight="1" x14ac:dyDescent="0.25">
      <c r="A458" s="3"/>
      <c r="B458" s="3">
        <v>20</v>
      </c>
      <c r="C458" s="3" t="s">
        <v>14</v>
      </c>
      <c r="D458" s="3" t="s">
        <v>11</v>
      </c>
      <c r="E458" s="3">
        <v>1</v>
      </c>
      <c r="F458" s="3">
        <v>0</v>
      </c>
      <c r="G458" s="3" t="s">
        <v>10</v>
      </c>
      <c r="H458" s="3" t="s">
        <v>12</v>
      </c>
      <c r="I458" s="3">
        <v>1</v>
      </c>
      <c r="J458" s="3" t="s">
        <v>14</v>
      </c>
      <c r="K458" s="3" t="s">
        <v>14</v>
      </c>
      <c r="L458" s="3" t="s">
        <v>14</v>
      </c>
      <c r="M458" s="3" t="s">
        <v>13</v>
      </c>
      <c r="N458" s="3" t="s">
        <v>13</v>
      </c>
      <c r="O458" s="3">
        <v>0</v>
      </c>
    </row>
    <row r="459" spans="1:15" ht="15" customHeight="1" x14ac:dyDescent="0.25">
      <c r="A459" s="2"/>
      <c r="B459" s="2">
        <v>10</v>
      </c>
      <c r="C459" s="2" t="s">
        <v>18</v>
      </c>
      <c r="D459" s="2" t="s">
        <v>20</v>
      </c>
      <c r="E459" s="2">
        <v>0</v>
      </c>
      <c r="F459" s="2">
        <v>0</v>
      </c>
      <c r="G459" s="2" t="s">
        <v>10</v>
      </c>
      <c r="H459" s="2" t="s">
        <v>16</v>
      </c>
      <c r="I459" s="2">
        <v>2</v>
      </c>
      <c r="J459" s="2" t="s">
        <v>14</v>
      </c>
      <c r="K459" s="2" t="s">
        <v>14</v>
      </c>
      <c r="L459" s="2" t="s">
        <v>14</v>
      </c>
      <c r="M459" s="2" t="s">
        <v>14</v>
      </c>
      <c r="N459" s="2" t="s">
        <v>14</v>
      </c>
      <c r="O459" s="2">
        <v>1</v>
      </c>
    </row>
    <row r="460" spans="1:15" ht="15" customHeight="1" x14ac:dyDescent="0.25">
      <c r="A460" s="3"/>
      <c r="B460" s="3">
        <v>10</v>
      </c>
      <c r="C460" s="3" t="s">
        <v>14</v>
      </c>
      <c r="D460" s="3" t="s">
        <v>20</v>
      </c>
      <c r="E460" s="3">
        <v>0</v>
      </c>
      <c r="F460" s="3">
        <v>0</v>
      </c>
      <c r="G460" s="3" t="s">
        <v>10</v>
      </c>
      <c r="H460" s="3" t="s">
        <v>12</v>
      </c>
      <c r="I460" s="3" t="s">
        <v>15</v>
      </c>
      <c r="J460" s="3" t="s">
        <v>14</v>
      </c>
      <c r="K460" s="3" t="s">
        <v>14</v>
      </c>
      <c r="L460" s="3" t="s">
        <v>14</v>
      </c>
      <c r="M460" s="3" t="s">
        <v>14</v>
      </c>
      <c r="N460" s="3" t="s">
        <v>14</v>
      </c>
      <c r="O460" s="3">
        <v>1</v>
      </c>
    </row>
    <row r="461" spans="1:15" ht="15" customHeight="1" x14ac:dyDescent="0.25">
      <c r="A461" s="2"/>
      <c r="B461" s="2">
        <v>30</v>
      </c>
      <c r="C461" s="2" t="s">
        <v>10</v>
      </c>
      <c r="D461" s="2" t="s">
        <v>11</v>
      </c>
      <c r="E461" s="2">
        <v>1</v>
      </c>
      <c r="F461" s="2">
        <v>0</v>
      </c>
      <c r="G461" s="2" t="s">
        <v>10</v>
      </c>
      <c r="H461" s="2" t="s">
        <v>12</v>
      </c>
      <c r="I461" s="2" t="s">
        <v>15</v>
      </c>
      <c r="J461" s="2" t="s">
        <v>13</v>
      </c>
      <c r="K461" s="2" t="s">
        <v>14</v>
      </c>
      <c r="L461" s="2" t="s">
        <v>14</v>
      </c>
      <c r="M461" s="2" t="s">
        <v>13</v>
      </c>
      <c r="N461" s="2" t="s">
        <v>14</v>
      </c>
      <c r="O461" s="2">
        <v>0</v>
      </c>
    </row>
    <row r="462" spans="1:15" ht="15" customHeight="1" x14ac:dyDescent="0.25">
      <c r="A462" s="3"/>
      <c r="B462" s="3">
        <v>10</v>
      </c>
      <c r="C462" s="3" t="s">
        <v>10</v>
      </c>
      <c r="D462" s="3" t="s">
        <v>19</v>
      </c>
      <c r="E462" s="3">
        <v>0</v>
      </c>
      <c r="F462" s="3">
        <v>0</v>
      </c>
      <c r="G462" s="3" t="s">
        <v>10</v>
      </c>
      <c r="H462" s="3" t="s">
        <v>12</v>
      </c>
      <c r="I462" s="3">
        <v>2</v>
      </c>
      <c r="J462" s="3" t="s">
        <v>14</v>
      </c>
      <c r="K462" s="3" t="s">
        <v>14</v>
      </c>
      <c r="L462" s="3" t="s">
        <v>14</v>
      </c>
      <c r="M462" s="3" t="s">
        <v>14</v>
      </c>
      <c r="N462" s="3" t="s">
        <v>14</v>
      </c>
      <c r="O462" s="3">
        <v>1</v>
      </c>
    </row>
    <row r="463" spans="1:15" ht="15" customHeight="1" x14ac:dyDescent="0.25">
      <c r="A463" s="2"/>
      <c r="B463" s="2">
        <v>10</v>
      </c>
      <c r="C463" s="2" t="s">
        <v>18</v>
      </c>
      <c r="D463" s="2" t="s">
        <v>19</v>
      </c>
      <c r="E463" s="2">
        <v>0</v>
      </c>
      <c r="F463" s="2">
        <v>0</v>
      </c>
      <c r="G463" s="2" t="s">
        <v>10</v>
      </c>
      <c r="H463" s="2" t="s">
        <v>12</v>
      </c>
      <c r="I463" s="2">
        <v>2</v>
      </c>
      <c r="J463" s="2" t="s">
        <v>14</v>
      </c>
      <c r="K463" s="2" t="s">
        <v>14</v>
      </c>
      <c r="L463" s="2" t="s">
        <v>14</v>
      </c>
      <c r="M463" s="2" t="s">
        <v>14</v>
      </c>
      <c r="N463" s="2" t="s">
        <v>14</v>
      </c>
      <c r="O463" s="2">
        <v>1</v>
      </c>
    </row>
    <row r="464" spans="1:15" ht="15" customHeight="1" x14ac:dyDescent="0.25">
      <c r="A464" s="3"/>
      <c r="B464" s="3">
        <v>20</v>
      </c>
      <c r="C464" s="3" t="s">
        <v>18</v>
      </c>
      <c r="D464" s="3" t="s">
        <v>20</v>
      </c>
      <c r="E464" s="3">
        <v>0</v>
      </c>
      <c r="F464" s="3">
        <v>0</v>
      </c>
      <c r="G464" s="3" t="s">
        <v>10</v>
      </c>
      <c r="H464" s="3" t="s">
        <v>16</v>
      </c>
      <c r="I464" s="3">
        <v>1</v>
      </c>
      <c r="J464" s="3" t="s">
        <v>14</v>
      </c>
      <c r="K464" s="3" t="s">
        <v>14</v>
      </c>
      <c r="L464" s="3" t="s">
        <v>14</v>
      </c>
      <c r="M464" s="3" t="s">
        <v>14</v>
      </c>
      <c r="N464" s="3" t="s">
        <v>14</v>
      </c>
      <c r="O464" s="3">
        <v>1</v>
      </c>
    </row>
    <row r="465" spans="1:15" ht="15" customHeight="1" x14ac:dyDescent="0.25">
      <c r="A465" s="2"/>
      <c r="B465" s="2">
        <v>30</v>
      </c>
      <c r="C465" s="2" t="s">
        <v>10</v>
      </c>
      <c r="D465" s="2" t="s">
        <v>19</v>
      </c>
      <c r="E465" s="2">
        <v>1</v>
      </c>
      <c r="F465" s="2">
        <v>0</v>
      </c>
      <c r="G465" s="2" t="s">
        <v>10</v>
      </c>
      <c r="H465" s="2" t="s">
        <v>16</v>
      </c>
      <c r="I465" s="2">
        <v>2</v>
      </c>
      <c r="J465" s="2" t="s">
        <v>14</v>
      </c>
      <c r="K465" s="2" t="s">
        <v>14</v>
      </c>
      <c r="L465" s="2" t="s">
        <v>14</v>
      </c>
      <c r="M465" s="2" t="s">
        <v>13</v>
      </c>
      <c r="N465" s="2" t="s">
        <v>14</v>
      </c>
      <c r="O465" s="2">
        <v>0</v>
      </c>
    </row>
    <row r="466" spans="1:15" ht="15" customHeight="1" x14ac:dyDescent="0.25">
      <c r="A466" s="3"/>
      <c r="B466" s="3">
        <v>0</v>
      </c>
      <c r="C466" s="3" t="s">
        <v>10</v>
      </c>
      <c r="D466" s="3" t="s">
        <v>19</v>
      </c>
      <c r="E466" s="3">
        <v>1</v>
      </c>
      <c r="F466" s="3">
        <v>1</v>
      </c>
      <c r="G466" s="3" t="s">
        <v>17</v>
      </c>
      <c r="H466" s="3" t="s">
        <v>108</v>
      </c>
      <c r="I466" s="3">
        <v>1</v>
      </c>
      <c r="J466" s="3" t="s">
        <v>14</v>
      </c>
      <c r="K466" s="3" t="s">
        <v>13</v>
      </c>
      <c r="L466" s="3" t="s">
        <v>13</v>
      </c>
      <c r="M466" s="3" t="s">
        <v>13</v>
      </c>
      <c r="N466" s="3" t="s">
        <v>14</v>
      </c>
      <c r="O466" s="3">
        <v>0</v>
      </c>
    </row>
    <row r="467" spans="1:15" ht="15" customHeight="1" x14ac:dyDescent="0.25">
      <c r="A467" s="2"/>
      <c r="B467" s="2">
        <v>10</v>
      </c>
      <c r="C467" s="2" t="s">
        <v>14</v>
      </c>
      <c r="D467" s="2" t="s">
        <v>19</v>
      </c>
      <c r="E467" s="2">
        <v>0</v>
      </c>
      <c r="F467" s="2">
        <v>0</v>
      </c>
      <c r="G467" s="2" t="s">
        <v>17</v>
      </c>
      <c r="H467" s="2" t="s">
        <v>108</v>
      </c>
      <c r="I467" s="2">
        <v>1</v>
      </c>
      <c r="J467" s="2" t="s">
        <v>14</v>
      </c>
      <c r="K467" s="2" t="s">
        <v>13</v>
      </c>
      <c r="L467" s="2" t="s">
        <v>13</v>
      </c>
      <c r="M467" s="2" t="s">
        <v>14</v>
      </c>
      <c r="N467" s="2" t="s">
        <v>14</v>
      </c>
      <c r="O467" s="2">
        <v>1</v>
      </c>
    </row>
    <row r="468" spans="1:15" ht="15" customHeight="1" x14ac:dyDescent="0.25">
      <c r="A468" s="3"/>
      <c r="B468" s="3">
        <v>5</v>
      </c>
      <c r="C468" s="3" t="s">
        <v>10</v>
      </c>
      <c r="D468" s="3" t="s">
        <v>11</v>
      </c>
      <c r="E468" s="3">
        <v>0</v>
      </c>
      <c r="F468" s="3">
        <v>1</v>
      </c>
      <c r="G468" s="3" t="s">
        <v>10</v>
      </c>
      <c r="H468" s="3" t="s">
        <v>12</v>
      </c>
      <c r="I468" s="3">
        <v>2</v>
      </c>
      <c r="J468" s="3" t="s">
        <v>14</v>
      </c>
      <c r="K468" s="3" t="s">
        <v>14</v>
      </c>
      <c r="L468" s="3" t="s">
        <v>14</v>
      </c>
      <c r="M468" s="3" t="s">
        <v>14</v>
      </c>
      <c r="N468" s="3" t="s">
        <v>14</v>
      </c>
      <c r="O468" s="3">
        <v>0</v>
      </c>
    </row>
    <row r="469" spans="1:15" ht="15" customHeight="1" x14ac:dyDescent="0.25">
      <c r="A469" s="2"/>
      <c r="B469" s="2">
        <v>0</v>
      </c>
      <c r="C469" s="2" t="s">
        <v>10</v>
      </c>
      <c r="D469" s="2" t="s">
        <v>20</v>
      </c>
      <c r="E469" s="2">
        <v>0</v>
      </c>
      <c r="F469" s="2">
        <v>0</v>
      </c>
      <c r="G469" s="2" t="s">
        <v>10</v>
      </c>
      <c r="H469" s="2" t="s">
        <v>12</v>
      </c>
      <c r="I469" s="2">
        <v>1</v>
      </c>
      <c r="J469" s="2" t="s">
        <v>14</v>
      </c>
      <c r="K469" s="2" t="s">
        <v>14</v>
      </c>
      <c r="L469" s="2" t="s">
        <v>14</v>
      </c>
      <c r="M469" s="2" t="s">
        <v>14</v>
      </c>
      <c r="N469" s="2" t="s">
        <v>14</v>
      </c>
      <c r="O469" s="2">
        <v>1</v>
      </c>
    </row>
    <row r="470" spans="1:15" ht="15" customHeight="1" x14ac:dyDescent="0.25">
      <c r="A470" s="3"/>
      <c r="B470" s="3">
        <v>20</v>
      </c>
      <c r="C470" s="3" t="s">
        <v>10</v>
      </c>
      <c r="D470" s="3" t="s">
        <v>19</v>
      </c>
      <c r="E470" s="3">
        <v>0</v>
      </c>
      <c r="F470" s="3">
        <v>0</v>
      </c>
      <c r="G470" s="3" t="s">
        <v>10</v>
      </c>
      <c r="H470" s="3" t="s">
        <v>12</v>
      </c>
      <c r="I470" s="3" t="s">
        <v>15</v>
      </c>
      <c r="J470" s="3" t="s">
        <v>14</v>
      </c>
      <c r="K470" s="3" t="s">
        <v>14</v>
      </c>
      <c r="L470" s="3" t="s">
        <v>14</v>
      </c>
      <c r="M470" s="3" t="s">
        <v>13</v>
      </c>
      <c r="N470" s="3" t="s">
        <v>14</v>
      </c>
      <c r="O470" s="3">
        <v>1</v>
      </c>
    </row>
    <row r="471" spans="1:15" ht="15" customHeight="1" x14ac:dyDescent="0.25">
      <c r="A471" s="2"/>
      <c r="B471" s="2">
        <v>20</v>
      </c>
      <c r="C471" s="2" t="s">
        <v>10</v>
      </c>
      <c r="D471" s="2" t="s">
        <v>19</v>
      </c>
      <c r="E471" s="2">
        <v>2</v>
      </c>
      <c r="F471" s="2">
        <v>0</v>
      </c>
      <c r="G471" s="2" t="s">
        <v>10</v>
      </c>
      <c r="H471" s="2" t="s">
        <v>16</v>
      </c>
      <c r="I471" s="2">
        <v>2</v>
      </c>
      <c r="J471" s="2" t="s">
        <v>13</v>
      </c>
      <c r="K471" s="2" t="s">
        <v>14</v>
      </c>
      <c r="L471" s="2" t="s">
        <v>14</v>
      </c>
      <c r="M471" s="2" t="s">
        <v>13</v>
      </c>
      <c r="N471" s="2" t="s">
        <v>14</v>
      </c>
      <c r="O471" s="2">
        <v>1</v>
      </c>
    </row>
    <row r="472" spans="1:15" ht="15" customHeight="1" x14ac:dyDescent="0.25">
      <c r="A472" s="3"/>
      <c r="B472" s="3">
        <v>10</v>
      </c>
      <c r="C472" s="3" t="s">
        <v>14</v>
      </c>
      <c r="D472" s="3" t="s">
        <v>11</v>
      </c>
      <c r="E472" s="3">
        <v>1</v>
      </c>
      <c r="F472" s="3">
        <v>1</v>
      </c>
      <c r="G472" s="3" t="s">
        <v>10</v>
      </c>
      <c r="H472" s="3" t="s">
        <v>16</v>
      </c>
      <c r="I472" s="3">
        <v>2</v>
      </c>
      <c r="J472" s="3" t="s">
        <v>14</v>
      </c>
      <c r="K472" s="3" t="s">
        <v>14</v>
      </c>
      <c r="L472" s="3" t="s">
        <v>14</v>
      </c>
      <c r="M472" s="3" t="s">
        <v>14</v>
      </c>
      <c r="N472" s="3" t="s">
        <v>14</v>
      </c>
      <c r="O472" s="3">
        <v>0</v>
      </c>
    </row>
    <row r="473" spans="1:15" ht="15" customHeight="1" x14ac:dyDescent="0.25">
      <c r="A473" s="2"/>
      <c r="B473" s="2">
        <v>0</v>
      </c>
      <c r="C473" s="2" t="s">
        <v>10</v>
      </c>
      <c r="D473" s="2" t="s">
        <v>20</v>
      </c>
      <c r="E473" s="2">
        <v>0</v>
      </c>
      <c r="F473" s="2">
        <v>0</v>
      </c>
      <c r="G473" s="2" t="s">
        <v>10</v>
      </c>
      <c r="H473" s="2" t="s">
        <v>12</v>
      </c>
      <c r="I473" s="2">
        <v>2</v>
      </c>
      <c r="J473" s="2" t="s">
        <v>14</v>
      </c>
      <c r="K473" s="2" t="s">
        <v>14</v>
      </c>
      <c r="L473" s="2" t="s">
        <v>14</v>
      </c>
      <c r="M473" s="2" t="s">
        <v>14</v>
      </c>
      <c r="N473" s="2" t="s">
        <v>14</v>
      </c>
      <c r="O473" s="2">
        <v>1</v>
      </c>
    </row>
    <row r="474" spans="1:15" ht="15" customHeight="1" x14ac:dyDescent="0.25">
      <c r="A474" s="3"/>
      <c r="B474" s="3">
        <v>5</v>
      </c>
      <c r="C474" s="3" t="s">
        <v>10</v>
      </c>
      <c r="D474" s="3" t="s">
        <v>19</v>
      </c>
      <c r="E474" s="3">
        <v>0</v>
      </c>
      <c r="F474" s="3">
        <v>0</v>
      </c>
      <c r="G474" s="3" t="s">
        <v>10</v>
      </c>
      <c r="H474" s="3" t="s">
        <v>12</v>
      </c>
      <c r="I474" s="3">
        <v>2</v>
      </c>
      <c r="J474" s="3" t="s">
        <v>14</v>
      </c>
      <c r="K474" s="3" t="s">
        <v>14</v>
      </c>
      <c r="L474" s="3" t="s">
        <v>14</v>
      </c>
      <c r="M474" s="3" t="s">
        <v>14</v>
      </c>
      <c r="N474" s="3" t="s">
        <v>14</v>
      </c>
      <c r="O474" s="3">
        <v>1</v>
      </c>
    </row>
    <row r="475" spans="1:15" ht="15" customHeight="1" x14ac:dyDescent="0.25">
      <c r="A475" s="2"/>
      <c r="B475" s="2">
        <v>5</v>
      </c>
      <c r="C475" s="2" t="s">
        <v>14</v>
      </c>
      <c r="D475" s="2" t="s">
        <v>19</v>
      </c>
      <c r="E475" s="2">
        <v>0</v>
      </c>
      <c r="F475" s="2">
        <v>0</v>
      </c>
      <c r="G475" s="2" t="s">
        <v>10</v>
      </c>
      <c r="H475" s="2" t="s">
        <v>12</v>
      </c>
      <c r="I475" s="2">
        <v>1</v>
      </c>
      <c r="J475" s="2" t="s">
        <v>14</v>
      </c>
      <c r="K475" s="2" t="s">
        <v>14</v>
      </c>
      <c r="L475" s="2" t="s">
        <v>14</v>
      </c>
      <c r="M475" s="2" t="s">
        <v>14</v>
      </c>
      <c r="N475" s="2" t="s">
        <v>14</v>
      </c>
      <c r="O475" s="2">
        <v>1</v>
      </c>
    </row>
    <row r="476" spans="1:15" ht="15" customHeight="1" x14ac:dyDescent="0.25">
      <c r="A476" s="3"/>
      <c r="B476" s="3">
        <v>5</v>
      </c>
      <c r="C476" s="3" t="s">
        <v>10</v>
      </c>
      <c r="D476" s="3" t="s">
        <v>19</v>
      </c>
      <c r="E476" s="3">
        <v>0</v>
      </c>
      <c r="F476" s="3">
        <v>0</v>
      </c>
      <c r="G476" s="3" t="s">
        <v>10</v>
      </c>
      <c r="H476" s="3" t="s">
        <v>12</v>
      </c>
      <c r="I476" s="3">
        <v>2</v>
      </c>
      <c r="J476" s="3" t="s">
        <v>14</v>
      </c>
      <c r="K476" s="3" t="s">
        <v>14</v>
      </c>
      <c r="L476" s="3" t="s">
        <v>14</v>
      </c>
      <c r="M476" s="3" t="s">
        <v>14</v>
      </c>
      <c r="N476" s="3" t="s">
        <v>14</v>
      </c>
      <c r="O476" s="3">
        <v>1</v>
      </c>
    </row>
    <row r="477" spans="1:15" ht="15" customHeight="1" x14ac:dyDescent="0.25">
      <c r="A477" s="2"/>
      <c r="B477" s="2">
        <v>10</v>
      </c>
      <c r="C477" s="2" t="s">
        <v>10</v>
      </c>
      <c r="D477" s="2" t="s">
        <v>11</v>
      </c>
      <c r="E477" s="2">
        <v>0</v>
      </c>
      <c r="F477" s="2">
        <v>0</v>
      </c>
      <c r="G477" s="2" t="s">
        <v>10</v>
      </c>
      <c r="H477" s="2" t="s">
        <v>12</v>
      </c>
      <c r="I477" s="2" t="s">
        <v>15</v>
      </c>
      <c r="J477" s="2" t="s">
        <v>14</v>
      </c>
      <c r="K477" s="2" t="s">
        <v>14</v>
      </c>
      <c r="L477" s="2" t="s">
        <v>14</v>
      </c>
      <c r="M477" s="2" t="s">
        <v>14</v>
      </c>
      <c r="N477" s="2" t="s">
        <v>14</v>
      </c>
      <c r="O477" s="2">
        <v>1</v>
      </c>
    </row>
    <row r="478" spans="1:15" ht="15" customHeight="1" x14ac:dyDescent="0.25">
      <c r="A478" s="3"/>
      <c r="B478" s="3">
        <v>5</v>
      </c>
      <c r="C478" s="3" t="s">
        <v>14</v>
      </c>
      <c r="D478" s="3" t="s">
        <v>20</v>
      </c>
      <c r="E478" s="3">
        <v>0</v>
      </c>
      <c r="F478" s="3">
        <v>0</v>
      </c>
      <c r="G478" s="3" t="s">
        <v>10</v>
      </c>
      <c r="H478" s="3" t="s">
        <v>12</v>
      </c>
      <c r="I478" s="3">
        <v>2</v>
      </c>
      <c r="J478" s="3" t="s">
        <v>14</v>
      </c>
      <c r="K478" s="3" t="s">
        <v>14</v>
      </c>
      <c r="L478" s="3" t="s">
        <v>14</v>
      </c>
      <c r="M478" s="3" t="s">
        <v>14</v>
      </c>
      <c r="N478" s="3" t="s">
        <v>14</v>
      </c>
      <c r="O478" s="3">
        <v>1</v>
      </c>
    </row>
    <row r="479" spans="1:15" ht="15" customHeight="1" x14ac:dyDescent="0.25">
      <c r="A479" s="2"/>
      <c r="B479" s="2">
        <v>20</v>
      </c>
      <c r="C479" s="2" t="s">
        <v>10</v>
      </c>
      <c r="D479" s="2" t="s">
        <v>19</v>
      </c>
      <c r="E479" s="2">
        <v>0</v>
      </c>
      <c r="F479" s="2">
        <v>0</v>
      </c>
      <c r="G479" s="2" t="s">
        <v>10</v>
      </c>
      <c r="H479" s="2" t="s">
        <v>12</v>
      </c>
      <c r="I479" s="2">
        <v>2</v>
      </c>
      <c r="J479" s="2" t="s">
        <v>14</v>
      </c>
      <c r="K479" s="2" t="s">
        <v>14</v>
      </c>
      <c r="L479" s="2" t="s">
        <v>14</v>
      </c>
      <c r="M479" s="2" t="s">
        <v>14</v>
      </c>
      <c r="N479" s="2" t="s">
        <v>14</v>
      </c>
      <c r="O479" s="2">
        <v>1</v>
      </c>
    </row>
    <row r="480" spans="1:15" ht="15" customHeight="1" x14ac:dyDescent="0.25">
      <c r="A480" s="3"/>
      <c r="B480" s="3">
        <v>10</v>
      </c>
      <c r="C480" s="3" t="s">
        <v>10</v>
      </c>
      <c r="D480" s="3" t="s">
        <v>19</v>
      </c>
      <c r="E480" s="3">
        <v>0</v>
      </c>
      <c r="F480" s="3">
        <v>0</v>
      </c>
      <c r="G480" s="3" t="s">
        <v>10</v>
      </c>
      <c r="H480" s="3" t="s">
        <v>12</v>
      </c>
      <c r="I480" s="3" t="s">
        <v>15</v>
      </c>
      <c r="J480" s="3" t="s">
        <v>14</v>
      </c>
      <c r="K480" s="3" t="s">
        <v>14</v>
      </c>
      <c r="L480" s="3" t="s">
        <v>14</v>
      </c>
      <c r="M480" s="3" t="s">
        <v>14</v>
      </c>
      <c r="N480" s="3" t="s">
        <v>14</v>
      </c>
      <c r="O480" s="3">
        <v>1</v>
      </c>
    </row>
    <row r="481" spans="1:15" ht="15" customHeight="1" x14ac:dyDescent="0.25">
      <c r="A481" s="2"/>
      <c r="B481" s="2">
        <v>5</v>
      </c>
      <c r="C481" s="2" t="s">
        <v>18</v>
      </c>
      <c r="D481" s="2" t="s">
        <v>19</v>
      </c>
      <c r="E481" s="2">
        <v>0</v>
      </c>
      <c r="F481" s="2">
        <v>0</v>
      </c>
      <c r="G481" s="2" t="s">
        <v>10</v>
      </c>
      <c r="H481" s="2" t="s">
        <v>12</v>
      </c>
      <c r="I481" s="2" t="s">
        <v>15</v>
      </c>
      <c r="J481" s="2" t="s">
        <v>14</v>
      </c>
      <c r="K481" s="2" t="s">
        <v>14</v>
      </c>
      <c r="L481" s="2" t="s">
        <v>14</v>
      </c>
      <c r="M481" s="2" t="s">
        <v>14</v>
      </c>
      <c r="N481" s="2" t="s">
        <v>14</v>
      </c>
      <c r="O481" s="2">
        <v>1</v>
      </c>
    </row>
    <row r="482" spans="1:15" ht="15" customHeight="1" x14ac:dyDescent="0.25">
      <c r="A482" s="3"/>
      <c r="B482" s="3">
        <v>10</v>
      </c>
      <c r="C482" s="3" t="s">
        <v>10</v>
      </c>
      <c r="D482" s="3" t="s">
        <v>19</v>
      </c>
      <c r="E482" s="3">
        <v>0</v>
      </c>
      <c r="F482" s="3">
        <v>1</v>
      </c>
      <c r="G482" s="3" t="s">
        <v>10</v>
      </c>
      <c r="H482" s="3" t="s">
        <v>12</v>
      </c>
      <c r="I482" s="3" t="s">
        <v>15</v>
      </c>
      <c r="J482" s="3" t="s">
        <v>14</v>
      </c>
      <c r="K482" s="3" t="s">
        <v>14</v>
      </c>
      <c r="L482" s="3" t="s">
        <v>14</v>
      </c>
      <c r="M482" s="3" t="s">
        <v>14</v>
      </c>
      <c r="N482" s="3" t="s">
        <v>14</v>
      </c>
      <c r="O482" s="3">
        <v>1</v>
      </c>
    </row>
    <row r="483" spans="1:15" ht="15" customHeight="1" x14ac:dyDescent="0.25">
      <c r="A483" s="2"/>
      <c r="B483" s="2">
        <v>10</v>
      </c>
      <c r="C483" s="2" t="s">
        <v>10</v>
      </c>
      <c r="D483" s="2" t="s">
        <v>11</v>
      </c>
      <c r="E483" s="2">
        <v>1</v>
      </c>
      <c r="F483" s="2">
        <v>1</v>
      </c>
      <c r="G483" s="2" t="s">
        <v>10</v>
      </c>
      <c r="H483" s="2" t="s">
        <v>16</v>
      </c>
      <c r="I483" s="2" t="s">
        <v>15</v>
      </c>
      <c r="J483" s="2" t="s">
        <v>14</v>
      </c>
      <c r="K483" s="2" t="s">
        <v>14</v>
      </c>
      <c r="L483" s="2" t="s">
        <v>14</v>
      </c>
      <c r="M483" s="2" t="s">
        <v>13</v>
      </c>
      <c r="N483" s="2" t="s">
        <v>13</v>
      </c>
      <c r="O483" s="2">
        <v>0</v>
      </c>
    </row>
    <row r="484" spans="1:15" ht="15" customHeight="1" x14ac:dyDescent="0.25">
      <c r="A484" s="3"/>
      <c r="B484" s="3">
        <v>10</v>
      </c>
      <c r="C484" s="3" t="s">
        <v>10</v>
      </c>
      <c r="D484" s="3" t="s">
        <v>19</v>
      </c>
      <c r="E484" s="3">
        <v>0</v>
      </c>
      <c r="F484" s="3">
        <v>1</v>
      </c>
      <c r="G484" s="3" t="s">
        <v>10</v>
      </c>
      <c r="H484" s="3" t="s">
        <v>12</v>
      </c>
      <c r="I484" s="3">
        <v>1</v>
      </c>
      <c r="J484" s="3" t="s">
        <v>13</v>
      </c>
      <c r="K484" s="3" t="s">
        <v>14</v>
      </c>
      <c r="L484" s="3" t="s">
        <v>14</v>
      </c>
      <c r="M484" s="3" t="s">
        <v>14</v>
      </c>
      <c r="N484" s="3" t="s">
        <v>14</v>
      </c>
      <c r="O484" s="3">
        <v>1</v>
      </c>
    </row>
    <row r="485" spans="1:15" ht="15" customHeight="1" x14ac:dyDescent="0.25">
      <c r="A485" s="2"/>
      <c r="B485" s="2">
        <v>5</v>
      </c>
      <c r="C485" s="2" t="s">
        <v>18</v>
      </c>
      <c r="D485" s="2" t="s">
        <v>20</v>
      </c>
      <c r="E485" s="2">
        <v>0</v>
      </c>
      <c r="F485" s="2">
        <v>0</v>
      </c>
      <c r="G485" s="2" t="s">
        <v>10</v>
      </c>
      <c r="H485" s="2" t="s">
        <v>12</v>
      </c>
      <c r="I485" s="2">
        <v>1</v>
      </c>
      <c r="J485" s="2" t="s">
        <v>14</v>
      </c>
      <c r="K485" s="2" t="s">
        <v>14</v>
      </c>
      <c r="L485" s="2" t="s">
        <v>14</v>
      </c>
      <c r="M485" s="2" t="s">
        <v>14</v>
      </c>
      <c r="N485" s="2" t="s">
        <v>14</v>
      </c>
      <c r="O485" s="2">
        <v>1</v>
      </c>
    </row>
    <row r="486" spans="1:15" ht="15" customHeight="1" x14ac:dyDescent="0.25">
      <c r="A486" s="3"/>
      <c r="B486" s="3">
        <v>5</v>
      </c>
      <c r="C486" s="3" t="s">
        <v>14</v>
      </c>
      <c r="D486" s="3" t="s">
        <v>19</v>
      </c>
      <c r="E486" s="3">
        <v>0</v>
      </c>
      <c r="F486" s="3">
        <v>0</v>
      </c>
      <c r="G486" s="3" t="s">
        <v>10</v>
      </c>
      <c r="H486" s="3" t="s">
        <v>12</v>
      </c>
      <c r="I486" s="3" t="s">
        <v>15</v>
      </c>
      <c r="J486" s="3" t="s">
        <v>14</v>
      </c>
      <c r="K486" s="3" t="s">
        <v>14</v>
      </c>
      <c r="L486" s="3" t="s">
        <v>14</v>
      </c>
      <c r="M486" s="3" t="s">
        <v>14</v>
      </c>
      <c r="N486" s="3" t="s">
        <v>14</v>
      </c>
      <c r="O486" s="3">
        <v>1</v>
      </c>
    </row>
    <row r="487" spans="1:15" ht="15" customHeight="1" x14ac:dyDescent="0.25">
      <c r="A487" s="2"/>
      <c r="B487" s="2">
        <v>30</v>
      </c>
      <c r="C487" s="2" t="s">
        <v>10</v>
      </c>
      <c r="D487" s="2" t="s">
        <v>11</v>
      </c>
      <c r="E487" s="2">
        <v>1</v>
      </c>
      <c r="F487" s="2">
        <v>0</v>
      </c>
      <c r="G487" s="2" t="s">
        <v>10</v>
      </c>
      <c r="H487" s="2" t="s">
        <v>12</v>
      </c>
      <c r="I487" s="2">
        <v>2</v>
      </c>
      <c r="J487" s="2" t="s">
        <v>14</v>
      </c>
      <c r="K487" s="2" t="s">
        <v>14</v>
      </c>
      <c r="L487" s="2" t="s">
        <v>14</v>
      </c>
      <c r="M487" s="2" t="s">
        <v>13</v>
      </c>
      <c r="N487" s="2" t="s">
        <v>14</v>
      </c>
      <c r="O487" s="2">
        <v>0</v>
      </c>
    </row>
    <row r="488" spans="1:15" ht="15" customHeight="1" x14ac:dyDescent="0.25">
      <c r="A488" s="3"/>
      <c r="B488" s="3">
        <v>30</v>
      </c>
      <c r="C488" s="3" t="s">
        <v>10</v>
      </c>
      <c r="D488" s="3" t="s">
        <v>19</v>
      </c>
      <c r="E488" s="3">
        <v>1</v>
      </c>
      <c r="F488" s="3">
        <v>0</v>
      </c>
      <c r="G488" s="3" t="s">
        <v>10</v>
      </c>
      <c r="H488" s="3" t="s">
        <v>12</v>
      </c>
      <c r="I488" s="3" t="s">
        <v>15</v>
      </c>
      <c r="J488" s="3" t="s">
        <v>14</v>
      </c>
      <c r="K488" s="3" t="s">
        <v>14</v>
      </c>
      <c r="L488" s="3" t="s">
        <v>14</v>
      </c>
      <c r="M488" s="3" t="s">
        <v>13</v>
      </c>
      <c r="N488" s="3" t="s">
        <v>14</v>
      </c>
      <c r="O488" s="3">
        <v>0</v>
      </c>
    </row>
    <row r="489" spans="1:15" ht="15" customHeight="1" x14ac:dyDescent="0.25">
      <c r="A489" s="2"/>
      <c r="B489" s="2">
        <v>10</v>
      </c>
      <c r="C489" s="2" t="s">
        <v>10</v>
      </c>
      <c r="D489" s="2" t="s">
        <v>11</v>
      </c>
      <c r="E489" s="2">
        <v>0</v>
      </c>
      <c r="F489" s="2">
        <v>2</v>
      </c>
      <c r="G489" s="2" t="s">
        <v>17</v>
      </c>
      <c r="H489" s="2" t="s">
        <v>108</v>
      </c>
      <c r="I489" s="2">
        <v>1</v>
      </c>
      <c r="J489" s="2" t="s">
        <v>14</v>
      </c>
      <c r="K489" s="2" t="s">
        <v>13</v>
      </c>
      <c r="L489" s="2" t="s">
        <v>13</v>
      </c>
      <c r="M489" s="2" t="s">
        <v>13</v>
      </c>
      <c r="N489" s="2" t="s">
        <v>14</v>
      </c>
      <c r="O489" s="2">
        <v>1</v>
      </c>
    </row>
    <row r="490" spans="1:15" ht="15" customHeight="1" x14ac:dyDescent="0.25">
      <c r="A490" s="3"/>
      <c r="B490" s="3">
        <v>0</v>
      </c>
      <c r="C490" s="3" t="s">
        <v>14</v>
      </c>
      <c r="D490" s="3" t="s">
        <v>11</v>
      </c>
      <c r="E490" s="3">
        <v>0</v>
      </c>
      <c r="F490" s="3">
        <v>1</v>
      </c>
      <c r="G490" s="3" t="s">
        <v>10</v>
      </c>
      <c r="H490" s="3" t="s">
        <v>12</v>
      </c>
      <c r="I490" s="3">
        <v>1</v>
      </c>
      <c r="J490" s="3" t="s">
        <v>14</v>
      </c>
      <c r="K490" s="3" t="s">
        <v>13</v>
      </c>
      <c r="L490" s="3" t="s">
        <v>13</v>
      </c>
      <c r="M490" s="3" t="s">
        <v>14</v>
      </c>
      <c r="N490" s="3" t="s">
        <v>14</v>
      </c>
      <c r="O490" s="3">
        <v>0</v>
      </c>
    </row>
    <row r="491" spans="1:15" ht="15" customHeight="1" x14ac:dyDescent="0.25">
      <c r="A491" s="2"/>
      <c r="B491" s="2">
        <v>30</v>
      </c>
      <c r="C491" s="2" t="s">
        <v>10</v>
      </c>
      <c r="D491" s="2" t="s">
        <v>19</v>
      </c>
      <c r="E491" s="2">
        <v>1</v>
      </c>
      <c r="F491" s="2">
        <v>0</v>
      </c>
      <c r="G491" s="2" t="s">
        <v>10</v>
      </c>
      <c r="H491" s="2" t="s">
        <v>12</v>
      </c>
      <c r="I491" s="2">
        <v>1</v>
      </c>
      <c r="J491" s="2" t="s">
        <v>14</v>
      </c>
      <c r="K491" s="2" t="s">
        <v>14</v>
      </c>
      <c r="L491" s="2" t="s">
        <v>14</v>
      </c>
      <c r="M491" s="2" t="s">
        <v>13</v>
      </c>
      <c r="N491" s="2" t="s">
        <v>14</v>
      </c>
      <c r="O491" s="2">
        <v>1</v>
      </c>
    </row>
    <row r="492" spans="1:15" ht="15" customHeight="1" x14ac:dyDescent="0.25">
      <c r="A492" s="3"/>
      <c r="B492" s="3">
        <v>20</v>
      </c>
      <c r="C492" s="3" t="s">
        <v>10</v>
      </c>
      <c r="D492" s="3" t="s">
        <v>11</v>
      </c>
      <c r="E492" s="3">
        <v>0</v>
      </c>
      <c r="F492" s="3">
        <v>1</v>
      </c>
      <c r="G492" s="3" t="s">
        <v>10</v>
      </c>
      <c r="H492" s="3" t="s">
        <v>12</v>
      </c>
      <c r="I492" s="3" t="s">
        <v>15</v>
      </c>
      <c r="J492" s="3" t="s">
        <v>13</v>
      </c>
      <c r="K492" s="3" t="s">
        <v>14</v>
      </c>
      <c r="L492" s="3" t="s">
        <v>14</v>
      </c>
      <c r="M492" s="3" t="s">
        <v>13</v>
      </c>
      <c r="N492" s="3" t="s">
        <v>13</v>
      </c>
      <c r="O492" s="3">
        <v>1</v>
      </c>
    </row>
    <row r="493" spans="1:15" ht="15" customHeight="1" x14ac:dyDescent="0.25">
      <c r="A493" s="2"/>
      <c r="B493" s="2">
        <v>5</v>
      </c>
      <c r="C493" s="2" t="s">
        <v>18</v>
      </c>
      <c r="D493" s="2" t="s">
        <v>19</v>
      </c>
      <c r="E493" s="2">
        <v>0</v>
      </c>
      <c r="F493" s="2">
        <v>1</v>
      </c>
      <c r="G493" s="2" t="s">
        <v>10</v>
      </c>
      <c r="H493" s="2" t="s">
        <v>12</v>
      </c>
      <c r="I493" s="2" t="s">
        <v>15</v>
      </c>
      <c r="J493" s="2" t="s">
        <v>14</v>
      </c>
      <c r="K493" s="2" t="s">
        <v>14</v>
      </c>
      <c r="L493" s="2" t="s">
        <v>14</v>
      </c>
      <c r="M493" s="2" t="s">
        <v>14</v>
      </c>
      <c r="N493" s="2" t="s">
        <v>14</v>
      </c>
      <c r="O493" s="2">
        <v>1</v>
      </c>
    </row>
    <row r="494" spans="1:15" ht="15" customHeight="1" x14ac:dyDescent="0.25">
      <c r="A494" s="3"/>
      <c r="B494" s="3">
        <v>20</v>
      </c>
      <c r="C494" s="3" t="s">
        <v>10</v>
      </c>
      <c r="D494" s="3" t="s">
        <v>11</v>
      </c>
      <c r="E494" s="3">
        <v>1</v>
      </c>
      <c r="F494" s="3">
        <v>0</v>
      </c>
      <c r="G494" s="3" t="s">
        <v>10</v>
      </c>
      <c r="H494" s="3" t="s">
        <v>12</v>
      </c>
      <c r="I494" s="3">
        <v>2</v>
      </c>
      <c r="J494" s="3" t="s">
        <v>14</v>
      </c>
      <c r="K494" s="3" t="s">
        <v>14</v>
      </c>
      <c r="L494" s="3" t="s">
        <v>14</v>
      </c>
      <c r="M494" s="3" t="s">
        <v>13</v>
      </c>
      <c r="N494" s="3" t="s">
        <v>13</v>
      </c>
      <c r="O494" s="3">
        <v>0</v>
      </c>
    </row>
    <row r="495" spans="1:15" ht="15" customHeight="1" x14ac:dyDescent="0.25">
      <c r="A495" s="2"/>
      <c r="B495" s="2">
        <v>0</v>
      </c>
      <c r="C495" s="2" t="s">
        <v>10</v>
      </c>
      <c r="D495" s="2" t="s">
        <v>11</v>
      </c>
      <c r="E495" s="2">
        <v>1</v>
      </c>
      <c r="F495" s="2">
        <v>0</v>
      </c>
      <c r="G495" s="2" t="s">
        <v>10</v>
      </c>
      <c r="H495" s="2" t="s">
        <v>12</v>
      </c>
      <c r="I495" s="2">
        <v>2</v>
      </c>
      <c r="J495" s="2" t="s">
        <v>13</v>
      </c>
      <c r="K495" s="2" t="s">
        <v>14</v>
      </c>
      <c r="L495" s="2" t="s">
        <v>14</v>
      </c>
      <c r="M495" s="2" t="s">
        <v>14</v>
      </c>
      <c r="N495" s="2" t="s">
        <v>14</v>
      </c>
      <c r="O495" s="2">
        <v>0</v>
      </c>
    </row>
    <row r="496" spans="1:15" ht="15" customHeight="1" x14ac:dyDescent="0.25">
      <c r="A496" s="3"/>
      <c r="B496" s="3">
        <v>5</v>
      </c>
      <c r="C496" s="3" t="s">
        <v>10</v>
      </c>
      <c r="D496" s="3" t="s">
        <v>19</v>
      </c>
      <c r="E496" s="3">
        <v>1</v>
      </c>
      <c r="F496" s="3">
        <v>0</v>
      </c>
      <c r="G496" s="3" t="s">
        <v>10</v>
      </c>
      <c r="H496" s="3" t="s">
        <v>12</v>
      </c>
      <c r="I496" s="3">
        <v>1</v>
      </c>
      <c r="J496" s="3" t="s">
        <v>14</v>
      </c>
      <c r="K496" s="3" t="s">
        <v>13</v>
      </c>
      <c r="L496" s="3" t="s">
        <v>13</v>
      </c>
      <c r="M496" s="3" t="s">
        <v>14</v>
      </c>
      <c r="N496" s="3" t="s">
        <v>14</v>
      </c>
      <c r="O496" s="3">
        <v>1</v>
      </c>
    </row>
    <row r="497" spans="1:15" ht="15" customHeight="1" x14ac:dyDescent="0.25">
      <c r="A497" s="2"/>
      <c r="B497" s="2">
        <v>5</v>
      </c>
      <c r="C497" s="2" t="s">
        <v>18</v>
      </c>
      <c r="D497" s="2" t="s">
        <v>19</v>
      </c>
      <c r="E497" s="2">
        <v>0</v>
      </c>
      <c r="F497" s="2">
        <v>0</v>
      </c>
      <c r="G497" s="2" t="s">
        <v>17</v>
      </c>
      <c r="H497" s="2" t="s">
        <v>108</v>
      </c>
      <c r="I497" s="2">
        <v>1</v>
      </c>
      <c r="J497" s="2" t="s">
        <v>14</v>
      </c>
      <c r="K497" s="2" t="s">
        <v>13</v>
      </c>
      <c r="L497" s="2" t="s">
        <v>13</v>
      </c>
      <c r="M497" s="2" t="s">
        <v>13</v>
      </c>
      <c r="N497" s="2" t="s">
        <v>14</v>
      </c>
      <c r="O497" s="2">
        <v>1</v>
      </c>
    </row>
    <row r="498" spans="1:15" ht="15" customHeight="1" x14ac:dyDescent="0.25">
      <c r="A498" s="3"/>
      <c r="B498" s="3">
        <v>20</v>
      </c>
      <c r="C498" s="3" t="s">
        <v>10</v>
      </c>
      <c r="D498" s="3" t="s">
        <v>19</v>
      </c>
      <c r="E498" s="3">
        <v>0</v>
      </c>
      <c r="F498" s="3">
        <v>0</v>
      </c>
      <c r="G498" s="3" t="s">
        <v>10</v>
      </c>
      <c r="H498" s="3" t="s">
        <v>16</v>
      </c>
      <c r="I498" s="3" t="s">
        <v>15</v>
      </c>
      <c r="J498" s="3" t="s">
        <v>14</v>
      </c>
      <c r="K498" s="3" t="s">
        <v>14</v>
      </c>
      <c r="L498" s="3" t="s">
        <v>14</v>
      </c>
      <c r="M498" s="3" t="s">
        <v>14</v>
      </c>
      <c r="N498" s="3" t="s">
        <v>14</v>
      </c>
      <c r="O498" s="3">
        <v>1</v>
      </c>
    </row>
    <row r="499" spans="1:15" ht="15" customHeight="1" x14ac:dyDescent="0.25">
      <c r="A499" s="2"/>
      <c r="B499" s="2">
        <v>5</v>
      </c>
      <c r="C499" s="2" t="s">
        <v>10</v>
      </c>
      <c r="D499" s="2" t="s">
        <v>20</v>
      </c>
      <c r="E499" s="2">
        <v>0</v>
      </c>
      <c r="F499" s="2">
        <v>0</v>
      </c>
      <c r="G499" s="2" t="s">
        <v>17</v>
      </c>
      <c r="H499" s="2" t="s">
        <v>108</v>
      </c>
      <c r="I499" s="2">
        <v>1</v>
      </c>
      <c r="J499" s="2" t="s">
        <v>14</v>
      </c>
      <c r="K499" s="2" t="s">
        <v>13</v>
      </c>
      <c r="L499" s="2" t="s">
        <v>13</v>
      </c>
      <c r="M499" s="2" t="s">
        <v>13</v>
      </c>
      <c r="N499" s="2" t="s">
        <v>14</v>
      </c>
      <c r="O499" s="2">
        <v>1</v>
      </c>
    </row>
    <row r="500" spans="1:15" ht="15" customHeight="1" x14ac:dyDescent="0.25">
      <c r="A500" s="3"/>
      <c r="B500" s="3">
        <v>20</v>
      </c>
      <c r="C500" s="3" t="s">
        <v>18</v>
      </c>
      <c r="D500" s="3" t="s">
        <v>20</v>
      </c>
      <c r="E500" s="3">
        <v>0</v>
      </c>
      <c r="F500" s="3">
        <v>0</v>
      </c>
      <c r="G500" s="3" t="s">
        <v>10</v>
      </c>
      <c r="H500" s="3" t="s">
        <v>16</v>
      </c>
      <c r="I500" s="3">
        <v>1</v>
      </c>
      <c r="J500" s="3" t="s">
        <v>14</v>
      </c>
      <c r="K500" s="3" t="s">
        <v>14</v>
      </c>
      <c r="L500" s="3" t="s">
        <v>14</v>
      </c>
      <c r="M500" s="3" t="s">
        <v>14</v>
      </c>
      <c r="N500" s="3" t="s">
        <v>14</v>
      </c>
      <c r="O500" s="3">
        <v>1</v>
      </c>
    </row>
    <row r="501" spans="1:15" ht="15" customHeight="1" x14ac:dyDescent="0.25">
      <c r="A501" s="2"/>
      <c r="B501" s="2">
        <v>5</v>
      </c>
      <c r="C501" s="2" t="s">
        <v>14</v>
      </c>
      <c r="D501" s="2" t="s">
        <v>20</v>
      </c>
      <c r="E501" s="2">
        <v>0</v>
      </c>
      <c r="F501" s="2">
        <v>0</v>
      </c>
      <c r="G501" s="2" t="s">
        <v>10</v>
      </c>
      <c r="H501" s="2" t="s">
        <v>12</v>
      </c>
      <c r="I501" s="2">
        <v>2</v>
      </c>
      <c r="J501" s="2" t="s">
        <v>14</v>
      </c>
      <c r="K501" s="2" t="s">
        <v>14</v>
      </c>
      <c r="L501" s="2" t="s">
        <v>14</v>
      </c>
      <c r="M501" s="2" t="s">
        <v>14</v>
      </c>
      <c r="N501" s="2" t="s">
        <v>14</v>
      </c>
      <c r="O501" s="2">
        <v>1</v>
      </c>
    </row>
    <row r="502" spans="1:15" ht="15" customHeight="1" x14ac:dyDescent="0.25">
      <c r="A502" s="3"/>
      <c r="B502" s="3">
        <v>20</v>
      </c>
      <c r="C502" s="3" t="s">
        <v>10</v>
      </c>
      <c r="D502" s="3" t="s">
        <v>19</v>
      </c>
      <c r="E502" s="3">
        <v>0</v>
      </c>
      <c r="F502" s="3">
        <v>0</v>
      </c>
      <c r="G502" s="3" t="s">
        <v>10</v>
      </c>
      <c r="H502" s="3" t="s">
        <v>12</v>
      </c>
      <c r="I502" s="3">
        <v>2</v>
      </c>
      <c r="J502" s="3" t="s">
        <v>14</v>
      </c>
      <c r="K502" s="3" t="s">
        <v>14</v>
      </c>
      <c r="L502" s="3" t="s">
        <v>14</v>
      </c>
      <c r="M502" s="3" t="s">
        <v>13</v>
      </c>
      <c r="N502" s="3" t="s">
        <v>14</v>
      </c>
      <c r="O502" s="3">
        <v>1</v>
      </c>
    </row>
    <row r="503" spans="1:15" ht="15" customHeight="1" x14ac:dyDescent="0.25">
      <c r="A503" s="2"/>
      <c r="B503" s="2">
        <v>5</v>
      </c>
      <c r="C503" s="2" t="s">
        <v>14</v>
      </c>
      <c r="D503" s="2" t="s">
        <v>19</v>
      </c>
      <c r="E503" s="2">
        <v>0</v>
      </c>
      <c r="F503" s="2">
        <v>0</v>
      </c>
      <c r="G503" s="2" t="s">
        <v>10</v>
      </c>
      <c r="H503" s="2" t="s">
        <v>16</v>
      </c>
      <c r="I503" s="2">
        <v>2</v>
      </c>
      <c r="J503" s="2" t="s">
        <v>14</v>
      </c>
      <c r="K503" s="2" t="s">
        <v>13</v>
      </c>
      <c r="L503" s="2" t="s">
        <v>14</v>
      </c>
      <c r="M503" s="2" t="s">
        <v>14</v>
      </c>
      <c r="N503" s="2" t="s">
        <v>14</v>
      </c>
      <c r="O503" s="2">
        <v>1</v>
      </c>
    </row>
    <row r="504" spans="1:15" ht="15" customHeight="1" x14ac:dyDescent="0.25">
      <c r="A504" s="3"/>
      <c r="B504" s="3">
        <v>5</v>
      </c>
      <c r="C504" s="3" t="s">
        <v>10</v>
      </c>
      <c r="D504" s="3" t="s">
        <v>19</v>
      </c>
      <c r="E504" s="3">
        <v>0</v>
      </c>
      <c r="F504" s="3">
        <v>0</v>
      </c>
      <c r="G504" s="3" t="s">
        <v>10</v>
      </c>
      <c r="H504" s="3" t="s">
        <v>12</v>
      </c>
      <c r="I504" s="3" t="s">
        <v>15</v>
      </c>
      <c r="J504" s="3" t="s">
        <v>14</v>
      </c>
      <c r="K504" s="3" t="s">
        <v>14</v>
      </c>
      <c r="L504" s="3" t="s">
        <v>14</v>
      </c>
      <c r="M504" s="3" t="s">
        <v>14</v>
      </c>
      <c r="N504" s="3" t="s">
        <v>14</v>
      </c>
      <c r="O504" s="3">
        <v>1</v>
      </c>
    </row>
    <row r="505" spans="1:15" ht="15" customHeight="1" x14ac:dyDescent="0.25">
      <c r="A505" s="2"/>
      <c r="B505" s="2">
        <v>10</v>
      </c>
      <c r="C505" s="2" t="s">
        <v>10</v>
      </c>
      <c r="D505" s="2" t="s">
        <v>11</v>
      </c>
      <c r="E505" s="2">
        <v>0</v>
      </c>
      <c r="F505" s="2">
        <v>0</v>
      </c>
      <c r="G505" s="2" t="s">
        <v>10</v>
      </c>
      <c r="H505" s="2" t="s">
        <v>12</v>
      </c>
      <c r="I505" s="2" t="s">
        <v>15</v>
      </c>
      <c r="J505" s="2" t="s">
        <v>14</v>
      </c>
      <c r="K505" s="2" t="s">
        <v>14</v>
      </c>
      <c r="L505" s="2" t="s">
        <v>14</v>
      </c>
      <c r="M505" s="2" t="s">
        <v>13</v>
      </c>
      <c r="N505" s="2" t="s">
        <v>13</v>
      </c>
      <c r="O505" s="2">
        <v>1</v>
      </c>
    </row>
    <row r="506" spans="1:15" ht="15" customHeight="1" x14ac:dyDescent="0.25">
      <c r="A506" s="3"/>
      <c r="B506" s="3">
        <v>5</v>
      </c>
      <c r="C506" s="3" t="s">
        <v>14</v>
      </c>
      <c r="D506" s="3" t="s">
        <v>11</v>
      </c>
      <c r="E506" s="3">
        <v>0</v>
      </c>
      <c r="F506" s="3">
        <v>1</v>
      </c>
      <c r="G506" s="3" t="s">
        <v>10</v>
      </c>
      <c r="H506" s="3" t="s">
        <v>12</v>
      </c>
      <c r="I506" s="3">
        <v>2</v>
      </c>
      <c r="J506" s="3" t="s">
        <v>14</v>
      </c>
      <c r="K506" s="3" t="s">
        <v>13</v>
      </c>
      <c r="L506" s="3" t="s">
        <v>14</v>
      </c>
      <c r="M506" s="3" t="s">
        <v>14</v>
      </c>
      <c r="N506" s="3" t="s">
        <v>14</v>
      </c>
      <c r="O506" s="3">
        <v>1</v>
      </c>
    </row>
    <row r="507" spans="1:15" ht="15" customHeight="1" x14ac:dyDescent="0.25">
      <c r="A507" s="2"/>
      <c r="B507" s="2">
        <v>5</v>
      </c>
      <c r="C507" s="2" t="s">
        <v>14</v>
      </c>
      <c r="D507" s="2" t="s">
        <v>11</v>
      </c>
      <c r="E507" s="2">
        <v>0</v>
      </c>
      <c r="F507" s="2">
        <v>0</v>
      </c>
      <c r="G507" s="2" t="s">
        <v>10</v>
      </c>
      <c r="H507" s="2" t="s">
        <v>16</v>
      </c>
      <c r="I507" s="2">
        <v>1</v>
      </c>
      <c r="J507" s="2" t="s">
        <v>14</v>
      </c>
      <c r="K507" s="2" t="s">
        <v>14</v>
      </c>
      <c r="L507" s="2" t="s">
        <v>14</v>
      </c>
      <c r="M507" s="2" t="s">
        <v>14</v>
      </c>
      <c r="N507" s="2" t="s">
        <v>14</v>
      </c>
      <c r="O507" s="2">
        <v>1</v>
      </c>
    </row>
    <row r="508" spans="1:15" ht="15" customHeight="1" x14ac:dyDescent="0.25">
      <c r="A508" s="3"/>
      <c r="B508" s="3">
        <v>10</v>
      </c>
      <c r="C508" s="3" t="s">
        <v>14</v>
      </c>
      <c r="D508" s="3" t="s">
        <v>11</v>
      </c>
      <c r="E508" s="3">
        <v>0</v>
      </c>
      <c r="F508" s="3">
        <v>0</v>
      </c>
      <c r="G508" s="3" t="s">
        <v>10</v>
      </c>
      <c r="H508" s="3" t="s">
        <v>12</v>
      </c>
      <c r="I508" s="3" t="s">
        <v>15</v>
      </c>
      <c r="J508" s="3" t="s">
        <v>14</v>
      </c>
      <c r="K508" s="3" t="s">
        <v>14</v>
      </c>
      <c r="L508" s="3" t="s">
        <v>14</v>
      </c>
      <c r="M508" s="3" t="s">
        <v>14</v>
      </c>
      <c r="N508" s="3" t="s">
        <v>14</v>
      </c>
      <c r="O508" s="3">
        <v>1</v>
      </c>
    </row>
    <row r="509" spans="1:15" ht="15" customHeight="1" x14ac:dyDescent="0.25">
      <c r="A509" s="2"/>
      <c r="B509" s="2">
        <v>10</v>
      </c>
      <c r="C509" s="2" t="s">
        <v>18</v>
      </c>
      <c r="D509" s="2" t="s">
        <v>19</v>
      </c>
      <c r="E509" s="2">
        <v>0</v>
      </c>
      <c r="F509" s="2">
        <v>0</v>
      </c>
      <c r="G509" s="2" t="s">
        <v>10</v>
      </c>
      <c r="H509" s="2" t="s">
        <v>12</v>
      </c>
      <c r="I509" s="2" t="s">
        <v>15</v>
      </c>
      <c r="J509" s="2" t="s">
        <v>14</v>
      </c>
      <c r="K509" s="2" t="s">
        <v>14</v>
      </c>
      <c r="L509" s="2" t="s">
        <v>14</v>
      </c>
      <c r="M509" s="2" t="s">
        <v>14</v>
      </c>
      <c r="N509" s="2" t="s">
        <v>14</v>
      </c>
      <c r="O509" s="2">
        <v>1</v>
      </c>
    </row>
    <row r="510" spans="1:15" ht="15" customHeight="1" x14ac:dyDescent="0.25">
      <c r="A510" s="3"/>
      <c r="B510" s="3">
        <v>20</v>
      </c>
      <c r="C510" s="3" t="s">
        <v>14</v>
      </c>
      <c r="D510" s="3" t="s">
        <v>19</v>
      </c>
      <c r="E510" s="3">
        <v>0</v>
      </c>
      <c r="F510" s="3">
        <v>0</v>
      </c>
      <c r="G510" s="3" t="s">
        <v>10</v>
      </c>
      <c r="H510" s="3" t="s">
        <v>12</v>
      </c>
      <c r="I510" s="3">
        <v>2</v>
      </c>
      <c r="J510" s="3" t="s">
        <v>14</v>
      </c>
      <c r="K510" s="3" t="s">
        <v>14</v>
      </c>
      <c r="L510" s="3" t="s">
        <v>14</v>
      </c>
      <c r="M510" s="3" t="s">
        <v>14</v>
      </c>
      <c r="N510" s="3" t="s">
        <v>13</v>
      </c>
      <c r="O510" s="3">
        <v>1</v>
      </c>
    </row>
    <row r="511" spans="1:15" ht="15" customHeight="1" x14ac:dyDescent="0.25">
      <c r="A511" s="2"/>
      <c r="B511" s="2">
        <v>20</v>
      </c>
      <c r="C511" s="2" t="s">
        <v>10</v>
      </c>
      <c r="D511" s="2" t="s">
        <v>11</v>
      </c>
      <c r="E511" s="2">
        <v>2</v>
      </c>
      <c r="F511" s="2">
        <v>0</v>
      </c>
      <c r="G511" s="2" t="s">
        <v>10</v>
      </c>
      <c r="H511" s="2" t="s">
        <v>12</v>
      </c>
      <c r="I511" s="2">
        <v>2</v>
      </c>
      <c r="J511" s="2" t="s">
        <v>14</v>
      </c>
      <c r="K511" s="2" t="s">
        <v>14</v>
      </c>
      <c r="L511" s="2" t="s">
        <v>14</v>
      </c>
      <c r="M511" s="2" t="s">
        <v>13</v>
      </c>
      <c r="N511" s="2" t="s">
        <v>13</v>
      </c>
      <c r="O511" s="2">
        <v>0</v>
      </c>
    </row>
    <row r="512" spans="1:15" ht="15" customHeight="1" x14ac:dyDescent="0.25">
      <c r="A512" s="3"/>
      <c r="B512" s="3">
        <v>5</v>
      </c>
      <c r="C512" s="3" t="s">
        <v>10</v>
      </c>
      <c r="D512" s="3" t="s">
        <v>20</v>
      </c>
      <c r="E512" s="3">
        <v>0</v>
      </c>
      <c r="F512" s="3">
        <v>0</v>
      </c>
      <c r="G512" s="3" t="s">
        <v>17</v>
      </c>
      <c r="H512" s="3" t="s">
        <v>108</v>
      </c>
      <c r="I512" s="3">
        <v>1</v>
      </c>
      <c r="J512" s="3" t="s">
        <v>14</v>
      </c>
      <c r="K512" s="3" t="s">
        <v>13</v>
      </c>
      <c r="L512" s="3" t="s">
        <v>13</v>
      </c>
      <c r="M512" s="3" t="s">
        <v>13</v>
      </c>
      <c r="N512" s="3" t="s">
        <v>14</v>
      </c>
      <c r="O512" s="3">
        <v>1</v>
      </c>
    </row>
    <row r="513" spans="1:15" ht="15" customHeight="1" x14ac:dyDescent="0.25">
      <c r="A513" s="2"/>
      <c r="B513" s="2">
        <v>5</v>
      </c>
      <c r="C513" s="2" t="s">
        <v>10</v>
      </c>
      <c r="D513" s="2" t="s">
        <v>20</v>
      </c>
      <c r="E513" s="2">
        <v>1</v>
      </c>
      <c r="F513" s="2">
        <v>0</v>
      </c>
      <c r="G513" s="2" t="s">
        <v>17</v>
      </c>
      <c r="H513" s="2" t="s">
        <v>108</v>
      </c>
      <c r="I513" s="2">
        <v>1</v>
      </c>
      <c r="J513" s="2" t="s">
        <v>14</v>
      </c>
      <c r="K513" s="2" t="s">
        <v>13</v>
      </c>
      <c r="L513" s="2" t="s">
        <v>13</v>
      </c>
      <c r="M513" s="2" t="s">
        <v>13</v>
      </c>
      <c r="N513" s="2" t="s">
        <v>14</v>
      </c>
      <c r="O513" s="2">
        <v>0</v>
      </c>
    </row>
    <row r="514" spans="1:15" ht="15" customHeight="1" x14ac:dyDescent="0.25">
      <c r="A514" s="3"/>
      <c r="B514" s="3">
        <v>5</v>
      </c>
      <c r="C514" s="3" t="s">
        <v>14</v>
      </c>
      <c r="D514" s="3" t="s">
        <v>11</v>
      </c>
      <c r="E514" s="3">
        <v>0</v>
      </c>
      <c r="F514" s="3">
        <v>0</v>
      </c>
      <c r="G514" s="3" t="s">
        <v>10</v>
      </c>
      <c r="H514" s="3" t="s">
        <v>12</v>
      </c>
      <c r="I514" s="3">
        <v>1</v>
      </c>
      <c r="J514" s="3" t="s">
        <v>14</v>
      </c>
      <c r="K514" s="3" t="s">
        <v>13</v>
      </c>
      <c r="L514" s="3" t="s">
        <v>13</v>
      </c>
      <c r="M514" s="3" t="s">
        <v>14</v>
      </c>
      <c r="N514" s="3" t="s">
        <v>14</v>
      </c>
      <c r="O514" s="3">
        <v>1</v>
      </c>
    </row>
    <row r="515" spans="1:15" ht="15" customHeight="1" x14ac:dyDescent="0.25">
      <c r="A515" s="2"/>
      <c r="B515" s="2">
        <v>5</v>
      </c>
      <c r="C515" s="2" t="s">
        <v>10</v>
      </c>
      <c r="D515" s="2" t="s">
        <v>11</v>
      </c>
      <c r="E515" s="2">
        <v>0</v>
      </c>
      <c r="F515" s="2">
        <v>0</v>
      </c>
      <c r="G515" s="2" t="s">
        <v>10</v>
      </c>
      <c r="H515" s="2" t="s">
        <v>12</v>
      </c>
      <c r="I515" s="2">
        <v>2</v>
      </c>
      <c r="J515" s="2" t="s">
        <v>14</v>
      </c>
      <c r="K515" s="2" t="s">
        <v>14</v>
      </c>
      <c r="L515" s="2" t="s">
        <v>14</v>
      </c>
      <c r="M515" s="2" t="s">
        <v>14</v>
      </c>
      <c r="N515" s="2" t="s">
        <v>14</v>
      </c>
      <c r="O515" s="2">
        <v>1</v>
      </c>
    </row>
    <row r="516" spans="1:15" ht="15" customHeight="1" x14ac:dyDescent="0.25">
      <c r="A516" s="3"/>
      <c r="B516" s="3">
        <v>10</v>
      </c>
      <c r="C516" s="3" t="s">
        <v>18</v>
      </c>
      <c r="D516" s="3" t="s">
        <v>11</v>
      </c>
      <c r="E516" s="3">
        <v>2</v>
      </c>
      <c r="F516" s="3">
        <v>0</v>
      </c>
      <c r="G516" s="3" t="s">
        <v>10</v>
      </c>
      <c r="H516" s="3" t="s">
        <v>12</v>
      </c>
      <c r="I516" s="3" t="s">
        <v>15</v>
      </c>
      <c r="J516" s="3" t="s">
        <v>14</v>
      </c>
      <c r="K516" s="3" t="s">
        <v>14</v>
      </c>
      <c r="L516" s="3" t="s">
        <v>14</v>
      </c>
      <c r="M516" s="3" t="s">
        <v>13</v>
      </c>
      <c r="N516" s="3" t="s">
        <v>13</v>
      </c>
      <c r="O516" s="3">
        <v>0</v>
      </c>
    </row>
    <row r="517" spans="1:15" ht="15" customHeight="1" x14ac:dyDescent="0.25">
      <c r="A517" s="2"/>
      <c r="B517" s="2">
        <v>10</v>
      </c>
      <c r="C517" s="2" t="s">
        <v>10</v>
      </c>
      <c r="D517" s="2" t="s">
        <v>20</v>
      </c>
      <c r="E517" s="2">
        <v>0</v>
      </c>
      <c r="F517" s="2">
        <v>1</v>
      </c>
      <c r="G517" s="2" t="s">
        <v>17</v>
      </c>
      <c r="H517" s="2" t="s">
        <v>108</v>
      </c>
      <c r="I517" s="2">
        <v>1</v>
      </c>
      <c r="J517" s="2" t="s">
        <v>14</v>
      </c>
      <c r="K517" s="2" t="s">
        <v>13</v>
      </c>
      <c r="L517" s="2" t="s">
        <v>13</v>
      </c>
      <c r="M517" s="2" t="s">
        <v>13</v>
      </c>
      <c r="N517" s="2" t="s">
        <v>14</v>
      </c>
      <c r="O517" s="2">
        <v>0</v>
      </c>
    </row>
    <row r="518" spans="1:15" ht="15" customHeight="1" x14ac:dyDescent="0.25">
      <c r="A518" s="3"/>
      <c r="B518" s="3">
        <v>10</v>
      </c>
      <c r="C518" s="3" t="s">
        <v>18</v>
      </c>
      <c r="D518" s="3" t="s">
        <v>11</v>
      </c>
      <c r="E518" s="3">
        <v>0</v>
      </c>
      <c r="F518" s="3">
        <v>0</v>
      </c>
      <c r="G518" s="3" t="s">
        <v>10</v>
      </c>
      <c r="H518" s="3" t="s">
        <v>12</v>
      </c>
      <c r="I518" s="3" t="s">
        <v>15</v>
      </c>
      <c r="J518" s="3" t="s">
        <v>14</v>
      </c>
      <c r="K518" s="3" t="s">
        <v>14</v>
      </c>
      <c r="L518" s="3" t="s">
        <v>14</v>
      </c>
      <c r="M518" s="3" t="s">
        <v>14</v>
      </c>
      <c r="N518" s="3" t="s">
        <v>14</v>
      </c>
      <c r="O518" s="3">
        <v>1</v>
      </c>
    </row>
    <row r="519" spans="1:15" ht="15" customHeight="1" x14ac:dyDescent="0.25">
      <c r="A519" s="2"/>
      <c r="B519" s="2">
        <v>20</v>
      </c>
      <c r="C519" s="2" t="s">
        <v>10</v>
      </c>
      <c r="D519" s="2" t="s">
        <v>11</v>
      </c>
      <c r="E519" s="2">
        <v>1</v>
      </c>
      <c r="F519" s="2">
        <v>1</v>
      </c>
      <c r="G519" s="2" t="s">
        <v>10</v>
      </c>
      <c r="H519" s="2" t="s">
        <v>12</v>
      </c>
      <c r="I519" s="2">
        <v>2</v>
      </c>
      <c r="J519" s="2" t="s">
        <v>14</v>
      </c>
      <c r="K519" s="2" t="s">
        <v>14</v>
      </c>
      <c r="L519" s="2" t="s">
        <v>14</v>
      </c>
      <c r="M519" s="2" t="s">
        <v>13</v>
      </c>
      <c r="N519" s="2" t="s">
        <v>13</v>
      </c>
      <c r="O519" s="2">
        <v>1</v>
      </c>
    </row>
    <row r="520" spans="1:15" ht="15" customHeight="1" x14ac:dyDescent="0.25">
      <c r="A520" s="3"/>
      <c r="B520" s="3">
        <v>10</v>
      </c>
      <c r="C520" s="3" t="s">
        <v>10</v>
      </c>
      <c r="D520" s="3" t="s">
        <v>11</v>
      </c>
      <c r="E520" s="3">
        <v>0</v>
      </c>
      <c r="F520" s="3">
        <v>0</v>
      </c>
      <c r="G520" s="3" t="s">
        <v>10</v>
      </c>
      <c r="H520" s="3" t="s">
        <v>12</v>
      </c>
      <c r="I520" s="3" t="s">
        <v>15</v>
      </c>
      <c r="J520" s="3" t="s">
        <v>13</v>
      </c>
      <c r="K520" s="3" t="s">
        <v>14</v>
      </c>
      <c r="L520" s="3" t="s">
        <v>14</v>
      </c>
      <c r="M520" s="3" t="s">
        <v>14</v>
      </c>
      <c r="N520" s="3" t="s">
        <v>14</v>
      </c>
      <c r="O520" s="3">
        <v>1</v>
      </c>
    </row>
    <row r="521" spans="1:15" ht="15" customHeight="1" x14ac:dyDescent="0.25">
      <c r="A521" s="2"/>
      <c r="B521" s="2">
        <v>10</v>
      </c>
      <c r="C521" s="2" t="s">
        <v>18</v>
      </c>
      <c r="D521" s="2" t="s">
        <v>19</v>
      </c>
      <c r="E521" s="2">
        <v>0</v>
      </c>
      <c r="F521" s="2">
        <v>0</v>
      </c>
      <c r="G521" s="2" t="s">
        <v>10</v>
      </c>
      <c r="H521" s="2" t="s">
        <v>12</v>
      </c>
      <c r="I521" s="2" t="s">
        <v>15</v>
      </c>
      <c r="J521" s="2" t="s">
        <v>14</v>
      </c>
      <c r="K521" s="2" t="s">
        <v>14</v>
      </c>
      <c r="L521" s="2" t="s">
        <v>14</v>
      </c>
      <c r="M521" s="2" t="s">
        <v>14</v>
      </c>
      <c r="N521" s="2" t="s">
        <v>14</v>
      </c>
      <c r="O521" s="2">
        <v>1</v>
      </c>
    </row>
    <row r="522" spans="1:15" ht="15" customHeight="1" x14ac:dyDescent="0.25">
      <c r="A522" s="3"/>
      <c r="B522" s="3">
        <v>20</v>
      </c>
      <c r="C522" s="3" t="s">
        <v>10</v>
      </c>
      <c r="D522" s="3" t="s">
        <v>11</v>
      </c>
      <c r="E522" s="3">
        <v>1</v>
      </c>
      <c r="F522" s="3">
        <v>1</v>
      </c>
      <c r="G522" s="3" t="s">
        <v>10</v>
      </c>
      <c r="H522" s="3" t="s">
        <v>12</v>
      </c>
      <c r="I522" s="3">
        <v>1</v>
      </c>
      <c r="J522" s="3" t="s">
        <v>14</v>
      </c>
      <c r="K522" s="3" t="s">
        <v>14</v>
      </c>
      <c r="L522" s="3" t="s">
        <v>14</v>
      </c>
      <c r="M522" s="3" t="s">
        <v>13</v>
      </c>
      <c r="N522" s="3" t="s">
        <v>13</v>
      </c>
      <c r="O522" s="3">
        <v>0</v>
      </c>
    </row>
    <row r="523" spans="1:15" ht="15" customHeight="1" x14ac:dyDescent="0.25">
      <c r="A523" s="2"/>
      <c r="B523" s="2">
        <v>10</v>
      </c>
      <c r="C523" s="2" t="s">
        <v>10</v>
      </c>
      <c r="D523" s="2" t="s">
        <v>20</v>
      </c>
      <c r="E523" s="2">
        <v>0</v>
      </c>
      <c r="F523" s="2">
        <v>0</v>
      </c>
      <c r="G523" s="2" t="s">
        <v>17</v>
      </c>
      <c r="H523" s="2" t="s">
        <v>108</v>
      </c>
      <c r="I523" s="2">
        <v>1</v>
      </c>
      <c r="J523" s="2" t="s">
        <v>14</v>
      </c>
      <c r="K523" s="2" t="s">
        <v>13</v>
      </c>
      <c r="L523" s="2" t="s">
        <v>13</v>
      </c>
      <c r="M523" s="2" t="s">
        <v>13</v>
      </c>
      <c r="N523" s="2" t="s">
        <v>14</v>
      </c>
      <c r="O523" s="2">
        <v>1</v>
      </c>
    </row>
    <row r="524" spans="1:15" ht="15" customHeight="1" x14ac:dyDescent="0.25">
      <c r="A524" s="3"/>
      <c r="B524" s="3">
        <v>5</v>
      </c>
      <c r="C524" s="3" t="s">
        <v>10</v>
      </c>
      <c r="D524" s="3" t="s">
        <v>19</v>
      </c>
      <c r="E524" s="3">
        <v>0</v>
      </c>
      <c r="F524" s="3">
        <v>0</v>
      </c>
      <c r="G524" s="3" t="s">
        <v>10</v>
      </c>
      <c r="H524" s="3" t="s">
        <v>12</v>
      </c>
      <c r="I524" s="3">
        <v>2</v>
      </c>
      <c r="J524" s="3" t="s">
        <v>14</v>
      </c>
      <c r="K524" s="3" t="s">
        <v>13</v>
      </c>
      <c r="L524" s="3" t="s">
        <v>14</v>
      </c>
      <c r="M524" s="3" t="s">
        <v>14</v>
      </c>
      <c r="N524" s="3" t="s">
        <v>14</v>
      </c>
      <c r="O524" s="3">
        <v>1</v>
      </c>
    </row>
    <row r="525" spans="1:15" ht="15" customHeight="1" x14ac:dyDescent="0.25">
      <c r="A525" s="2"/>
      <c r="B525" s="2">
        <v>10</v>
      </c>
      <c r="C525" s="2" t="s">
        <v>10</v>
      </c>
      <c r="D525" s="2" t="s">
        <v>19</v>
      </c>
      <c r="E525" s="2">
        <v>1</v>
      </c>
      <c r="F525" s="2">
        <v>0</v>
      </c>
      <c r="G525" s="2" t="s">
        <v>10</v>
      </c>
      <c r="H525" s="2" t="s">
        <v>12</v>
      </c>
      <c r="I525" s="2">
        <v>1</v>
      </c>
      <c r="J525" s="2" t="s">
        <v>14</v>
      </c>
      <c r="K525" s="2" t="s">
        <v>14</v>
      </c>
      <c r="L525" s="2" t="s">
        <v>14</v>
      </c>
      <c r="M525" s="2" t="s">
        <v>14</v>
      </c>
      <c r="N525" s="2" t="s">
        <v>14</v>
      </c>
      <c r="O525" s="2">
        <v>1</v>
      </c>
    </row>
    <row r="526" spans="1:15" ht="15" customHeight="1" x14ac:dyDescent="0.25">
      <c r="A526" s="3"/>
      <c r="B526" s="3">
        <v>10</v>
      </c>
      <c r="C526" s="3" t="s">
        <v>10</v>
      </c>
      <c r="D526" s="3" t="s">
        <v>11</v>
      </c>
      <c r="E526" s="3">
        <v>1</v>
      </c>
      <c r="F526" s="3">
        <v>1</v>
      </c>
      <c r="G526" s="3" t="s">
        <v>10</v>
      </c>
      <c r="H526" s="3" t="s">
        <v>12</v>
      </c>
      <c r="I526" s="3" t="s">
        <v>15</v>
      </c>
      <c r="J526" s="3" t="s">
        <v>13</v>
      </c>
      <c r="K526" s="3" t="s">
        <v>14</v>
      </c>
      <c r="L526" s="3" t="s">
        <v>14</v>
      </c>
      <c r="M526" s="3" t="s">
        <v>14</v>
      </c>
      <c r="N526" s="3" t="s">
        <v>14</v>
      </c>
      <c r="O526" s="3">
        <v>0</v>
      </c>
    </row>
    <row r="527" spans="1:15" ht="15" customHeight="1" x14ac:dyDescent="0.25">
      <c r="A527" s="2"/>
      <c r="B527" s="2">
        <v>5</v>
      </c>
      <c r="C527" s="2" t="s">
        <v>10</v>
      </c>
      <c r="D527" s="2" t="s">
        <v>19</v>
      </c>
      <c r="E527" s="2">
        <v>1</v>
      </c>
      <c r="F527" s="2">
        <v>0</v>
      </c>
      <c r="G527" s="2" t="s">
        <v>10</v>
      </c>
      <c r="H527" s="2" t="s">
        <v>12</v>
      </c>
      <c r="I527" s="2">
        <v>1</v>
      </c>
      <c r="J527" s="2" t="s">
        <v>14</v>
      </c>
      <c r="K527" s="2" t="s">
        <v>13</v>
      </c>
      <c r="L527" s="2" t="s">
        <v>13</v>
      </c>
      <c r="M527" s="2" t="s">
        <v>14</v>
      </c>
      <c r="N527" s="2" t="s">
        <v>14</v>
      </c>
      <c r="O527" s="2">
        <v>0</v>
      </c>
    </row>
    <row r="528" spans="1:15" ht="15" customHeight="1" x14ac:dyDescent="0.25">
      <c r="A528" s="3"/>
      <c r="B528" s="3">
        <v>5</v>
      </c>
      <c r="C528" s="3" t="s">
        <v>10</v>
      </c>
      <c r="D528" s="3" t="s">
        <v>19</v>
      </c>
      <c r="E528" s="3">
        <v>0</v>
      </c>
      <c r="F528" s="3">
        <v>0</v>
      </c>
      <c r="G528" s="3" t="s">
        <v>10</v>
      </c>
      <c r="H528" s="3" t="s">
        <v>12</v>
      </c>
      <c r="I528" s="3">
        <v>2</v>
      </c>
      <c r="J528" s="3" t="s">
        <v>14</v>
      </c>
      <c r="K528" s="3" t="s">
        <v>14</v>
      </c>
      <c r="L528" s="3" t="s">
        <v>14</v>
      </c>
      <c r="M528" s="3" t="s">
        <v>14</v>
      </c>
      <c r="N528" s="3" t="s">
        <v>14</v>
      </c>
      <c r="O528" s="3">
        <v>1</v>
      </c>
    </row>
    <row r="529" spans="1:16" ht="15" customHeight="1" x14ac:dyDescent="0.25">
      <c r="A529" s="2"/>
      <c r="B529" s="2">
        <v>5</v>
      </c>
      <c r="C529" s="2" t="s">
        <v>10</v>
      </c>
      <c r="D529" s="2" t="s">
        <v>19</v>
      </c>
      <c r="E529" s="2">
        <v>0</v>
      </c>
      <c r="F529" s="2">
        <v>1</v>
      </c>
      <c r="G529" s="2" t="s">
        <v>10</v>
      </c>
      <c r="H529" s="2" t="s">
        <v>12</v>
      </c>
      <c r="I529" s="2">
        <v>1</v>
      </c>
      <c r="J529" s="2" t="s">
        <v>14</v>
      </c>
      <c r="K529" s="2" t="s">
        <v>14</v>
      </c>
      <c r="L529" s="2" t="s">
        <v>14</v>
      </c>
      <c r="M529" s="2" t="s">
        <v>14</v>
      </c>
      <c r="N529" s="2" t="s">
        <v>14</v>
      </c>
      <c r="O529" s="2">
        <v>1</v>
      </c>
    </row>
    <row r="530" spans="1:16" ht="15" customHeight="1" x14ac:dyDescent="0.25">
      <c r="A530" s="3"/>
      <c r="B530" s="3">
        <v>5</v>
      </c>
      <c r="C530" s="3" t="s">
        <v>10</v>
      </c>
      <c r="D530" s="3" t="s">
        <v>19</v>
      </c>
      <c r="E530" s="3">
        <v>0</v>
      </c>
      <c r="F530" s="3">
        <v>1</v>
      </c>
      <c r="G530" s="3" t="s">
        <v>10</v>
      </c>
      <c r="H530" s="3" t="s">
        <v>12</v>
      </c>
      <c r="I530" s="3" t="s">
        <v>15</v>
      </c>
      <c r="J530" s="3" t="s">
        <v>14</v>
      </c>
      <c r="K530" s="3" t="s">
        <v>14</v>
      </c>
      <c r="L530" s="3" t="s">
        <v>14</v>
      </c>
      <c r="M530" s="3" t="s">
        <v>14</v>
      </c>
      <c r="N530" s="3" t="s">
        <v>14</v>
      </c>
      <c r="O530" s="3">
        <v>1</v>
      </c>
    </row>
    <row r="531" spans="1:16" ht="15" customHeight="1" x14ac:dyDescent="0.25">
      <c r="A531" s="2"/>
      <c r="B531" s="2">
        <v>5</v>
      </c>
      <c r="C531" s="2" t="s">
        <v>10</v>
      </c>
      <c r="D531" s="2" t="s">
        <v>19</v>
      </c>
      <c r="E531" s="2">
        <v>0</v>
      </c>
      <c r="F531" s="2">
        <v>0</v>
      </c>
      <c r="G531" s="2" t="s">
        <v>10</v>
      </c>
      <c r="H531" s="2" t="s">
        <v>12</v>
      </c>
      <c r="I531" s="2">
        <v>2</v>
      </c>
      <c r="J531" s="2" t="s">
        <v>14</v>
      </c>
      <c r="K531" s="2" t="s">
        <v>14</v>
      </c>
      <c r="L531" s="2" t="s">
        <v>14</v>
      </c>
      <c r="M531" s="2" t="s">
        <v>14</v>
      </c>
      <c r="N531" s="2" t="s">
        <v>14</v>
      </c>
      <c r="O531" s="2">
        <v>1</v>
      </c>
    </row>
    <row r="532" spans="1:16" ht="15" customHeight="1" x14ac:dyDescent="0.25">
      <c r="A532" s="3"/>
      <c r="B532" s="3">
        <v>5</v>
      </c>
      <c r="C532" s="3" t="s">
        <v>10</v>
      </c>
      <c r="D532" s="3" t="s">
        <v>11</v>
      </c>
      <c r="E532" s="3">
        <v>0</v>
      </c>
      <c r="F532" s="3">
        <v>0</v>
      </c>
      <c r="G532" s="3" t="s">
        <v>10</v>
      </c>
      <c r="H532" s="3" t="s">
        <v>12</v>
      </c>
      <c r="I532" s="3">
        <v>2</v>
      </c>
      <c r="J532" s="3" t="s">
        <v>14</v>
      </c>
      <c r="K532" s="3" t="s">
        <v>14</v>
      </c>
      <c r="L532" s="3" t="s">
        <v>14</v>
      </c>
      <c r="M532" s="3" t="s">
        <v>14</v>
      </c>
      <c r="N532" s="3" t="s">
        <v>14</v>
      </c>
      <c r="O532" s="3">
        <v>1</v>
      </c>
      <c r="P532" t="s">
        <v>107</v>
      </c>
    </row>
    <row r="533" spans="1:16" ht="15" customHeight="1" x14ac:dyDescent="0.25">
      <c r="A533" s="2"/>
      <c r="B533" s="2">
        <v>10</v>
      </c>
      <c r="C533" s="2" t="s">
        <v>14</v>
      </c>
      <c r="D533" s="2" t="s">
        <v>20</v>
      </c>
      <c r="E533" s="2">
        <v>0</v>
      </c>
      <c r="F533" s="2">
        <v>0</v>
      </c>
      <c r="G533" s="2" t="s">
        <v>10</v>
      </c>
      <c r="H533" s="2" t="s">
        <v>12</v>
      </c>
      <c r="I533" s="2" t="s">
        <v>15</v>
      </c>
      <c r="J533" s="2" t="s">
        <v>14</v>
      </c>
      <c r="K533" s="2" t="s">
        <v>14</v>
      </c>
      <c r="L533" s="2" t="s">
        <v>14</v>
      </c>
      <c r="M533" s="2" t="s">
        <v>14</v>
      </c>
      <c r="N533" s="2" t="s">
        <v>14</v>
      </c>
      <c r="O533" s="2">
        <v>1</v>
      </c>
    </row>
    <row r="534" spans="1:16" ht="15" customHeight="1" x14ac:dyDescent="0.25">
      <c r="A534" s="3"/>
      <c r="B534" s="3">
        <v>5</v>
      </c>
      <c r="C534" s="3" t="s">
        <v>18</v>
      </c>
      <c r="D534" s="3" t="s">
        <v>20</v>
      </c>
      <c r="E534" s="3">
        <v>0</v>
      </c>
      <c r="F534" s="3">
        <v>0</v>
      </c>
      <c r="G534" s="3" t="s">
        <v>10</v>
      </c>
      <c r="H534" s="3" t="s">
        <v>12</v>
      </c>
      <c r="I534" s="3">
        <v>2</v>
      </c>
      <c r="J534" s="3" t="s">
        <v>14</v>
      </c>
      <c r="K534" s="3" t="s">
        <v>14</v>
      </c>
      <c r="L534" s="3" t="s">
        <v>14</v>
      </c>
      <c r="M534" s="3" t="s">
        <v>14</v>
      </c>
      <c r="N534" s="3" t="s">
        <v>14</v>
      </c>
      <c r="O534" s="3">
        <v>1</v>
      </c>
    </row>
    <row r="535" spans="1:16" ht="15" customHeight="1" x14ac:dyDescent="0.25">
      <c r="A535" s="2"/>
      <c r="B535" s="2">
        <v>5</v>
      </c>
      <c r="C535" s="2" t="s">
        <v>14</v>
      </c>
      <c r="D535" s="2" t="s">
        <v>20</v>
      </c>
      <c r="E535" s="2">
        <v>0</v>
      </c>
      <c r="F535" s="2">
        <v>0</v>
      </c>
      <c r="G535" s="2" t="s">
        <v>10</v>
      </c>
      <c r="H535" s="2" t="s">
        <v>12</v>
      </c>
      <c r="I535" s="2">
        <v>2</v>
      </c>
      <c r="J535" s="2" t="s">
        <v>14</v>
      </c>
      <c r="K535" s="2" t="s">
        <v>14</v>
      </c>
      <c r="L535" s="2" t="s">
        <v>14</v>
      </c>
      <c r="M535" s="2" t="s">
        <v>14</v>
      </c>
      <c r="N535" s="2" t="s">
        <v>14</v>
      </c>
      <c r="O535" s="2">
        <v>1</v>
      </c>
    </row>
    <row r="536" spans="1:16" ht="15" customHeight="1" x14ac:dyDescent="0.25">
      <c r="A536" s="3"/>
      <c r="B536" s="3">
        <v>20</v>
      </c>
      <c r="C536" s="3" t="s">
        <v>10</v>
      </c>
      <c r="D536" s="3" t="s">
        <v>19</v>
      </c>
      <c r="E536" s="3">
        <v>1</v>
      </c>
      <c r="F536" s="3">
        <v>1</v>
      </c>
      <c r="G536" s="3" t="s">
        <v>10</v>
      </c>
      <c r="H536" s="3" t="s">
        <v>12</v>
      </c>
      <c r="I536" s="3">
        <v>2</v>
      </c>
      <c r="J536" s="3" t="s">
        <v>14</v>
      </c>
      <c r="K536" s="3" t="s">
        <v>14</v>
      </c>
      <c r="L536" s="3" t="s">
        <v>14</v>
      </c>
      <c r="M536" s="3" t="s">
        <v>13</v>
      </c>
      <c r="N536" s="3" t="s">
        <v>14</v>
      </c>
      <c r="O536" s="3">
        <v>0</v>
      </c>
    </row>
    <row r="537" spans="1:16" ht="15" customHeight="1" x14ac:dyDescent="0.25">
      <c r="A537" s="2"/>
      <c r="B537" s="2">
        <v>5</v>
      </c>
      <c r="C537" s="2" t="s">
        <v>14</v>
      </c>
      <c r="D537" s="2" t="s">
        <v>19</v>
      </c>
      <c r="E537" s="2">
        <v>0</v>
      </c>
      <c r="F537" s="2">
        <v>0</v>
      </c>
      <c r="G537" s="2" t="s">
        <v>10</v>
      </c>
      <c r="H537" s="2" t="s">
        <v>12</v>
      </c>
      <c r="I537" s="2">
        <v>2</v>
      </c>
      <c r="J537" s="2" t="s">
        <v>14</v>
      </c>
      <c r="K537" s="2" t="s">
        <v>13</v>
      </c>
      <c r="L537" s="2" t="s">
        <v>14</v>
      </c>
      <c r="M537" s="2" t="s">
        <v>14</v>
      </c>
      <c r="N537" s="2" t="s">
        <v>14</v>
      </c>
      <c r="O537" s="2">
        <v>0</v>
      </c>
    </row>
    <row r="538" spans="1:16" ht="15" customHeight="1" x14ac:dyDescent="0.25">
      <c r="A538" s="3"/>
      <c r="B538" s="3">
        <v>10</v>
      </c>
      <c r="C538" s="3" t="s">
        <v>10</v>
      </c>
      <c r="D538" s="3" t="s">
        <v>11</v>
      </c>
      <c r="E538" s="3">
        <v>0</v>
      </c>
      <c r="F538" s="3">
        <v>1</v>
      </c>
      <c r="G538" s="3" t="s">
        <v>10</v>
      </c>
      <c r="H538" s="3" t="s">
        <v>12</v>
      </c>
      <c r="I538" s="3">
        <v>2</v>
      </c>
      <c r="J538" s="3" t="s">
        <v>14</v>
      </c>
      <c r="K538" s="3" t="s">
        <v>14</v>
      </c>
      <c r="L538" s="3" t="s">
        <v>14</v>
      </c>
      <c r="M538" s="3" t="s">
        <v>14</v>
      </c>
      <c r="N538" s="3" t="s">
        <v>14</v>
      </c>
      <c r="O538" s="3">
        <v>1</v>
      </c>
    </row>
    <row r="539" spans="1:16" ht="15" customHeight="1" x14ac:dyDescent="0.25">
      <c r="A539" s="2"/>
      <c r="B539" s="2">
        <v>0</v>
      </c>
      <c r="C539" s="2" t="s">
        <v>18</v>
      </c>
      <c r="D539" s="2" t="s">
        <v>11</v>
      </c>
      <c r="E539" s="2">
        <v>0</v>
      </c>
      <c r="F539" s="2">
        <v>0</v>
      </c>
      <c r="G539" s="2" t="s">
        <v>10</v>
      </c>
      <c r="H539" s="2" t="s">
        <v>12</v>
      </c>
      <c r="I539" s="2">
        <v>1</v>
      </c>
      <c r="J539" s="2" t="s">
        <v>14</v>
      </c>
      <c r="K539" s="2" t="s">
        <v>14</v>
      </c>
      <c r="L539" s="2" t="s">
        <v>14</v>
      </c>
      <c r="M539" s="2" t="s">
        <v>14</v>
      </c>
      <c r="N539" s="2" t="s">
        <v>14</v>
      </c>
      <c r="O539" s="2">
        <v>1</v>
      </c>
    </row>
    <row r="540" spans="1:16" ht="15" customHeight="1" x14ac:dyDescent="0.25">
      <c r="A540" s="3"/>
      <c r="B540" s="3">
        <v>20</v>
      </c>
      <c r="C540" s="3" t="s">
        <v>10</v>
      </c>
      <c r="D540" s="3" t="s">
        <v>19</v>
      </c>
      <c r="E540" s="3">
        <v>0</v>
      </c>
      <c r="F540" s="3">
        <v>2</v>
      </c>
      <c r="G540" s="3" t="s">
        <v>10</v>
      </c>
      <c r="H540" s="3" t="s">
        <v>12</v>
      </c>
      <c r="I540" s="3" t="s">
        <v>15</v>
      </c>
      <c r="J540" s="3" t="s">
        <v>14</v>
      </c>
      <c r="K540" s="3" t="s">
        <v>14</v>
      </c>
      <c r="L540" s="3" t="s">
        <v>14</v>
      </c>
      <c r="M540" s="3" t="s">
        <v>13</v>
      </c>
      <c r="N540" s="3" t="s">
        <v>14</v>
      </c>
      <c r="O540" s="3">
        <v>1</v>
      </c>
    </row>
    <row r="541" spans="1:16" ht="15" customHeight="1" x14ac:dyDescent="0.25">
      <c r="A541" s="2"/>
      <c r="B541" s="2">
        <v>10</v>
      </c>
      <c r="C541" s="2" t="s">
        <v>18</v>
      </c>
      <c r="D541" s="2" t="s">
        <v>19</v>
      </c>
      <c r="E541" s="2">
        <v>0</v>
      </c>
      <c r="F541" s="2">
        <v>1</v>
      </c>
      <c r="G541" s="2" t="s">
        <v>10</v>
      </c>
      <c r="H541" s="2" t="s">
        <v>12</v>
      </c>
      <c r="I541" s="2" t="s">
        <v>15</v>
      </c>
      <c r="J541" s="2" t="s">
        <v>14</v>
      </c>
      <c r="K541" s="2" t="s">
        <v>14</v>
      </c>
      <c r="L541" s="2" t="s">
        <v>14</v>
      </c>
      <c r="M541" s="2" t="s">
        <v>14</v>
      </c>
      <c r="N541" s="2" t="s">
        <v>14</v>
      </c>
      <c r="O541" s="2">
        <v>1</v>
      </c>
    </row>
    <row r="542" spans="1:16" ht="15" customHeight="1" x14ac:dyDescent="0.25">
      <c r="A542" s="3"/>
      <c r="B542" s="3">
        <v>5</v>
      </c>
      <c r="C542" s="3" t="s">
        <v>18</v>
      </c>
      <c r="D542" s="3" t="s">
        <v>20</v>
      </c>
      <c r="E542" s="3">
        <v>0</v>
      </c>
      <c r="F542" s="3">
        <v>0</v>
      </c>
      <c r="G542" s="3" t="s">
        <v>10</v>
      </c>
      <c r="H542" s="3" t="s">
        <v>12</v>
      </c>
      <c r="I542" s="3">
        <v>1</v>
      </c>
      <c r="J542" s="3" t="s">
        <v>14</v>
      </c>
      <c r="K542" s="3" t="s">
        <v>14</v>
      </c>
      <c r="L542" s="3" t="s">
        <v>14</v>
      </c>
      <c r="M542" s="3" t="s">
        <v>14</v>
      </c>
      <c r="N542" s="3" t="s">
        <v>14</v>
      </c>
      <c r="O542" s="3">
        <v>1</v>
      </c>
    </row>
    <row r="543" spans="1:16" ht="15" customHeight="1" x14ac:dyDescent="0.25">
      <c r="A543" s="2"/>
      <c r="B543" s="2">
        <v>10</v>
      </c>
      <c r="C543" s="2" t="s">
        <v>10</v>
      </c>
      <c r="D543" s="2" t="s">
        <v>20</v>
      </c>
      <c r="E543" s="2">
        <v>0</v>
      </c>
      <c r="F543" s="2">
        <v>1</v>
      </c>
      <c r="G543" s="2" t="s">
        <v>10</v>
      </c>
      <c r="H543" s="2" t="s">
        <v>12</v>
      </c>
      <c r="I543" s="2">
        <v>2</v>
      </c>
      <c r="J543" s="2" t="s">
        <v>14</v>
      </c>
      <c r="K543" s="2" t="s">
        <v>14</v>
      </c>
      <c r="L543" s="2" t="s">
        <v>14</v>
      </c>
      <c r="M543" s="2" t="s">
        <v>13</v>
      </c>
      <c r="N543" s="2" t="s">
        <v>14</v>
      </c>
      <c r="O543" s="2">
        <v>1</v>
      </c>
    </row>
    <row r="544" spans="1:16" ht="15" customHeight="1" x14ac:dyDescent="0.25">
      <c r="A544" s="3"/>
      <c r="B544" s="3">
        <v>10</v>
      </c>
      <c r="C544" s="3" t="s">
        <v>10</v>
      </c>
      <c r="D544" s="3" t="s">
        <v>19</v>
      </c>
      <c r="E544" s="3">
        <v>2</v>
      </c>
      <c r="F544" s="3">
        <v>0</v>
      </c>
      <c r="G544" s="3" t="s">
        <v>17</v>
      </c>
      <c r="H544" s="3" t="s">
        <v>108</v>
      </c>
      <c r="I544" s="3">
        <v>1</v>
      </c>
      <c r="J544" s="3" t="s">
        <v>14</v>
      </c>
      <c r="K544" s="3" t="s">
        <v>13</v>
      </c>
      <c r="L544" s="3" t="s">
        <v>13</v>
      </c>
      <c r="M544" s="3" t="s">
        <v>13</v>
      </c>
      <c r="N544" s="3" t="s">
        <v>14</v>
      </c>
      <c r="O544" s="3">
        <v>0</v>
      </c>
    </row>
    <row r="545" spans="1:15" ht="15" customHeight="1" x14ac:dyDescent="0.25">
      <c r="A545" s="2"/>
      <c r="B545" s="2">
        <v>0</v>
      </c>
      <c r="C545" s="2" t="s">
        <v>10</v>
      </c>
      <c r="D545" s="2" t="s">
        <v>19</v>
      </c>
      <c r="E545" s="2">
        <v>0</v>
      </c>
      <c r="F545" s="2">
        <v>1</v>
      </c>
      <c r="G545" s="2" t="s">
        <v>17</v>
      </c>
      <c r="H545" s="2" t="s">
        <v>108</v>
      </c>
      <c r="I545" s="2">
        <v>1</v>
      </c>
      <c r="J545" s="2" t="s">
        <v>14</v>
      </c>
      <c r="K545" s="2" t="s">
        <v>13</v>
      </c>
      <c r="L545" s="2" t="s">
        <v>13</v>
      </c>
      <c r="M545" s="2" t="s">
        <v>13</v>
      </c>
      <c r="N545" s="2" t="s">
        <v>14</v>
      </c>
      <c r="O545" s="2">
        <v>1</v>
      </c>
    </row>
    <row r="546" spans="1:15" ht="15" customHeight="1" x14ac:dyDescent="0.25">
      <c r="A546" s="2"/>
      <c r="B546" s="2">
        <v>5</v>
      </c>
      <c r="C546" s="2" t="s">
        <v>10</v>
      </c>
      <c r="D546" s="2" t="s">
        <v>20</v>
      </c>
      <c r="E546" s="2">
        <v>1</v>
      </c>
      <c r="F546" s="2">
        <v>0</v>
      </c>
      <c r="G546" s="2" t="s">
        <v>17</v>
      </c>
      <c r="H546" s="2" t="s">
        <v>108</v>
      </c>
      <c r="I546" s="2">
        <v>1</v>
      </c>
      <c r="J546" s="2" t="s">
        <v>14</v>
      </c>
      <c r="K546" s="2" t="s">
        <v>13</v>
      </c>
      <c r="L546" s="2" t="s">
        <v>13</v>
      </c>
      <c r="M546" s="2" t="s">
        <v>13</v>
      </c>
      <c r="N546" s="2" t="s">
        <v>14</v>
      </c>
      <c r="O546" s="2">
        <v>0</v>
      </c>
    </row>
    <row r="547" spans="1:15" ht="15" customHeight="1" x14ac:dyDescent="0.25">
      <c r="A547" s="3"/>
      <c r="B547" s="3">
        <v>5</v>
      </c>
      <c r="C547" s="3" t="s">
        <v>10</v>
      </c>
      <c r="D547" s="3" t="s">
        <v>11</v>
      </c>
      <c r="E547" s="3">
        <v>2</v>
      </c>
      <c r="F547" s="3">
        <v>0</v>
      </c>
      <c r="G547" s="3" t="s">
        <v>17</v>
      </c>
      <c r="H547" s="3" t="s">
        <v>108</v>
      </c>
      <c r="I547" s="3">
        <v>1</v>
      </c>
      <c r="J547" s="3" t="s">
        <v>14</v>
      </c>
      <c r="K547" s="3" t="s">
        <v>13</v>
      </c>
      <c r="L547" s="3" t="s">
        <v>13</v>
      </c>
      <c r="M547" s="3" t="s">
        <v>13</v>
      </c>
      <c r="N547" s="3" t="s">
        <v>14</v>
      </c>
      <c r="O547" s="3">
        <v>0</v>
      </c>
    </row>
    <row r="548" spans="1:15" ht="15" customHeight="1" x14ac:dyDescent="0.25">
      <c r="A548" s="2"/>
      <c r="B548" s="2">
        <v>30</v>
      </c>
      <c r="C548" s="2" t="s">
        <v>10</v>
      </c>
      <c r="D548" s="2" t="s">
        <v>19</v>
      </c>
      <c r="E548" s="2">
        <v>0</v>
      </c>
      <c r="F548" s="2">
        <v>1</v>
      </c>
      <c r="G548" s="2" t="s">
        <v>10</v>
      </c>
      <c r="H548" s="2" t="s">
        <v>12</v>
      </c>
      <c r="I548" s="2" t="s">
        <v>15</v>
      </c>
      <c r="J548" s="2" t="s">
        <v>14</v>
      </c>
      <c r="K548" s="2" t="s">
        <v>14</v>
      </c>
      <c r="L548" s="2" t="s">
        <v>14</v>
      </c>
      <c r="M548" s="2" t="s">
        <v>13</v>
      </c>
      <c r="N548" s="2" t="s">
        <v>14</v>
      </c>
      <c r="O548" s="2">
        <v>1</v>
      </c>
    </row>
    <row r="549" spans="1:15" ht="15" customHeight="1" x14ac:dyDescent="0.25">
      <c r="A549" s="3"/>
      <c r="B549" s="3">
        <v>0</v>
      </c>
      <c r="C549" s="3" t="s">
        <v>10</v>
      </c>
      <c r="D549" s="3" t="s">
        <v>19</v>
      </c>
      <c r="E549" s="3">
        <v>0</v>
      </c>
      <c r="F549" s="3">
        <v>0</v>
      </c>
      <c r="G549" s="3" t="s">
        <v>10</v>
      </c>
      <c r="H549" s="3" t="s">
        <v>12</v>
      </c>
      <c r="I549" s="3">
        <v>1</v>
      </c>
      <c r="J549" s="3" t="s">
        <v>14</v>
      </c>
      <c r="K549" s="3" t="s">
        <v>14</v>
      </c>
      <c r="L549" s="3" t="s">
        <v>14</v>
      </c>
      <c r="M549" s="3" t="s">
        <v>14</v>
      </c>
      <c r="N549" s="3" t="s">
        <v>14</v>
      </c>
      <c r="O549" s="3">
        <v>1</v>
      </c>
    </row>
    <row r="550" spans="1:15" ht="15" customHeight="1" x14ac:dyDescent="0.25">
      <c r="A550" s="2"/>
      <c r="B550" s="2">
        <v>10</v>
      </c>
      <c r="C550" s="2" t="s">
        <v>10</v>
      </c>
      <c r="D550" s="2" t="s">
        <v>11</v>
      </c>
      <c r="E550" s="2">
        <v>0</v>
      </c>
      <c r="F550" s="2">
        <v>1</v>
      </c>
      <c r="G550" s="2" t="s">
        <v>10</v>
      </c>
      <c r="H550" s="2" t="s">
        <v>12</v>
      </c>
      <c r="I550" s="2" t="s">
        <v>15</v>
      </c>
      <c r="J550" s="2" t="s">
        <v>14</v>
      </c>
      <c r="K550" s="2" t="s">
        <v>14</v>
      </c>
      <c r="L550" s="2" t="s">
        <v>14</v>
      </c>
      <c r="M550" s="2" t="s">
        <v>14</v>
      </c>
      <c r="N550" s="2" t="s">
        <v>14</v>
      </c>
      <c r="O550" s="2">
        <v>1</v>
      </c>
    </row>
    <row r="551" spans="1:15" ht="15" customHeight="1" x14ac:dyDescent="0.25">
      <c r="A551" s="3"/>
      <c r="B551" s="3">
        <v>10</v>
      </c>
      <c r="C551" s="3" t="s">
        <v>14</v>
      </c>
      <c r="D551" s="3" t="s">
        <v>20</v>
      </c>
      <c r="E551" s="3">
        <v>0</v>
      </c>
      <c r="F551" s="3">
        <v>0</v>
      </c>
      <c r="G551" s="3" t="s">
        <v>10</v>
      </c>
      <c r="H551" s="3" t="s">
        <v>12</v>
      </c>
      <c r="I551" s="3">
        <v>2</v>
      </c>
      <c r="J551" s="3" t="s">
        <v>14</v>
      </c>
      <c r="K551" s="3" t="s">
        <v>14</v>
      </c>
      <c r="L551" s="3" t="s">
        <v>14</v>
      </c>
      <c r="M551" s="3" t="s">
        <v>14</v>
      </c>
      <c r="N551" s="3" t="s">
        <v>14</v>
      </c>
      <c r="O551" s="3">
        <v>1</v>
      </c>
    </row>
    <row r="552" spans="1:15" ht="15" customHeight="1" x14ac:dyDescent="0.25">
      <c r="A552" s="2"/>
      <c r="B552" s="2">
        <v>30</v>
      </c>
      <c r="C552" s="2" t="s">
        <v>10</v>
      </c>
      <c r="D552" s="2" t="s">
        <v>19</v>
      </c>
      <c r="E552" s="2">
        <v>1</v>
      </c>
      <c r="F552" s="2">
        <v>0</v>
      </c>
      <c r="G552" s="2" t="s">
        <v>10</v>
      </c>
      <c r="H552" s="2" t="s">
        <v>16</v>
      </c>
      <c r="I552" s="2" t="s">
        <v>15</v>
      </c>
      <c r="J552" s="2" t="s">
        <v>14</v>
      </c>
      <c r="K552" s="2" t="s">
        <v>14</v>
      </c>
      <c r="L552" s="2" t="s">
        <v>14</v>
      </c>
      <c r="M552" s="2" t="s">
        <v>13</v>
      </c>
      <c r="N552" s="2" t="s">
        <v>14</v>
      </c>
      <c r="O552" s="2">
        <v>0</v>
      </c>
    </row>
    <row r="553" spans="1:15" ht="15" customHeight="1" x14ac:dyDescent="0.25">
      <c r="A553" s="3"/>
      <c r="B553" s="3">
        <v>20</v>
      </c>
      <c r="C553" s="3" t="s">
        <v>10</v>
      </c>
      <c r="D553" s="3" t="s">
        <v>11</v>
      </c>
      <c r="E553" s="3">
        <v>0</v>
      </c>
      <c r="F553" s="3">
        <v>0</v>
      </c>
      <c r="G553" s="3" t="s">
        <v>17</v>
      </c>
      <c r="H553" s="3" t="s">
        <v>108</v>
      </c>
      <c r="I553" s="3">
        <v>1</v>
      </c>
      <c r="J553" s="3" t="s">
        <v>14</v>
      </c>
      <c r="K553" s="3" t="s">
        <v>13</v>
      </c>
      <c r="L553" s="3" t="s">
        <v>13</v>
      </c>
      <c r="M553" s="3" t="s">
        <v>13</v>
      </c>
      <c r="N553" s="3" t="s">
        <v>14</v>
      </c>
      <c r="O553" s="3">
        <v>0</v>
      </c>
    </row>
    <row r="554" spans="1:15" ht="15" customHeight="1" x14ac:dyDescent="0.25">
      <c r="A554" s="2"/>
      <c r="B554" s="2">
        <v>0</v>
      </c>
      <c r="C554" s="2" t="s">
        <v>14</v>
      </c>
      <c r="D554" s="2" t="s">
        <v>19</v>
      </c>
      <c r="E554" s="2">
        <v>0</v>
      </c>
      <c r="F554" s="2">
        <v>0</v>
      </c>
      <c r="G554" s="2" t="s">
        <v>10</v>
      </c>
      <c r="H554" s="2" t="s">
        <v>12</v>
      </c>
      <c r="I554" s="2">
        <v>1</v>
      </c>
      <c r="J554" s="2" t="s">
        <v>14</v>
      </c>
      <c r="K554" s="2" t="s">
        <v>13</v>
      </c>
      <c r="L554" s="2" t="s">
        <v>13</v>
      </c>
      <c r="M554" s="2" t="s">
        <v>14</v>
      </c>
      <c r="N554" s="2" t="s">
        <v>14</v>
      </c>
      <c r="O554" s="2">
        <v>0</v>
      </c>
    </row>
    <row r="555" spans="1:15" ht="15" customHeight="1" x14ac:dyDescent="0.25">
      <c r="A555" s="3"/>
      <c r="B555" s="3">
        <v>10</v>
      </c>
      <c r="C555" s="3" t="s">
        <v>18</v>
      </c>
      <c r="D555" s="3" t="s">
        <v>20</v>
      </c>
      <c r="E555" s="3">
        <v>0</v>
      </c>
      <c r="F555" s="3">
        <v>0</v>
      </c>
      <c r="G555" s="3" t="s">
        <v>10</v>
      </c>
      <c r="H555" s="3" t="s">
        <v>12</v>
      </c>
      <c r="I555" s="3">
        <v>1</v>
      </c>
      <c r="J555" s="3" t="s">
        <v>14</v>
      </c>
      <c r="K555" s="3" t="s">
        <v>14</v>
      </c>
      <c r="L555" s="3" t="s">
        <v>14</v>
      </c>
      <c r="M555" s="3" t="s">
        <v>14</v>
      </c>
      <c r="N555" s="3" t="s">
        <v>14</v>
      </c>
      <c r="O555" s="3">
        <v>1</v>
      </c>
    </row>
    <row r="556" spans="1:15" ht="15" customHeight="1" x14ac:dyDescent="0.25">
      <c r="A556" s="2"/>
      <c r="B556" s="2">
        <v>10</v>
      </c>
      <c r="C556" s="2" t="s">
        <v>14</v>
      </c>
      <c r="D556" s="2" t="s">
        <v>20</v>
      </c>
      <c r="E556" s="2">
        <v>0</v>
      </c>
      <c r="F556" s="2">
        <v>0</v>
      </c>
      <c r="G556" s="2" t="s">
        <v>10</v>
      </c>
      <c r="H556" s="2" t="s">
        <v>12</v>
      </c>
      <c r="I556" s="2">
        <v>2</v>
      </c>
      <c r="J556" s="2" t="s">
        <v>14</v>
      </c>
      <c r="K556" s="2" t="s">
        <v>14</v>
      </c>
      <c r="L556" s="2" t="s">
        <v>14</v>
      </c>
      <c r="M556" s="2" t="s">
        <v>14</v>
      </c>
      <c r="N556" s="2" t="s">
        <v>14</v>
      </c>
      <c r="O556" s="2">
        <v>1</v>
      </c>
    </row>
    <row r="557" spans="1:15" ht="15" customHeight="1" x14ac:dyDescent="0.25">
      <c r="A557" s="3"/>
      <c r="B557" s="3">
        <v>10</v>
      </c>
      <c r="C557" s="3" t="s">
        <v>14</v>
      </c>
      <c r="D557" s="3" t="s">
        <v>19</v>
      </c>
      <c r="E557" s="3">
        <v>0</v>
      </c>
      <c r="F557" s="3">
        <v>0</v>
      </c>
      <c r="G557" s="3" t="s">
        <v>10</v>
      </c>
      <c r="H557" s="3" t="s">
        <v>16</v>
      </c>
      <c r="I557" s="3" t="s">
        <v>15</v>
      </c>
      <c r="J557" s="3" t="s">
        <v>14</v>
      </c>
      <c r="K557" s="3" t="s">
        <v>14</v>
      </c>
      <c r="L557" s="3" t="s">
        <v>14</v>
      </c>
      <c r="M557" s="3" t="s">
        <v>14</v>
      </c>
      <c r="N557" s="3" t="s">
        <v>14</v>
      </c>
      <c r="O557" s="3">
        <v>1</v>
      </c>
    </row>
    <row r="558" spans="1:15" ht="15" customHeight="1" x14ac:dyDescent="0.25">
      <c r="A558" s="2"/>
      <c r="B558" s="2">
        <v>10</v>
      </c>
      <c r="C558" s="2" t="s">
        <v>10</v>
      </c>
      <c r="D558" s="2" t="s">
        <v>19</v>
      </c>
      <c r="E558" s="2">
        <v>0</v>
      </c>
      <c r="F558" s="2">
        <v>1</v>
      </c>
      <c r="G558" s="2" t="s">
        <v>10</v>
      </c>
      <c r="H558" s="2" t="s">
        <v>12</v>
      </c>
      <c r="I558" s="2">
        <v>2</v>
      </c>
      <c r="J558" s="2" t="s">
        <v>14</v>
      </c>
      <c r="K558" s="2" t="s">
        <v>14</v>
      </c>
      <c r="L558" s="2" t="s">
        <v>14</v>
      </c>
      <c r="M558" s="2" t="s">
        <v>14</v>
      </c>
      <c r="N558" s="2" t="s">
        <v>14</v>
      </c>
      <c r="O558" s="2">
        <v>1</v>
      </c>
    </row>
    <row r="559" spans="1:15" ht="15" customHeight="1" x14ac:dyDescent="0.25">
      <c r="A559" s="3"/>
      <c r="B559" s="3">
        <v>20</v>
      </c>
      <c r="C559" s="3" t="s">
        <v>18</v>
      </c>
      <c r="D559" s="3" t="s">
        <v>20</v>
      </c>
      <c r="E559" s="3">
        <v>0</v>
      </c>
      <c r="F559" s="3">
        <v>0</v>
      </c>
      <c r="G559" s="3" t="s">
        <v>10</v>
      </c>
      <c r="H559" s="3" t="s">
        <v>12</v>
      </c>
      <c r="I559" s="3" t="s">
        <v>15</v>
      </c>
      <c r="J559" s="3" t="s">
        <v>14</v>
      </c>
      <c r="K559" s="3" t="s">
        <v>14</v>
      </c>
      <c r="L559" s="3" t="s">
        <v>14</v>
      </c>
      <c r="M559" s="3" t="s">
        <v>14</v>
      </c>
      <c r="N559" s="3" t="s">
        <v>14</v>
      </c>
      <c r="O559" s="3">
        <v>1</v>
      </c>
    </row>
    <row r="560" spans="1:15" ht="15" customHeight="1" x14ac:dyDescent="0.25">
      <c r="A560" s="2"/>
      <c r="B560" s="2">
        <v>10</v>
      </c>
      <c r="C560" s="2" t="s">
        <v>14</v>
      </c>
      <c r="D560" s="2" t="s">
        <v>20</v>
      </c>
      <c r="E560" s="2">
        <v>0</v>
      </c>
      <c r="F560" s="2">
        <v>0</v>
      </c>
      <c r="G560" s="2" t="s">
        <v>10</v>
      </c>
      <c r="H560" s="2" t="s">
        <v>12</v>
      </c>
      <c r="I560" s="2">
        <v>2</v>
      </c>
      <c r="J560" s="2" t="s">
        <v>14</v>
      </c>
      <c r="K560" s="2" t="s">
        <v>14</v>
      </c>
      <c r="L560" s="2" t="s">
        <v>14</v>
      </c>
      <c r="M560" s="2" t="s">
        <v>14</v>
      </c>
      <c r="N560" s="2" t="s">
        <v>14</v>
      </c>
      <c r="O560" s="2">
        <v>1</v>
      </c>
    </row>
    <row r="561" spans="1:15" ht="15" customHeight="1" x14ac:dyDescent="0.25">
      <c r="A561" s="3"/>
      <c r="B561" s="3">
        <v>10</v>
      </c>
      <c r="C561" s="3" t="s">
        <v>14</v>
      </c>
      <c r="D561" s="3" t="s">
        <v>20</v>
      </c>
      <c r="E561" s="3">
        <v>0</v>
      </c>
      <c r="F561" s="3">
        <v>0</v>
      </c>
      <c r="G561" s="3" t="s">
        <v>10</v>
      </c>
      <c r="H561" s="3" t="s">
        <v>12</v>
      </c>
      <c r="I561" s="3">
        <v>2</v>
      </c>
      <c r="J561" s="3" t="s">
        <v>14</v>
      </c>
      <c r="K561" s="3" t="s">
        <v>14</v>
      </c>
      <c r="L561" s="3" t="s">
        <v>14</v>
      </c>
      <c r="M561" s="3" t="s">
        <v>14</v>
      </c>
      <c r="N561" s="3" t="s">
        <v>14</v>
      </c>
      <c r="O561" s="3">
        <v>1</v>
      </c>
    </row>
    <row r="562" spans="1:15" ht="15" customHeight="1" x14ac:dyDescent="0.25">
      <c r="A562" s="2"/>
      <c r="B562" s="2">
        <v>30</v>
      </c>
      <c r="C562" s="2" t="s">
        <v>10</v>
      </c>
      <c r="D562" s="2" t="s">
        <v>19</v>
      </c>
      <c r="E562" s="2">
        <v>1</v>
      </c>
      <c r="F562" s="2">
        <v>0</v>
      </c>
      <c r="G562" s="2" t="s">
        <v>10</v>
      </c>
      <c r="H562" s="2" t="s">
        <v>12</v>
      </c>
      <c r="I562" s="2">
        <v>2</v>
      </c>
      <c r="J562" s="2" t="s">
        <v>14</v>
      </c>
      <c r="K562" s="2" t="s">
        <v>14</v>
      </c>
      <c r="L562" s="2" t="s">
        <v>14</v>
      </c>
      <c r="M562" s="2" t="s">
        <v>13</v>
      </c>
      <c r="N562" s="2" t="s">
        <v>14</v>
      </c>
      <c r="O562" s="2">
        <v>0</v>
      </c>
    </row>
    <row r="563" spans="1:15" ht="15" customHeight="1" x14ac:dyDescent="0.25">
      <c r="A563" s="3"/>
      <c r="B563" s="3">
        <v>10</v>
      </c>
      <c r="C563" s="3" t="s">
        <v>10</v>
      </c>
      <c r="D563" s="3" t="s">
        <v>19</v>
      </c>
      <c r="E563" s="3">
        <v>0</v>
      </c>
      <c r="F563" s="3">
        <v>1</v>
      </c>
      <c r="G563" s="3" t="s">
        <v>17</v>
      </c>
      <c r="H563" s="3" t="s">
        <v>108</v>
      </c>
      <c r="I563" s="3">
        <v>1</v>
      </c>
      <c r="J563" s="3" t="s">
        <v>14</v>
      </c>
      <c r="K563" s="3" t="s">
        <v>13</v>
      </c>
      <c r="L563" s="3" t="s">
        <v>13</v>
      </c>
      <c r="M563" s="3" t="s">
        <v>13</v>
      </c>
      <c r="N563" s="3" t="s">
        <v>14</v>
      </c>
      <c r="O563" s="3">
        <v>1</v>
      </c>
    </row>
    <row r="564" spans="1:15" ht="15" customHeight="1" x14ac:dyDescent="0.25">
      <c r="A564" s="2"/>
      <c r="B564" s="2">
        <v>0</v>
      </c>
      <c r="C564" s="2" t="s">
        <v>18</v>
      </c>
      <c r="D564" s="2" t="s">
        <v>19</v>
      </c>
      <c r="E564" s="2">
        <v>0</v>
      </c>
      <c r="F564" s="2">
        <v>0</v>
      </c>
      <c r="G564" s="2" t="s">
        <v>10</v>
      </c>
      <c r="H564" s="2" t="s">
        <v>16</v>
      </c>
      <c r="I564" s="2" t="s">
        <v>15</v>
      </c>
      <c r="J564" s="2" t="s">
        <v>14</v>
      </c>
      <c r="K564" s="2" t="s">
        <v>13</v>
      </c>
      <c r="L564" s="2" t="s">
        <v>14</v>
      </c>
      <c r="M564" s="2" t="s">
        <v>14</v>
      </c>
      <c r="N564" s="2" t="s">
        <v>14</v>
      </c>
      <c r="O564" s="2">
        <v>1</v>
      </c>
    </row>
    <row r="565" spans="1:15" ht="15" customHeight="1" x14ac:dyDescent="0.25">
      <c r="A565" s="3"/>
      <c r="B565" s="3">
        <v>0</v>
      </c>
      <c r="C565" s="3" t="s">
        <v>10</v>
      </c>
      <c r="D565" s="3" t="s">
        <v>19</v>
      </c>
      <c r="E565" s="3">
        <v>0</v>
      </c>
      <c r="F565" s="3">
        <v>1</v>
      </c>
      <c r="G565" s="3" t="s">
        <v>10</v>
      </c>
      <c r="H565" s="3" t="s">
        <v>12</v>
      </c>
      <c r="I565" s="3">
        <v>1</v>
      </c>
      <c r="J565" s="3" t="s">
        <v>14</v>
      </c>
      <c r="K565" s="3" t="s">
        <v>14</v>
      </c>
      <c r="L565" s="3" t="s">
        <v>14</v>
      </c>
      <c r="M565" s="3" t="s">
        <v>14</v>
      </c>
      <c r="N565" s="3" t="s">
        <v>14</v>
      </c>
      <c r="O565" s="3">
        <v>1</v>
      </c>
    </row>
    <row r="566" spans="1:15" ht="15" customHeight="1" x14ac:dyDescent="0.25">
      <c r="A566" s="2"/>
      <c r="B566" s="2">
        <v>20</v>
      </c>
      <c r="C566" s="2" t="s">
        <v>18</v>
      </c>
      <c r="D566" s="2" t="s">
        <v>20</v>
      </c>
      <c r="E566" s="2">
        <v>0</v>
      </c>
      <c r="F566" s="2">
        <v>1</v>
      </c>
      <c r="G566" s="2" t="s">
        <v>10</v>
      </c>
      <c r="H566" s="2" t="s">
        <v>12</v>
      </c>
      <c r="I566" s="2" t="s">
        <v>15</v>
      </c>
      <c r="J566" s="2" t="s">
        <v>14</v>
      </c>
      <c r="K566" s="2" t="s">
        <v>14</v>
      </c>
      <c r="L566" s="2" t="s">
        <v>14</v>
      </c>
      <c r="M566" s="2" t="s">
        <v>14</v>
      </c>
      <c r="N566" s="2" t="s">
        <v>14</v>
      </c>
      <c r="O566" s="2">
        <v>1</v>
      </c>
    </row>
    <row r="567" spans="1:15" ht="15" customHeight="1" x14ac:dyDescent="0.25">
      <c r="A567" s="3"/>
      <c r="B567" s="3">
        <v>10</v>
      </c>
      <c r="C567" s="3" t="s">
        <v>10</v>
      </c>
      <c r="D567" s="3" t="s">
        <v>19</v>
      </c>
      <c r="E567" s="3">
        <v>1</v>
      </c>
      <c r="F567" s="3">
        <v>0</v>
      </c>
      <c r="G567" s="3" t="s">
        <v>17</v>
      </c>
      <c r="H567" s="3" t="s">
        <v>108</v>
      </c>
      <c r="I567" s="3">
        <v>1</v>
      </c>
      <c r="J567" s="3" t="s">
        <v>14</v>
      </c>
      <c r="K567" s="3" t="s">
        <v>13</v>
      </c>
      <c r="L567" s="3" t="s">
        <v>13</v>
      </c>
      <c r="M567" s="3" t="s">
        <v>13</v>
      </c>
      <c r="N567" s="3" t="s">
        <v>14</v>
      </c>
      <c r="O567" s="3">
        <v>0</v>
      </c>
    </row>
    <row r="568" spans="1:15" ht="15" customHeight="1" x14ac:dyDescent="0.25">
      <c r="A568" s="2"/>
      <c r="B568" s="2">
        <v>20</v>
      </c>
      <c r="C568" s="2" t="s">
        <v>18</v>
      </c>
      <c r="D568" s="2" t="s">
        <v>20</v>
      </c>
      <c r="E568" s="2">
        <v>0</v>
      </c>
      <c r="F568" s="2">
        <v>0</v>
      </c>
      <c r="G568" s="2" t="s">
        <v>10</v>
      </c>
      <c r="H568" s="2" t="s">
        <v>12</v>
      </c>
      <c r="I568" s="2">
        <v>1</v>
      </c>
      <c r="J568" s="2" t="s">
        <v>14</v>
      </c>
      <c r="K568" s="2" t="s">
        <v>14</v>
      </c>
      <c r="L568" s="2" t="s">
        <v>14</v>
      </c>
      <c r="M568" s="2" t="s">
        <v>14</v>
      </c>
      <c r="N568" s="2" t="s">
        <v>14</v>
      </c>
      <c r="O568" s="2">
        <v>1</v>
      </c>
    </row>
    <row r="569" spans="1:15" ht="15" customHeight="1" x14ac:dyDescent="0.25">
      <c r="A569" s="3"/>
      <c r="B569" s="3">
        <v>10</v>
      </c>
      <c r="C569" s="3" t="s">
        <v>18</v>
      </c>
      <c r="D569" s="3" t="s">
        <v>20</v>
      </c>
      <c r="E569" s="3">
        <v>0</v>
      </c>
      <c r="F569" s="3">
        <v>0</v>
      </c>
      <c r="G569" s="3" t="s">
        <v>10</v>
      </c>
      <c r="H569" s="3" t="s">
        <v>12</v>
      </c>
      <c r="I569" s="3">
        <v>1</v>
      </c>
      <c r="J569" s="3" t="s">
        <v>14</v>
      </c>
      <c r="K569" s="3" t="s">
        <v>14</v>
      </c>
      <c r="L569" s="3" t="s">
        <v>14</v>
      </c>
      <c r="M569" s="3" t="s">
        <v>14</v>
      </c>
      <c r="N569" s="3" t="s">
        <v>14</v>
      </c>
      <c r="O569" s="3">
        <v>1</v>
      </c>
    </row>
    <row r="570" spans="1:15" ht="15" customHeight="1" x14ac:dyDescent="0.25">
      <c r="A570" s="2"/>
      <c r="B570" s="2">
        <v>30</v>
      </c>
      <c r="C570" s="2" t="s">
        <v>10</v>
      </c>
      <c r="D570" s="2" t="s">
        <v>11</v>
      </c>
      <c r="E570" s="2">
        <v>1</v>
      </c>
      <c r="F570" s="2">
        <v>0</v>
      </c>
      <c r="G570" s="2" t="s">
        <v>10</v>
      </c>
      <c r="H570" s="2" t="s">
        <v>12</v>
      </c>
      <c r="I570" s="2" t="s">
        <v>15</v>
      </c>
      <c r="J570" s="2" t="s">
        <v>13</v>
      </c>
      <c r="K570" s="2" t="s">
        <v>14</v>
      </c>
      <c r="L570" s="2" t="s">
        <v>14</v>
      </c>
      <c r="M570" s="2" t="s">
        <v>13</v>
      </c>
      <c r="N570" s="2" t="s">
        <v>14</v>
      </c>
      <c r="O570" s="2">
        <v>0</v>
      </c>
    </row>
    <row r="571" spans="1:15" ht="15" customHeight="1" x14ac:dyDescent="0.25">
      <c r="A571" s="3"/>
      <c r="B571" s="3">
        <v>10</v>
      </c>
      <c r="C571" s="3" t="s">
        <v>10</v>
      </c>
      <c r="D571" s="3" t="s">
        <v>20</v>
      </c>
      <c r="E571" s="3">
        <v>0</v>
      </c>
      <c r="F571" s="3">
        <v>0</v>
      </c>
      <c r="G571" s="3" t="s">
        <v>10</v>
      </c>
      <c r="H571" s="3" t="s">
        <v>16</v>
      </c>
      <c r="I571" s="3">
        <v>1</v>
      </c>
      <c r="J571" s="3" t="s">
        <v>14</v>
      </c>
      <c r="K571" s="3" t="s">
        <v>14</v>
      </c>
      <c r="L571" s="3" t="s">
        <v>14</v>
      </c>
      <c r="M571" s="3" t="s">
        <v>14</v>
      </c>
      <c r="N571" s="3" t="s">
        <v>14</v>
      </c>
      <c r="O571" s="3">
        <v>1</v>
      </c>
    </row>
    <row r="572" spans="1:15" ht="15" customHeight="1" x14ac:dyDescent="0.25">
      <c r="A572" s="2"/>
      <c r="B572" s="2">
        <v>10</v>
      </c>
      <c r="C572" s="2" t="s">
        <v>10</v>
      </c>
      <c r="D572" s="2" t="s">
        <v>20</v>
      </c>
      <c r="E572" s="2">
        <v>0</v>
      </c>
      <c r="F572" s="2">
        <v>0</v>
      </c>
      <c r="G572" s="2" t="s">
        <v>10</v>
      </c>
      <c r="H572" s="2" t="s">
        <v>12</v>
      </c>
      <c r="I572" s="2" t="s">
        <v>15</v>
      </c>
      <c r="J572" s="2" t="s">
        <v>14</v>
      </c>
      <c r="K572" s="2" t="s">
        <v>14</v>
      </c>
      <c r="L572" s="2" t="s">
        <v>14</v>
      </c>
      <c r="M572" s="2" t="s">
        <v>14</v>
      </c>
      <c r="N572" s="2" t="s">
        <v>14</v>
      </c>
      <c r="O572" s="2">
        <v>1</v>
      </c>
    </row>
    <row r="573" spans="1:15" ht="15" customHeight="1" x14ac:dyDescent="0.25">
      <c r="A573" s="3"/>
      <c r="B573" s="3">
        <v>5</v>
      </c>
      <c r="C573" s="3" t="s">
        <v>18</v>
      </c>
      <c r="D573" s="3" t="s">
        <v>20</v>
      </c>
      <c r="E573" s="3">
        <v>0</v>
      </c>
      <c r="F573" s="3">
        <v>0</v>
      </c>
      <c r="G573" s="3" t="s">
        <v>10</v>
      </c>
      <c r="H573" s="3" t="s">
        <v>12</v>
      </c>
      <c r="I573" s="3" t="s">
        <v>15</v>
      </c>
      <c r="J573" s="3" t="s">
        <v>14</v>
      </c>
      <c r="K573" s="3" t="s">
        <v>14</v>
      </c>
      <c r="L573" s="3" t="s">
        <v>14</v>
      </c>
      <c r="M573" s="3" t="s">
        <v>14</v>
      </c>
      <c r="N573" s="3" t="s">
        <v>14</v>
      </c>
      <c r="O573" s="3">
        <v>1</v>
      </c>
    </row>
    <row r="574" spans="1:15" ht="15" customHeight="1" x14ac:dyDescent="0.25">
      <c r="A574" s="2"/>
      <c r="B574" s="2">
        <v>30</v>
      </c>
      <c r="C574" s="2" t="s">
        <v>14</v>
      </c>
      <c r="D574" s="2" t="s">
        <v>20</v>
      </c>
      <c r="E574" s="2">
        <v>0</v>
      </c>
      <c r="F574" s="2">
        <v>0</v>
      </c>
      <c r="G574" s="2" t="s">
        <v>10</v>
      </c>
      <c r="H574" s="2" t="s">
        <v>12</v>
      </c>
      <c r="I574" s="2" t="s">
        <v>15</v>
      </c>
      <c r="J574" s="2" t="s">
        <v>14</v>
      </c>
      <c r="K574" s="2" t="s">
        <v>14</v>
      </c>
      <c r="L574" s="2" t="s">
        <v>14</v>
      </c>
      <c r="M574" s="2" t="s">
        <v>14</v>
      </c>
      <c r="N574" s="2" t="s">
        <v>14</v>
      </c>
      <c r="O574" s="2">
        <v>1</v>
      </c>
    </row>
    <row r="575" spans="1:15" ht="15" customHeight="1" x14ac:dyDescent="0.25">
      <c r="A575" s="3"/>
      <c r="B575" s="3">
        <v>5</v>
      </c>
      <c r="C575" s="3" t="s">
        <v>10</v>
      </c>
      <c r="D575" s="3" t="s">
        <v>20</v>
      </c>
      <c r="E575" s="3">
        <v>0</v>
      </c>
      <c r="F575" s="3">
        <v>0</v>
      </c>
      <c r="G575" s="3" t="s">
        <v>10</v>
      </c>
      <c r="H575" s="3" t="s">
        <v>12</v>
      </c>
      <c r="I575" s="3">
        <v>2</v>
      </c>
      <c r="J575" s="3" t="s">
        <v>14</v>
      </c>
      <c r="K575" s="3" t="s">
        <v>14</v>
      </c>
      <c r="L575" s="3" t="s">
        <v>14</v>
      </c>
      <c r="M575" s="3" t="s">
        <v>14</v>
      </c>
      <c r="N575" s="3" t="s">
        <v>14</v>
      </c>
      <c r="O575" s="3">
        <v>1</v>
      </c>
    </row>
    <row r="576" spans="1:15" ht="15" customHeight="1" x14ac:dyDescent="0.25">
      <c r="A576" s="2"/>
      <c r="B576" s="2">
        <v>5</v>
      </c>
      <c r="C576" s="2" t="s">
        <v>14</v>
      </c>
      <c r="D576" s="2" t="s">
        <v>20</v>
      </c>
      <c r="E576" s="2">
        <v>0</v>
      </c>
      <c r="F576" s="2">
        <v>0</v>
      </c>
      <c r="G576" s="2" t="s">
        <v>10</v>
      </c>
      <c r="H576" s="2" t="s">
        <v>12</v>
      </c>
      <c r="I576" s="2">
        <v>2</v>
      </c>
      <c r="J576" s="2" t="s">
        <v>14</v>
      </c>
      <c r="K576" s="2" t="s">
        <v>14</v>
      </c>
      <c r="L576" s="2" t="s">
        <v>14</v>
      </c>
      <c r="M576" s="2" t="s">
        <v>14</v>
      </c>
      <c r="N576" s="2" t="s">
        <v>14</v>
      </c>
      <c r="O576" s="2">
        <v>1</v>
      </c>
    </row>
    <row r="577" spans="1:16" ht="15" customHeight="1" x14ac:dyDescent="0.25">
      <c r="A577" s="3"/>
      <c r="B577" s="3">
        <v>5</v>
      </c>
      <c r="C577" s="3" t="s">
        <v>10</v>
      </c>
      <c r="D577" s="3" t="s">
        <v>20</v>
      </c>
      <c r="E577" s="3">
        <v>0</v>
      </c>
      <c r="F577" s="3">
        <v>0</v>
      </c>
      <c r="G577" s="3" t="s">
        <v>10</v>
      </c>
      <c r="H577" s="3" t="s">
        <v>12</v>
      </c>
      <c r="I577" s="3">
        <v>2</v>
      </c>
      <c r="J577" s="3" t="s">
        <v>14</v>
      </c>
      <c r="K577" s="3" t="s">
        <v>14</v>
      </c>
      <c r="L577" s="3" t="s">
        <v>14</v>
      </c>
      <c r="M577" s="3" t="s">
        <v>14</v>
      </c>
      <c r="N577" s="3" t="s">
        <v>14</v>
      </c>
      <c r="O577" s="3">
        <v>1</v>
      </c>
    </row>
    <row r="578" spans="1:16" ht="15" customHeight="1" x14ac:dyDescent="0.25">
      <c r="A578" s="2"/>
      <c r="B578" s="2">
        <v>5</v>
      </c>
      <c r="C578" s="2" t="s">
        <v>14</v>
      </c>
      <c r="D578" s="2" t="s">
        <v>20</v>
      </c>
      <c r="E578" s="2">
        <v>0</v>
      </c>
      <c r="F578" s="2">
        <v>0</v>
      </c>
      <c r="G578" s="2" t="s">
        <v>10</v>
      </c>
      <c r="H578" s="2" t="s">
        <v>12</v>
      </c>
      <c r="I578" s="2">
        <v>2</v>
      </c>
      <c r="J578" s="2" t="s">
        <v>14</v>
      </c>
      <c r="K578" s="2" t="s">
        <v>14</v>
      </c>
      <c r="L578" s="2" t="s">
        <v>14</v>
      </c>
      <c r="M578" s="2" t="s">
        <v>14</v>
      </c>
      <c r="N578" s="2" t="s">
        <v>14</v>
      </c>
      <c r="O578" s="2">
        <v>1</v>
      </c>
    </row>
    <row r="579" spans="1:16" ht="15" customHeight="1" x14ac:dyDescent="0.25">
      <c r="A579" s="3"/>
      <c r="B579" s="3">
        <v>10</v>
      </c>
      <c r="C579" s="3" t="s">
        <v>10</v>
      </c>
      <c r="D579" s="3" t="s">
        <v>19</v>
      </c>
      <c r="E579" s="3">
        <v>0</v>
      </c>
      <c r="F579" s="3">
        <v>1</v>
      </c>
      <c r="G579" s="3" t="s">
        <v>10</v>
      </c>
      <c r="H579" s="3" t="s">
        <v>16</v>
      </c>
      <c r="I579" s="3">
        <v>2</v>
      </c>
      <c r="J579" s="3" t="s">
        <v>14</v>
      </c>
      <c r="K579" s="3" t="s">
        <v>14</v>
      </c>
      <c r="L579" s="3" t="s">
        <v>14</v>
      </c>
      <c r="M579" s="3" t="s">
        <v>14</v>
      </c>
      <c r="N579" s="3" t="s">
        <v>14</v>
      </c>
      <c r="O579" s="3">
        <v>1</v>
      </c>
    </row>
    <row r="580" spans="1:16" ht="15" customHeight="1" x14ac:dyDescent="0.25">
      <c r="A580" s="2"/>
      <c r="B580" s="2">
        <v>10</v>
      </c>
      <c r="C580" s="2" t="s">
        <v>18</v>
      </c>
      <c r="D580" s="2" t="s">
        <v>19</v>
      </c>
      <c r="E580" s="2">
        <v>0</v>
      </c>
      <c r="F580" s="2">
        <v>0</v>
      </c>
      <c r="G580" s="2" t="s">
        <v>10</v>
      </c>
      <c r="H580" s="2" t="s">
        <v>12</v>
      </c>
      <c r="I580" s="2">
        <v>1</v>
      </c>
      <c r="J580" s="2" t="s">
        <v>14</v>
      </c>
      <c r="K580" s="2" t="s">
        <v>14</v>
      </c>
      <c r="L580" s="2" t="s">
        <v>14</v>
      </c>
      <c r="M580" s="2" t="s">
        <v>14</v>
      </c>
      <c r="N580" s="2" t="s">
        <v>14</v>
      </c>
      <c r="O580" s="2">
        <v>1</v>
      </c>
    </row>
    <row r="581" spans="1:16" ht="15" customHeight="1" x14ac:dyDescent="0.25">
      <c r="A581" s="3"/>
      <c r="B581" s="3">
        <v>10</v>
      </c>
      <c r="C581" s="3" t="s">
        <v>10</v>
      </c>
      <c r="D581" s="3" t="s">
        <v>19</v>
      </c>
      <c r="E581" s="3">
        <v>0</v>
      </c>
      <c r="F581" s="3">
        <v>0</v>
      </c>
      <c r="G581" s="3" t="s">
        <v>10</v>
      </c>
      <c r="H581" s="3" t="s">
        <v>16</v>
      </c>
      <c r="I581" s="3" t="s">
        <v>15</v>
      </c>
      <c r="J581" s="3" t="s">
        <v>14</v>
      </c>
      <c r="K581" s="3" t="s">
        <v>14</v>
      </c>
      <c r="L581" s="3" t="s">
        <v>14</v>
      </c>
      <c r="M581" s="3" t="s">
        <v>14</v>
      </c>
      <c r="N581" s="3" t="s">
        <v>14</v>
      </c>
      <c r="O581" s="3">
        <v>1</v>
      </c>
    </row>
    <row r="582" spans="1:16" ht="15" customHeight="1" x14ac:dyDescent="0.25">
      <c r="A582" s="2"/>
      <c r="B582" s="2">
        <v>10</v>
      </c>
      <c r="C582" s="2" t="s">
        <v>10</v>
      </c>
      <c r="D582" s="2" t="s">
        <v>19</v>
      </c>
      <c r="E582" s="2">
        <v>1</v>
      </c>
      <c r="F582" s="2">
        <v>0</v>
      </c>
      <c r="G582" s="2" t="s">
        <v>10</v>
      </c>
      <c r="H582" s="2" t="s">
        <v>12</v>
      </c>
      <c r="I582" s="2">
        <v>1</v>
      </c>
      <c r="J582" s="2" t="s">
        <v>14</v>
      </c>
      <c r="K582" s="2" t="s">
        <v>14</v>
      </c>
      <c r="L582" s="2" t="s">
        <v>14</v>
      </c>
      <c r="M582" s="2" t="s">
        <v>14</v>
      </c>
      <c r="N582" s="2" t="s">
        <v>14</v>
      </c>
      <c r="O582" s="2">
        <v>1</v>
      </c>
    </row>
    <row r="583" spans="1:16" ht="15" customHeight="1" x14ac:dyDescent="0.25">
      <c r="A583" s="3"/>
      <c r="B583" s="3">
        <v>10</v>
      </c>
      <c r="C583" s="3" t="s">
        <v>10</v>
      </c>
      <c r="D583" s="3" t="s">
        <v>19</v>
      </c>
      <c r="E583" s="3">
        <v>0</v>
      </c>
      <c r="F583" s="3">
        <v>0</v>
      </c>
      <c r="G583" s="3" t="s">
        <v>10</v>
      </c>
      <c r="H583" s="3" t="s">
        <v>12</v>
      </c>
      <c r="I583" s="3">
        <v>2</v>
      </c>
      <c r="J583" s="3" t="s">
        <v>14</v>
      </c>
      <c r="K583" s="3" t="s">
        <v>14</v>
      </c>
      <c r="L583" s="3" t="s">
        <v>14</v>
      </c>
      <c r="M583" s="3" t="s">
        <v>14</v>
      </c>
      <c r="N583" s="3" t="s">
        <v>14</v>
      </c>
      <c r="O583" s="3">
        <v>1</v>
      </c>
    </row>
    <row r="584" spans="1:16" ht="15" customHeight="1" x14ac:dyDescent="0.25">
      <c r="A584" s="2"/>
      <c r="B584" s="2">
        <v>5</v>
      </c>
      <c r="C584" s="2" t="s">
        <v>10</v>
      </c>
      <c r="D584" s="2" t="s">
        <v>11</v>
      </c>
      <c r="E584" s="2">
        <v>0</v>
      </c>
      <c r="F584" s="2">
        <v>1</v>
      </c>
      <c r="G584" s="2" t="s">
        <v>10</v>
      </c>
      <c r="H584" s="2" t="s">
        <v>12</v>
      </c>
      <c r="I584" s="2" t="s">
        <v>15</v>
      </c>
      <c r="J584" s="2" t="s">
        <v>13</v>
      </c>
      <c r="K584" s="2" t="s">
        <v>14</v>
      </c>
      <c r="L584" s="2" t="s">
        <v>14</v>
      </c>
      <c r="M584" s="2" t="s">
        <v>14</v>
      </c>
      <c r="N584" s="2" t="s">
        <v>14</v>
      </c>
      <c r="O584" s="2">
        <v>0</v>
      </c>
    </row>
    <row r="585" spans="1:16" ht="15" customHeight="1" x14ac:dyDescent="0.25">
      <c r="A585" s="3"/>
      <c r="B585" s="3">
        <v>10</v>
      </c>
      <c r="C585" s="3" t="s">
        <v>10</v>
      </c>
      <c r="D585" s="3" t="s">
        <v>19</v>
      </c>
      <c r="E585" s="3">
        <v>0</v>
      </c>
      <c r="F585" s="3">
        <v>0</v>
      </c>
      <c r="G585" s="3" t="s">
        <v>10</v>
      </c>
      <c r="H585" s="3" t="s">
        <v>12</v>
      </c>
      <c r="I585" s="3">
        <v>1</v>
      </c>
      <c r="J585" s="3" t="s">
        <v>14</v>
      </c>
      <c r="K585" s="3" t="s">
        <v>14</v>
      </c>
      <c r="L585" s="3" t="s">
        <v>14</v>
      </c>
      <c r="M585" s="3" t="s">
        <v>14</v>
      </c>
      <c r="N585" s="3" t="s">
        <v>14</v>
      </c>
      <c r="O585" s="3">
        <v>1</v>
      </c>
    </row>
    <row r="586" spans="1:16" ht="15" customHeight="1" x14ac:dyDescent="0.25">
      <c r="A586" s="2"/>
      <c r="B586" s="2">
        <v>5</v>
      </c>
      <c r="C586" s="2" t="s">
        <v>18</v>
      </c>
      <c r="D586" s="2" t="s">
        <v>19</v>
      </c>
      <c r="E586" s="2">
        <v>0</v>
      </c>
      <c r="F586" s="2">
        <v>1</v>
      </c>
      <c r="G586" s="2" t="s">
        <v>10</v>
      </c>
      <c r="H586" s="2" t="s">
        <v>16</v>
      </c>
      <c r="I586" s="2" t="s">
        <v>15</v>
      </c>
      <c r="J586" s="2" t="s">
        <v>14</v>
      </c>
      <c r="K586" s="2" t="s">
        <v>14</v>
      </c>
      <c r="L586" s="2" t="s">
        <v>14</v>
      </c>
      <c r="M586" s="2" t="s">
        <v>14</v>
      </c>
      <c r="N586" s="2" t="s">
        <v>14</v>
      </c>
      <c r="O586" s="2">
        <v>1</v>
      </c>
    </row>
    <row r="587" spans="1:16" ht="15" customHeight="1" x14ac:dyDescent="0.25">
      <c r="A587" s="3"/>
      <c r="B587" s="3">
        <v>10</v>
      </c>
      <c r="C587" s="3" t="s">
        <v>10</v>
      </c>
      <c r="D587" s="3" t="s">
        <v>19</v>
      </c>
      <c r="E587" s="3">
        <v>1</v>
      </c>
      <c r="F587" s="3">
        <v>0</v>
      </c>
      <c r="G587" s="3" t="s">
        <v>10</v>
      </c>
      <c r="H587" s="3" t="s">
        <v>16</v>
      </c>
      <c r="I587" s="3">
        <v>1</v>
      </c>
      <c r="J587" s="3" t="s">
        <v>14</v>
      </c>
      <c r="K587" s="3" t="s">
        <v>14</v>
      </c>
      <c r="L587" s="3" t="s">
        <v>14</v>
      </c>
      <c r="M587" s="3" t="s">
        <v>13</v>
      </c>
      <c r="N587" s="3" t="s">
        <v>14</v>
      </c>
      <c r="O587" s="3">
        <v>0</v>
      </c>
    </row>
    <row r="588" spans="1:16" ht="15" customHeight="1" x14ac:dyDescent="0.25">
      <c r="A588" s="2"/>
      <c r="B588" s="2">
        <v>5</v>
      </c>
      <c r="C588" s="2" t="s">
        <v>10</v>
      </c>
      <c r="D588" s="2" t="s">
        <v>19</v>
      </c>
      <c r="E588" s="2">
        <v>0</v>
      </c>
      <c r="F588" s="2">
        <v>0</v>
      </c>
      <c r="G588" s="2" t="s">
        <v>10</v>
      </c>
      <c r="H588" s="2" t="s">
        <v>16</v>
      </c>
      <c r="I588" s="2">
        <v>1</v>
      </c>
      <c r="J588" s="2" t="s">
        <v>14</v>
      </c>
      <c r="K588" s="2" t="s">
        <v>14</v>
      </c>
      <c r="L588" s="2" t="s">
        <v>14</v>
      </c>
      <c r="M588" s="2" t="s">
        <v>14</v>
      </c>
      <c r="N588" s="2" t="s">
        <v>14</v>
      </c>
      <c r="O588" s="2">
        <v>1</v>
      </c>
    </row>
    <row r="589" spans="1:16" ht="15" customHeight="1" x14ac:dyDescent="0.25">
      <c r="A589" s="3"/>
      <c r="B589" s="3">
        <v>10</v>
      </c>
      <c r="C589" s="3" t="s">
        <v>14</v>
      </c>
      <c r="D589" s="3" t="s">
        <v>19</v>
      </c>
      <c r="E589" s="3">
        <v>0</v>
      </c>
      <c r="F589" s="3">
        <v>0</v>
      </c>
      <c r="G589" s="3" t="s">
        <v>10</v>
      </c>
      <c r="H589" s="3" t="s">
        <v>12</v>
      </c>
      <c r="I589" s="3">
        <v>2</v>
      </c>
      <c r="J589" s="3" t="s">
        <v>14</v>
      </c>
      <c r="K589" s="3" t="s">
        <v>14</v>
      </c>
      <c r="L589" s="3" t="s">
        <v>14</v>
      </c>
      <c r="M589" s="3" t="s">
        <v>14</v>
      </c>
      <c r="N589" s="3" t="s">
        <v>14</v>
      </c>
      <c r="O589" s="3">
        <v>1</v>
      </c>
      <c r="P589" s="25" t="s">
        <v>109</v>
      </c>
    </row>
    <row r="590" spans="1:16" ht="1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spans="1:16" ht="1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</row>
    <row r="592" spans="1:16" ht="1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spans="1:15" ht="1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</row>
    <row r="594" spans="1:15" ht="1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spans="1:15" ht="1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</row>
    <row r="596" spans="1:15" ht="1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spans="1:15" ht="1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</row>
    <row r="598" spans="1:15" ht="1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spans="1:15" ht="1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</row>
    <row r="600" spans="1:15" ht="1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spans="1:15" ht="1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</row>
    <row r="602" spans="1:15" ht="1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spans="1:15" ht="1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</row>
    <row r="604" spans="1:15" ht="1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spans="1:15" ht="1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</row>
    <row r="606" spans="1:15" ht="1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spans="1:15" ht="1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</row>
    <row r="608" spans="1:15" ht="1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spans="1:15" ht="1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</row>
    <row r="610" spans="1:15" ht="1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spans="1:15" ht="1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</row>
    <row r="612" spans="1:15" ht="1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spans="1:15" ht="1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</row>
    <row r="614" spans="1:15" ht="1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spans="1:15" ht="1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</row>
    <row r="616" spans="1:15" ht="1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spans="1:15" ht="1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</row>
    <row r="618" spans="1:15" ht="1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spans="1:15" ht="1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</row>
    <row r="620" spans="1:15" ht="1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spans="1:15" ht="1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</row>
    <row r="622" spans="1:15" ht="1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spans="1:15" ht="1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</row>
    <row r="624" spans="1:15" ht="1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spans="1:15" ht="1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</row>
    <row r="626" spans="1:15" ht="1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spans="1:15" ht="1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</row>
    <row r="628" spans="1:15" ht="1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spans="1:15" ht="1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</row>
    <row r="630" spans="1:15" ht="1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spans="1:15" ht="1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</row>
    <row r="632" spans="1:15" ht="1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spans="1:15" ht="1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</row>
    <row r="634" spans="1:15" ht="1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spans="1:15" ht="1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</row>
    <row r="636" spans="1:15" ht="1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spans="1:15" ht="1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</row>
    <row r="638" spans="1:15" ht="1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spans="1:15" ht="1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</row>
    <row r="640" spans="1:15" ht="1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spans="1:15" ht="1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</row>
    <row r="642" spans="1:15" ht="1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spans="1:15" ht="1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</row>
    <row r="644" spans="1:15" ht="1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spans="1:15" ht="1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</row>
    <row r="646" spans="1:15" ht="1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spans="1:15" ht="1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</row>
    <row r="648" spans="1:15" ht="1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spans="1:15" ht="1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</row>
    <row r="650" spans="1:15" ht="1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spans="1:15" ht="1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</row>
    <row r="652" spans="1:15" ht="1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spans="1:15" ht="1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</row>
    <row r="654" spans="1:15" ht="1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spans="1:15" ht="1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</row>
    <row r="656" spans="1:15" ht="1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spans="1:15" ht="1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</row>
    <row r="658" spans="1:15" ht="1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spans="1:15" ht="1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</row>
    <row r="660" spans="1:15" ht="1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spans="1:15" ht="1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</row>
    <row r="662" spans="1:15" ht="1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spans="1:15" ht="1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</row>
    <row r="664" spans="1:15" ht="1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spans="1:15" ht="1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</row>
    <row r="666" spans="1:15" ht="1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spans="1:15" ht="1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</row>
    <row r="668" spans="1:15" ht="1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spans="1:15" ht="1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</row>
    <row r="670" spans="1:15" ht="1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spans="1:15" ht="1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</row>
    <row r="672" spans="1:15" ht="1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spans="1:15" ht="1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</row>
    <row r="674" spans="1:15" ht="1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spans="1:15" ht="1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</row>
    <row r="676" spans="1:15" ht="1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spans="1:15" ht="1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</row>
    <row r="678" spans="1:15" ht="1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spans="1:15" ht="1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</row>
    <row r="680" spans="1:15" ht="1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spans="1:15" ht="1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</row>
    <row r="682" spans="1:15" ht="1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spans="1:15" ht="1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</row>
    <row r="684" spans="1:15" ht="1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spans="1:15" ht="1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</row>
    <row r="686" spans="1:15" ht="1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spans="1:15" ht="1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</row>
    <row r="688" spans="1:15" ht="1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spans="1:15" ht="1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</row>
    <row r="690" spans="1:15" ht="1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spans="1:15" ht="1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</row>
    <row r="692" spans="1:15" ht="1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spans="1:15" ht="1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</row>
    <row r="694" spans="1:15" ht="1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spans="1:15" ht="1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</row>
    <row r="696" spans="1:15" ht="1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spans="1:15" ht="1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</row>
    <row r="698" spans="1:15" ht="1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spans="1:15" ht="1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</row>
    <row r="700" spans="1:15" ht="1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spans="1:15" ht="1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</row>
    <row r="702" spans="1:15" ht="1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spans="1:15" ht="1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</row>
    <row r="704" spans="1:15" ht="1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spans="1:15" ht="1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</row>
    <row r="706" spans="1:15" ht="1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spans="1:15" ht="1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</row>
    <row r="708" spans="1:15" ht="1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spans="1:15" ht="1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</row>
    <row r="710" spans="1:15" ht="1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spans="1:15" ht="1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</row>
    <row r="712" spans="1:15" ht="1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spans="1:15" ht="1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</row>
    <row r="714" spans="1:15" ht="1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spans="1:15" ht="1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</row>
    <row r="716" spans="1:15" ht="1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spans="1:15" ht="1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</row>
    <row r="718" spans="1:15" ht="1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spans="1:15" ht="1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</row>
    <row r="720" spans="1:15" ht="1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spans="1:15" ht="1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</row>
    <row r="722" spans="1:15" ht="1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spans="1:15" ht="1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</row>
    <row r="724" spans="1:15" ht="1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spans="1:15" ht="1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</row>
    <row r="726" spans="1:15" ht="1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spans="1:15" ht="1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</row>
    <row r="728" spans="1:15" ht="1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spans="1:15" ht="1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</row>
    <row r="730" spans="1:15" ht="1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spans="1:15" ht="1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</row>
    <row r="732" spans="1:15" ht="1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spans="1:15" ht="1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</row>
    <row r="734" spans="1:15" ht="1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spans="1:15" ht="1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</row>
    <row r="736" spans="1:15" ht="1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spans="1:15" ht="1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</row>
    <row r="738" spans="1:15" ht="1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spans="1:15" ht="1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</row>
    <row r="740" spans="1:15" ht="1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spans="1:15" ht="1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</row>
    <row r="742" spans="1:15" ht="1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spans="1:15" ht="1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</row>
    <row r="744" spans="1:15" ht="1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spans="1:15" ht="1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</row>
    <row r="746" spans="1:15" ht="1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spans="1:15" ht="1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</row>
    <row r="748" spans="1:15" ht="1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spans="1:15" ht="1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</row>
    <row r="750" spans="1:15" ht="1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spans="1:15" ht="1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</row>
    <row r="752" spans="1:15" ht="1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spans="1:15" ht="1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</row>
    <row r="754" spans="1:15" ht="1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spans="1:15" ht="1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</row>
    <row r="756" spans="1:15" ht="1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spans="1:15" ht="1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</row>
    <row r="758" spans="1:15" ht="1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spans="1:15" ht="1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</row>
    <row r="760" spans="1:15" ht="1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spans="1:15" ht="1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</row>
    <row r="762" spans="1:15" ht="1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spans="1:15" ht="1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</row>
    <row r="764" spans="1:15" ht="1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spans="1:15" ht="1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</row>
    <row r="766" spans="1:15" ht="1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spans="1:15" ht="1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</row>
    <row r="768" spans="1:15" ht="1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spans="1:15" ht="1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</row>
    <row r="770" spans="1:15" ht="1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spans="1:15" ht="1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</row>
    <row r="772" spans="1:15" ht="1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spans="1:15" ht="1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</row>
    <row r="774" spans="1:15" ht="1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spans="1:15" ht="1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</row>
    <row r="776" spans="1:15" ht="1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spans="1:15" ht="1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</row>
    <row r="778" spans="1:15" ht="1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spans="1:15" ht="1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</row>
    <row r="780" spans="1:15" ht="1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spans="1:15" ht="1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</row>
    <row r="782" spans="1:15" ht="1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spans="1:15" ht="1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</row>
    <row r="784" spans="1:15" ht="1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spans="1:15" ht="1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</row>
    <row r="786" spans="1:15" ht="1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spans="1:15" ht="1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</row>
    <row r="788" spans="1:15" ht="1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spans="1:15" ht="1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</row>
    <row r="790" spans="1:15" ht="1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spans="1:15" ht="1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</row>
    <row r="792" spans="1:15" ht="1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spans="1:15" ht="1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</row>
    <row r="794" spans="1:15" ht="1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spans="1:15" ht="1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</row>
    <row r="796" spans="1:15" ht="1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spans="1:15" ht="1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</row>
    <row r="798" spans="1:15" ht="1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spans="1:15" ht="1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</row>
    <row r="800" spans="1:15" ht="1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spans="1:15" ht="1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</row>
    <row r="802" spans="1:15" ht="1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spans="1:15" ht="1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</row>
    <row r="804" spans="1:15" ht="1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spans="1:15" ht="1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</row>
    <row r="806" spans="1:15" ht="1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spans="1:15" ht="1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</row>
    <row r="808" spans="1:15" ht="1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spans="1:15" ht="1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</row>
    <row r="810" spans="1:15" ht="1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spans="1:15" ht="1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</row>
    <row r="812" spans="1:15" ht="1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spans="1:15" ht="1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</row>
    <row r="814" spans="1:15" ht="1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spans="1:15" ht="1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</row>
    <row r="816" spans="1:15" ht="1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spans="1:15" ht="1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</row>
    <row r="818" spans="1:15" ht="1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spans="1:15" ht="1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</row>
    <row r="820" spans="1:15" ht="1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spans="1:15" ht="1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</row>
    <row r="822" spans="1:15" ht="1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spans="1:15" ht="1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</row>
    <row r="824" spans="1:15" ht="1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spans="1:15" ht="1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</row>
    <row r="826" spans="1:15" ht="1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spans="1:15" ht="1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</row>
    <row r="828" spans="1:15" ht="1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spans="1:15" ht="1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</row>
    <row r="830" spans="1:15" ht="1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spans="1:15" ht="1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</row>
    <row r="832" spans="1:15" ht="1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spans="1:15" ht="1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</row>
    <row r="834" spans="1:15" ht="1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spans="1:15" ht="1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</row>
    <row r="836" spans="1:15" ht="1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spans="1:15" ht="1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</row>
    <row r="838" spans="1:15" ht="1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spans="1:15" ht="1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</row>
    <row r="840" spans="1:15" ht="1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spans="1:15" ht="1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</row>
    <row r="842" spans="1:15" ht="1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spans="1:15" ht="1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</row>
    <row r="844" spans="1:15" ht="1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spans="1:15" ht="1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</row>
    <row r="846" spans="1:15" ht="1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spans="1:15" ht="1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</row>
    <row r="848" spans="1:15" ht="1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spans="1:15" ht="1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</row>
    <row r="850" spans="1:15" ht="1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spans="1:15" ht="1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</row>
    <row r="852" spans="1:15" ht="1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spans="1:15" ht="1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</row>
    <row r="854" spans="1:15" ht="1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spans="1:15" ht="1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</row>
    <row r="856" spans="1:15" ht="1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spans="1:15" ht="1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</row>
    <row r="858" spans="1:15" ht="1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spans="1:15" ht="1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</row>
    <row r="860" spans="1:15" ht="1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spans="1:15" ht="1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</row>
    <row r="862" spans="1:15" ht="1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spans="1:15" ht="1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</row>
    <row r="864" spans="1:15" ht="1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spans="1:15" ht="1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</row>
    <row r="866" spans="1:15" ht="1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spans="1:15" ht="1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</row>
    <row r="868" spans="1:15" ht="1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spans="1:15" ht="1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</row>
    <row r="870" spans="1:15" ht="1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spans="1:15" ht="1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</row>
    <row r="872" spans="1:15" ht="1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spans="1:15" ht="1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</row>
    <row r="874" spans="1:15" ht="1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spans="1:15" ht="1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</row>
    <row r="876" spans="1:15" ht="1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spans="1:15" ht="1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</row>
    <row r="878" spans="1:15" ht="1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spans="1:15" ht="1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</row>
    <row r="880" spans="1:15" ht="1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spans="1:15" ht="1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</row>
    <row r="882" spans="1:15" ht="1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spans="1:15" ht="1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</row>
    <row r="884" spans="1:15" ht="1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spans="1:15" ht="1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</row>
    <row r="886" spans="1:15" ht="1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spans="1:15" ht="1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</row>
    <row r="888" spans="1:15" ht="1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spans="1:15" ht="1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</row>
    <row r="890" spans="1:15" ht="1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spans="1:15" ht="1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</row>
    <row r="892" spans="1:15" ht="1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spans="1:15" ht="1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</row>
    <row r="894" spans="1:15" ht="1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spans="1:15" ht="1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</row>
    <row r="896" spans="1:15" ht="1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spans="1:15" ht="1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</row>
    <row r="898" spans="1:15" ht="1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spans="1:15" ht="1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</row>
    <row r="900" spans="1:15" ht="1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spans="1:15" ht="1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</row>
    <row r="902" spans="1:15" ht="1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spans="1:15" ht="1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</row>
    <row r="904" spans="1:15" ht="1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spans="1:15" ht="1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</row>
    <row r="906" spans="1:15" ht="1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spans="1:15" ht="1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</row>
    <row r="908" spans="1:15" ht="1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spans="1:15" ht="1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</row>
    <row r="910" spans="1:15" ht="1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spans="1:15" ht="1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</row>
    <row r="912" spans="1:15" ht="1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spans="1:15" ht="1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</row>
    <row r="914" spans="1:15" ht="1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spans="1:15" ht="1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</row>
    <row r="916" spans="1:15" ht="1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spans="1:15" ht="1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</row>
    <row r="918" spans="1:15" ht="1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spans="1:15" ht="1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</row>
    <row r="920" spans="1:15" ht="1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spans="1:15" ht="1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</row>
    <row r="922" spans="1:15" ht="1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spans="1:15" ht="1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</row>
    <row r="924" spans="1:15" ht="1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spans="1:15" ht="1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</row>
    <row r="926" spans="1:15" ht="1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spans="1:15" ht="1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</row>
    <row r="928" spans="1:15" ht="1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spans="1:15" ht="1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</row>
    <row r="930" spans="1:15" ht="1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spans="1:15" ht="1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</row>
    <row r="932" spans="1:15" ht="1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spans="1:15" ht="1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</row>
    <row r="934" spans="1:15" ht="1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spans="1:15" ht="1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</row>
    <row r="936" spans="1:15" ht="1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spans="1:15" ht="1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</row>
    <row r="938" spans="1:15" ht="1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spans="1:15" ht="1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</row>
    <row r="940" spans="1:15" ht="1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spans="1:15" ht="1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</row>
    <row r="942" spans="1:15" ht="1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spans="1:15" ht="1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</row>
    <row r="944" spans="1:15" ht="1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spans="1:15" ht="1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</row>
    <row r="946" spans="1:15" ht="1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spans="1:15" ht="1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</row>
    <row r="948" spans="1:15" ht="1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spans="1:15" ht="1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</row>
    <row r="950" spans="1:15" ht="1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spans="1:15" ht="1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</row>
    <row r="952" spans="1:15" ht="1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spans="1:15" ht="1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</row>
    <row r="954" spans="1:15" ht="1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spans="1:15" ht="1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</row>
    <row r="956" spans="1:15" ht="1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spans="1:15" ht="1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</row>
    <row r="958" spans="1:15" ht="1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spans="1:15" ht="1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</row>
    <row r="960" spans="1:15" ht="1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spans="1:15" ht="1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</row>
    <row r="962" spans="1:15" ht="1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spans="1:15" ht="1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</row>
    <row r="964" spans="1:15" ht="1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spans="1:15" ht="1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</row>
    <row r="966" spans="1:15" ht="1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spans="1:15" ht="1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</row>
    <row r="968" spans="1:15" ht="1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spans="1:15" ht="1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</row>
    <row r="970" spans="1:15" ht="1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spans="1:15" ht="1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</row>
    <row r="972" spans="1:15" ht="1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spans="1:15" ht="1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</row>
    <row r="974" spans="1:15" ht="1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spans="1:15" ht="1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</row>
    <row r="976" spans="1:15" ht="1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spans="1:15" ht="1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</row>
    <row r="978" spans="1:15" ht="1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spans="1:15" ht="1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</row>
    <row r="980" spans="1:15" ht="1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spans="1:15" ht="1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</row>
    <row r="982" spans="1:15" ht="1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spans="1:15" ht="1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</row>
    <row r="984" spans="1:15" ht="1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spans="1:15" ht="1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</row>
    <row r="986" spans="1:15" ht="1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spans="1:15" ht="1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</row>
    <row r="988" spans="1:15" ht="1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spans="1:15" ht="1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</row>
    <row r="990" spans="1:15" ht="1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spans="1:15" ht="1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</row>
    <row r="992" spans="1:15" ht="1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spans="1:15" ht="1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</row>
    <row r="994" spans="1:15" ht="1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spans="1:15" ht="1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</row>
    <row r="996" spans="1:15" ht="1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spans="1:15" ht="1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</row>
    <row r="998" spans="1:15" ht="1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spans="1:15" ht="1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</row>
    <row r="1000" spans="1:15" ht="1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  <row r="1001" spans="1:15" ht="15" customHeight="1" x14ac:dyDescent="0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</row>
    <row r="1002" spans="1:15" ht="1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</row>
    <row r="1003" spans="1:15" ht="15" customHeight="1" x14ac:dyDescent="0.2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</row>
    <row r="1004" spans="1:15" ht="1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</row>
    <row r="1005" spans="1:15" ht="15" customHeight="1" x14ac:dyDescent="0.2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</row>
    <row r="1006" spans="1:15" ht="1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</row>
    <row r="1007" spans="1:15" ht="15" customHeight="1" x14ac:dyDescent="0.2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</row>
    <row r="1008" spans="1:15" ht="15" customHeight="1" x14ac:dyDescent="0.2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</row>
    <row r="1009" spans="1:15" ht="15" customHeight="1" x14ac:dyDescent="0.2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</row>
    <row r="1010" spans="1:15" ht="15" customHeight="1" x14ac:dyDescent="0.2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</row>
    <row r="1011" spans="1:15" ht="15" customHeight="1" x14ac:dyDescent="0.2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</row>
    <row r="1012" spans="1:15" ht="15" customHeight="1" x14ac:dyDescent="0.2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</row>
    <row r="1013" spans="1:15" ht="15" customHeight="1" x14ac:dyDescent="0.2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</row>
    <row r="1014" spans="1:15" ht="15" customHeight="1" x14ac:dyDescent="0.2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</row>
    <row r="1015" spans="1:15" ht="15" customHeight="1" x14ac:dyDescent="0.2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</row>
    <row r="1016" spans="1:15" ht="15" customHeight="1" x14ac:dyDescent="0.2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</row>
    <row r="1017" spans="1:15" ht="15" customHeight="1" x14ac:dyDescent="0.2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</row>
    <row r="1018" spans="1:15" ht="15" customHeight="1" x14ac:dyDescent="0.2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</row>
    <row r="1019" spans="1:15" ht="15" customHeight="1" x14ac:dyDescent="0.2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</row>
    <row r="1020" spans="1:15" ht="15" customHeight="1" x14ac:dyDescent="0.2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</row>
    <row r="1021" spans="1:15" ht="15" customHeight="1" x14ac:dyDescent="0.25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</row>
    <row r="1022" spans="1:15" ht="15" customHeight="1" x14ac:dyDescent="0.2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</row>
    <row r="1023" spans="1:15" ht="15" customHeight="1" x14ac:dyDescent="0.25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</row>
    <row r="1024" spans="1:15" ht="15" customHeight="1" x14ac:dyDescent="0.2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</row>
    <row r="1025" spans="1:15" ht="15" customHeight="1" x14ac:dyDescent="0.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</row>
    <row r="1026" spans="1:15" ht="15" customHeight="1" x14ac:dyDescent="0.2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</row>
    <row r="1027" spans="1:15" ht="15" customHeight="1" x14ac:dyDescent="0.25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</row>
    <row r="1028" spans="1:15" ht="15" customHeight="1" x14ac:dyDescent="0.2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</row>
    <row r="1029" spans="1:15" ht="15" customHeight="1" x14ac:dyDescent="0.25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</row>
    <row r="1030" spans="1:15" ht="15" customHeight="1" x14ac:dyDescent="0.2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</row>
    <row r="1031" spans="1:15" ht="15" customHeight="1" x14ac:dyDescent="0.25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</row>
    <row r="1032" spans="1:15" ht="15" customHeight="1" x14ac:dyDescent="0.2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</row>
    <row r="1033" spans="1:15" ht="15" customHeight="1" x14ac:dyDescent="0.25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</row>
    <row r="1034" spans="1:15" ht="15" customHeight="1" x14ac:dyDescent="0.2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</row>
    <row r="1035" spans="1:15" ht="15" customHeight="1" x14ac:dyDescent="0.2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</row>
    <row r="1036" spans="1:15" ht="15" customHeight="1" x14ac:dyDescent="0.2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</row>
    <row r="1037" spans="1:15" ht="15" customHeight="1" x14ac:dyDescent="0.25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</row>
    <row r="1038" spans="1:15" ht="15" customHeight="1" x14ac:dyDescent="0.2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</row>
    <row r="1039" spans="1:15" ht="15" customHeight="1" x14ac:dyDescent="0.25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</row>
    <row r="1040" spans="1:15" ht="15" customHeight="1" x14ac:dyDescent="0.2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</row>
    <row r="1041" spans="1:15" ht="15" customHeight="1" x14ac:dyDescent="0.25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</row>
    <row r="1042" spans="1:15" ht="15" customHeight="1" x14ac:dyDescent="0.2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</row>
    <row r="1043" spans="1:15" ht="15" customHeight="1" x14ac:dyDescent="0.25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</row>
    <row r="1044" spans="1:15" ht="15" customHeight="1" x14ac:dyDescent="0.2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</row>
    <row r="1045" spans="1:15" ht="15" customHeight="1" x14ac:dyDescent="0.2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</row>
    <row r="1046" spans="1:15" ht="15" customHeight="1" x14ac:dyDescent="0.2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</row>
    <row r="1047" spans="1:15" ht="15" customHeight="1" x14ac:dyDescent="0.25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</row>
    <row r="1048" spans="1:15" ht="15" customHeight="1" x14ac:dyDescent="0.2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</row>
    <row r="1049" spans="1:15" ht="15" customHeight="1" x14ac:dyDescent="0.25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</row>
    <row r="1050" spans="1:15" ht="15" customHeight="1" x14ac:dyDescent="0.2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</row>
    <row r="1051" spans="1:15" ht="15" customHeight="1" x14ac:dyDescent="0.25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</row>
    <row r="1052" spans="1:15" ht="15" customHeight="1" x14ac:dyDescent="0.2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</row>
    <row r="1053" spans="1:15" ht="15" customHeight="1" x14ac:dyDescent="0.25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</row>
    <row r="1054" spans="1:15" ht="15" customHeight="1" x14ac:dyDescent="0.2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</row>
    <row r="1055" spans="1:15" ht="15" customHeight="1" x14ac:dyDescent="0.2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</row>
    <row r="1056" spans="1:15" ht="15" customHeight="1" x14ac:dyDescent="0.2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</row>
    <row r="1057" spans="1:15" ht="15" customHeight="1" x14ac:dyDescent="0.25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</row>
    <row r="1058" spans="1:15" ht="15" customHeight="1" x14ac:dyDescent="0.2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</row>
    <row r="1059" spans="1:15" ht="15" customHeight="1" x14ac:dyDescent="0.25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</row>
    <row r="1060" spans="1:15" ht="15" customHeight="1" x14ac:dyDescent="0.2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</row>
    <row r="1061" spans="1:15" ht="15" customHeight="1" x14ac:dyDescent="0.25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</row>
    <row r="1062" spans="1:15" ht="15" customHeight="1" x14ac:dyDescent="0.2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</row>
    <row r="1063" spans="1:15" ht="15" customHeight="1" x14ac:dyDescent="0.25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</row>
    <row r="1064" spans="1:15" ht="15" customHeight="1" x14ac:dyDescent="0.2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</row>
    <row r="1065" spans="1:15" ht="15" customHeight="1" x14ac:dyDescent="0.2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</row>
    <row r="1066" spans="1:15" ht="15" customHeight="1" x14ac:dyDescent="0.2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</row>
    <row r="1067" spans="1:15" ht="15" customHeight="1" x14ac:dyDescent="0.25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</row>
    <row r="1068" spans="1:15" ht="15" customHeight="1" x14ac:dyDescent="0.2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</row>
    <row r="1069" spans="1:15" ht="15" customHeight="1" x14ac:dyDescent="0.25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</row>
    <row r="1070" spans="1:15" ht="15" customHeight="1" x14ac:dyDescent="0.2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</row>
    <row r="1071" spans="1:15" ht="15" customHeight="1" x14ac:dyDescent="0.25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</row>
    <row r="1072" spans="1:15" ht="15" customHeight="1" x14ac:dyDescent="0.2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</row>
    <row r="1073" spans="1:15" ht="15" customHeight="1" x14ac:dyDescent="0.25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</row>
    <row r="1074" spans="1:15" ht="15" customHeight="1" x14ac:dyDescent="0.2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</row>
    <row r="1075" spans="1:15" ht="15" customHeight="1" x14ac:dyDescent="0.2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</row>
    <row r="1076" spans="1:15" ht="15" customHeight="1" x14ac:dyDescent="0.2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</row>
    <row r="1077" spans="1:15" ht="15" customHeight="1" x14ac:dyDescent="0.25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</row>
    <row r="1078" spans="1:15" ht="15" customHeight="1" x14ac:dyDescent="0.2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</row>
    <row r="1079" spans="1:15" ht="15" customHeight="1" x14ac:dyDescent="0.25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</row>
    <row r="1080" spans="1:15" ht="15" customHeight="1" x14ac:dyDescent="0.2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</row>
    <row r="1081" spans="1:15" ht="15" customHeight="1" x14ac:dyDescent="0.25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</row>
    <row r="1082" spans="1:15" ht="15" customHeight="1" x14ac:dyDescent="0.2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</row>
    <row r="1083" spans="1:15" ht="15" customHeight="1" x14ac:dyDescent="0.25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</row>
    <row r="1084" spans="1:15" ht="15" customHeight="1" x14ac:dyDescent="0.2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</row>
    <row r="1085" spans="1:15" ht="15" customHeight="1" x14ac:dyDescent="0.2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</row>
    <row r="1086" spans="1:15" ht="15" customHeight="1" x14ac:dyDescent="0.2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</row>
    <row r="1087" spans="1:15" ht="15" customHeight="1" x14ac:dyDescent="0.25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</row>
    <row r="1088" spans="1:15" ht="15" customHeight="1" x14ac:dyDescent="0.2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</row>
    <row r="1089" spans="1:15" ht="15" customHeight="1" x14ac:dyDescent="0.25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</row>
    <row r="1090" spans="1:15" ht="15" customHeight="1" x14ac:dyDescent="0.2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</row>
    <row r="1091" spans="1:15" ht="15" customHeight="1" x14ac:dyDescent="0.25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</row>
    <row r="1092" spans="1:15" ht="15" customHeight="1" x14ac:dyDescent="0.2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</row>
    <row r="1093" spans="1:15" ht="15" customHeight="1" x14ac:dyDescent="0.25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</row>
    <row r="1094" spans="1:15" ht="15" customHeight="1" x14ac:dyDescent="0.2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</row>
    <row r="1095" spans="1:15" ht="15" customHeight="1" x14ac:dyDescent="0.2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</row>
    <row r="1096" spans="1:15" ht="15" customHeight="1" x14ac:dyDescent="0.2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</row>
    <row r="1097" spans="1:15" ht="15" customHeight="1" x14ac:dyDescent="0.25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</row>
    <row r="1098" spans="1:15" ht="15" customHeight="1" x14ac:dyDescent="0.2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</row>
    <row r="1099" spans="1:15" ht="15" customHeight="1" x14ac:dyDescent="0.25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</row>
    <row r="1100" spans="1:15" ht="15" customHeight="1" x14ac:dyDescent="0.2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</row>
    <row r="1101" spans="1:15" ht="15" customHeight="1" x14ac:dyDescent="0.25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</row>
    <row r="1102" spans="1:15" ht="15" customHeight="1" x14ac:dyDescent="0.2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</row>
    <row r="1103" spans="1:15" ht="15" customHeight="1" x14ac:dyDescent="0.25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</row>
    <row r="1104" spans="1:15" ht="15" customHeight="1" x14ac:dyDescent="0.2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</row>
    <row r="1105" spans="1:15" ht="15" customHeight="1" x14ac:dyDescent="0.2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</row>
    <row r="1106" spans="1:15" ht="15" customHeight="1" x14ac:dyDescent="0.2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</row>
    <row r="1107" spans="1:15" ht="15" customHeight="1" x14ac:dyDescent="0.25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</row>
    <row r="1108" spans="1:15" ht="15" customHeight="1" x14ac:dyDescent="0.2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</row>
    <row r="1109" spans="1:15" ht="15" customHeight="1" x14ac:dyDescent="0.25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</row>
    <row r="1110" spans="1:15" ht="15" customHeight="1" x14ac:dyDescent="0.2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</row>
    <row r="1111" spans="1:15" ht="15" customHeight="1" x14ac:dyDescent="0.25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</row>
    <row r="1112" spans="1:15" ht="15" customHeight="1" x14ac:dyDescent="0.2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</row>
    <row r="1113" spans="1:15" ht="15" customHeight="1" x14ac:dyDescent="0.25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</row>
    <row r="1114" spans="1:15" ht="15" customHeight="1" x14ac:dyDescent="0.2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</row>
    <row r="1115" spans="1:15" ht="15" customHeight="1" x14ac:dyDescent="0.2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</row>
    <row r="1116" spans="1:15" ht="15" customHeight="1" x14ac:dyDescent="0.2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</row>
    <row r="1117" spans="1:15" ht="15" customHeight="1" x14ac:dyDescent="0.25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</row>
    <row r="1118" spans="1:15" ht="15" customHeight="1" x14ac:dyDescent="0.2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</row>
    <row r="1119" spans="1:15" ht="15" customHeight="1" x14ac:dyDescent="0.25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</row>
    <row r="1120" spans="1:15" ht="15" customHeight="1" x14ac:dyDescent="0.2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</row>
    <row r="1121" spans="1:15" ht="15" customHeight="1" x14ac:dyDescent="0.25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</row>
    <row r="1122" spans="1:15" ht="15" customHeight="1" x14ac:dyDescent="0.2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</row>
    <row r="1123" spans="1:15" ht="15" customHeight="1" x14ac:dyDescent="0.25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</row>
    <row r="1124" spans="1:15" ht="15" customHeight="1" x14ac:dyDescent="0.2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</row>
    <row r="1125" spans="1:15" ht="15" customHeight="1" x14ac:dyDescent="0.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</row>
    <row r="1126" spans="1:15" ht="15" customHeight="1" x14ac:dyDescent="0.2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</row>
    <row r="1127" spans="1:15" ht="15" customHeight="1" x14ac:dyDescent="0.25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</row>
    <row r="1128" spans="1:15" ht="15" customHeight="1" x14ac:dyDescent="0.2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</row>
    <row r="1129" spans="1:15" ht="15" customHeight="1" x14ac:dyDescent="0.25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</row>
    <row r="1130" spans="1:15" ht="15" customHeight="1" x14ac:dyDescent="0.2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</row>
    <row r="1131" spans="1:15" ht="15" customHeight="1" x14ac:dyDescent="0.25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</row>
    <row r="1132" spans="1:15" ht="15" customHeight="1" x14ac:dyDescent="0.2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</row>
    <row r="1133" spans="1:15" ht="15" customHeight="1" x14ac:dyDescent="0.25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</row>
    <row r="1134" spans="1:15" ht="15" customHeight="1" x14ac:dyDescent="0.2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</row>
    <row r="1135" spans="1:15" ht="15" customHeight="1" x14ac:dyDescent="0.2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</row>
    <row r="1136" spans="1:15" ht="15" customHeight="1" x14ac:dyDescent="0.2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</row>
    <row r="1137" spans="1:15" ht="15" customHeight="1" x14ac:dyDescent="0.25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</row>
    <row r="1138" spans="1:15" ht="15" customHeight="1" x14ac:dyDescent="0.2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</row>
    <row r="1139" spans="1:15" ht="15" customHeight="1" x14ac:dyDescent="0.25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</row>
    <row r="1140" spans="1:15" ht="15" customHeight="1" x14ac:dyDescent="0.2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</row>
    <row r="1141" spans="1:15" ht="15" customHeight="1" x14ac:dyDescent="0.25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</row>
    <row r="1142" spans="1:15" ht="15" customHeight="1" x14ac:dyDescent="0.2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</row>
    <row r="1143" spans="1:15" ht="15" customHeight="1" x14ac:dyDescent="0.25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</row>
    <row r="1144" spans="1:15" ht="15" customHeight="1" x14ac:dyDescent="0.2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</row>
    <row r="1145" spans="1:15" ht="15" customHeight="1" x14ac:dyDescent="0.25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</row>
    <row r="1146" spans="1:15" ht="15" customHeight="1" x14ac:dyDescent="0.2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</row>
    <row r="1147" spans="1:15" ht="15" customHeight="1" x14ac:dyDescent="0.25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</row>
    <row r="1148" spans="1:15" ht="15" customHeight="1" x14ac:dyDescent="0.2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</row>
    <row r="1149" spans="1:15" ht="15" customHeight="1" x14ac:dyDescent="0.25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</row>
    <row r="1150" spans="1:15" ht="15" customHeight="1" x14ac:dyDescent="0.2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</row>
    <row r="1151" spans="1:15" ht="15" customHeight="1" x14ac:dyDescent="0.25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</row>
    <row r="1152" spans="1:15" ht="15" customHeight="1" x14ac:dyDescent="0.2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</row>
    <row r="1153" spans="1:15" ht="15" customHeight="1" x14ac:dyDescent="0.25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</row>
    <row r="1154" spans="1:15" ht="15" customHeight="1" x14ac:dyDescent="0.2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</row>
    <row r="1155" spans="1:15" ht="15" customHeight="1" x14ac:dyDescent="0.2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</row>
    <row r="1156" spans="1:15" ht="15" customHeight="1" x14ac:dyDescent="0.2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</row>
    <row r="1157" spans="1:15" ht="15" customHeight="1" x14ac:dyDescent="0.25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</row>
    <row r="1158" spans="1:15" ht="15" customHeight="1" x14ac:dyDescent="0.2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</row>
    <row r="1159" spans="1:15" ht="15" customHeight="1" x14ac:dyDescent="0.25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</row>
    <row r="1160" spans="1:15" ht="15" customHeight="1" x14ac:dyDescent="0.2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</row>
    <row r="1161" spans="1:15" ht="15" customHeight="1" x14ac:dyDescent="0.25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</row>
    <row r="1162" spans="1:15" ht="15" customHeight="1" x14ac:dyDescent="0.2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</row>
    <row r="1163" spans="1:15" ht="15" customHeight="1" x14ac:dyDescent="0.25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</row>
    <row r="1164" spans="1:15" ht="15" customHeight="1" x14ac:dyDescent="0.2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</row>
    <row r="1165" spans="1:15" ht="15" customHeight="1" x14ac:dyDescent="0.2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</row>
    <row r="1166" spans="1:15" ht="15" customHeight="1" x14ac:dyDescent="0.2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</row>
    <row r="1167" spans="1:15" ht="15" customHeight="1" x14ac:dyDescent="0.25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</row>
    <row r="1168" spans="1:15" ht="15" customHeight="1" x14ac:dyDescent="0.2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</row>
    <row r="1169" spans="1:15" ht="15" customHeight="1" x14ac:dyDescent="0.25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</row>
    <row r="1170" spans="1:15" ht="15" customHeight="1" x14ac:dyDescent="0.2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</row>
    <row r="1171" spans="1:15" ht="15" customHeight="1" x14ac:dyDescent="0.25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</row>
    <row r="1172" spans="1:15" ht="15" customHeight="1" x14ac:dyDescent="0.2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</row>
    <row r="1173" spans="1:15" ht="15" customHeight="1" x14ac:dyDescent="0.25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</row>
    <row r="1174" spans="1:15" ht="15" customHeight="1" x14ac:dyDescent="0.2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</row>
    <row r="1175" spans="1:15" ht="15" customHeight="1" x14ac:dyDescent="0.2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</row>
    <row r="1176" spans="1:15" ht="15" customHeight="1" x14ac:dyDescent="0.2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</row>
    <row r="1177" spans="1:15" ht="15" customHeight="1" x14ac:dyDescent="0.25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</row>
    <row r="1178" spans="1:15" ht="15" customHeight="1" x14ac:dyDescent="0.2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</row>
    <row r="1179" spans="1:15" ht="15" customHeight="1" x14ac:dyDescent="0.25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</row>
    <row r="1180" spans="1:15" ht="15" customHeight="1" x14ac:dyDescent="0.2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</row>
    <row r="1181" spans="1:15" ht="15" customHeight="1" x14ac:dyDescent="0.25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</row>
    <row r="1182" spans="1:15" ht="15" customHeight="1" x14ac:dyDescent="0.2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</row>
    <row r="1183" spans="1:15" ht="15" customHeight="1" x14ac:dyDescent="0.25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</row>
    <row r="1184" spans="1:15" ht="15" customHeight="1" x14ac:dyDescent="0.2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</row>
    <row r="1185" spans="1:15" ht="15" customHeight="1" x14ac:dyDescent="0.2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</row>
    <row r="1186" spans="1:15" ht="15" customHeight="1" x14ac:dyDescent="0.2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</row>
    <row r="1187" spans="1:15" ht="15" customHeight="1" x14ac:dyDescent="0.25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</row>
    <row r="1188" spans="1:15" ht="15" customHeight="1" x14ac:dyDescent="0.2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</row>
    <row r="1189" spans="1:15" ht="15" customHeight="1" x14ac:dyDescent="0.25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</row>
    <row r="1190" spans="1:15" ht="15" customHeight="1" x14ac:dyDescent="0.2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</row>
    <row r="1191" spans="1:15" ht="15" customHeight="1" x14ac:dyDescent="0.25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</row>
    <row r="1192" spans="1:15" ht="15" customHeight="1" x14ac:dyDescent="0.2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</row>
    <row r="1193" spans="1:15" ht="15" customHeight="1" x14ac:dyDescent="0.25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</row>
    <row r="1194" spans="1:15" ht="15" customHeight="1" x14ac:dyDescent="0.2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</row>
    <row r="1195" spans="1:15" ht="15" customHeight="1" x14ac:dyDescent="0.2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</row>
    <row r="1196" spans="1:15" ht="15" customHeight="1" x14ac:dyDescent="0.2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</row>
    <row r="1197" spans="1:15" ht="15" customHeight="1" x14ac:dyDescent="0.25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</row>
    <row r="1198" spans="1:15" ht="15" customHeight="1" x14ac:dyDescent="0.2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</row>
    <row r="1199" spans="1:15" ht="15" customHeight="1" x14ac:dyDescent="0.25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</row>
    <row r="1200" spans="1:15" ht="15" customHeight="1" x14ac:dyDescent="0.2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</row>
    <row r="1201" spans="1:15" ht="15" customHeight="1" x14ac:dyDescent="0.25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</row>
    <row r="1202" spans="1:15" ht="15" customHeight="1" x14ac:dyDescent="0.2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</row>
    <row r="1203" spans="1:15" ht="15" customHeight="1" x14ac:dyDescent="0.25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</row>
    <row r="1204" spans="1:15" ht="15" customHeight="1" x14ac:dyDescent="0.2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</row>
    <row r="1205" spans="1:15" ht="15" customHeight="1" x14ac:dyDescent="0.2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</row>
    <row r="1206" spans="1:15" ht="15" customHeight="1" x14ac:dyDescent="0.2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</row>
    <row r="1207" spans="1:15" ht="15" customHeight="1" x14ac:dyDescent="0.25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</row>
    <row r="1208" spans="1:15" ht="15" customHeight="1" x14ac:dyDescent="0.2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</row>
    <row r="1209" spans="1:15" ht="15" customHeight="1" x14ac:dyDescent="0.25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</row>
    <row r="1210" spans="1:15" ht="15" customHeight="1" x14ac:dyDescent="0.2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</row>
    <row r="1211" spans="1:15" ht="15" customHeight="1" x14ac:dyDescent="0.25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</row>
    <row r="1212" spans="1:15" ht="15" customHeight="1" x14ac:dyDescent="0.2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</row>
    <row r="1213" spans="1:15" ht="15" customHeight="1" x14ac:dyDescent="0.25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</row>
    <row r="1214" spans="1:15" ht="15" customHeight="1" x14ac:dyDescent="0.2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</row>
    <row r="1215" spans="1:15" ht="15" customHeight="1" x14ac:dyDescent="0.2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</row>
    <row r="1216" spans="1:15" ht="15" customHeight="1" x14ac:dyDescent="0.2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</row>
    <row r="1217" spans="1:15" ht="15" customHeight="1" x14ac:dyDescent="0.25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</row>
    <row r="1218" spans="1:15" ht="15" customHeight="1" x14ac:dyDescent="0.2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</row>
    <row r="1219" spans="1:15" ht="15" customHeight="1" x14ac:dyDescent="0.25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</row>
    <row r="1220" spans="1:15" ht="15" customHeight="1" x14ac:dyDescent="0.2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</row>
    <row r="1221" spans="1:15" ht="15" customHeight="1" x14ac:dyDescent="0.25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</row>
    <row r="1222" spans="1:15" ht="15" customHeight="1" x14ac:dyDescent="0.2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</row>
    <row r="1223" spans="1:15" ht="15" customHeight="1" x14ac:dyDescent="0.25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</row>
    <row r="1224" spans="1:15" ht="15" customHeight="1" x14ac:dyDescent="0.2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</row>
    <row r="1225" spans="1:15" ht="15" customHeight="1" x14ac:dyDescent="0.25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</row>
    <row r="1226" spans="1:15" ht="15" customHeight="1" x14ac:dyDescent="0.2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</row>
    <row r="1227" spans="1:15" ht="15" customHeight="1" x14ac:dyDescent="0.25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</row>
    <row r="1228" spans="1:15" ht="15" customHeight="1" x14ac:dyDescent="0.2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</row>
    <row r="1229" spans="1:15" ht="15" customHeight="1" x14ac:dyDescent="0.25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</row>
    <row r="1230" spans="1:15" ht="15" customHeight="1" x14ac:dyDescent="0.2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</row>
    <row r="1231" spans="1:15" ht="15" customHeight="1" x14ac:dyDescent="0.25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</row>
    <row r="1232" spans="1:15" ht="15" customHeight="1" x14ac:dyDescent="0.2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</row>
    <row r="1233" spans="1:15" ht="15" customHeight="1" x14ac:dyDescent="0.25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</row>
    <row r="1234" spans="1:15" ht="15" customHeight="1" x14ac:dyDescent="0.2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</row>
    <row r="1235" spans="1:15" ht="15" customHeight="1" x14ac:dyDescent="0.2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</row>
    <row r="1236" spans="1:15" ht="15" customHeight="1" x14ac:dyDescent="0.2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</row>
    <row r="1237" spans="1:15" ht="15" customHeight="1" x14ac:dyDescent="0.25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</row>
    <row r="1238" spans="1:15" ht="15" customHeight="1" x14ac:dyDescent="0.2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</row>
    <row r="1239" spans="1:15" ht="15" customHeight="1" x14ac:dyDescent="0.25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</row>
    <row r="1240" spans="1:15" ht="15" customHeight="1" x14ac:dyDescent="0.2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</row>
    <row r="1241" spans="1:15" ht="15" customHeight="1" x14ac:dyDescent="0.25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</row>
    <row r="1242" spans="1:15" ht="15" customHeight="1" x14ac:dyDescent="0.2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</row>
    <row r="1243" spans="1:15" ht="15" customHeight="1" x14ac:dyDescent="0.25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</row>
    <row r="1244" spans="1:15" ht="15" customHeight="1" x14ac:dyDescent="0.2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</row>
    <row r="1245" spans="1:15" ht="15" customHeight="1" x14ac:dyDescent="0.2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</row>
    <row r="1246" spans="1:15" ht="15" customHeight="1" x14ac:dyDescent="0.2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</row>
    <row r="1247" spans="1:15" ht="15" customHeight="1" x14ac:dyDescent="0.25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</row>
    <row r="1248" spans="1:15" ht="15" customHeight="1" x14ac:dyDescent="0.2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</row>
    <row r="1249" spans="1:15" ht="15" customHeight="1" x14ac:dyDescent="0.25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</row>
    <row r="1250" spans="1:15" ht="15" customHeight="1" x14ac:dyDescent="0.2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</row>
    <row r="1251" spans="1:15" ht="15" customHeight="1" x14ac:dyDescent="0.25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</row>
    <row r="1252" spans="1:15" ht="15" customHeight="1" x14ac:dyDescent="0.2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</row>
    <row r="1253" spans="1:15" ht="15" customHeight="1" x14ac:dyDescent="0.25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</row>
    <row r="1254" spans="1:15" ht="15" customHeight="1" x14ac:dyDescent="0.2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</row>
    <row r="1255" spans="1:15" ht="15" customHeight="1" x14ac:dyDescent="0.2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</row>
    <row r="1256" spans="1:15" ht="15" customHeight="1" x14ac:dyDescent="0.2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</row>
    <row r="1257" spans="1:15" ht="15" customHeight="1" x14ac:dyDescent="0.25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</row>
    <row r="1258" spans="1:15" ht="15" customHeight="1" x14ac:dyDescent="0.2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</row>
    <row r="1259" spans="1:15" ht="15" customHeight="1" x14ac:dyDescent="0.25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</row>
    <row r="1260" spans="1:15" ht="15" customHeight="1" x14ac:dyDescent="0.2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</row>
    <row r="1261" spans="1:15" ht="15" customHeight="1" x14ac:dyDescent="0.25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</row>
    <row r="1262" spans="1:15" ht="15" customHeight="1" x14ac:dyDescent="0.2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</row>
    <row r="1263" spans="1:15" ht="15" customHeight="1" x14ac:dyDescent="0.25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</row>
    <row r="1264" spans="1:15" ht="15" customHeight="1" x14ac:dyDescent="0.2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</row>
    <row r="1265" spans="1:15" ht="15" customHeight="1" x14ac:dyDescent="0.2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</row>
    <row r="1266" spans="1:15" ht="15" customHeight="1" x14ac:dyDescent="0.2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</row>
    <row r="1267" spans="1:15" ht="15" customHeight="1" x14ac:dyDescent="0.25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</row>
    <row r="1268" spans="1:15" ht="15" customHeight="1" x14ac:dyDescent="0.2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</row>
    <row r="1269" spans="1:15" ht="15" customHeight="1" x14ac:dyDescent="0.25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</row>
    <row r="1270" spans="1:15" ht="15" customHeight="1" x14ac:dyDescent="0.2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</row>
    <row r="1271" spans="1:15" ht="15" customHeight="1" x14ac:dyDescent="0.25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</row>
    <row r="1272" spans="1:15" ht="15" customHeight="1" x14ac:dyDescent="0.2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</row>
    <row r="1273" spans="1:15" ht="15" customHeight="1" x14ac:dyDescent="0.25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</row>
    <row r="1274" spans="1:15" ht="15" customHeight="1" x14ac:dyDescent="0.2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</row>
    <row r="1275" spans="1:15" ht="15" customHeight="1" x14ac:dyDescent="0.2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</row>
    <row r="1276" spans="1:15" ht="15" customHeight="1" x14ac:dyDescent="0.2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</row>
    <row r="1277" spans="1:15" ht="15" customHeight="1" x14ac:dyDescent="0.25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</row>
    <row r="1278" spans="1:15" ht="15" customHeight="1" x14ac:dyDescent="0.2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</row>
    <row r="1279" spans="1:15" ht="15" customHeight="1" x14ac:dyDescent="0.25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</row>
    <row r="1280" spans="1:15" ht="15" customHeight="1" x14ac:dyDescent="0.2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</row>
    <row r="1281" spans="1:15" ht="15" customHeight="1" x14ac:dyDescent="0.25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</row>
    <row r="1282" spans="1:15" ht="15" customHeight="1" x14ac:dyDescent="0.2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</row>
    <row r="1283" spans="1:15" ht="15" customHeight="1" x14ac:dyDescent="0.25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</row>
    <row r="1284" spans="1:15" ht="15" customHeight="1" x14ac:dyDescent="0.2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</row>
    <row r="1285" spans="1:15" ht="15" customHeight="1" x14ac:dyDescent="0.2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</row>
    <row r="1286" spans="1:15" ht="15" customHeight="1" x14ac:dyDescent="0.2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</row>
    <row r="1287" spans="1:15" ht="15" customHeight="1" x14ac:dyDescent="0.25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</row>
    <row r="1288" spans="1:15" ht="15" customHeight="1" x14ac:dyDescent="0.2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</row>
    <row r="1289" spans="1:15" ht="15" customHeight="1" x14ac:dyDescent="0.25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</row>
    <row r="1290" spans="1:15" ht="15" customHeight="1" x14ac:dyDescent="0.2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</row>
    <row r="1291" spans="1:15" ht="15" customHeight="1" x14ac:dyDescent="0.25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</row>
    <row r="1292" spans="1:15" ht="15" customHeight="1" x14ac:dyDescent="0.2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</row>
    <row r="1293" spans="1:15" ht="15" customHeight="1" x14ac:dyDescent="0.25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</row>
    <row r="1294" spans="1:15" ht="15" customHeight="1" x14ac:dyDescent="0.2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</row>
    <row r="1295" spans="1:15" ht="15" customHeight="1" x14ac:dyDescent="0.25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</row>
    <row r="1296" spans="1:15" ht="15" customHeight="1" x14ac:dyDescent="0.2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</row>
    <row r="1297" spans="1:15" ht="15" customHeight="1" x14ac:dyDescent="0.25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</row>
    <row r="1298" spans="1:15" ht="15" customHeight="1" x14ac:dyDescent="0.2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</row>
    <row r="1299" spans="1:15" ht="15" customHeight="1" x14ac:dyDescent="0.25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</row>
    <row r="1300" spans="1:15" ht="15" customHeight="1" x14ac:dyDescent="0.2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</row>
    <row r="1301" spans="1:15" ht="15" customHeight="1" x14ac:dyDescent="0.25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</row>
    <row r="1302" spans="1:15" ht="15" customHeight="1" x14ac:dyDescent="0.25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</row>
    <row r="1303" spans="1:15" ht="15" customHeight="1" x14ac:dyDescent="0.25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</row>
    <row r="1304" spans="1:15" ht="15" customHeight="1" x14ac:dyDescent="0.25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</row>
    <row r="1305" spans="1:15" ht="15" customHeight="1" x14ac:dyDescent="0.25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</row>
    <row r="1306" spans="1:15" ht="15" customHeight="1" x14ac:dyDescent="0.25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</row>
    <row r="1307" spans="1:15" ht="15" customHeight="1" x14ac:dyDescent="0.25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</row>
    <row r="1308" spans="1:15" ht="15" customHeight="1" x14ac:dyDescent="0.25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</row>
    <row r="1309" spans="1:15" ht="15" customHeight="1" x14ac:dyDescent="0.25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</row>
    <row r="1310" spans="1:15" ht="15" customHeight="1" x14ac:dyDescent="0.25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</row>
    <row r="1311" spans="1:15" ht="15" customHeight="1" x14ac:dyDescent="0.25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</row>
    <row r="1312" spans="1:15" ht="15" customHeight="1" x14ac:dyDescent="0.25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</row>
    <row r="1313" spans="1:15" ht="15" customHeight="1" x14ac:dyDescent="0.25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</row>
    <row r="1314" spans="1:15" ht="15" customHeight="1" x14ac:dyDescent="0.25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</row>
    <row r="1315" spans="1:15" ht="15" customHeight="1" x14ac:dyDescent="0.25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</row>
    <row r="1316" spans="1:15" ht="15" customHeight="1" x14ac:dyDescent="0.25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</row>
    <row r="1317" spans="1:15" ht="15" customHeight="1" x14ac:dyDescent="0.25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</row>
    <row r="1318" spans="1:15" ht="15" customHeight="1" x14ac:dyDescent="0.25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</row>
    <row r="1319" spans="1:15" ht="15" customHeight="1" x14ac:dyDescent="0.25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</row>
    <row r="1320" spans="1:15" ht="15" customHeight="1" x14ac:dyDescent="0.25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</row>
    <row r="1321" spans="1:15" ht="15" customHeight="1" x14ac:dyDescent="0.25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</row>
    <row r="1322" spans="1:15" ht="15" customHeight="1" x14ac:dyDescent="0.25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</row>
    <row r="1323" spans="1:15" ht="15" customHeight="1" x14ac:dyDescent="0.25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</row>
    <row r="1324" spans="1:15" ht="15" customHeight="1" x14ac:dyDescent="0.25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</row>
    <row r="1325" spans="1:15" ht="15" customHeight="1" x14ac:dyDescent="0.25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</row>
    <row r="1326" spans="1:15" ht="15" customHeight="1" x14ac:dyDescent="0.25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</row>
    <row r="1327" spans="1:15" ht="15" customHeight="1" x14ac:dyDescent="0.25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</row>
    <row r="1328" spans="1:15" ht="15" customHeight="1" x14ac:dyDescent="0.25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</row>
    <row r="1329" spans="1:15" ht="15" customHeight="1" x14ac:dyDescent="0.25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</row>
    <row r="1330" spans="1:15" ht="15" customHeight="1" x14ac:dyDescent="0.25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</row>
    <row r="1331" spans="1:15" ht="15" customHeight="1" x14ac:dyDescent="0.25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</row>
    <row r="1332" spans="1:15" ht="15" customHeight="1" x14ac:dyDescent="0.25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</row>
    <row r="1333" spans="1:15" ht="15" customHeight="1" x14ac:dyDescent="0.25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</row>
    <row r="1334" spans="1:15" ht="15" customHeight="1" x14ac:dyDescent="0.25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</row>
    <row r="1335" spans="1:15" ht="15" customHeight="1" x14ac:dyDescent="0.25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</row>
    <row r="1336" spans="1:15" ht="15" customHeight="1" x14ac:dyDescent="0.25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</row>
    <row r="1337" spans="1:15" ht="15" customHeight="1" x14ac:dyDescent="0.25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</row>
    <row r="1338" spans="1:15" ht="15" customHeight="1" x14ac:dyDescent="0.25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</row>
    <row r="1339" spans="1:15" ht="15" customHeight="1" x14ac:dyDescent="0.25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</row>
    <row r="1340" spans="1:15" ht="15" customHeight="1" x14ac:dyDescent="0.25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</row>
    <row r="1341" spans="1:15" ht="15" customHeight="1" x14ac:dyDescent="0.25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</row>
    <row r="1342" spans="1:15" ht="15" customHeight="1" x14ac:dyDescent="0.25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</row>
    <row r="1343" spans="1:15" ht="15" customHeight="1" x14ac:dyDescent="0.25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</row>
    <row r="1344" spans="1:15" ht="15" customHeight="1" x14ac:dyDescent="0.25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</row>
    <row r="1345" spans="1:15" ht="15" customHeight="1" x14ac:dyDescent="0.25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</row>
    <row r="1346" spans="1:15" ht="15" customHeight="1" x14ac:dyDescent="0.25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</row>
    <row r="1347" spans="1:15" ht="15" customHeight="1" x14ac:dyDescent="0.25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</row>
    <row r="1348" spans="1:15" ht="15" customHeight="1" x14ac:dyDescent="0.25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</row>
    <row r="1349" spans="1:15" ht="15" customHeight="1" x14ac:dyDescent="0.25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</row>
    <row r="1350" spans="1:15" ht="15" customHeight="1" x14ac:dyDescent="0.25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</row>
    <row r="1351" spans="1:15" ht="15" customHeight="1" x14ac:dyDescent="0.25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</row>
    <row r="1352" spans="1:15" ht="15" customHeight="1" x14ac:dyDescent="0.25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</row>
    <row r="1353" spans="1:15" ht="15" customHeight="1" x14ac:dyDescent="0.25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</row>
    <row r="1354" spans="1:15" ht="15" customHeight="1" x14ac:dyDescent="0.25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</row>
    <row r="1355" spans="1:15" ht="15" customHeight="1" x14ac:dyDescent="0.25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</row>
    <row r="1356" spans="1:15" ht="15" customHeight="1" x14ac:dyDescent="0.25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</row>
    <row r="1357" spans="1:15" ht="15" customHeight="1" x14ac:dyDescent="0.25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</row>
    <row r="1358" spans="1:15" ht="15" customHeight="1" x14ac:dyDescent="0.25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</row>
    <row r="1359" spans="1:15" ht="15" customHeight="1" x14ac:dyDescent="0.25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</row>
    <row r="1360" spans="1:15" ht="15" customHeight="1" x14ac:dyDescent="0.25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</row>
    <row r="1361" spans="1:15" ht="15" customHeight="1" x14ac:dyDescent="0.25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</row>
    <row r="1362" spans="1:15" ht="15" customHeight="1" x14ac:dyDescent="0.25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</row>
    <row r="1363" spans="1:15" ht="15" customHeight="1" x14ac:dyDescent="0.25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</row>
    <row r="1364" spans="1:15" ht="15" customHeight="1" x14ac:dyDescent="0.25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</row>
    <row r="1365" spans="1:15" ht="15" customHeight="1" x14ac:dyDescent="0.25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</row>
    <row r="1366" spans="1:15" ht="15" customHeight="1" x14ac:dyDescent="0.25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</row>
    <row r="1367" spans="1:15" ht="15" customHeight="1" x14ac:dyDescent="0.25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</row>
    <row r="1368" spans="1:15" ht="15" customHeight="1" x14ac:dyDescent="0.25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</row>
    <row r="1369" spans="1:15" ht="15" customHeight="1" x14ac:dyDescent="0.25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</row>
    <row r="1370" spans="1:15" ht="15" customHeight="1" x14ac:dyDescent="0.25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</row>
    <row r="1371" spans="1:15" ht="15" customHeight="1" x14ac:dyDescent="0.25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</row>
    <row r="1372" spans="1:15" ht="15" customHeight="1" x14ac:dyDescent="0.25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</row>
    <row r="1373" spans="1:15" ht="15" customHeight="1" x14ac:dyDescent="0.25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</row>
    <row r="1374" spans="1:15" ht="15" customHeight="1" x14ac:dyDescent="0.25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</row>
    <row r="1375" spans="1:15" ht="15" customHeight="1" x14ac:dyDescent="0.25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</row>
    <row r="1376" spans="1:15" ht="15" customHeight="1" x14ac:dyDescent="0.25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</row>
    <row r="1377" spans="1:15" ht="15" customHeight="1" x14ac:dyDescent="0.25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</row>
    <row r="1378" spans="1:15" ht="15" customHeight="1" x14ac:dyDescent="0.25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</row>
    <row r="1379" spans="1:15" ht="15" customHeight="1" x14ac:dyDescent="0.25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</row>
    <row r="1380" spans="1:15" ht="15" customHeight="1" x14ac:dyDescent="0.25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</row>
    <row r="1381" spans="1:15" ht="15" customHeight="1" x14ac:dyDescent="0.25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</row>
    <row r="1382" spans="1:15" ht="15" customHeight="1" x14ac:dyDescent="0.25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</row>
    <row r="1383" spans="1:15" ht="15" customHeight="1" x14ac:dyDescent="0.25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</row>
    <row r="1384" spans="1:15" ht="15" customHeight="1" x14ac:dyDescent="0.25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</row>
    <row r="1385" spans="1:15" ht="15" customHeight="1" x14ac:dyDescent="0.25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</row>
    <row r="1386" spans="1:15" ht="15" customHeight="1" x14ac:dyDescent="0.25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</row>
    <row r="1387" spans="1:15" ht="15" customHeight="1" x14ac:dyDescent="0.25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</row>
    <row r="1388" spans="1:15" ht="15" customHeight="1" x14ac:dyDescent="0.25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</row>
    <row r="1389" spans="1:15" ht="15" customHeight="1" x14ac:dyDescent="0.25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</row>
    <row r="1390" spans="1:15" ht="15" customHeight="1" x14ac:dyDescent="0.25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</row>
    <row r="1391" spans="1:15" ht="15" customHeight="1" x14ac:dyDescent="0.25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</row>
    <row r="1392" spans="1:15" ht="15" customHeight="1" x14ac:dyDescent="0.25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</row>
    <row r="1393" spans="1:15" ht="15" customHeight="1" x14ac:dyDescent="0.25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</row>
    <row r="1394" spans="1:15" ht="15" customHeight="1" x14ac:dyDescent="0.25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</row>
    <row r="1395" spans="1:15" ht="15" customHeight="1" x14ac:dyDescent="0.25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</row>
    <row r="1396" spans="1:15" ht="15" customHeight="1" x14ac:dyDescent="0.25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</row>
    <row r="1397" spans="1:15" ht="15" customHeight="1" x14ac:dyDescent="0.25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</row>
    <row r="1398" spans="1:15" ht="15" customHeight="1" x14ac:dyDescent="0.25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</row>
    <row r="1399" spans="1:15" ht="15" customHeight="1" x14ac:dyDescent="0.25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</row>
    <row r="1400" spans="1:15" ht="15" customHeight="1" x14ac:dyDescent="0.25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</row>
    <row r="1401" spans="1:15" ht="15" customHeight="1" x14ac:dyDescent="0.25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</row>
    <row r="1402" spans="1:15" ht="15" customHeight="1" x14ac:dyDescent="0.25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</row>
    <row r="1403" spans="1:15" ht="15" customHeight="1" x14ac:dyDescent="0.25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</row>
    <row r="1404" spans="1:15" ht="15" customHeight="1" x14ac:dyDescent="0.25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</row>
    <row r="1405" spans="1:15" ht="15" customHeight="1" x14ac:dyDescent="0.25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</row>
    <row r="1406" spans="1:15" ht="15" customHeight="1" x14ac:dyDescent="0.25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</row>
    <row r="1407" spans="1:15" ht="15" customHeight="1" x14ac:dyDescent="0.25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</row>
    <row r="1408" spans="1:15" ht="15" customHeight="1" x14ac:dyDescent="0.25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</row>
    <row r="1409" spans="1:15" ht="15" customHeight="1" x14ac:dyDescent="0.25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</row>
    <row r="1410" spans="1:15" ht="15" customHeight="1" x14ac:dyDescent="0.25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</row>
    <row r="1411" spans="1:15" ht="15" customHeight="1" x14ac:dyDescent="0.25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</row>
    <row r="1412" spans="1:15" ht="15" customHeight="1" x14ac:dyDescent="0.25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</row>
    <row r="1413" spans="1:15" ht="15" customHeight="1" x14ac:dyDescent="0.25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</row>
    <row r="1414" spans="1:15" ht="15" customHeight="1" x14ac:dyDescent="0.25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</row>
    <row r="1415" spans="1:15" ht="15" customHeight="1" x14ac:dyDescent="0.25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</row>
    <row r="1416" spans="1:15" ht="15" customHeight="1" x14ac:dyDescent="0.25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</row>
    <row r="1417" spans="1:15" ht="15" customHeight="1" x14ac:dyDescent="0.25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</row>
    <row r="1418" spans="1:15" ht="15" customHeight="1" x14ac:dyDescent="0.25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</row>
    <row r="1419" spans="1:15" ht="15" customHeight="1" x14ac:dyDescent="0.25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</row>
    <row r="1420" spans="1:15" ht="15" customHeight="1" x14ac:dyDescent="0.25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</row>
    <row r="1421" spans="1:15" ht="15" customHeight="1" x14ac:dyDescent="0.25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</row>
    <row r="1422" spans="1:15" ht="15" customHeight="1" x14ac:dyDescent="0.25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</row>
    <row r="1423" spans="1:15" ht="15" customHeight="1" x14ac:dyDescent="0.25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</row>
    <row r="1424" spans="1:15" ht="15" customHeight="1" x14ac:dyDescent="0.25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</row>
    <row r="1425" spans="1:15" ht="15" customHeight="1" x14ac:dyDescent="0.25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</row>
    <row r="1426" spans="1:15" ht="15" customHeight="1" x14ac:dyDescent="0.25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</row>
    <row r="1427" spans="1:15" ht="15" customHeight="1" x14ac:dyDescent="0.25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</row>
    <row r="1428" spans="1:15" ht="15" customHeight="1" x14ac:dyDescent="0.25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</row>
    <row r="1429" spans="1:15" ht="15" customHeight="1" x14ac:dyDescent="0.25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</row>
    <row r="1430" spans="1:15" ht="15" customHeight="1" x14ac:dyDescent="0.25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</row>
    <row r="1431" spans="1:15" ht="15" customHeight="1" x14ac:dyDescent="0.25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</row>
    <row r="1432" spans="1:15" ht="15" customHeight="1" x14ac:dyDescent="0.25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</row>
    <row r="1433" spans="1:15" ht="15" customHeight="1" x14ac:dyDescent="0.25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</row>
    <row r="1434" spans="1:15" ht="15" customHeight="1" x14ac:dyDescent="0.25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</row>
    <row r="1435" spans="1:15" ht="15" customHeight="1" x14ac:dyDescent="0.25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</row>
    <row r="1436" spans="1:15" ht="15" customHeight="1" x14ac:dyDescent="0.25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</row>
    <row r="1437" spans="1:15" ht="15" customHeight="1" x14ac:dyDescent="0.25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</row>
    <row r="1438" spans="1:15" ht="15" customHeight="1" x14ac:dyDescent="0.25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</row>
    <row r="1439" spans="1:15" ht="15" customHeight="1" x14ac:dyDescent="0.25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</row>
    <row r="1440" spans="1:15" ht="15" customHeight="1" x14ac:dyDescent="0.25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</row>
    <row r="1441" spans="1:15" ht="15" customHeight="1" x14ac:dyDescent="0.25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</row>
    <row r="1442" spans="1:15" ht="15" customHeight="1" x14ac:dyDescent="0.25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</row>
    <row r="1443" spans="1:15" ht="15" customHeight="1" x14ac:dyDescent="0.25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</row>
    <row r="1444" spans="1:15" ht="15" customHeight="1" x14ac:dyDescent="0.25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</row>
    <row r="1445" spans="1:15" ht="15" customHeight="1" x14ac:dyDescent="0.25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</row>
    <row r="1446" spans="1:15" ht="15" customHeight="1" x14ac:dyDescent="0.25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</row>
    <row r="1447" spans="1:15" ht="15" customHeight="1" x14ac:dyDescent="0.25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</row>
    <row r="1448" spans="1:15" ht="15" customHeight="1" x14ac:dyDescent="0.25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</row>
    <row r="1449" spans="1:15" ht="15" customHeight="1" x14ac:dyDescent="0.25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</row>
    <row r="1450" spans="1:15" ht="15" customHeight="1" x14ac:dyDescent="0.25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</row>
    <row r="1451" spans="1:15" ht="15" customHeight="1" x14ac:dyDescent="0.25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</row>
    <row r="1452" spans="1:15" ht="15" customHeight="1" x14ac:dyDescent="0.25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</row>
    <row r="1453" spans="1:15" ht="15" customHeight="1" x14ac:dyDescent="0.25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</row>
    <row r="1454" spans="1:15" ht="15" customHeight="1" x14ac:dyDescent="0.25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</row>
    <row r="1455" spans="1:15" ht="15" customHeight="1" x14ac:dyDescent="0.25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</row>
    <row r="1456" spans="1:15" ht="15" customHeight="1" x14ac:dyDescent="0.25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</row>
    <row r="1457" spans="1:15" ht="15" customHeight="1" x14ac:dyDescent="0.25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</row>
    <row r="1458" spans="1:15" ht="15" customHeight="1" x14ac:dyDescent="0.25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</row>
    <row r="1459" spans="1:15" ht="15" customHeight="1" x14ac:dyDescent="0.25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</row>
    <row r="1460" spans="1:15" ht="15" customHeight="1" x14ac:dyDescent="0.25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</row>
    <row r="1461" spans="1:15" ht="15" customHeight="1" x14ac:dyDescent="0.25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</row>
    <row r="1462" spans="1:15" ht="15" customHeight="1" x14ac:dyDescent="0.25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</row>
    <row r="1463" spans="1:15" ht="15" customHeight="1" x14ac:dyDescent="0.25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</row>
    <row r="1464" spans="1:15" ht="15" customHeight="1" x14ac:dyDescent="0.25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</row>
    <row r="1465" spans="1:15" ht="15" customHeight="1" x14ac:dyDescent="0.25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</row>
    <row r="1466" spans="1:15" ht="15" customHeight="1" x14ac:dyDescent="0.25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</row>
    <row r="1467" spans="1:15" ht="15" customHeight="1" x14ac:dyDescent="0.25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</row>
    <row r="1468" spans="1:15" ht="15" customHeight="1" x14ac:dyDescent="0.25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</row>
    <row r="1469" spans="1:15" ht="15" customHeight="1" x14ac:dyDescent="0.25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</row>
    <row r="1470" spans="1:15" ht="15" customHeight="1" x14ac:dyDescent="0.25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</row>
    <row r="1471" spans="1:15" ht="15" customHeight="1" x14ac:dyDescent="0.25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</row>
    <row r="1472" spans="1:15" ht="15" customHeight="1" x14ac:dyDescent="0.25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</row>
    <row r="1473" spans="1:15" ht="15" customHeight="1" x14ac:dyDescent="0.25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</row>
    <row r="1474" spans="1:15" ht="15" customHeight="1" x14ac:dyDescent="0.25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</row>
    <row r="1475" spans="1:15" ht="15" customHeight="1" x14ac:dyDescent="0.25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</row>
    <row r="1476" spans="1:15" ht="15" customHeight="1" x14ac:dyDescent="0.25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</row>
    <row r="1477" spans="1:15" ht="15" customHeight="1" x14ac:dyDescent="0.25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</row>
    <row r="1478" spans="1:15" ht="15" customHeight="1" x14ac:dyDescent="0.25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</row>
    <row r="1479" spans="1:15" ht="15" customHeight="1" x14ac:dyDescent="0.25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</row>
    <row r="1480" spans="1:15" ht="15" customHeight="1" x14ac:dyDescent="0.25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</row>
    <row r="1481" spans="1:15" ht="15" customHeight="1" x14ac:dyDescent="0.25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</row>
    <row r="1482" spans="1:15" ht="15" customHeight="1" x14ac:dyDescent="0.25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</row>
    <row r="1483" spans="1:15" ht="15" customHeight="1" x14ac:dyDescent="0.25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</row>
    <row r="1484" spans="1:15" ht="15" customHeight="1" x14ac:dyDescent="0.25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</row>
    <row r="1485" spans="1:15" ht="15" customHeight="1" x14ac:dyDescent="0.25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</row>
    <row r="1486" spans="1:15" ht="15" customHeight="1" x14ac:dyDescent="0.25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</row>
    <row r="1487" spans="1:15" ht="15" customHeight="1" x14ac:dyDescent="0.25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</row>
    <row r="1488" spans="1:15" ht="15" customHeight="1" x14ac:dyDescent="0.25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</row>
    <row r="1489" spans="1:15" ht="15" customHeight="1" x14ac:dyDescent="0.25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</row>
    <row r="1490" spans="1:15" ht="15" customHeight="1" x14ac:dyDescent="0.25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</row>
    <row r="1491" spans="1:15" ht="15" customHeight="1" x14ac:dyDescent="0.25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</row>
    <row r="1492" spans="1:15" ht="15" customHeight="1" x14ac:dyDescent="0.25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</row>
    <row r="1493" spans="1:15" ht="15" customHeight="1" x14ac:dyDescent="0.25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</row>
    <row r="1494" spans="1:15" ht="15" customHeight="1" x14ac:dyDescent="0.25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</row>
    <row r="1495" spans="1:15" ht="15" customHeight="1" x14ac:dyDescent="0.25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</row>
    <row r="1496" spans="1:15" ht="15" customHeight="1" x14ac:dyDescent="0.25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</row>
    <row r="1497" spans="1:15" ht="15" customHeight="1" x14ac:dyDescent="0.25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</row>
    <row r="1498" spans="1:15" ht="15" customHeight="1" x14ac:dyDescent="0.25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</row>
    <row r="1499" spans="1:15" ht="15" customHeight="1" x14ac:dyDescent="0.25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</row>
    <row r="1500" spans="1:15" ht="15" customHeight="1" x14ac:dyDescent="0.25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</row>
    <row r="1501" spans="1:15" ht="15" customHeight="1" x14ac:dyDescent="0.25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</row>
    <row r="1502" spans="1:15" ht="15" customHeight="1" x14ac:dyDescent="0.25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</row>
    <row r="1503" spans="1:15" ht="15" customHeight="1" x14ac:dyDescent="0.25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</row>
    <row r="1504" spans="1:15" ht="15" customHeight="1" x14ac:dyDescent="0.25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</row>
    <row r="1505" spans="1:15" ht="15" customHeight="1" x14ac:dyDescent="0.25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</row>
    <row r="1506" spans="1:15" ht="15" customHeight="1" x14ac:dyDescent="0.25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</row>
    <row r="1507" spans="1:15" ht="15" customHeight="1" x14ac:dyDescent="0.25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</row>
    <row r="1508" spans="1:15" ht="15" customHeight="1" x14ac:dyDescent="0.25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</row>
    <row r="1509" spans="1:15" ht="15" customHeight="1" x14ac:dyDescent="0.25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</row>
    <row r="1510" spans="1:15" ht="15" customHeight="1" x14ac:dyDescent="0.25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</row>
    <row r="1511" spans="1:15" ht="15" customHeight="1" x14ac:dyDescent="0.25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</row>
    <row r="1512" spans="1:15" ht="15" customHeight="1" x14ac:dyDescent="0.25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</row>
    <row r="1513" spans="1:15" ht="15" customHeight="1" x14ac:dyDescent="0.25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</row>
    <row r="1514" spans="1:15" ht="15" customHeight="1" x14ac:dyDescent="0.25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</row>
    <row r="1515" spans="1:15" ht="15" customHeight="1" x14ac:dyDescent="0.25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</row>
    <row r="1516" spans="1:15" ht="15" customHeight="1" x14ac:dyDescent="0.25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</row>
    <row r="1517" spans="1:15" ht="15" customHeight="1" x14ac:dyDescent="0.25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</row>
    <row r="1518" spans="1:15" ht="15" customHeight="1" x14ac:dyDescent="0.25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</row>
    <row r="1519" spans="1:15" ht="15" customHeight="1" x14ac:dyDescent="0.25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</row>
    <row r="1520" spans="1:15" ht="15" customHeight="1" x14ac:dyDescent="0.25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</row>
    <row r="1521" spans="1:15" ht="15" customHeight="1" x14ac:dyDescent="0.25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</row>
    <row r="1522" spans="1:15" ht="15" customHeight="1" x14ac:dyDescent="0.25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</row>
    <row r="1523" spans="1:15" ht="15" customHeight="1" x14ac:dyDescent="0.25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</row>
    <row r="1524" spans="1:15" ht="15" customHeight="1" x14ac:dyDescent="0.25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</row>
    <row r="1525" spans="1:15" ht="15" customHeight="1" x14ac:dyDescent="0.25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</row>
    <row r="1526" spans="1:15" ht="15" customHeight="1" x14ac:dyDescent="0.25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</row>
    <row r="1527" spans="1:15" ht="15" customHeight="1" x14ac:dyDescent="0.25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</row>
    <row r="1528" spans="1:15" ht="15" customHeight="1" x14ac:dyDescent="0.25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</row>
    <row r="1529" spans="1:15" ht="15" customHeight="1" x14ac:dyDescent="0.25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</row>
    <row r="1530" spans="1:15" ht="15" customHeight="1" x14ac:dyDescent="0.25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</row>
    <row r="1531" spans="1:15" ht="15" customHeight="1" x14ac:dyDescent="0.25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</row>
    <row r="1532" spans="1:15" ht="15" customHeight="1" x14ac:dyDescent="0.25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</row>
    <row r="1533" spans="1:15" ht="15" customHeight="1" x14ac:dyDescent="0.25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</row>
    <row r="1534" spans="1:15" ht="15" customHeight="1" x14ac:dyDescent="0.25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</row>
    <row r="1535" spans="1:15" ht="15" customHeight="1" x14ac:dyDescent="0.25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</row>
    <row r="1536" spans="1:15" ht="15" customHeight="1" x14ac:dyDescent="0.25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</row>
    <row r="1537" spans="1:15" ht="15" customHeight="1" x14ac:dyDescent="0.25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</row>
    <row r="1538" spans="1:15" ht="15" customHeight="1" x14ac:dyDescent="0.25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</row>
    <row r="1539" spans="1:15" ht="15" customHeight="1" x14ac:dyDescent="0.25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</row>
    <row r="1540" spans="1:15" ht="15" customHeight="1" x14ac:dyDescent="0.25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</row>
    <row r="1541" spans="1:15" ht="15" customHeight="1" x14ac:dyDescent="0.25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</row>
    <row r="1542" spans="1:15" ht="15" customHeight="1" x14ac:dyDescent="0.25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</row>
    <row r="1543" spans="1:15" ht="15" customHeight="1" x14ac:dyDescent="0.25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</row>
    <row r="1544" spans="1:15" ht="15" customHeight="1" x14ac:dyDescent="0.25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</row>
    <row r="1545" spans="1:15" ht="15" customHeight="1" x14ac:dyDescent="0.25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</row>
    <row r="1546" spans="1:15" ht="15" customHeight="1" x14ac:dyDescent="0.25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</row>
    <row r="1547" spans="1:15" ht="15" customHeight="1" x14ac:dyDescent="0.25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</row>
    <row r="1548" spans="1:15" ht="15" customHeight="1" x14ac:dyDescent="0.25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</row>
    <row r="1549" spans="1:15" ht="15" customHeight="1" x14ac:dyDescent="0.25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</row>
    <row r="1550" spans="1:15" ht="15" customHeight="1" x14ac:dyDescent="0.25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</row>
    <row r="1551" spans="1:15" ht="15" customHeight="1" x14ac:dyDescent="0.25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</row>
    <row r="1552" spans="1:15" ht="15" customHeight="1" x14ac:dyDescent="0.25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</row>
    <row r="1553" spans="1:15" ht="15" customHeight="1" x14ac:dyDescent="0.25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</row>
    <row r="1554" spans="1:15" ht="15" customHeight="1" x14ac:dyDescent="0.25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</row>
    <row r="1555" spans="1:15" ht="15" customHeight="1" x14ac:dyDescent="0.25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</row>
    <row r="1556" spans="1:15" ht="15" customHeight="1" x14ac:dyDescent="0.25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</row>
    <row r="1557" spans="1:15" ht="15" customHeight="1" x14ac:dyDescent="0.25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</row>
    <row r="1558" spans="1:15" ht="15" customHeight="1" x14ac:dyDescent="0.25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</row>
    <row r="1559" spans="1:15" ht="15" customHeight="1" x14ac:dyDescent="0.25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</row>
    <row r="1560" spans="1:15" ht="15" customHeight="1" x14ac:dyDescent="0.25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</row>
    <row r="1561" spans="1:15" ht="15" customHeight="1" x14ac:dyDescent="0.25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</row>
    <row r="1562" spans="1:15" ht="15" customHeight="1" x14ac:dyDescent="0.25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</row>
    <row r="1563" spans="1:15" ht="15" customHeight="1" x14ac:dyDescent="0.25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</row>
    <row r="1564" spans="1:15" ht="15" customHeight="1" x14ac:dyDescent="0.25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</row>
    <row r="1565" spans="1:15" ht="15" customHeight="1" x14ac:dyDescent="0.25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</row>
    <row r="1566" spans="1:15" ht="15" customHeight="1" x14ac:dyDescent="0.25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</row>
    <row r="1567" spans="1:15" ht="15" customHeight="1" x14ac:dyDescent="0.25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</row>
    <row r="1568" spans="1:15" ht="15" customHeight="1" x14ac:dyDescent="0.25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</row>
    <row r="1569" spans="1:15" ht="15" customHeight="1" x14ac:dyDescent="0.25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</row>
    <row r="1570" spans="1:15" ht="15" customHeight="1" x14ac:dyDescent="0.25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</row>
    <row r="1571" spans="1:15" ht="15" customHeight="1" x14ac:dyDescent="0.25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</row>
    <row r="1572" spans="1:15" ht="15" customHeight="1" x14ac:dyDescent="0.25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</row>
    <row r="1573" spans="1:15" ht="15" customHeight="1" x14ac:dyDescent="0.25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</row>
    <row r="1574" spans="1:15" ht="15" customHeight="1" x14ac:dyDescent="0.25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</row>
    <row r="1575" spans="1:15" ht="15" customHeight="1" x14ac:dyDescent="0.25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</row>
    <row r="1576" spans="1:15" ht="15" customHeight="1" x14ac:dyDescent="0.25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</row>
    <row r="1577" spans="1:15" ht="15" customHeight="1" x14ac:dyDescent="0.25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</row>
    <row r="1578" spans="1:15" ht="15" customHeight="1" x14ac:dyDescent="0.25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</row>
    <row r="1579" spans="1:15" ht="15" customHeight="1" x14ac:dyDescent="0.25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</row>
    <row r="1580" spans="1:15" ht="15" customHeight="1" x14ac:dyDescent="0.25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</row>
    <row r="1581" spans="1:15" ht="15" customHeight="1" x14ac:dyDescent="0.25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</row>
    <row r="1582" spans="1:15" ht="15" customHeight="1" x14ac:dyDescent="0.25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</row>
    <row r="1583" spans="1:15" ht="15" customHeight="1" x14ac:dyDescent="0.25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</row>
    <row r="1584" spans="1:15" ht="15" customHeight="1" x14ac:dyDescent="0.25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</row>
    <row r="1585" spans="1:15" ht="15" customHeight="1" x14ac:dyDescent="0.25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</row>
    <row r="1586" spans="1:15" ht="15" customHeight="1" x14ac:dyDescent="0.25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</row>
    <row r="1587" spans="1:15" ht="15" customHeight="1" x14ac:dyDescent="0.25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</row>
    <row r="1588" spans="1:15" ht="15" customHeight="1" x14ac:dyDescent="0.25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</row>
    <row r="1589" spans="1:15" ht="15" customHeight="1" x14ac:dyDescent="0.25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</row>
    <row r="1590" spans="1:15" ht="15" customHeight="1" x14ac:dyDescent="0.25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</row>
    <row r="1591" spans="1:15" ht="15" customHeight="1" x14ac:dyDescent="0.25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</row>
    <row r="1592" spans="1:15" ht="15" customHeight="1" x14ac:dyDescent="0.25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</row>
    <row r="1593" spans="1:15" ht="15" customHeight="1" x14ac:dyDescent="0.25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</row>
    <row r="1594" spans="1:15" ht="15" customHeight="1" x14ac:dyDescent="0.25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</row>
    <row r="1595" spans="1:15" ht="15" customHeight="1" x14ac:dyDescent="0.25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</row>
    <row r="1596" spans="1:15" ht="15" customHeight="1" x14ac:dyDescent="0.25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</row>
    <row r="1597" spans="1:15" ht="15" customHeight="1" x14ac:dyDescent="0.25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</row>
    <row r="1598" spans="1:15" ht="15" customHeight="1" x14ac:dyDescent="0.25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</row>
    <row r="1599" spans="1:15" ht="15" customHeight="1" x14ac:dyDescent="0.25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</row>
    <row r="1600" spans="1:15" ht="15" customHeight="1" x14ac:dyDescent="0.25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</row>
    <row r="1601" spans="1:15" ht="15" customHeight="1" x14ac:dyDescent="0.25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</row>
    <row r="1602" spans="1:15" ht="15" customHeight="1" x14ac:dyDescent="0.25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</row>
    <row r="1603" spans="1:15" ht="15" customHeight="1" x14ac:dyDescent="0.25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</row>
    <row r="1604" spans="1:15" ht="15" customHeight="1" x14ac:dyDescent="0.25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</row>
    <row r="1605" spans="1:15" ht="15" customHeight="1" x14ac:dyDescent="0.25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</row>
    <row r="1606" spans="1:15" ht="15" customHeight="1" x14ac:dyDescent="0.25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</row>
    <row r="1607" spans="1:15" ht="15" customHeight="1" x14ac:dyDescent="0.25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</row>
    <row r="1608" spans="1:15" ht="15" customHeight="1" x14ac:dyDescent="0.25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</row>
    <row r="1609" spans="1:15" ht="15" customHeight="1" x14ac:dyDescent="0.25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</row>
    <row r="1610" spans="1:15" ht="15" customHeight="1" x14ac:dyDescent="0.25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</row>
    <row r="1611" spans="1:15" ht="15" customHeight="1" x14ac:dyDescent="0.25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</row>
    <row r="1612" spans="1:15" ht="15" customHeight="1" x14ac:dyDescent="0.25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</row>
    <row r="1613" spans="1:15" ht="15" customHeight="1" x14ac:dyDescent="0.25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</row>
    <row r="1614" spans="1:15" ht="15" customHeight="1" x14ac:dyDescent="0.25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</row>
    <row r="1615" spans="1:15" ht="15" customHeight="1" x14ac:dyDescent="0.25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</row>
    <row r="1616" spans="1:15" ht="15" customHeight="1" x14ac:dyDescent="0.25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</row>
    <row r="1617" spans="1:15" ht="15" customHeight="1" x14ac:dyDescent="0.25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</row>
    <row r="1618" spans="1:15" ht="15" customHeight="1" x14ac:dyDescent="0.25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</row>
    <row r="1619" spans="1:15" ht="15" customHeight="1" x14ac:dyDescent="0.25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</row>
    <row r="1620" spans="1:15" ht="15" customHeight="1" x14ac:dyDescent="0.25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</row>
    <row r="1621" spans="1:15" ht="15" customHeight="1" x14ac:dyDescent="0.25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</row>
    <row r="1622" spans="1:15" ht="15" customHeight="1" x14ac:dyDescent="0.25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</row>
    <row r="1623" spans="1:15" ht="15" customHeight="1" x14ac:dyDescent="0.25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</row>
    <row r="1624" spans="1:15" ht="15" customHeight="1" x14ac:dyDescent="0.25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</row>
    <row r="1625" spans="1:15" ht="15" customHeight="1" x14ac:dyDescent="0.25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</row>
    <row r="1626" spans="1:15" ht="15" customHeight="1" x14ac:dyDescent="0.25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</row>
    <row r="1627" spans="1:15" ht="15" customHeight="1" x14ac:dyDescent="0.25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</row>
    <row r="1628" spans="1:15" ht="15" customHeight="1" x14ac:dyDescent="0.25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</row>
    <row r="1629" spans="1:15" ht="15" customHeight="1" x14ac:dyDescent="0.25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</row>
    <row r="1630" spans="1:15" ht="15" customHeight="1" x14ac:dyDescent="0.25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</row>
    <row r="1631" spans="1:15" ht="15" customHeight="1" x14ac:dyDescent="0.25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</row>
    <row r="1632" spans="1:15" ht="15" customHeight="1" x14ac:dyDescent="0.25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</row>
    <row r="1633" spans="1:15" ht="15" customHeight="1" x14ac:dyDescent="0.25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</row>
    <row r="1634" spans="1:15" ht="15" customHeight="1" x14ac:dyDescent="0.25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</row>
    <row r="1635" spans="1:15" ht="15" customHeight="1" x14ac:dyDescent="0.25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</row>
    <row r="1636" spans="1:15" ht="15" customHeight="1" x14ac:dyDescent="0.25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</row>
    <row r="1637" spans="1:15" ht="15" customHeight="1" x14ac:dyDescent="0.25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</row>
    <row r="1638" spans="1:15" ht="15" customHeight="1" x14ac:dyDescent="0.25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</row>
    <row r="1639" spans="1:15" ht="15" customHeight="1" x14ac:dyDescent="0.25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</row>
    <row r="1640" spans="1:15" ht="15" customHeight="1" x14ac:dyDescent="0.25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</row>
    <row r="1641" spans="1:15" ht="15" customHeight="1" x14ac:dyDescent="0.25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</row>
    <row r="1642" spans="1:15" ht="15" customHeight="1" x14ac:dyDescent="0.25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</row>
    <row r="1643" spans="1:15" ht="15" customHeight="1" x14ac:dyDescent="0.25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</row>
    <row r="1644" spans="1:15" ht="15" customHeight="1" x14ac:dyDescent="0.25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</row>
    <row r="1645" spans="1:15" ht="15" customHeight="1" x14ac:dyDescent="0.25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</row>
    <row r="1646" spans="1:15" ht="15" customHeight="1" x14ac:dyDescent="0.25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</row>
    <row r="1647" spans="1:15" ht="15" customHeight="1" x14ac:dyDescent="0.25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</row>
    <row r="1648" spans="1:15" ht="15" customHeight="1" x14ac:dyDescent="0.25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</row>
    <row r="1649" spans="1:15" ht="15" customHeight="1" x14ac:dyDescent="0.25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</row>
    <row r="1650" spans="1:15" ht="15" customHeight="1" x14ac:dyDescent="0.25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</row>
    <row r="1651" spans="1:15" ht="15" customHeight="1" x14ac:dyDescent="0.25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</row>
    <row r="1652" spans="1:15" ht="15" customHeight="1" x14ac:dyDescent="0.25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</row>
    <row r="1653" spans="1:15" ht="15" customHeight="1" x14ac:dyDescent="0.25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</row>
    <row r="1654" spans="1:15" ht="15" customHeight="1" x14ac:dyDescent="0.25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</row>
    <row r="1655" spans="1:15" ht="15" customHeight="1" x14ac:dyDescent="0.25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</row>
    <row r="1656" spans="1:15" ht="15" customHeight="1" x14ac:dyDescent="0.25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</row>
    <row r="1657" spans="1:15" ht="15" customHeight="1" x14ac:dyDescent="0.25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</row>
    <row r="1658" spans="1:15" ht="15" customHeight="1" x14ac:dyDescent="0.25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</row>
    <row r="1659" spans="1:15" ht="15" customHeight="1" x14ac:dyDescent="0.25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</row>
    <row r="1660" spans="1:15" ht="15" customHeight="1" x14ac:dyDescent="0.25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</row>
    <row r="1661" spans="1:15" ht="15" customHeight="1" x14ac:dyDescent="0.25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</row>
    <row r="1662" spans="1:15" ht="15" customHeight="1" x14ac:dyDescent="0.25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</row>
    <row r="1663" spans="1:15" ht="15" customHeight="1" x14ac:dyDescent="0.25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</row>
    <row r="1664" spans="1:15" ht="15" customHeight="1" x14ac:dyDescent="0.25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</row>
    <row r="1665" spans="1:15" ht="15" customHeight="1" x14ac:dyDescent="0.25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</row>
    <row r="1666" spans="1:15" ht="15" customHeight="1" x14ac:dyDescent="0.25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</row>
    <row r="1667" spans="1:15" ht="15" customHeight="1" x14ac:dyDescent="0.25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</row>
    <row r="1668" spans="1:15" ht="15" customHeight="1" x14ac:dyDescent="0.25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</row>
    <row r="1669" spans="1:15" ht="15" customHeight="1" x14ac:dyDescent="0.25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</row>
    <row r="1670" spans="1:15" ht="15" customHeight="1" x14ac:dyDescent="0.25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</row>
    <row r="1671" spans="1:15" ht="15" customHeight="1" x14ac:dyDescent="0.25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</row>
    <row r="1672" spans="1:15" ht="15" customHeight="1" x14ac:dyDescent="0.25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</row>
    <row r="1673" spans="1:15" ht="15" customHeight="1" x14ac:dyDescent="0.25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</row>
    <row r="1674" spans="1:15" ht="15" customHeight="1" x14ac:dyDescent="0.25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</row>
    <row r="1675" spans="1:15" ht="15" customHeight="1" x14ac:dyDescent="0.25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</row>
    <row r="1676" spans="1:15" ht="15" customHeight="1" x14ac:dyDescent="0.25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</row>
    <row r="1677" spans="1:15" ht="15" customHeight="1" x14ac:dyDescent="0.25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</row>
    <row r="1678" spans="1:15" ht="15" customHeight="1" x14ac:dyDescent="0.25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</row>
    <row r="1679" spans="1:15" ht="15" customHeight="1" x14ac:dyDescent="0.25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</row>
    <row r="1680" spans="1:15" ht="15" customHeight="1" x14ac:dyDescent="0.25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</row>
    <row r="1681" spans="1:15" ht="15" customHeight="1" x14ac:dyDescent="0.25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</row>
    <row r="1682" spans="1:15" ht="15" customHeight="1" x14ac:dyDescent="0.25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</row>
    <row r="1683" spans="1:15" ht="15" customHeight="1" x14ac:dyDescent="0.25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</row>
    <row r="1684" spans="1:15" ht="15" customHeight="1" x14ac:dyDescent="0.25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</row>
    <row r="1685" spans="1:15" ht="15" customHeight="1" x14ac:dyDescent="0.25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</row>
    <row r="1686" spans="1:15" ht="15" customHeight="1" x14ac:dyDescent="0.25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</row>
    <row r="1687" spans="1:15" ht="15" customHeight="1" x14ac:dyDescent="0.25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</row>
    <row r="1688" spans="1:15" ht="15" customHeight="1" x14ac:dyDescent="0.25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</row>
    <row r="1689" spans="1:15" ht="15" customHeight="1" x14ac:dyDescent="0.25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</row>
    <row r="1690" spans="1:15" ht="15" customHeight="1" x14ac:dyDescent="0.25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</row>
    <row r="1691" spans="1:15" ht="15" customHeight="1" x14ac:dyDescent="0.25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</row>
    <row r="1692" spans="1:15" ht="15" customHeight="1" x14ac:dyDescent="0.25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</row>
    <row r="1693" spans="1:15" ht="15" customHeight="1" x14ac:dyDescent="0.25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</row>
    <row r="1694" spans="1:15" ht="15" customHeight="1" x14ac:dyDescent="0.25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</row>
    <row r="1695" spans="1:15" ht="15" customHeight="1" x14ac:dyDescent="0.25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</row>
    <row r="1696" spans="1:15" ht="15" customHeight="1" x14ac:dyDescent="0.25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</row>
    <row r="1697" spans="1:15" ht="15" customHeight="1" x14ac:dyDescent="0.25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</row>
    <row r="1698" spans="1:15" ht="15" customHeight="1" x14ac:dyDescent="0.25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</row>
    <row r="1699" spans="1:15" ht="15" customHeight="1" x14ac:dyDescent="0.25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</row>
    <row r="1700" spans="1:15" ht="15" customHeight="1" x14ac:dyDescent="0.25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</row>
    <row r="1701" spans="1:15" ht="15" customHeight="1" x14ac:dyDescent="0.25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</row>
    <row r="1702" spans="1:15" ht="15" customHeight="1" x14ac:dyDescent="0.25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</row>
    <row r="1703" spans="1:15" ht="15" customHeight="1" x14ac:dyDescent="0.25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</row>
    <row r="1704" spans="1:15" ht="15" customHeight="1" x14ac:dyDescent="0.25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</row>
    <row r="1705" spans="1:15" ht="15" customHeight="1" x14ac:dyDescent="0.25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</row>
    <row r="1706" spans="1:15" ht="15" customHeight="1" x14ac:dyDescent="0.25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</row>
    <row r="1707" spans="1:15" ht="15" customHeight="1" x14ac:dyDescent="0.25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</row>
    <row r="1708" spans="1:15" ht="15" customHeight="1" x14ac:dyDescent="0.25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</row>
    <row r="1709" spans="1:15" ht="15" customHeight="1" x14ac:dyDescent="0.25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</row>
    <row r="1710" spans="1:15" ht="15" customHeight="1" x14ac:dyDescent="0.25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</row>
    <row r="1711" spans="1:15" ht="15" customHeight="1" x14ac:dyDescent="0.25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</row>
    <row r="1712" spans="1:15" ht="15" customHeight="1" x14ac:dyDescent="0.25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</row>
    <row r="1713" spans="1:15" ht="15" customHeight="1" x14ac:dyDescent="0.25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</row>
    <row r="1714" spans="1:15" ht="15" customHeight="1" x14ac:dyDescent="0.25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</row>
    <row r="1715" spans="1:15" ht="15" customHeight="1" x14ac:dyDescent="0.25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</row>
    <row r="1716" spans="1:15" ht="15" customHeight="1" x14ac:dyDescent="0.25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</row>
    <row r="1717" spans="1:15" ht="15" customHeight="1" x14ac:dyDescent="0.25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</row>
    <row r="1718" spans="1:15" ht="15" customHeight="1" x14ac:dyDescent="0.25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</row>
    <row r="1719" spans="1:15" ht="15" customHeight="1" x14ac:dyDescent="0.25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</row>
    <row r="1720" spans="1:15" ht="15" customHeight="1" x14ac:dyDescent="0.25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</row>
    <row r="1721" spans="1:15" ht="15" customHeight="1" x14ac:dyDescent="0.25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</row>
    <row r="1722" spans="1:15" ht="15" customHeight="1" x14ac:dyDescent="0.25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</row>
    <row r="1723" spans="1:15" ht="15" customHeight="1" x14ac:dyDescent="0.25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</row>
    <row r="1724" spans="1:15" ht="15" customHeight="1" x14ac:dyDescent="0.25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</row>
    <row r="1725" spans="1:15" ht="15" customHeight="1" x14ac:dyDescent="0.25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</row>
    <row r="1726" spans="1:15" ht="15" customHeight="1" x14ac:dyDescent="0.25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</row>
    <row r="1727" spans="1:15" ht="15" customHeight="1" x14ac:dyDescent="0.25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</row>
    <row r="1728" spans="1:15" ht="15" customHeight="1" x14ac:dyDescent="0.25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</row>
    <row r="1729" spans="1:15" ht="15" customHeight="1" x14ac:dyDescent="0.25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</row>
    <row r="1730" spans="1:15" ht="15" customHeight="1" x14ac:dyDescent="0.25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</row>
    <row r="1731" spans="1:15" ht="15" customHeight="1" x14ac:dyDescent="0.25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</row>
    <row r="1732" spans="1:15" ht="15" customHeight="1" x14ac:dyDescent="0.25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</row>
    <row r="1733" spans="1:15" ht="15" customHeight="1" x14ac:dyDescent="0.25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</row>
    <row r="1734" spans="1:15" ht="15" customHeight="1" x14ac:dyDescent="0.25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</row>
    <row r="1735" spans="1:15" ht="15" customHeight="1" x14ac:dyDescent="0.25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</row>
    <row r="1736" spans="1:15" ht="15" customHeight="1" x14ac:dyDescent="0.25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</row>
    <row r="1737" spans="1:15" ht="15" customHeight="1" x14ac:dyDescent="0.25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</row>
    <row r="1738" spans="1:15" ht="15" customHeight="1" x14ac:dyDescent="0.25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</row>
    <row r="1739" spans="1:15" ht="15" customHeight="1" x14ac:dyDescent="0.25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</row>
    <row r="1740" spans="1:15" ht="15" customHeight="1" x14ac:dyDescent="0.25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</row>
    <row r="1741" spans="1:15" ht="15" customHeight="1" x14ac:dyDescent="0.25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</row>
    <row r="1742" spans="1:15" ht="15" customHeight="1" x14ac:dyDescent="0.25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</row>
    <row r="1743" spans="1:15" ht="15" customHeight="1" x14ac:dyDescent="0.25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</row>
    <row r="1744" spans="1:15" ht="15" customHeight="1" x14ac:dyDescent="0.25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</row>
    <row r="1745" spans="1:15" ht="15" customHeight="1" x14ac:dyDescent="0.25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</row>
    <row r="1746" spans="1:15" ht="15" customHeight="1" x14ac:dyDescent="0.25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</row>
    <row r="1747" spans="1:15" ht="15" customHeight="1" x14ac:dyDescent="0.25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</row>
    <row r="1748" spans="1:15" ht="15" customHeight="1" x14ac:dyDescent="0.25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</row>
    <row r="1749" spans="1:15" ht="15" customHeight="1" x14ac:dyDescent="0.25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</row>
    <row r="1750" spans="1:15" ht="15" customHeight="1" x14ac:dyDescent="0.25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</row>
    <row r="1751" spans="1:15" ht="15" customHeight="1" x14ac:dyDescent="0.25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</row>
    <row r="1752" spans="1:15" ht="15" customHeight="1" x14ac:dyDescent="0.25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</row>
    <row r="1753" spans="1:15" ht="15" customHeight="1" x14ac:dyDescent="0.25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</row>
    <row r="1754" spans="1:15" ht="15" customHeight="1" x14ac:dyDescent="0.25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</row>
    <row r="1755" spans="1:15" ht="15" customHeight="1" x14ac:dyDescent="0.25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</row>
    <row r="1756" spans="1:15" ht="15" customHeight="1" x14ac:dyDescent="0.25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</row>
    <row r="1757" spans="1:15" ht="15" customHeight="1" x14ac:dyDescent="0.25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</row>
    <row r="1758" spans="1:15" ht="15" customHeight="1" x14ac:dyDescent="0.25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</row>
    <row r="1759" spans="1:15" ht="15" customHeight="1" x14ac:dyDescent="0.25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</row>
    <row r="1760" spans="1:15" ht="15" customHeight="1" x14ac:dyDescent="0.25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</row>
    <row r="1761" spans="1:15" ht="15" customHeight="1" x14ac:dyDescent="0.25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</row>
    <row r="1762" spans="1:15" ht="15" customHeight="1" x14ac:dyDescent="0.25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</row>
    <row r="1763" spans="1:15" ht="15" customHeight="1" x14ac:dyDescent="0.25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</row>
    <row r="1764" spans="1:15" ht="15" customHeight="1" x14ac:dyDescent="0.25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</row>
    <row r="1765" spans="1:15" ht="15" customHeight="1" x14ac:dyDescent="0.25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</row>
    <row r="1766" spans="1:15" ht="15" customHeight="1" x14ac:dyDescent="0.25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</row>
    <row r="1767" spans="1:15" ht="15" customHeight="1" x14ac:dyDescent="0.25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</row>
    <row r="1768" spans="1:15" ht="15" customHeight="1" x14ac:dyDescent="0.25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</row>
    <row r="1769" spans="1:15" ht="15" customHeight="1" x14ac:dyDescent="0.25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</row>
    <row r="1770" spans="1:15" ht="15" customHeight="1" x14ac:dyDescent="0.25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</row>
    <row r="1771" spans="1:15" ht="15" customHeight="1" x14ac:dyDescent="0.25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</row>
    <row r="1772" spans="1:15" ht="15" customHeight="1" x14ac:dyDescent="0.25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</row>
    <row r="1773" spans="1:15" ht="15" customHeight="1" x14ac:dyDescent="0.25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</row>
    <row r="1774" spans="1:15" ht="15" customHeight="1" x14ac:dyDescent="0.25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</row>
    <row r="1775" spans="1:15" ht="15" customHeight="1" x14ac:dyDescent="0.25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</row>
    <row r="1776" spans="1:15" ht="15" customHeight="1" x14ac:dyDescent="0.25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</row>
    <row r="1777" spans="1:15" ht="15" customHeight="1" x14ac:dyDescent="0.25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</row>
    <row r="1778" spans="1:15" ht="15" customHeight="1" x14ac:dyDescent="0.25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</row>
    <row r="1779" spans="1:15" ht="15" customHeight="1" x14ac:dyDescent="0.25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</row>
    <row r="1780" spans="1:15" ht="15" customHeight="1" x14ac:dyDescent="0.25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</row>
    <row r="1781" spans="1:15" ht="15" customHeight="1" x14ac:dyDescent="0.25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</row>
    <row r="1782" spans="1:15" ht="15" customHeight="1" x14ac:dyDescent="0.25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</row>
    <row r="1783" spans="1:15" ht="15" customHeight="1" x14ac:dyDescent="0.25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</row>
    <row r="1784" spans="1:15" ht="15" customHeight="1" x14ac:dyDescent="0.25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</row>
    <row r="1785" spans="1:15" ht="15" customHeight="1" x14ac:dyDescent="0.25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</row>
    <row r="1786" spans="1:15" ht="15" customHeight="1" x14ac:dyDescent="0.25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</row>
    <row r="1787" spans="1:15" ht="15" customHeight="1" x14ac:dyDescent="0.25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</row>
    <row r="1788" spans="1:15" ht="15" customHeight="1" x14ac:dyDescent="0.25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</row>
    <row r="1789" spans="1:15" ht="15" customHeight="1" x14ac:dyDescent="0.25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</row>
    <row r="1790" spans="1:15" ht="15" customHeight="1" x14ac:dyDescent="0.25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</row>
    <row r="1791" spans="1:15" ht="15" customHeight="1" x14ac:dyDescent="0.25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</row>
    <row r="1792" spans="1:15" ht="15" customHeight="1" x14ac:dyDescent="0.25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</row>
    <row r="1793" spans="1:15" ht="15" customHeight="1" x14ac:dyDescent="0.25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</row>
    <row r="1794" spans="1:15" ht="15" customHeight="1" x14ac:dyDescent="0.25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</row>
    <row r="1795" spans="1:15" ht="15" customHeight="1" x14ac:dyDescent="0.25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</row>
    <row r="1796" spans="1:15" ht="15" customHeight="1" x14ac:dyDescent="0.25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</row>
    <row r="1797" spans="1:15" ht="15" customHeight="1" x14ac:dyDescent="0.25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</row>
    <row r="1798" spans="1:15" ht="15" customHeight="1" x14ac:dyDescent="0.25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</row>
    <row r="1799" spans="1:15" ht="15" customHeight="1" x14ac:dyDescent="0.25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</row>
    <row r="1800" spans="1:15" ht="15" customHeight="1" x14ac:dyDescent="0.25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</row>
    <row r="1801" spans="1:15" ht="15" customHeight="1" x14ac:dyDescent="0.25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</row>
    <row r="1802" spans="1:15" ht="15" customHeight="1" x14ac:dyDescent="0.25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</row>
    <row r="1803" spans="1:15" ht="15" customHeight="1" x14ac:dyDescent="0.25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</row>
    <row r="1804" spans="1:15" ht="15" customHeight="1" x14ac:dyDescent="0.25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</row>
    <row r="1805" spans="1:15" ht="15" customHeight="1" x14ac:dyDescent="0.25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</row>
    <row r="1806" spans="1:15" ht="15" customHeight="1" x14ac:dyDescent="0.25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</row>
    <row r="1807" spans="1:15" ht="15" customHeight="1" x14ac:dyDescent="0.25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</row>
    <row r="1808" spans="1:15" ht="15" customHeight="1" x14ac:dyDescent="0.25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</row>
    <row r="1809" spans="1:15" ht="15" customHeight="1" x14ac:dyDescent="0.25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</row>
    <row r="1810" spans="1:15" ht="15" customHeight="1" x14ac:dyDescent="0.25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</row>
    <row r="1811" spans="1:15" ht="15" customHeight="1" x14ac:dyDescent="0.25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</row>
    <row r="1812" spans="1:15" ht="15" customHeight="1" x14ac:dyDescent="0.25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</row>
    <row r="1813" spans="1:15" ht="15" customHeight="1" x14ac:dyDescent="0.25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</row>
    <row r="1814" spans="1:15" ht="15" customHeight="1" x14ac:dyDescent="0.25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</row>
    <row r="1815" spans="1:15" ht="15" customHeight="1" x14ac:dyDescent="0.25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</row>
    <row r="1816" spans="1:15" ht="15" customHeight="1" x14ac:dyDescent="0.25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</row>
    <row r="1817" spans="1:15" ht="15" customHeight="1" x14ac:dyDescent="0.25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</row>
    <row r="1818" spans="1:15" ht="15" customHeight="1" x14ac:dyDescent="0.25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</row>
    <row r="1819" spans="1:15" ht="15" customHeight="1" x14ac:dyDescent="0.25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</row>
    <row r="1820" spans="1:15" ht="15" customHeight="1" x14ac:dyDescent="0.25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</row>
    <row r="1821" spans="1:15" ht="15" customHeight="1" x14ac:dyDescent="0.25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</row>
    <row r="1822" spans="1:15" ht="15" customHeight="1" x14ac:dyDescent="0.25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</row>
    <row r="1823" spans="1:15" ht="15" customHeight="1" x14ac:dyDescent="0.25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</row>
    <row r="1824" spans="1:15" ht="15" customHeight="1" x14ac:dyDescent="0.25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</row>
    <row r="1825" spans="1:15" ht="15" customHeight="1" x14ac:dyDescent="0.25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</row>
    <row r="1826" spans="1:15" ht="15" customHeight="1" x14ac:dyDescent="0.25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</row>
    <row r="1827" spans="1:15" ht="15" customHeight="1" x14ac:dyDescent="0.25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</row>
    <row r="1828" spans="1:15" ht="15" customHeight="1" x14ac:dyDescent="0.25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</row>
    <row r="1829" spans="1:15" ht="15" customHeight="1" x14ac:dyDescent="0.25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</row>
    <row r="1830" spans="1:15" ht="15" customHeight="1" x14ac:dyDescent="0.25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</row>
    <row r="1831" spans="1:15" ht="15" customHeight="1" x14ac:dyDescent="0.25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</row>
    <row r="1832" spans="1:15" ht="15" customHeight="1" x14ac:dyDescent="0.25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</row>
    <row r="1833" spans="1:15" ht="15" customHeight="1" x14ac:dyDescent="0.25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</row>
    <row r="1834" spans="1:15" ht="15" customHeight="1" x14ac:dyDescent="0.25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</row>
    <row r="1835" spans="1:15" ht="15" customHeight="1" x14ac:dyDescent="0.25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</row>
    <row r="1836" spans="1:15" ht="15" customHeight="1" x14ac:dyDescent="0.25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</row>
    <row r="1837" spans="1:15" ht="15" customHeight="1" x14ac:dyDescent="0.25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</row>
    <row r="1838" spans="1:15" ht="15" customHeight="1" x14ac:dyDescent="0.25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</row>
    <row r="1839" spans="1:15" ht="15" customHeight="1" x14ac:dyDescent="0.25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</row>
    <row r="1840" spans="1:15" ht="15" customHeight="1" x14ac:dyDescent="0.25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</row>
    <row r="1841" spans="1:15" ht="15" customHeight="1" x14ac:dyDescent="0.25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</row>
    <row r="1842" spans="1:15" ht="15" customHeight="1" x14ac:dyDescent="0.25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</row>
    <row r="1843" spans="1:15" ht="15" customHeight="1" x14ac:dyDescent="0.25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</row>
    <row r="1844" spans="1:15" ht="15" customHeight="1" x14ac:dyDescent="0.25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</row>
    <row r="1845" spans="1:15" ht="15" customHeight="1" x14ac:dyDescent="0.25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</row>
    <row r="1846" spans="1:15" ht="15" customHeight="1" x14ac:dyDescent="0.25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</row>
    <row r="1847" spans="1:15" ht="15" customHeight="1" x14ac:dyDescent="0.25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</row>
    <row r="1848" spans="1:15" ht="15" customHeight="1" x14ac:dyDescent="0.25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</row>
    <row r="1849" spans="1:15" ht="15" customHeight="1" x14ac:dyDescent="0.25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</row>
    <row r="1850" spans="1:15" ht="15" customHeight="1" x14ac:dyDescent="0.25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</row>
    <row r="1851" spans="1:15" ht="15" customHeight="1" x14ac:dyDescent="0.25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</row>
    <row r="1852" spans="1:15" ht="15" customHeight="1" x14ac:dyDescent="0.25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</row>
    <row r="1853" spans="1:15" ht="15" customHeight="1" x14ac:dyDescent="0.25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</row>
    <row r="1854" spans="1:15" ht="15" customHeight="1" x14ac:dyDescent="0.25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</row>
    <row r="1855" spans="1:15" ht="15" customHeight="1" x14ac:dyDescent="0.25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</row>
    <row r="1856" spans="1:15" ht="15" customHeight="1" x14ac:dyDescent="0.25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</row>
    <row r="1857" spans="1:15" ht="15" customHeight="1" x14ac:dyDescent="0.25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</row>
    <row r="1858" spans="1:15" ht="15" customHeight="1" x14ac:dyDescent="0.25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</row>
    <row r="1859" spans="1:15" ht="15" customHeight="1" x14ac:dyDescent="0.25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</row>
    <row r="1860" spans="1:15" ht="15" customHeight="1" x14ac:dyDescent="0.25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</row>
    <row r="1861" spans="1:15" ht="15" customHeight="1" x14ac:dyDescent="0.25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</row>
    <row r="1862" spans="1:15" ht="15" customHeight="1" x14ac:dyDescent="0.25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</row>
    <row r="1863" spans="1:15" ht="15" customHeight="1" x14ac:dyDescent="0.25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</row>
    <row r="1864" spans="1:15" ht="15" customHeight="1" x14ac:dyDescent="0.25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</row>
    <row r="1865" spans="1:15" ht="15" customHeight="1" x14ac:dyDescent="0.25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</row>
    <row r="1866" spans="1:15" ht="15" customHeight="1" x14ac:dyDescent="0.25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</row>
    <row r="1867" spans="1:15" ht="15" customHeight="1" x14ac:dyDescent="0.25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</row>
    <row r="1868" spans="1:15" ht="15" customHeight="1" x14ac:dyDescent="0.25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</row>
    <row r="1869" spans="1:15" ht="15" customHeight="1" x14ac:dyDescent="0.25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</row>
    <row r="1870" spans="1:15" ht="15" customHeight="1" x14ac:dyDescent="0.25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</row>
    <row r="1871" spans="1:15" ht="15" customHeight="1" x14ac:dyDescent="0.25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</row>
    <row r="1872" spans="1:15" ht="15" customHeight="1" x14ac:dyDescent="0.25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</row>
    <row r="1873" spans="1:15" ht="15" customHeight="1" x14ac:dyDescent="0.25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</row>
    <row r="1874" spans="1:15" ht="15" customHeight="1" x14ac:dyDescent="0.25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</row>
    <row r="1875" spans="1:15" ht="15" customHeight="1" x14ac:dyDescent="0.25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</row>
    <row r="1876" spans="1:15" ht="15" customHeight="1" x14ac:dyDescent="0.25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</row>
    <row r="1877" spans="1:15" ht="15" customHeight="1" x14ac:dyDescent="0.25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</row>
    <row r="1878" spans="1:15" ht="15" customHeight="1" x14ac:dyDescent="0.25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</row>
    <row r="1879" spans="1:15" ht="15" customHeight="1" x14ac:dyDescent="0.25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</row>
    <row r="1880" spans="1:15" ht="15" customHeight="1" x14ac:dyDescent="0.25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</row>
    <row r="1881" spans="1:15" ht="15" customHeight="1" x14ac:dyDescent="0.25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</row>
    <row r="1882" spans="1:15" ht="15" customHeight="1" x14ac:dyDescent="0.25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</row>
    <row r="1883" spans="1:15" ht="15" customHeight="1" x14ac:dyDescent="0.25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</row>
    <row r="1884" spans="1:15" ht="15" customHeight="1" x14ac:dyDescent="0.25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</row>
    <row r="1885" spans="1:15" ht="15" customHeight="1" x14ac:dyDescent="0.25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</row>
    <row r="1886" spans="1:15" ht="15" customHeight="1" x14ac:dyDescent="0.25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</row>
    <row r="1887" spans="1:15" ht="15" customHeight="1" x14ac:dyDescent="0.25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</row>
    <row r="1888" spans="1:15" ht="15" customHeight="1" x14ac:dyDescent="0.25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</row>
    <row r="1889" spans="1:15" ht="15" customHeight="1" x14ac:dyDescent="0.25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</row>
    <row r="1890" spans="1:15" ht="15" customHeight="1" x14ac:dyDescent="0.25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</row>
    <row r="1891" spans="1:15" ht="15" customHeight="1" x14ac:dyDescent="0.25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</row>
    <row r="1892" spans="1:15" ht="15" customHeight="1" x14ac:dyDescent="0.25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</row>
    <row r="1893" spans="1:15" ht="15" customHeight="1" x14ac:dyDescent="0.25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</row>
    <row r="1894" spans="1:15" ht="15" customHeight="1" x14ac:dyDescent="0.25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</row>
    <row r="1895" spans="1:15" ht="15" customHeight="1" x14ac:dyDescent="0.25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</row>
    <row r="1896" spans="1:15" ht="15" customHeight="1" x14ac:dyDescent="0.25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</row>
    <row r="1897" spans="1:15" ht="15" customHeight="1" x14ac:dyDescent="0.25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</row>
    <row r="1898" spans="1:15" ht="15" customHeight="1" x14ac:dyDescent="0.25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</row>
    <row r="1899" spans="1:15" ht="15" customHeight="1" x14ac:dyDescent="0.25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</row>
    <row r="1900" spans="1:15" ht="15" customHeight="1" x14ac:dyDescent="0.25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</row>
    <row r="1901" spans="1:15" ht="15" customHeight="1" x14ac:dyDescent="0.25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</row>
    <row r="1902" spans="1:15" ht="15" customHeight="1" x14ac:dyDescent="0.25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</row>
    <row r="1903" spans="1:15" ht="15" customHeight="1" x14ac:dyDescent="0.25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</row>
    <row r="1904" spans="1:15" ht="15" customHeight="1" x14ac:dyDescent="0.25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</row>
    <row r="1905" spans="1:15" ht="15" customHeight="1" x14ac:dyDescent="0.25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</row>
    <row r="1906" spans="1:15" ht="15" customHeight="1" x14ac:dyDescent="0.25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</row>
    <row r="1907" spans="1:15" ht="15" customHeight="1" x14ac:dyDescent="0.25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</row>
    <row r="1908" spans="1:15" ht="15" customHeight="1" x14ac:dyDescent="0.25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</row>
    <row r="1909" spans="1:15" ht="15" customHeight="1" x14ac:dyDescent="0.25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</row>
    <row r="1910" spans="1:15" ht="15" customHeight="1" x14ac:dyDescent="0.25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</row>
    <row r="1911" spans="1:15" ht="15" customHeight="1" x14ac:dyDescent="0.25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</row>
    <row r="1912" spans="1:15" ht="15" customHeight="1" x14ac:dyDescent="0.25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</row>
    <row r="1913" spans="1:15" ht="15" customHeight="1" x14ac:dyDescent="0.25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</row>
    <row r="1914" spans="1:15" ht="15" customHeight="1" x14ac:dyDescent="0.25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</row>
    <row r="1915" spans="1:15" ht="15" customHeight="1" x14ac:dyDescent="0.25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</row>
    <row r="1916" spans="1:15" ht="15" customHeight="1" x14ac:dyDescent="0.25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</row>
    <row r="1917" spans="1:15" ht="15" customHeight="1" x14ac:dyDescent="0.25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</row>
    <row r="1918" spans="1:15" ht="15" customHeight="1" x14ac:dyDescent="0.25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</row>
    <row r="1919" spans="1:15" ht="15" customHeight="1" x14ac:dyDescent="0.25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</row>
    <row r="1920" spans="1:15" ht="15" customHeight="1" x14ac:dyDescent="0.25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</row>
    <row r="1921" spans="1:15" ht="15" customHeight="1" x14ac:dyDescent="0.25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</row>
    <row r="1922" spans="1:15" ht="15" customHeight="1" x14ac:dyDescent="0.25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</row>
    <row r="1923" spans="1:15" ht="15" customHeight="1" x14ac:dyDescent="0.25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</row>
    <row r="1924" spans="1:15" ht="15" customHeight="1" x14ac:dyDescent="0.25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</row>
    <row r="1925" spans="1:15" ht="15" customHeight="1" x14ac:dyDescent="0.25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</row>
    <row r="1926" spans="1:15" ht="15" customHeight="1" x14ac:dyDescent="0.25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</row>
    <row r="1927" spans="1:15" ht="15" customHeight="1" x14ac:dyDescent="0.25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</row>
    <row r="1928" spans="1:15" ht="15" customHeight="1" x14ac:dyDescent="0.25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</row>
    <row r="1929" spans="1:15" ht="15" customHeight="1" x14ac:dyDescent="0.25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</row>
    <row r="1930" spans="1:15" ht="15" customHeight="1" x14ac:dyDescent="0.25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</row>
    <row r="1931" spans="1:15" ht="15" customHeight="1" x14ac:dyDescent="0.25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</row>
    <row r="1932" spans="1:15" ht="15" customHeight="1" x14ac:dyDescent="0.25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</row>
    <row r="1933" spans="1:15" ht="15" customHeight="1" x14ac:dyDescent="0.25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</row>
    <row r="1934" spans="1:15" ht="15" customHeight="1" x14ac:dyDescent="0.25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</row>
    <row r="1935" spans="1:15" ht="15" customHeight="1" x14ac:dyDescent="0.25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</row>
    <row r="1936" spans="1:15" ht="15" customHeight="1" x14ac:dyDescent="0.25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</row>
    <row r="1937" spans="1:15" ht="15" customHeight="1" x14ac:dyDescent="0.25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</row>
    <row r="1938" spans="1:15" ht="15" customHeight="1" x14ac:dyDescent="0.25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</row>
    <row r="1939" spans="1:15" ht="15" customHeight="1" x14ac:dyDescent="0.25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</row>
    <row r="1940" spans="1:15" ht="15" customHeight="1" x14ac:dyDescent="0.25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</row>
    <row r="1941" spans="1:15" ht="15" customHeight="1" x14ac:dyDescent="0.25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</row>
    <row r="1942" spans="1:15" ht="15" customHeight="1" x14ac:dyDescent="0.25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</row>
    <row r="1943" spans="1:15" ht="15" customHeight="1" x14ac:dyDescent="0.25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</row>
    <row r="1944" spans="1:15" ht="15" customHeight="1" x14ac:dyDescent="0.25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</row>
    <row r="1945" spans="1:15" ht="15" customHeight="1" x14ac:dyDescent="0.25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</row>
    <row r="1946" spans="1:15" ht="15" customHeight="1" x14ac:dyDescent="0.25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</row>
    <row r="1947" spans="1:15" ht="15" customHeight="1" x14ac:dyDescent="0.25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</row>
    <row r="1948" spans="1:15" ht="15" customHeight="1" x14ac:dyDescent="0.25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</row>
    <row r="1949" spans="1:15" ht="15" customHeight="1" x14ac:dyDescent="0.25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</row>
    <row r="1950" spans="1:15" ht="15" customHeight="1" x14ac:dyDescent="0.25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</row>
    <row r="1951" spans="1:15" ht="15" customHeight="1" x14ac:dyDescent="0.25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</row>
    <row r="1952" spans="1:15" ht="15" customHeight="1" x14ac:dyDescent="0.25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</row>
    <row r="1953" spans="1:15" ht="15" customHeight="1" x14ac:dyDescent="0.25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</row>
    <row r="1954" spans="1:15" ht="15" customHeight="1" x14ac:dyDescent="0.25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</row>
    <row r="1955" spans="1:15" ht="15" customHeight="1" x14ac:dyDescent="0.25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</row>
    <row r="1956" spans="1:15" ht="15" customHeight="1" x14ac:dyDescent="0.25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</row>
    <row r="1957" spans="1:15" ht="15" customHeight="1" x14ac:dyDescent="0.25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</row>
    <row r="1958" spans="1:15" ht="15" customHeight="1" x14ac:dyDescent="0.25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</row>
    <row r="1959" spans="1:15" ht="15" customHeight="1" x14ac:dyDescent="0.25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</row>
    <row r="1960" spans="1:15" ht="15" customHeight="1" x14ac:dyDescent="0.25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</row>
    <row r="1961" spans="1:15" ht="15" customHeight="1" x14ac:dyDescent="0.25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</row>
    <row r="1962" spans="1:15" ht="15" customHeight="1" x14ac:dyDescent="0.25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</row>
    <row r="1963" spans="1:15" ht="15" customHeight="1" x14ac:dyDescent="0.25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</row>
    <row r="1964" spans="1:15" ht="15" customHeight="1" x14ac:dyDescent="0.25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</row>
    <row r="1965" spans="1:15" ht="15" customHeight="1" x14ac:dyDescent="0.25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</row>
    <row r="1966" spans="1:15" ht="15" customHeight="1" x14ac:dyDescent="0.25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</row>
    <row r="1967" spans="1:15" ht="15" customHeight="1" x14ac:dyDescent="0.25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</row>
    <row r="1968" spans="1:15" ht="15" customHeight="1" x14ac:dyDescent="0.25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</row>
    <row r="1969" spans="1:15" ht="15" customHeight="1" x14ac:dyDescent="0.25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</row>
    <row r="1970" spans="1:15" ht="15" customHeight="1" x14ac:dyDescent="0.25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</row>
    <row r="1971" spans="1:15" ht="15" customHeight="1" x14ac:dyDescent="0.25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</row>
    <row r="1972" spans="1:15" ht="15" customHeight="1" x14ac:dyDescent="0.25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</row>
    <row r="1973" spans="1:15" ht="15" customHeight="1" x14ac:dyDescent="0.25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</row>
    <row r="1974" spans="1:15" ht="15" customHeight="1" x14ac:dyDescent="0.25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</row>
    <row r="1975" spans="1:15" ht="15" customHeight="1" x14ac:dyDescent="0.25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</row>
    <row r="1976" spans="1:15" ht="15" customHeight="1" x14ac:dyDescent="0.25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</row>
    <row r="1977" spans="1:15" ht="15" customHeight="1" x14ac:dyDescent="0.25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</row>
    <row r="1978" spans="1:15" ht="15" customHeight="1" x14ac:dyDescent="0.25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</row>
    <row r="1979" spans="1:15" ht="15" customHeight="1" x14ac:dyDescent="0.25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</row>
    <row r="1980" spans="1:15" ht="15" customHeight="1" x14ac:dyDescent="0.25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</row>
    <row r="1981" spans="1:15" ht="15" customHeight="1" x14ac:dyDescent="0.25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</row>
    <row r="1982" spans="1:15" ht="15" customHeight="1" x14ac:dyDescent="0.25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</row>
    <row r="1983" spans="1:15" ht="15" customHeight="1" x14ac:dyDescent="0.25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</row>
    <row r="1984" spans="1:15" ht="15" customHeight="1" x14ac:dyDescent="0.25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</row>
    <row r="1985" spans="1:15" ht="15" customHeight="1" x14ac:dyDescent="0.25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</row>
    <row r="1986" spans="1:15" ht="15" customHeight="1" x14ac:dyDescent="0.25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</row>
    <row r="1987" spans="1:15" ht="15" customHeight="1" x14ac:dyDescent="0.25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</row>
    <row r="1988" spans="1:15" ht="15" customHeight="1" x14ac:dyDescent="0.25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</row>
    <row r="1989" spans="1:15" ht="15" customHeight="1" x14ac:dyDescent="0.25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</row>
    <row r="1990" spans="1:15" ht="15" customHeight="1" x14ac:dyDescent="0.25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</row>
    <row r="1991" spans="1:15" ht="15" customHeight="1" x14ac:dyDescent="0.25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</row>
    <row r="1992" spans="1:15" ht="15" customHeight="1" x14ac:dyDescent="0.25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</row>
    <row r="1993" spans="1:15" ht="15" customHeight="1" x14ac:dyDescent="0.25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</row>
    <row r="1994" spans="1:15" ht="15" customHeight="1" x14ac:dyDescent="0.25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</row>
    <row r="1995" spans="1:15" ht="15" customHeight="1" x14ac:dyDescent="0.25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</row>
    <row r="1996" spans="1:15" ht="15" customHeight="1" x14ac:dyDescent="0.25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</row>
    <row r="1997" spans="1:15" ht="15" customHeight="1" x14ac:dyDescent="0.25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</row>
    <row r="1998" spans="1:15" ht="15" customHeight="1" x14ac:dyDescent="0.25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</row>
    <row r="1999" spans="1:15" ht="15" customHeight="1" x14ac:dyDescent="0.25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</row>
    <row r="2000" spans="1:15" ht="15" customHeight="1" x14ac:dyDescent="0.25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</row>
    <row r="2001" spans="1:15" ht="15" customHeight="1" x14ac:dyDescent="0.25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</row>
    <row r="2002" spans="1:15" ht="15" customHeight="1" x14ac:dyDescent="0.25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</row>
    <row r="2003" spans="1:15" ht="15" customHeight="1" x14ac:dyDescent="0.25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</row>
    <row r="2004" spans="1:15" ht="15" customHeight="1" x14ac:dyDescent="0.25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</row>
    <row r="2005" spans="1:15" ht="15" customHeight="1" x14ac:dyDescent="0.25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</row>
    <row r="2006" spans="1:15" ht="15" customHeight="1" x14ac:dyDescent="0.25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</row>
    <row r="2007" spans="1:15" ht="15" customHeight="1" x14ac:dyDescent="0.25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</row>
    <row r="2008" spans="1:15" ht="15" customHeight="1" x14ac:dyDescent="0.25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</row>
    <row r="2009" spans="1:15" ht="15" customHeight="1" x14ac:dyDescent="0.25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</row>
    <row r="2010" spans="1:15" ht="15" customHeight="1" x14ac:dyDescent="0.25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</row>
    <row r="2011" spans="1:15" ht="15" customHeight="1" x14ac:dyDescent="0.25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</row>
    <row r="2012" spans="1:15" ht="15" customHeight="1" x14ac:dyDescent="0.25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</row>
    <row r="2013" spans="1:15" ht="15" customHeight="1" x14ac:dyDescent="0.25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</row>
    <row r="2014" spans="1:15" ht="15" customHeight="1" x14ac:dyDescent="0.25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</row>
    <row r="2015" spans="1:15" ht="15" customHeight="1" x14ac:dyDescent="0.25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</row>
    <row r="2016" spans="1:15" ht="15" customHeight="1" x14ac:dyDescent="0.25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</row>
    <row r="2017" spans="1:15" ht="15" customHeight="1" x14ac:dyDescent="0.25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</row>
    <row r="2018" spans="1:15" ht="15" customHeight="1" x14ac:dyDescent="0.25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</row>
    <row r="2019" spans="1:15" ht="15" customHeight="1" x14ac:dyDescent="0.25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</row>
    <row r="2020" spans="1:15" ht="15" customHeight="1" x14ac:dyDescent="0.25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</row>
    <row r="2021" spans="1:15" ht="15" customHeight="1" x14ac:dyDescent="0.25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</row>
    <row r="2022" spans="1:15" ht="15" customHeight="1" x14ac:dyDescent="0.25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</row>
    <row r="2023" spans="1:15" ht="15" customHeight="1" x14ac:dyDescent="0.25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</row>
    <row r="2024" spans="1:15" ht="15" customHeight="1" x14ac:dyDescent="0.25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</row>
    <row r="2025" spans="1:15" ht="15" customHeight="1" x14ac:dyDescent="0.25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</row>
    <row r="2026" spans="1:15" ht="15" customHeight="1" x14ac:dyDescent="0.25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</row>
    <row r="2027" spans="1:15" ht="15" customHeight="1" x14ac:dyDescent="0.25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</row>
    <row r="2028" spans="1:15" ht="15" customHeight="1" x14ac:dyDescent="0.25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</row>
    <row r="2029" spans="1:15" ht="15" customHeight="1" x14ac:dyDescent="0.25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</row>
    <row r="2030" spans="1:15" ht="15" customHeight="1" x14ac:dyDescent="0.25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</row>
    <row r="2031" spans="1:15" ht="15" customHeight="1" x14ac:dyDescent="0.25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</row>
    <row r="2032" spans="1:15" ht="15" customHeight="1" x14ac:dyDescent="0.25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</row>
    <row r="2033" spans="1:15" ht="15" customHeight="1" x14ac:dyDescent="0.25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</row>
    <row r="2034" spans="1:15" ht="15" customHeight="1" x14ac:dyDescent="0.25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</row>
    <row r="2035" spans="1:15" ht="15" customHeight="1" x14ac:dyDescent="0.25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</row>
    <row r="2036" spans="1:15" ht="15" customHeight="1" x14ac:dyDescent="0.25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</row>
    <row r="2037" spans="1:15" ht="15" customHeight="1" x14ac:dyDescent="0.25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</row>
    <row r="2038" spans="1:15" ht="15" customHeight="1" x14ac:dyDescent="0.25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</row>
    <row r="2039" spans="1:15" ht="15" customHeight="1" x14ac:dyDescent="0.25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</row>
    <row r="2040" spans="1:15" ht="15" customHeight="1" x14ac:dyDescent="0.25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</row>
    <row r="2041" spans="1:15" ht="15" customHeight="1" x14ac:dyDescent="0.25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</row>
    <row r="2042" spans="1:15" ht="15" customHeight="1" x14ac:dyDescent="0.25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</row>
    <row r="2043" spans="1:15" ht="15" customHeight="1" x14ac:dyDescent="0.25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</row>
    <row r="2044" spans="1:15" ht="15" customHeight="1" x14ac:dyDescent="0.25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</row>
    <row r="2045" spans="1:15" ht="15" customHeight="1" x14ac:dyDescent="0.2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</row>
    <row r="2046" spans="1:15" ht="15" customHeight="1" x14ac:dyDescent="0.25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</row>
    <row r="2047" spans="1:15" ht="15" customHeight="1" x14ac:dyDescent="0.25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</row>
    <row r="2048" spans="1:15" ht="15" customHeight="1" x14ac:dyDescent="0.25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</row>
    <row r="2049" spans="1:15" ht="15" customHeight="1" x14ac:dyDescent="0.25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</row>
    <row r="2050" spans="1:15" ht="15" customHeight="1" x14ac:dyDescent="0.25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</row>
    <row r="2051" spans="1:15" ht="15" customHeight="1" x14ac:dyDescent="0.25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</row>
    <row r="2052" spans="1:15" ht="15" customHeight="1" x14ac:dyDescent="0.25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</row>
    <row r="2053" spans="1:15" ht="15" customHeight="1" x14ac:dyDescent="0.25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</row>
    <row r="2054" spans="1:15" ht="15" customHeight="1" x14ac:dyDescent="0.25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</row>
    <row r="2055" spans="1:15" ht="15" customHeight="1" x14ac:dyDescent="0.2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</row>
    <row r="2056" spans="1:15" ht="15" customHeight="1" x14ac:dyDescent="0.25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</row>
    <row r="2057" spans="1:15" ht="15" customHeight="1" x14ac:dyDescent="0.25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</row>
    <row r="2058" spans="1:15" ht="15" customHeight="1" x14ac:dyDescent="0.25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</row>
    <row r="2059" spans="1:15" ht="15" customHeight="1" x14ac:dyDescent="0.25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</row>
    <row r="2060" spans="1:15" ht="15" customHeight="1" x14ac:dyDescent="0.25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</row>
    <row r="2061" spans="1:15" ht="15" customHeight="1" x14ac:dyDescent="0.25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</row>
    <row r="2062" spans="1:15" ht="15" customHeight="1" x14ac:dyDescent="0.25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</row>
    <row r="2063" spans="1:15" ht="15" customHeight="1" x14ac:dyDescent="0.25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</row>
    <row r="2064" spans="1:15" ht="15" customHeight="1" x14ac:dyDescent="0.25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</row>
    <row r="2065" spans="1:15" ht="15" customHeight="1" x14ac:dyDescent="0.2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</row>
    <row r="2066" spans="1:15" ht="15" customHeight="1" x14ac:dyDescent="0.25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</row>
    <row r="2067" spans="1:15" ht="15" customHeight="1" x14ac:dyDescent="0.25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</row>
    <row r="2068" spans="1:15" ht="15" customHeight="1" x14ac:dyDescent="0.25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</row>
    <row r="2069" spans="1:15" ht="15" customHeight="1" x14ac:dyDescent="0.25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</row>
    <row r="2070" spans="1:15" ht="15" customHeight="1" x14ac:dyDescent="0.25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</row>
    <row r="2071" spans="1:15" ht="15" customHeight="1" x14ac:dyDescent="0.25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</row>
    <row r="2072" spans="1:15" ht="15" customHeight="1" x14ac:dyDescent="0.25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</row>
    <row r="2073" spans="1:15" ht="15" customHeight="1" x14ac:dyDescent="0.25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</row>
    <row r="2074" spans="1:15" ht="15" customHeight="1" x14ac:dyDescent="0.25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</row>
    <row r="2075" spans="1:15" ht="15" customHeight="1" x14ac:dyDescent="0.2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</row>
    <row r="2076" spans="1:15" ht="15" customHeight="1" x14ac:dyDescent="0.25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</row>
    <row r="2077" spans="1:15" ht="15" customHeight="1" x14ac:dyDescent="0.25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</row>
    <row r="2078" spans="1:15" ht="15" customHeight="1" x14ac:dyDescent="0.25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</row>
    <row r="2079" spans="1:15" ht="15" customHeight="1" x14ac:dyDescent="0.25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</row>
    <row r="2080" spans="1:15" ht="15" customHeight="1" x14ac:dyDescent="0.25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</row>
    <row r="2081" spans="1:15" ht="15" customHeight="1" x14ac:dyDescent="0.25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</row>
    <row r="2082" spans="1:15" ht="15" customHeight="1" x14ac:dyDescent="0.25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</row>
    <row r="2083" spans="1:15" ht="15" customHeight="1" x14ac:dyDescent="0.25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</row>
    <row r="2084" spans="1:15" ht="15" customHeight="1" x14ac:dyDescent="0.25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</row>
    <row r="2085" spans="1:15" ht="15" customHeight="1" x14ac:dyDescent="0.2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</row>
    <row r="2086" spans="1:15" ht="15" customHeight="1" x14ac:dyDescent="0.25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</row>
    <row r="2087" spans="1:15" ht="15" customHeight="1" x14ac:dyDescent="0.25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</row>
    <row r="2088" spans="1:15" ht="15" customHeight="1" x14ac:dyDescent="0.25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</row>
    <row r="2089" spans="1:15" ht="15" customHeight="1" x14ac:dyDescent="0.25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</row>
    <row r="2090" spans="1:15" ht="15" customHeight="1" x14ac:dyDescent="0.25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</row>
    <row r="2091" spans="1:15" ht="15" customHeight="1" x14ac:dyDescent="0.25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</row>
    <row r="2092" spans="1:15" ht="15" customHeight="1" x14ac:dyDescent="0.25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</row>
    <row r="2093" spans="1:15" ht="15" customHeight="1" x14ac:dyDescent="0.25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</row>
    <row r="2094" spans="1:15" ht="15" customHeight="1" x14ac:dyDescent="0.25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</row>
    <row r="2095" spans="1:15" ht="15" customHeight="1" x14ac:dyDescent="0.2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</row>
    <row r="2096" spans="1:15" ht="15" customHeight="1" x14ac:dyDescent="0.25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</row>
    <row r="2097" spans="1:15" ht="15" customHeight="1" x14ac:dyDescent="0.25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</row>
    <row r="2098" spans="1:15" ht="15" customHeight="1" x14ac:dyDescent="0.25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</row>
    <row r="2099" spans="1:15" ht="15" customHeight="1" x14ac:dyDescent="0.25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</row>
    <row r="2100" spans="1:15" ht="15" customHeight="1" x14ac:dyDescent="0.25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</row>
    <row r="2101" spans="1:15" ht="15" customHeight="1" x14ac:dyDescent="0.25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</row>
    <row r="2102" spans="1:15" ht="15" customHeight="1" x14ac:dyDescent="0.25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</row>
    <row r="2103" spans="1:15" ht="15" customHeight="1" x14ac:dyDescent="0.25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</row>
    <row r="2104" spans="1:15" ht="15" customHeight="1" x14ac:dyDescent="0.25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</row>
    <row r="2105" spans="1:15" ht="15" customHeight="1" x14ac:dyDescent="0.2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</row>
    <row r="2106" spans="1:15" ht="15" customHeight="1" x14ac:dyDescent="0.25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</row>
    <row r="2107" spans="1:15" ht="15" customHeight="1" x14ac:dyDescent="0.25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</row>
    <row r="2108" spans="1:15" ht="15" customHeight="1" x14ac:dyDescent="0.25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</row>
    <row r="2109" spans="1:15" ht="15" customHeight="1" x14ac:dyDescent="0.25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</row>
    <row r="2110" spans="1:15" ht="15" customHeight="1" x14ac:dyDescent="0.25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</row>
    <row r="2111" spans="1:15" ht="15" customHeight="1" x14ac:dyDescent="0.25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</row>
    <row r="2112" spans="1:15" ht="15" customHeight="1" x14ac:dyDescent="0.25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</row>
    <row r="2113" spans="1:15" ht="15" customHeight="1" x14ac:dyDescent="0.25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</row>
    <row r="2114" spans="1:15" ht="15" customHeight="1" x14ac:dyDescent="0.25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</row>
    <row r="2115" spans="1:15" ht="15" customHeight="1" x14ac:dyDescent="0.2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</row>
    <row r="2116" spans="1:15" ht="15" customHeight="1" x14ac:dyDescent="0.25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</row>
    <row r="2117" spans="1:15" ht="15" customHeight="1" x14ac:dyDescent="0.25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</row>
    <row r="2118" spans="1:15" ht="15" customHeight="1" x14ac:dyDescent="0.25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</row>
    <row r="2119" spans="1:15" ht="15" customHeight="1" x14ac:dyDescent="0.25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</row>
    <row r="2120" spans="1:15" ht="15" customHeight="1" x14ac:dyDescent="0.25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</row>
    <row r="2121" spans="1:15" ht="15" customHeight="1" x14ac:dyDescent="0.25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</row>
    <row r="2122" spans="1:15" ht="15" customHeight="1" x14ac:dyDescent="0.25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</row>
    <row r="2123" spans="1:15" ht="15" customHeight="1" x14ac:dyDescent="0.25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</row>
    <row r="2124" spans="1:15" ht="15" customHeight="1" x14ac:dyDescent="0.25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</row>
    <row r="2125" spans="1:15" ht="15" customHeight="1" x14ac:dyDescent="0.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</row>
    <row r="2126" spans="1:15" ht="15" customHeight="1" x14ac:dyDescent="0.25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</row>
    <row r="2127" spans="1:15" ht="15" customHeight="1" x14ac:dyDescent="0.25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</row>
    <row r="2128" spans="1:15" ht="15" customHeight="1" x14ac:dyDescent="0.25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</row>
    <row r="2129" spans="1:15" ht="15" customHeight="1" x14ac:dyDescent="0.25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</row>
    <row r="2130" spans="1:15" ht="15" customHeight="1" x14ac:dyDescent="0.25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</row>
    <row r="2131" spans="1:15" ht="15" customHeight="1" x14ac:dyDescent="0.25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</row>
    <row r="2132" spans="1:15" ht="15" customHeight="1" x14ac:dyDescent="0.25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</row>
    <row r="2133" spans="1:15" ht="15" customHeight="1" x14ac:dyDescent="0.25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</row>
    <row r="2134" spans="1:15" ht="15" customHeight="1" x14ac:dyDescent="0.25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</row>
    <row r="2135" spans="1:15" ht="15" customHeight="1" x14ac:dyDescent="0.2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</row>
    <row r="2136" spans="1:15" ht="15" customHeight="1" x14ac:dyDescent="0.25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</row>
    <row r="2137" spans="1:15" ht="15" customHeight="1" x14ac:dyDescent="0.25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</row>
    <row r="2138" spans="1:15" ht="15" customHeight="1" x14ac:dyDescent="0.25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</row>
    <row r="2139" spans="1:15" ht="15" customHeight="1" x14ac:dyDescent="0.25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</row>
    <row r="2140" spans="1:15" ht="15" customHeight="1" x14ac:dyDescent="0.25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</row>
    <row r="2141" spans="1:15" ht="15" customHeight="1" x14ac:dyDescent="0.25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</row>
    <row r="2142" spans="1:15" ht="15" customHeight="1" x14ac:dyDescent="0.25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</row>
    <row r="2143" spans="1:15" ht="15" customHeight="1" x14ac:dyDescent="0.25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</row>
    <row r="2144" spans="1:15" ht="15" customHeight="1" x14ac:dyDescent="0.25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</row>
    <row r="2145" spans="1:15" ht="15" customHeight="1" x14ac:dyDescent="0.2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</row>
    <row r="2146" spans="1:15" ht="15" customHeight="1" x14ac:dyDescent="0.25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</row>
    <row r="2147" spans="1:15" ht="15" customHeight="1" x14ac:dyDescent="0.25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</row>
    <row r="2148" spans="1:15" ht="15" customHeight="1" x14ac:dyDescent="0.25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</row>
    <row r="2149" spans="1:15" ht="15" customHeight="1" x14ac:dyDescent="0.25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</row>
    <row r="2150" spans="1:15" ht="15" customHeight="1" x14ac:dyDescent="0.25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</row>
    <row r="2151" spans="1:15" ht="15" customHeight="1" x14ac:dyDescent="0.25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</row>
    <row r="2152" spans="1:15" ht="15" customHeight="1" x14ac:dyDescent="0.25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</row>
    <row r="2153" spans="1:15" ht="15" customHeight="1" x14ac:dyDescent="0.25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</row>
    <row r="2154" spans="1:15" ht="15" customHeight="1" x14ac:dyDescent="0.25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</row>
    <row r="2155" spans="1:15" ht="15" customHeight="1" x14ac:dyDescent="0.2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</row>
    <row r="2156" spans="1:15" ht="15" customHeight="1" x14ac:dyDescent="0.25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</row>
    <row r="2157" spans="1:15" ht="15" customHeight="1" x14ac:dyDescent="0.25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</row>
    <row r="2158" spans="1:15" ht="15" customHeight="1" x14ac:dyDescent="0.25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</row>
    <row r="2159" spans="1:15" ht="15" customHeight="1" x14ac:dyDescent="0.25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</row>
    <row r="2160" spans="1:15" ht="15" customHeight="1" x14ac:dyDescent="0.25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</row>
    <row r="2161" spans="1:15" ht="15" customHeight="1" x14ac:dyDescent="0.25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</row>
    <row r="2162" spans="1:15" ht="15" customHeight="1" x14ac:dyDescent="0.25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</row>
    <row r="2163" spans="1:15" ht="15" customHeight="1" x14ac:dyDescent="0.25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</row>
    <row r="2164" spans="1:15" ht="15" customHeight="1" x14ac:dyDescent="0.25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</row>
    <row r="2165" spans="1:15" ht="15" customHeight="1" x14ac:dyDescent="0.2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</row>
    <row r="2166" spans="1:15" ht="15" customHeight="1" x14ac:dyDescent="0.25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</row>
    <row r="2167" spans="1:15" ht="15" customHeight="1" x14ac:dyDescent="0.25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</row>
    <row r="2168" spans="1:15" ht="15" customHeight="1" x14ac:dyDescent="0.25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</row>
    <row r="2169" spans="1:15" ht="15" customHeight="1" x14ac:dyDescent="0.25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</row>
    <row r="2170" spans="1:15" ht="15" customHeight="1" x14ac:dyDescent="0.25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</row>
    <row r="2171" spans="1:15" ht="15" customHeight="1" x14ac:dyDescent="0.25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</row>
    <row r="2172" spans="1:15" ht="15" customHeight="1" x14ac:dyDescent="0.25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</row>
    <row r="2173" spans="1:15" ht="15" customHeight="1" x14ac:dyDescent="0.25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</row>
    <row r="2174" spans="1:15" ht="15" customHeight="1" x14ac:dyDescent="0.25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</row>
    <row r="2175" spans="1:15" ht="15" customHeight="1" x14ac:dyDescent="0.2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</row>
    <row r="2176" spans="1:15" ht="15" customHeight="1" x14ac:dyDescent="0.25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</row>
    <row r="2177" spans="1:15" ht="15" customHeight="1" x14ac:dyDescent="0.25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</row>
    <row r="2178" spans="1:15" ht="15" customHeight="1" x14ac:dyDescent="0.25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</row>
    <row r="2179" spans="1:15" ht="15" customHeight="1" x14ac:dyDescent="0.25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</row>
    <row r="2180" spans="1:15" ht="15" customHeight="1" x14ac:dyDescent="0.25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</row>
    <row r="2181" spans="1:15" ht="15" customHeight="1" x14ac:dyDescent="0.25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</row>
    <row r="2182" spans="1:15" ht="15" customHeight="1" x14ac:dyDescent="0.25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</row>
    <row r="2183" spans="1:15" ht="15" customHeight="1" x14ac:dyDescent="0.25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</row>
    <row r="2184" spans="1:15" ht="15" customHeight="1" x14ac:dyDescent="0.25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</row>
    <row r="2185" spans="1:15" ht="15" customHeight="1" x14ac:dyDescent="0.2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</row>
    <row r="2186" spans="1:15" ht="15" customHeight="1" x14ac:dyDescent="0.25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</row>
    <row r="2187" spans="1:15" ht="15" customHeight="1" x14ac:dyDescent="0.25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</row>
    <row r="2188" spans="1:15" ht="15" customHeight="1" x14ac:dyDescent="0.25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</row>
    <row r="2189" spans="1:15" ht="15" customHeight="1" x14ac:dyDescent="0.25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</row>
    <row r="2190" spans="1:15" ht="15" customHeight="1" x14ac:dyDescent="0.25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</row>
    <row r="2191" spans="1:15" ht="15" customHeight="1" x14ac:dyDescent="0.25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</row>
    <row r="2192" spans="1:15" ht="15" customHeight="1" x14ac:dyDescent="0.25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</row>
    <row r="2193" spans="1:15" ht="15" customHeight="1" x14ac:dyDescent="0.25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</row>
    <row r="2194" spans="1:15" ht="15" customHeight="1" x14ac:dyDescent="0.25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</row>
    <row r="2195" spans="1:15" ht="15" customHeight="1" x14ac:dyDescent="0.2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</row>
    <row r="2196" spans="1:15" ht="15" customHeight="1" x14ac:dyDescent="0.25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</row>
    <row r="2197" spans="1:15" ht="15" customHeight="1" x14ac:dyDescent="0.25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</row>
    <row r="2198" spans="1:15" ht="15" customHeight="1" x14ac:dyDescent="0.25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</row>
    <row r="2199" spans="1:15" ht="15" customHeight="1" x14ac:dyDescent="0.25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</row>
    <row r="2200" spans="1:15" ht="15" customHeight="1" x14ac:dyDescent="0.25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</row>
    <row r="2201" spans="1:15" ht="15" customHeight="1" x14ac:dyDescent="0.25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</row>
    <row r="2202" spans="1:15" ht="15" customHeight="1" x14ac:dyDescent="0.25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</row>
    <row r="2203" spans="1:15" ht="15" customHeight="1" x14ac:dyDescent="0.25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</row>
    <row r="2204" spans="1:15" ht="15" customHeight="1" x14ac:dyDescent="0.25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</row>
    <row r="2205" spans="1:15" ht="15" customHeight="1" x14ac:dyDescent="0.2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</row>
    <row r="2206" spans="1:15" ht="15" customHeight="1" x14ac:dyDescent="0.25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</row>
    <row r="2207" spans="1:15" ht="15" customHeight="1" x14ac:dyDescent="0.25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</row>
    <row r="2208" spans="1:15" ht="15" customHeight="1" x14ac:dyDescent="0.25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</row>
    <row r="2209" spans="1:15" ht="15" customHeight="1" x14ac:dyDescent="0.25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</row>
    <row r="2210" spans="1:15" ht="15" customHeight="1" x14ac:dyDescent="0.25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</row>
    <row r="2211" spans="1:15" ht="15" customHeight="1" x14ac:dyDescent="0.25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</row>
    <row r="2212" spans="1:15" ht="15" customHeight="1" x14ac:dyDescent="0.25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</row>
    <row r="2213" spans="1:15" ht="15" customHeight="1" x14ac:dyDescent="0.25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</row>
    <row r="2214" spans="1:15" ht="15" customHeight="1" x14ac:dyDescent="0.25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</row>
    <row r="2215" spans="1:15" ht="15" customHeight="1" x14ac:dyDescent="0.2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</row>
    <row r="2216" spans="1:15" ht="15" customHeight="1" x14ac:dyDescent="0.25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</row>
    <row r="2217" spans="1:15" ht="15" customHeight="1" x14ac:dyDescent="0.25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</row>
    <row r="2218" spans="1:15" ht="15" customHeight="1" x14ac:dyDescent="0.25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</row>
    <row r="2219" spans="1:15" ht="15" customHeight="1" x14ac:dyDescent="0.25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</row>
    <row r="2220" spans="1:15" ht="15" customHeight="1" x14ac:dyDescent="0.25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</row>
    <row r="2221" spans="1:15" ht="15" customHeight="1" x14ac:dyDescent="0.25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</row>
    <row r="2222" spans="1:15" ht="15" customHeight="1" x14ac:dyDescent="0.25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</row>
    <row r="2223" spans="1:15" ht="15" customHeight="1" x14ac:dyDescent="0.25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</row>
    <row r="2224" spans="1:15" ht="15" customHeight="1" x14ac:dyDescent="0.25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</row>
    <row r="2225" spans="1:15" ht="15" customHeight="1" x14ac:dyDescent="0.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</row>
    <row r="2226" spans="1:15" ht="15" customHeight="1" x14ac:dyDescent="0.25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</row>
    <row r="2227" spans="1:15" ht="15" customHeight="1" x14ac:dyDescent="0.25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</row>
    <row r="2228" spans="1:15" ht="15" customHeight="1" x14ac:dyDescent="0.25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</row>
    <row r="2229" spans="1:15" ht="15" customHeight="1" x14ac:dyDescent="0.25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</row>
    <row r="2230" spans="1:15" ht="15" customHeight="1" x14ac:dyDescent="0.25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</row>
    <row r="2231" spans="1:15" ht="15" customHeight="1" x14ac:dyDescent="0.25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</row>
    <row r="2232" spans="1:15" ht="15" customHeight="1" x14ac:dyDescent="0.25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</row>
    <row r="2233" spans="1:15" ht="15" customHeight="1" x14ac:dyDescent="0.25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</row>
    <row r="2234" spans="1:15" ht="15" customHeight="1" x14ac:dyDescent="0.25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</row>
    <row r="2235" spans="1:15" ht="15" customHeight="1" x14ac:dyDescent="0.2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</row>
    <row r="2236" spans="1:15" ht="15" customHeight="1" x14ac:dyDescent="0.25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</row>
    <row r="2237" spans="1:15" ht="15" customHeight="1" x14ac:dyDescent="0.25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</row>
    <row r="2238" spans="1:15" ht="15" customHeight="1" x14ac:dyDescent="0.25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</row>
    <row r="2239" spans="1:15" ht="15" customHeight="1" x14ac:dyDescent="0.25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</row>
    <row r="2240" spans="1:15" ht="15" customHeight="1" x14ac:dyDescent="0.25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</row>
    <row r="2241" spans="1:15" ht="15" customHeight="1" x14ac:dyDescent="0.25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</row>
    <row r="2242" spans="1:15" ht="15" customHeight="1" x14ac:dyDescent="0.25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</row>
    <row r="2243" spans="1:15" ht="15" customHeight="1" x14ac:dyDescent="0.25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</row>
    <row r="2244" spans="1:15" ht="15" customHeight="1" x14ac:dyDescent="0.25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</row>
    <row r="2245" spans="1:15" ht="15" customHeight="1" x14ac:dyDescent="0.2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</row>
    <row r="2246" spans="1:15" ht="15" customHeight="1" x14ac:dyDescent="0.25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</row>
    <row r="2247" spans="1:15" ht="15" customHeight="1" x14ac:dyDescent="0.25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</row>
    <row r="2248" spans="1:15" ht="15" customHeight="1" x14ac:dyDescent="0.25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</row>
    <row r="2249" spans="1:15" ht="15" customHeight="1" x14ac:dyDescent="0.25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</row>
    <row r="2250" spans="1:15" ht="15" customHeight="1" x14ac:dyDescent="0.25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</row>
    <row r="2251" spans="1:15" ht="15" customHeight="1" x14ac:dyDescent="0.25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</row>
    <row r="2252" spans="1:15" ht="15" customHeight="1" x14ac:dyDescent="0.25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</row>
    <row r="2253" spans="1:15" ht="15" customHeight="1" x14ac:dyDescent="0.25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</row>
    <row r="2254" spans="1:15" ht="15" customHeight="1" x14ac:dyDescent="0.25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</row>
    <row r="2255" spans="1:15" ht="15" customHeight="1" x14ac:dyDescent="0.25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</row>
    <row r="2256" spans="1:15" ht="15" customHeight="1" x14ac:dyDescent="0.25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</row>
    <row r="2257" spans="1:15" ht="15" customHeight="1" x14ac:dyDescent="0.25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</row>
    <row r="2258" spans="1:15" ht="15" customHeight="1" x14ac:dyDescent="0.25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</row>
    <row r="2259" spans="1:15" ht="15" customHeight="1" x14ac:dyDescent="0.25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</row>
    <row r="2260" spans="1:15" ht="15" customHeight="1" x14ac:dyDescent="0.25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</row>
    <row r="2261" spans="1:15" ht="15" customHeight="1" x14ac:dyDescent="0.25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</row>
    <row r="2262" spans="1:15" ht="15" customHeight="1" x14ac:dyDescent="0.25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</row>
    <row r="2263" spans="1:15" ht="15" customHeight="1" x14ac:dyDescent="0.25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</row>
    <row r="2264" spans="1:15" ht="15" customHeight="1" x14ac:dyDescent="0.25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</row>
    <row r="2265" spans="1:15" ht="15" customHeight="1" x14ac:dyDescent="0.25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</row>
    <row r="2266" spans="1:15" ht="15" customHeight="1" x14ac:dyDescent="0.25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</row>
    <row r="2267" spans="1:15" ht="15" customHeight="1" x14ac:dyDescent="0.25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</row>
    <row r="2268" spans="1:15" ht="15" customHeight="1" x14ac:dyDescent="0.25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</row>
    <row r="2269" spans="1:15" ht="15" customHeight="1" x14ac:dyDescent="0.25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</row>
    <row r="2270" spans="1:15" ht="15" customHeight="1" x14ac:dyDescent="0.25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</row>
    <row r="2271" spans="1:15" ht="15" customHeight="1" x14ac:dyDescent="0.25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</row>
    <row r="2272" spans="1:15" ht="15" customHeight="1" x14ac:dyDescent="0.25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</row>
    <row r="2273" spans="1:15" ht="15" customHeight="1" x14ac:dyDescent="0.25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</row>
    <row r="2274" spans="1:15" ht="15" customHeight="1" x14ac:dyDescent="0.25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</row>
    <row r="2275" spans="1:15" ht="15" customHeight="1" x14ac:dyDescent="0.25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</row>
    <row r="2276" spans="1:15" ht="15" customHeight="1" x14ac:dyDescent="0.25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</row>
    <row r="2277" spans="1:15" ht="15" customHeight="1" x14ac:dyDescent="0.25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</row>
    <row r="2278" spans="1:15" ht="15" customHeight="1" x14ac:dyDescent="0.25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</row>
    <row r="2279" spans="1:15" ht="15" customHeight="1" x14ac:dyDescent="0.25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</row>
    <row r="2280" spans="1:15" ht="15" customHeight="1" x14ac:dyDescent="0.25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</row>
    <row r="2281" spans="1:15" ht="15" customHeight="1" x14ac:dyDescent="0.25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</row>
    <row r="2282" spans="1:15" ht="15" customHeight="1" x14ac:dyDescent="0.25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</row>
    <row r="2283" spans="1:15" ht="15" customHeight="1" x14ac:dyDescent="0.25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</row>
    <row r="2284" spans="1:15" ht="15" customHeight="1" x14ac:dyDescent="0.25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</row>
    <row r="2285" spans="1:15" ht="15" customHeight="1" x14ac:dyDescent="0.25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</row>
    <row r="2286" spans="1:15" ht="15" customHeight="1" x14ac:dyDescent="0.25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</row>
    <row r="2287" spans="1:15" ht="15" customHeight="1" x14ac:dyDescent="0.25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</row>
    <row r="2288" spans="1:15" ht="15" customHeight="1" x14ac:dyDescent="0.25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</row>
    <row r="2289" spans="1:15" ht="15" customHeight="1" x14ac:dyDescent="0.25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</row>
    <row r="2290" spans="1:15" ht="15" customHeight="1" x14ac:dyDescent="0.25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</row>
    <row r="2291" spans="1:15" ht="15" customHeight="1" x14ac:dyDescent="0.25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</row>
    <row r="2292" spans="1:15" ht="15" customHeight="1" x14ac:dyDescent="0.25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</row>
    <row r="2293" spans="1:15" ht="15" customHeight="1" x14ac:dyDescent="0.25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</row>
    <row r="2294" spans="1:15" ht="15" customHeight="1" x14ac:dyDescent="0.25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</row>
    <row r="2295" spans="1:15" ht="15" customHeight="1" x14ac:dyDescent="0.25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</row>
    <row r="2296" spans="1:15" ht="15" customHeight="1" x14ac:dyDescent="0.25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</row>
    <row r="2297" spans="1:15" ht="15" customHeight="1" x14ac:dyDescent="0.25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</row>
    <row r="2298" spans="1:15" ht="15" customHeight="1" x14ac:dyDescent="0.25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</row>
    <row r="2299" spans="1:15" ht="15" customHeight="1" x14ac:dyDescent="0.25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</row>
    <row r="2300" spans="1:15" ht="15" customHeight="1" x14ac:dyDescent="0.25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</row>
    <row r="2301" spans="1:15" ht="15" customHeight="1" x14ac:dyDescent="0.25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</row>
    <row r="2302" spans="1:15" ht="15" customHeight="1" x14ac:dyDescent="0.25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</row>
    <row r="2303" spans="1:15" ht="15" customHeight="1" x14ac:dyDescent="0.25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</row>
    <row r="2304" spans="1:15" ht="15" customHeight="1" x14ac:dyDescent="0.25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</row>
    <row r="2305" spans="1:15" ht="15" customHeight="1" x14ac:dyDescent="0.25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</row>
    <row r="2306" spans="1:15" ht="15" customHeight="1" x14ac:dyDescent="0.25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</row>
    <row r="2307" spans="1:15" ht="15" customHeight="1" x14ac:dyDescent="0.25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</row>
    <row r="2308" spans="1:15" ht="15" customHeight="1" x14ac:dyDescent="0.25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</row>
    <row r="2309" spans="1:15" ht="15" customHeight="1" x14ac:dyDescent="0.25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</row>
    <row r="2310" spans="1:15" ht="15" customHeight="1" x14ac:dyDescent="0.25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</row>
    <row r="2311" spans="1:15" ht="15" customHeight="1" x14ac:dyDescent="0.25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</row>
    <row r="2312" spans="1:15" ht="15" customHeight="1" x14ac:dyDescent="0.25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</row>
    <row r="2313" spans="1:15" ht="15" customHeight="1" x14ac:dyDescent="0.25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</row>
    <row r="2314" spans="1:15" ht="15" customHeight="1" x14ac:dyDescent="0.25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</row>
    <row r="2315" spans="1:15" ht="15" customHeight="1" x14ac:dyDescent="0.25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</row>
    <row r="2316" spans="1:15" ht="15" customHeight="1" x14ac:dyDescent="0.25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</row>
    <row r="2317" spans="1:15" ht="15" customHeight="1" x14ac:dyDescent="0.25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</row>
    <row r="2318" spans="1:15" ht="15" customHeight="1" x14ac:dyDescent="0.25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</row>
    <row r="2319" spans="1:15" ht="15" customHeight="1" x14ac:dyDescent="0.25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</row>
    <row r="2320" spans="1:15" ht="15" customHeight="1" x14ac:dyDescent="0.25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</row>
    <row r="2321" spans="1:15" ht="15" customHeight="1" x14ac:dyDescent="0.25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</row>
    <row r="2322" spans="1:15" ht="15" customHeight="1" x14ac:dyDescent="0.25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</row>
    <row r="2323" spans="1:15" ht="15" customHeight="1" x14ac:dyDescent="0.25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</row>
    <row r="2324" spans="1:15" ht="15" customHeight="1" x14ac:dyDescent="0.25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</row>
    <row r="2325" spans="1:15" ht="15" customHeight="1" x14ac:dyDescent="0.25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</row>
    <row r="2326" spans="1:15" ht="15" customHeight="1" x14ac:dyDescent="0.25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</row>
    <row r="2327" spans="1:15" ht="15" customHeight="1" x14ac:dyDescent="0.25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</row>
    <row r="2328" spans="1:15" ht="15" customHeight="1" x14ac:dyDescent="0.25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</row>
    <row r="2329" spans="1:15" ht="15" customHeight="1" x14ac:dyDescent="0.25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</row>
    <row r="2330" spans="1:15" ht="15" customHeight="1" x14ac:dyDescent="0.25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</row>
    <row r="2331" spans="1:15" ht="15" customHeight="1" x14ac:dyDescent="0.25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</row>
    <row r="2332" spans="1:15" ht="15" customHeight="1" x14ac:dyDescent="0.25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</row>
    <row r="2333" spans="1:15" ht="15" customHeight="1" x14ac:dyDescent="0.25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</row>
    <row r="2334" spans="1:15" ht="15" customHeight="1" x14ac:dyDescent="0.25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</row>
    <row r="2335" spans="1:15" ht="15" customHeight="1" x14ac:dyDescent="0.25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</row>
    <row r="2336" spans="1:15" ht="15" customHeight="1" x14ac:dyDescent="0.25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</row>
    <row r="2337" spans="1:15" ht="15" customHeight="1" x14ac:dyDescent="0.25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</row>
    <row r="2338" spans="1:15" ht="15" customHeight="1" x14ac:dyDescent="0.25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</row>
    <row r="2339" spans="1:15" ht="15" customHeight="1" x14ac:dyDescent="0.25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</row>
    <row r="2340" spans="1:15" ht="15" customHeight="1" x14ac:dyDescent="0.25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</row>
    <row r="2341" spans="1:15" ht="15" customHeight="1" x14ac:dyDescent="0.25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</row>
    <row r="2342" spans="1:15" ht="15" customHeight="1" x14ac:dyDescent="0.25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</row>
    <row r="2343" spans="1:15" ht="15" customHeight="1" x14ac:dyDescent="0.25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</row>
    <row r="2344" spans="1:15" ht="15" customHeight="1" x14ac:dyDescent="0.25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</row>
    <row r="2345" spans="1:15" ht="15" customHeight="1" x14ac:dyDescent="0.25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</row>
    <row r="2346" spans="1:15" ht="15" customHeight="1" x14ac:dyDescent="0.25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</row>
    <row r="2347" spans="1:15" ht="15" customHeight="1" x14ac:dyDescent="0.25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</row>
    <row r="2348" spans="1:15" ht="15" customHeight="1" x14ac:dyDescent="0.25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</row>
    <row r="2349" spans="1:15" ht="15" customHeight="1" x14ac:dyDescent="0.25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</row>
    <row r="2350" spans="1:15" ht="15" customHeight="1" x14ac:dyDescent="0.25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</row>
    <row r="2351" spans="1:15" ht="15" customHeight="1" x14ac:dyDescent="0.25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</row>
    <row r="2352" spans="1:15" ht="15" customHeight="1" x14ac:dyDescent="0.25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</row>
    <row r="2353" spans="1:15" ht="15" customHeight="1" x14ac:dyDescent="0.25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</row>
    <row r="2354" spans="1:15" ht="15" customHeight="1" x14ac:dyDescent="0.25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</row>
    <row r="2355" spans="1:15" ht="15" customHeight="1" x14ac:dyDescent="0.25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</row>
    <row r="2356" spans="1:15" ht="15" customHeight="1" x14ac:dyDescent="0.25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</row>
    <row r="2357" spans="1:15" ht="15" customHeight="1" x14ac:dyDescent="0.25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</row>
    <row r="2358" spans="1:15" ht="15" customHeight="1" x14ac:dyDescent="0.25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</row>
    <row r="2359" spans="1:15" ht="15" customHeight="1" x14ac:dyDescent="0.25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</row>
    <row r="2360" spans="1:15" ht="15" customHeight="1" x14ac:dyDescent="0.25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</row>
    <row r="2361" spans="1:15" ht="15" customHeight="1" x14ac:dyDescent="0.25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</row>
    <row r="2362" spans="1:15" ht="15" customHeight="1" x14ac:dyDescent="0.25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</row>
    <row r="2363" spans="1:15" ht="15" customHeight="1" x14ac:dyDescent="0.25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</row>
    <row r="2364" spans="1:15" ht="15" customHeight="1" x14ac:dyDescent="0.25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</row>
    <row r="2365" spans="1:15" ht="15" customHeight="1" x14ac:dyDescent="0.25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</row>
    <row r="2366" spans="1:15" ht="15" customHeight="1" x14ac:dyDescent="0.25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</row>
    <row r="2367" spans="1:15" ht="15" customHeight="1" x14ac:dyDescent="0.25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</row>
    <row r="2368" spans="1:15" ht="15" customHeight="1" x14ac:dyDescent="0.25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</row>
    <row r="2369" spans="1:15" ht="15" customHeight="1" x14ac:dyDescent="0.25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</row>
    <row r="2370" spans="1:15" ht="15" customHeight="1" x14ac:dyDescent="0.25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</row>
    <row r="2371" spans="1:15" ht="15" customHeight="1" x14ac:dyDescent="0.25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</row>
    <row r="2372" spans="1:15" ht="15" customHeight="1" x14ac:dyDescent="0.25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</row>
    <row r="2373" spans="1:15" ht="15" customHeight="1" x14ac:dyDescent="0.25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</row>
    <row r="2374" spans="1:15" ht="15" customHeight="1" x14ac:dyDescent="0.25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</row>
    <row r="2375" spans="1:15" ht="15" customHeight="1" x14ac:dyDescent="0.25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</row>
    <row r="2376" spans="1:15" ht="15" customHeight="1" x14ac:dyDescent="0.25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</row>
    <row r="2377" spans="1:15" ht="15" customHeight="1" x14ac:dyDescent="0.25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</row>
    <row r="2378" spans="1:15" ht="15" customHeight="1" x14ac:dyDescent="0.25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</row>
    <row r="2379" spans="1:15" ht="15" customHeight="1" x14ac:dyDescent="0.25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</row>
    <row r="2380" spans="1:15" ht="15" customHeight="1" x14ac:dyDescent="0.25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</row>
    <row r="2381" spans="1:15" ht="15" customHeight="1" x14ac:dyDescent="0.25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</row>
    <row r="2382" spans="1:15" ht="15" customHeight="1" x14ac:dyDescent="0.25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</row>
    <row r="2383" spans="1:15" ht="15" customHeight="1" x14ac:dyDescent="0.25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</row>
    <row r="2384" spans="1:15" ht="15" customHeight="1" x14ac:dyDescent="0.25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</row>
    <row r="2385" spans="1:15" ht="15" customHeight="1" x14ac:dyDescent="0.25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</row>
    <row r="2386" spans="1:15" ht="15" customHeight="1" x14ac:dyDescent="0.25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</row>
    <row r="2387" spans="1:15" ht="15" customHeight="1" x14ac:dyDescent="0.25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</row>
    <row r="2388" spans="1:15" ht="15" customHeight="1" x14ac:dyDescent="0.25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</row>
    <row r="2389" spans="1:15" ht="15" customHeight="1" x14ac:dyDescent="0.25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</row>
    <row r="2390" spans="1:15" ht="15" customHeight="1" x14ac:dyDescent="0.25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</row>
    <row r="2391" spans="1:15" ht="15" customHeight="1" x14ac:dyDescent="0.25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</row>
    <row r="2392" spans="1:15" ht="15" customHeight="1" x14ac:dyDescent="0.25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</row>
    <row r="2393" spans="1:15" ht="15" customHeight="1" x14ac:dyDescent="0.25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</row>
    <row r="2394" spans="1:15" ht="15" customHeight="1" x14ac:dyDescent="0.25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</row>
    <row r="2395" spans="1:15" ht="15" customHeight="1" x14ac:dyDescent="0.25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</row>
    <row r="2396" spans="1:15" ht="15" customHeight="1" x14ac:dyDescent="0.25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</row>
    <row r="2397" spans="1:15" ht="15" customHeight="1" x14ac:dyDescent="0.25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</row>
    <row r="2398" spans="1:15" ht="15" customHeight="1" x14ac:dyDescent="0.25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</row>
    <row r="2399" spans="1:15" ht="15" customHeight="1" x14ac:dyDescent="0.25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</row>
    <row r="2400" spans="1:15" ht="15" customHeight="1" x14ac:dyDescent="0.25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</row>
    <row r="2401" spans="1:15" ht="15" customHeight="1" x14ac:dyDescent="0.25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</row>
    <row r="2402" spans="1:15" ht="15" customHeight="1" x14ac:dyDescent="0.25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</row>
    <row r="2403" spans="1:15" ht="15" customHeight="1" x14ac:dyDescent="0.25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</row>
    <row r="2404" spans="1:15" ht="15" customHeight="1" x14ac:dyDescent="0.25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</row>
    <row r="2405" spans="1:15" ht="15" customHeight="1" x14ac:dyDescent="0.25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</row>
    <row r="2406" spans="1:15" ht="15" customHeight="1" x14ac:dyDescent="0.25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</row>
    <row r="2407" spans="1:15" ht="15" customHeight="1" x14ac:dyDescent="0.25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</row>
    <row r="2408" spans="1:15" ht="15" customHeight="1" x14ac:dyDescent="0.25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</row>
    <row r="2409" spans="1:15" ht="15" customHeight="1" x14ac:dyDescent="0.25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</row>
    <row r="2410" spans="1:15" ht="15" customHeight="1" x14ac:dyDescent="0.25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</row>
    <row r="2411" spans="1:15" ht="15" customHeight="1" x14ac:dyDescent="0.25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</row>
    <row r="2412" spans="1:15" ht="15" customHeight="1" x14ac:dyDescent="0.25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</row>
    <row r="2413" spans="1:15" ht="15" customHeight="1" x14ac:dyDescent="0.25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</row>
    <row r="2414" spans="1:15" ht="15" customHeight="1" x14ac:dyDescent="0.25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</row>
    <row r="2415" spans="1:15" ht="15" customHeight="1" x14ac:dyDescent="0.25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</row>
    <row r="2416" spans="1:15" ht="15" customHeight="1" x14ac:dyDescent="0.25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</row>
    <row r="2417" spans="1:15" ht="15" customHeight="1" x14ac:dyDescent="0.25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</row>
    <row r="2418" spans="1:15" ht="15" customHeight="1" x14ac:dyDescent="0.25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</row>
    <row r="2419" spans="1:15" ht="15" customHeight="1" x14ac:dyDescent="0.25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</row>
    <row r="2420" spans="1:15" ht="15" customHeight="1" x14ac:dyDescent="0.25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</row>
    <row r="2421" spans="1:15" ht="15" customHeight="1" x14ac:dyDescent="0.25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</row>
    <row r="2422" spans="1:15" ht="15" customHeight="1" x14ac:dyDescent="0.25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</row>
    <row r="2423" spans="1:15" ht="15" customHeight="1" x14ac:dyDescent="0.25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</row>
    <row r="2424" spans="1:15" ht="15" customHeight="1" x14ac:dyDescent="0.25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</row>
    <row r="2425" spans="1:15" ht="15" customHeight="1" x14ac:dyDescent="0.25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</row>
    <row r="2426" spans="1:15" ht="15" customHeight="1" x14ac:dyDescent="0.25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</row>
    <row r="2427" spans="1:15" ht="15" customHeight="1" x14ac:dyDescent="0.25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</row>
    <row r="2428" spans="1:15" ht="15" customHeight="1" x14ac:dyDescent="0.25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</row>
    <row r="2429" spans="1:15" ht="15" customHeight="1" x14ac:dyDescent="0.25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</row>
    <row r="2430" spans="1:15" ht="15" customHeight="1" x14ac:dyDescent="0.25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</row>
    <row r="2431" spans="1:15" ht="15" customHeight="1" x14ac:dyDescent="0.25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</row>
    <row r="2432" spans="1:15" ht="15" customHeight="1" x14ac:dyDescent="0.25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</row>
    <row r="2433" spans="1:15" ht="15" customHeight="1" x14ac:dyDescent="0.25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</row>
    <row r="2434" spans="1:15" ht="15" customHeight="1" x14ac:dyDescent="0.25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</row>
    <row r="2435" spans="1:15" ht="15" customHeight="1" x14ac:dyDescent="0.25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</row>
    <row r="2436" spans="1:15" ht="15" customHeight="1" x14ac:dyDescent="0.25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</row>
    <row r="2437" spans="1:15" ht="15" customHeight="1" x14ac:dyDescent="0.25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</row>
    <row r="2438" spans="1:15" ht="15" customHeight="1" x14ac:dyDescent="0.25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</row>
    <row r="2439" spans="1:15" ht="15" customHeight="1" x14ac:dyDescent="0.25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</row>
    <row r="2440" spans="1:15" ht="15" customHeight="1" x14ac:dyDescent="0.25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</row>
    <row r="2441" spans="1:15" ht="15" customHeight="1" x14ac:dyDescent="0.25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</row>
    <row r="2442" spans="1:15" ht="15" customHeight="1" x14ac:dyDescent="0.25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</row>
    <row r="2443" spans="1:15" ht="15" customHeight="1" x14ac:dyDescent="0.25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</row>
    <row r="2444" spans="1:15" ht="15" customHeight="1" x14ac:dyDescent="0.25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</row>
    <row r="2445" spans="1:15" ht="15" customHeight="1" x14ac:dyDescent="0.25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</row>
    <row r="2446" spans="1:15" ht="15" customHeight="1" x14ac:dyDescent="0.25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</row>
    <row r="2447" spans="1:15" ht="15" customHeight="1" x14ac:dyDescent="0.25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</row>
    <row r="2448" spans="1:15" ht="15" customHeight="1" x14ac:dyDescent="0.25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</row>
    <row r="2449" spans="1:15" ht="15" customHeight="1" x14ac:dyDescent="0.25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</row>
    <row r="2450" spans="1:15" ht="15" customHeight="1" x14ac:dyDescent="0.25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</row>
    <row r="2451" spans="1:15" ht="15" customHeight="1" x14ac:dyDescent="0.25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</row>
    <row r="2452" spans="1:15" ht="15" customHeight="1" x14ac:dyDescent="0.25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</row>
    <row r="2453" spans="1:15" ht="15" customHeight="1" x14ac:dyDescent="0.25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</row>
    <row r="2454" spans="1:15" ht="15" customHeight="1" x14ac:dyDescent="0.25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</row>
    <row r="2455" spans="1:15" ht="15" customHeight="1" x14ac:dyDescent="0.25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</row>
    <row r="2456" spans="1:15" ht="15" customHeight="1" x14ac:dyDescent="0.25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</row>
    <row r="2457" spans="1:15" ht="15" customHeight="1" x14ac:dyDescent="0.25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</row>
    <row r="2458" spans="1:15" ht="15" customHeight="1" x14ac:dyDescent="0.25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</row>
    <row r="2459" spans="1:15" ht="15" customHeight="1" x14ac:dyDescent="0.25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</row>
    <row r="2460" spans="1:15" ht="15" customHeight="1" x14ac:dyDescent="0.25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</row>
    <row r="2461" spans="1:15" ht="15" customHeight="1" x14ac:dyDescent="0.25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</row>
    <row r="2462" spans="1:15" ht="15" customHeight="1" x14ac:dyDescent="0.25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</row>
    <row r="2463" spans="1:15" ht="15" customHeight="1" x14ac:dyDescent="0.25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</row>
    <row r="2464" spans="1:15" ht="15" customHeight="1" x14ac:dyDescent="0.25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</row>
    <row r="2465" spans="1:15" ht="15" customHeight="1" x14ac:dyDescent="0.25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</row>
    <row r="2466" spans="1:15" ht="15" customHeight="1" x14ac:dyDescent="0.25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</row>
    <row r="2467" spans="1:15" ht="15" customHeight="1" x14ac:dyDescent="0.25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</row>
    <row r="2468" spans="1:15" ht="15" customHeight="1" x14ac:dyDescent="0.25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</row>
    <row r="2469" spans="1:15" ht="15" customHeight="1" x14ac:dyDescent="0.25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</row>
    <row r="2470" spans="1:15" ht="15" customHeight="1" x14ac:dyDescent="0.25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</row>
    <row r="2471" spans="1:15" ht="15" customHeight="1" x14ac:dyDescent="0.25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</row>
    <row r="2472" spans="1:15" ht="15" customHeight="1" x14ac:dyDescent="0.25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</row>
    <row r="2473" spans="1:15" ht="15" customHeight="1" x14ac:dyDescent="0.25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</row>
    <row r="2474" spans="1:15" ht="15" customHeight="1" x14ac:dyDescent="0.25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</row>
    <row r="2475" spans="1:15" ht="15" customHeight="1" x14ac:dyDescent="0.25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</row>
    <row r="2476" spans="1:15" ht="15" customHeight="1" x14ac:dyDescent="0.25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</row>
    <row r="2477" spans="1:15" ht="15" customHeight="1" x14ac:dyDescent="0.25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</row>
    <row r="2478" spans="1:15" ht="15" customHeight="1" x14ac:dyDescent="0.25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</row>
    <row r="2479" spans="1:15" ht="15" customHeight="1" x14ac:dyDescent="0.25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</row>
    <row r="2480" spans="1:15" ht="15" customHeight="1" x14ac:dyDescent="0.25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</row>
    <row r="2481" spans="1:15" ht="15" customHeight="1" x14ac:dyDescent="0.25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</row>
    <row r="2482" spans="1:15" ht="15" customHeight="1" x14ac:dyDescent="0.25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</row>
    <row r="2483" spans="1:15" ht="15" customHeight="1" x14ac:dyDescent="0.25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</row>
    <row r="2484" spans="1:15" ht="15" customHeight="1" x14ac:dyDescent="0.25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</row>
    <row r="2485" spans="1:15" ht="15" customHeight="1" x14ac:dyDescent="0.25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</row>
    <row r="2486" spans="1:15" ht="15" customHeight="1" x14ac:dyDescent="0.25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</row>
    <row r="2487" spans="1:15" ht="15" customHeight="1" x14ac:dyDescent="0.25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</row>
    <row r="2488" spans="1:15" ht="15" customHeight="1" x14ac:dyDescent="0.25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</row>
    <row r="2489" spans="1:15" ht="15" customHeight="1" x14ac:dyDescent="0.25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</row>
    <row r="2490" spans="1:15" ht="15" customHeight="1" x14ac:dyDescent="0.25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</row>
    <row r="2491" spans="1:15" ht="15" customHeight="1" x14ac:dyDescent="0.25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</row>
    <row r="2492" spans="1:15" ht="15" customHeight="1" x14ac:dyDescent="0.25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</row>
    <row r="2493" spans="1:15" ht="15" customHeight="1" x14ac:dyDescent="0.25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</row>
    <row r="2494" spans="1:15" ht="15" customHeight="1" x14ac:dyDescent="0.25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</row>
    <row r="2495" spans="1:15" ht="15" customHeight="1" x14ac:dyDescent="0.25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</row>
    <row r="2496" spans="1:15" ht="15" customHeight="1" x14ac:dyDescent="0.25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</row>
    <row r="2497" spans="1:15" ht="15" customHeight="1" x14ac:dyDescent="0.25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</row>
    <row r="2498" spans="1:15" ht="15" customHeight="1" x14ac:dyDescent="0.25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</row>
    <row r="2499" spans="1:15" ht="15" customHeight="1" x14ac:dyDescent="0.25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</row>
    <row r="2500" spans="1:15" ht="15" customHeight="1" x14ac:dyDescent="0.25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</row>
    <row r="2501" spans="1:15" ht="15" customHeight="1" x14ac:dyDescent="0.25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</row>
    <row r="2502" spans="1:15" ht="15" customHeight="1" x14ac:dyDescent="0.25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</row>
    <row r="2503" spans="1:15" ht="15" customHeight="1" x14ac:dyDescent="0.25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</row>
    <row r="2504" spans="1:15" ht="15" customHeight="1" x14ac:dyDescent="0.25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</row>
    <row r="2505" spans="1:15" ht="15" customHeight="1" x14ac:dyDescent="0.25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</row>
    <row r="2506" spans="1:15" ht="15" customHeight="1" x14ac:dyDescent="0.25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</row>
    <row r="2507" spans="1:15" ht="15" customHeight="1" x14ac:dyDescent="0.25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</row>
    <row r="2508" spans="1:15" ht="15" customHeight="1" x14ac:dyDescent="0.25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</row>
    <row r="2509" spans="1:15" ht="15" customHeight="1" x14ac:dyDescent="0.25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</row>
    <row r="2510" spans="1:15" ht="15" customHeight="1" x14ac:dyDescent="0.25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</row>
    <row r="2511" spans="1:15" ht="15" customHeight="1" x14ac:dyDescent="0.25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</row>
    <row r="2512" spans="1:15" ht="15" customHeight="1" x14ac:dyDescent="0.25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</row>
    <row r="2513" spans="1:15" ht="15" customHeight="1" x14ac:dyDescent="0.25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</row>
    <row r="2514" spans="1:15" ht="15" customHeight="1" x14ac:dyDescent="0.25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</row>
    <row r="2515" spans="1:15" ht="15" customHeight="1" x14ac:dyDescent="0.25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</row>
    <row r="2516" spans="1:15" ht="15" customHeight="1" x14ac:dyDescent="0.25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</row>
    <row r="2517" spans="1:15" ht="15" customHeight="1" x14ac:dyDescent="0.25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</row>
    <row r="2518" spans="1:15" ht="15" customHeight="1" x14ac:dyDescent="0.25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</row>
    <row r="2519" spans="1:15" ht="15" customHeight="1" x14ac:dyDescent="0.25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</row>
    <row r="2520" spans="1:15" ht="15" customHeight="1" x14ac:dyDescent="0.25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</row>
    <row r="2521" spans="1:15" ht="15" customHeight="1" x14ac:dyDescent="0.25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</row>
    <row r="2522" spans="1:15" ht="15" customHeight="1" x14ac:dyDescent="0.25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</row>
    <row r="2523" spans="1:15" ht="15" customHeight="1" x14ac:dyDescent="0.25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</row>
    <row r="2524" spans="1:15" ht="15" customHeight="1" x14ac:dyDescent="0.25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</row>
    <row r="2525" spans="1:15" ht="15" customHeight="1" x14ac:dyDescent="0.25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</row>
    <row r="2526" spans="1:15" ht="15" customHeight="1" x14ac:dyDescent="0.25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</row>
    <row r="2527" spans="1:15" ht="15" customHeight="1" x14ac:dyDescent="0.25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</row>
    <row r="2528" spans="1:15" ht="15" customHeight="1" x14ac:dyDescent="0.25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</row>
    <row r="2529" spans="1:15" ht="15" customHeight="1" x14ac:dyDescent="0.25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</row>
    <row r="2530" spans="1:15" ht="15" customHeight="1" x14ac:dyDescent="0.25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</row>
    <row r="2531" spans="1:15" ht="15" customHeight="1" x14ac:dyDescent="0.25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</row>
    <row r="2532" spans="1:15" ht="15" customHeight="1" x14ac:dyDescent="0.25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</row>
    <row r="2533" spans="1:15" ht="15" customHeight="1" x14ac:dyDescent="0.25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</row>
    <row r="2534" spans="1:15" ht="15" customHeight="1" x14ac:dyDescent="0.25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</row>
    <row r="2535" spans="1:15" ht="15" customHeight="1" x14ac:dyDescent="0.25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</row>
    <row r="2536" spans="1:15" ht="15" customHeight="1" x14ac:dyDescent="0.25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</row>
    <row r="2537" spans="1:15" ht="15" customHeight="1" x14ac:dyDescent="0.25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</row>
    <row r="2538" spans="1:15" ht="15" customHeight="1" x14ac:dyDescent="0.25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</row>
    <row r="2539" spans="1:15" ht="15" customHeight="1" x14ac:dyDescent="0.25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</row>
    <row r="2540" spans="1:15" ht="15" customHeight="1" x14ac:dyDescent="0.25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</row>
    <row r="2541" spans="1:15" ht="15" customHeight="1" x14ac:dyDescent="0.25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</row>
    <row r="2542" spans="1:15" ht="15" customHeight="1" x14ac:dyDescent="0.25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</row>
    <row r="2543" spans="1:15" ht="15" customHeight="1" x14ac:dyDescent="0.25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</row>
    <row r="2544" spans="1:15" ht="15" customHeight="1" x14ac:dyDescent="0.25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</row>
    <row r="2545" spans="1:15" ht="15" customHeight="1" x14ac:dyDescent="0.25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</row>
    <row r="2546" spans="1:15" ht="15" customHeight="1" x14ac:dyDescent="0.25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</row>
    <row r="2547" spans="1:15" ht="15" customHeight="1" x14ac:dyDescent="0.25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</row>
    <row r="2548" spans="1:15" ht="15" customHeight="1" x14ac:dyDescent="0.25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</row>
    <row r="2549" spans="1:15" ht="15" customHeight="1" x14ac:dyDescent="0.25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</row>
    <row r="2550" spans="1:15" ht="15" customHeight="1" x14ac:dyDescent="0.25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</row>
    <row r="2551" spans="1:15" ht="15" customHeight="1" x14ac:dyDescent="0.25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</row>
    <row r="2552" spans="1:15" ht="15" customHeight="1" x14ac:dyDescent="0.25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</row>
    <row r="2553" spans="1:15" ht="15" customHeight="1" x14ac:dyDescent="0.25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</row>
    <row r="2554" spans="1:15" ht="15" customHeight="1" x14ac:dyDescent="0.25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</row>
    <row r="2555" spans="1:15" ht="15" customHeight="1" x14ac:dyDescent="0.25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</row>
    <row r="2556" spans="1:15" ht="15" customHeight="1" x14ac:dyDescent="0.25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</row>
    <row r="2557" spans="1:15" ht="15" customHeight="1" x14ac:dyDescent="0.25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</row>
    <row r="2558" spans="1:15" ht="15" customHeight="1" x14ac:dyDescent="0.25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</row>
    <row r="2559" spans="1:15" ht="15" customHeight="1" x14ac:dyDescent="0.25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</row>
    <row r="2560" spans="1:15" ht="15" customHeight="1" x14ac:dyDescent="0.25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</row>
    <row r="2561" spans="1:15" ht="15" customHeight="1" x14ac:dyDescent="0.25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</row>
    <row r="2562" spans="1:15" ht="15" customHeight="1" x14ac:dyDescent="0.25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</row>
    <row r="2563" spans="1:15" ht="15" customHeight="1" x14ac:dyDescent="0.25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</row>
    <row r="2564" spans="1:15" ht="15" customHeight="1" x14ac:dyDescent="0.25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</row>
    <row r="2565" spans="1:15" ht="15" customHeight="1" x14ac:dyDescent="0.25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</row>
    <row r="2566" spans="1:15" ht="15" customHeight="1" x14ac:dyDescent="0.25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</row>
    <row r="2567" spans="1:15" ht="15" customHeight="1" x14ac:dyDescent="0.25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</row>
    <row r="2568" spans="1:15" ht="15" customHeight="1" x14ac:dyDescent="0.25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</row>
    <row r="2569" spans="1:15" ht="15" customHeight="1" x14ac:dyDescent="0.25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</row>
    <row r="2570" spans="1:15" ht="15" customHeight="1" x14ac:dyDescent="0.25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</row>
    <row r="2571" spans="1:15" ht="15" customHeight="1" x14ac:dyDescent="0.25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</row>
    <row r="2572" spans="1:15" ht="15" customHeight="1" x14ac:dyDescent="0.25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</row>
    <row r="2573" spans="1:15" ht="15" customHeight="1" x14ac:dyDescent="0.25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</row>
    <row r="2574" spans="1:15" ht="15" customHeight="1" x14ac:dyDescent="0.25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</row>
    <row r="2575" spans="1:15" ht="15" customHeight="1" x14ac:dyDescent="0.25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</row>
    <row r="2576" spans="1:15" ht="15" customHeight="1" x14ac:dyDescent="0.25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</row>
    <row r="2577" spans="1:15" ht="15" customHeight="1" x14ac:dyDescent="0.25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</row>
    <row r="2578" spans="1:15" ht="15" customHeight="1" x14ac:dyDescent="0.25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</row>
    <row r="2579" spans="1:15" ht="15" customHeight="1" x14ac:dyDescent="0.25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</row>
    <row r="2580" spans="1:15" ht="15" customHeight="1" x14ac:dyDescent="0.25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</row>
    <row r="2581" spans="1:15" ht="15" customHeight="1" x14ac:dyDescent="0.25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</row>
    <row r="2582" spans="1:15" ht="15" customHeight="1" x14ac:dyDescent="0.25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</row>
    <row r="2583" spans="1:15" ht="15" customHeight="1" x14ac:dyDescent="0.25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</row>
    <row r="2584" spans="1:15" ht="15" customHeight="1" x14ac:dyDescent="0.25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</row>
    <row r="2585" spans="1:15" ht="15" customHeight="1" x14ac:dyDescent="0.25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</row>
    <row r="2586" spans="1:15" ht="15" customHeight="1" x14ac:dyDescent="0.25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</row>
    <row r="2587" spans="1:15" ht="15" customHeight="1" x14ac:dyDescent="0.25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</row>
    <row r="2588" spans="1:15" ht="15" customHeight="1" x14ac:dyDescent="0.25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</row>
    <row r="2589" spans="1:15" ht="15" customHeight="1" x14ac:dyDescent="0.25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</row>
    <row r="2590" spans="1:15" ht="15" customHeight="1" x14ac:dyDescent="0.25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</row>
    <row r="2591" spans="1:15" ht="15" customHeight="1" x14ac:dyDescent="0.25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</row>
    <row r="2592" spans="1:15" ht="15" customHeight="1" x14ac:dyDescent="0.25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</row>
    <row r="2593" spans="1:15" ht="15" customHeight="1" x14ac:dyDescent="0.25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</row>
    <row r="2594" spans="1:15" ht="15" customHeight="1" x14ac:dyDescent="0.25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</row>
    <row r="2595" spans="1:15" ht="15" customHeight="1" x14ac:dyDescent="0.25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</row>
    <row r="2596" spans="1:15" ht="15" customHeight="1" x14ac:dyDescent="0.25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</row>
    <row r="2597" spans="1:15" ht="15" customHeight="1" x14ac:dyDescent="0.25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</row>
    <row r="2598" spans="1:15" ht="15" customHeight="1" x14ac:dyDescent="0.25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</row>
    <row r="2599" spans="1:15" ht="15" customHeight="1" x14ac:dyDescent="0.25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</row>
    <row r="2600" spans="1:15" ht="15" customHeight="1" x14ac:dyDescent="0.25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</row>
    <row r="2601" spans="1:15" ht="15" customHeight="1" x14ac:dyDescent="0.25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</row>
    <row r="2602" spans="1:15" ht="15" customHeight="1" x14ac:dyDescent="0.25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</row>
    <row r="2603" spans="1:15" ht="15" customHeight="1" x14ac:dyDescent="0.25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</row>
    <row r="2604" spans="1:15" ht="15" customHeight="1" x14ac:dyDescent="0.25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</row>
    <row r="2605" spans="1:15" ht="15" customHeight="1" x14ac:dyDescent="0.25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</row>
    <row r="2606" spans="1:15" ht="15" customHeight="1" x14ac:dyDescent="0.25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</row>
    <row r="2607" spans="1:15" ht="15" customHeight="1" x14ac:dyDescent="0.25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</row>
    <row r="2608" spans="1:15" ht="15" customHeight="1" x14ac:dyDescent="0.25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</row>
    <row r="2609" spans="1:15" ht="15" customHeight="1" x14ac:dyDescent="0.25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</row>
    <row r="2610" spans="1:15" ht="15" customHeight="1" x14ac:dyDescent="0.25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</row>
    <row r="2611" spans="1:15" ht="15" customHeight="1" x14ac:dyDescent="0.25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</row>
    <row r="2612" spans="1:15" ht="15" customHeight="1" x14ac:dyDescent="0.25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</row>
    <row r="2613" spans="1:15" ht="15" customHeight="1" x14ac:dyDescent="0.25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</row>
    <row r="2614" spans="1:15" ht="15" customHeight="1" x14ac:dyDescent="0.25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</row>
    <row r="2615" spans="1:15" ht="15" customHeight="1" x14ac:dyDescent="0.25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</row>
    <row r="2616" spans="1:15" ht="15" customHeight="1" x14ac:dyDescent="0.25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</row>
    <row r="2617" spans="1:15" ht="15" customHeight="1" x14ac:dyDescent="0.25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</row>
    <row r="2618" spans="1:15" ht="15" customHeight="1" x14ac:dyDescent="0.25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</row>
    <row r="2619" spans="1:15" ht="15" customHeight="1" x14ac:dyDescent="0.25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</row>
    <row r="2620" spans="1:15" ht="15" customHeight="1" x14ac:dyDescent="0.25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</row>
    <row r="2621" spans="1:15" ht="15" customHeight="1" x14ac:dyDescent="0.25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</row>
    <row r="2622" spans="1:15" ht="15" customHeight="1" x14ac:dyDescent="0.25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</row>
    <row r="2623" spans="1:15" ht="15" customHeight="1" x14ac:dyDescent="0.25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</row>
    <row r="2624" spans="1:15" ht="15" customHeight="1" x14ac:dyDescent="0.25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</row>
    <row r="2625" spans="1:15" ht="15" customHeight="1" x14ac:dyDescent="0.25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</row>
    <row r="2626" spans="1:15" ht="15" customHeight="1" x14ac:dyDescent="0.25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</row>
    <row r="2627" spans="1:15" ht="15" customHeight="1" x14ac:dyDescent="0.25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</row>
    <row r="2628" spans="1:15" ht="15" customHeight="1" x14ac:dyDescent="0.25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</row>
    <row r="2629" spans="1:15" ht="15" customHeight="1" x14ac:dyDescent="0.25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</row>
    <row r="2630" spans="1:15" ht="15" customHeight="1" x14ac:dyDescent="0.25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</row>
    <row r="2631" spans="1:15" ht="15" customHeight="1" x14ac:dyDescent="0.25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</row>
    <row r="2632" spans="1:15" ht="15" customHeight="1" x14ac:dyDescent="0.25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</row>
    <row r="2633" spans="1:15" ht="15" customHeight="1" x14ac:dyDescent="0.25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</row>
    <row r="2634" spans="1:15" ht="15" customHeight="1" x14ac:dyDescent="0.25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</row>
    <row r="2635" spans="1:15" ht="15" customHeight="1" x14ac:dyDescent="0.25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</row>
    <row r="2636" spans="1:15" ht="15" customHeight="1" x14ac:dyDescent="0.25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</row>
    <row r="2637" spans="1:15" ht="15" customHeight="1" x14ac:dyDescent="0.25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</row>
    <row r="2638" spans="1:15" ht="15" customHeight="1" x14ac:dyDescent="0.25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</row>
    <row r="2639" spans="1:15" ht="15" customHeight="1" x14ac:dyDescent="0.25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</row>
    <row r="2640" spans="1:15" ht="15" customHeight="1" x14ac:dyDescent="0.25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</row>
    <row r="2641" spans="1:15" ht="15" customHeight="1" x14ac:dyDescent="0.25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</row>
    <row r="2642" spans="1:15" ht="15" customHeight="1" x14ac:dyDescent="0.25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</row>
    <row r="2643" spans="1:15" ht="15" customHeight="1" x14ac:dyDescent="0.25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</row>
    <row r="2644" spans="1:15" ht="15" customHeight="1" x14ac:dyDescent="0.25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</row>
    <row r="2645" spans="1:15" ht="15" customHeight="1" x14ac:dyDescent="0.25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</row>
    <row r="2646" spans="1:15" ht="15" customHeight="1" x14ac:dyDescent="0.25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</row>
    <row r="2647" spans="1:15" ht="15" customHeight="1" x14ac:dyDescent="0.25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</row>
    <row r="2648" spans="1:15" ht="15" customHeight="1" x14ac:dyDescent="0.25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</row>
    <row r="2649" spans="1:15" ht="15" customHeight="1" x14ac:dyDescent="0.25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</row>
    <row r="2650" spans="1:15" ht="15" customHeight="1" x14ac:dyDescent="0.25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</row>
    <row r="2651" spans="1:15" ht="15" customHeight="1" x14ac:dyDescent="0.25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</row>
    <row r="2652" spans="1:15" ht="15" customHeight="1" x14ac:dyDescent="0.25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</row>
    <row r="2653" spans="1:15" ht="15" customHeight="1" x14ac:dyDescent="0.25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</row>
    <row r="2654" spans="1:15" ht="15" customHeight="1" x14ac:dyDescent="0.25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</row>
    <row r="2655" spans="1:15" ht="15" customHeight="1" x14ac:dyDescent="0.25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</row>
    <row r="2656" spans="1:15" ht="15" customHeight="1" x14ac:dyDescent="0.25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</row>
    <row r="2657" spans="1:15" ht="15" customHeight="1" x14ac:dyDescent="0.25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</row>
    <row r="2658" spans="1:15" ht="15" customHeight="1" x14ac:dyDescent="0.25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</row>
    <row r="2659" spans="1:15" ht="15" customHeight="1" x14ac:dyDescent="0.25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</row>
    <row r="2660" spans="1:15" ht="15" customHeight="1" x14ac:dyDescent="0.25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</row>
    <row r="2661" spans="1:15" ht="15" customHeight="1" x14ac:dyDescent="0.25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</row>
    <row r="2662" spans="1:15" ht="15" customHeight="1" x14ac:dyDescent="0.25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</row>
    <row r="2663" spans="1:15" ht="15" customHeight="1" x14ac:dyDescent="0.25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</row>
    <row r="2664" spans="1:15" ht="15" customHeight="1" x14ac:dyDescent="0.25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</row>
    <row r="2665" spans="1:15" ht="15" customHeight="1" x14ac:dyDescent="0.25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</row>
    <row r="2666" spans="1:15" ht="15" customHeight="1" x14ac:dyDescent="0.25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</row>
    <row r="2667" spans="1:15" ht="15" customHeight="1" x14ac:dyDescent="0.25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</row>
    <row r="2668" spans="1:15" ht="15" customHeight="1" x14ac:dyDescent="0.25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</row>
    <row r="2669" spans="1:15" ht="15" customHeight="1" x14ac:dyDescent="0.25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</row>
    <row r="2670" spans="1:15" ht="15" customHeight="1" x14ac:dyDescent="0.25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</row>
    <row r="2671" spans="1:15" ht="15" customHeight="1" x14ac:dyDescent="0.25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</row>
    <row r="2672" spans="1:15" ht="15" customHeight="1" x14ac:dyDescent="0.25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</row>
    <row r="2673" spans="1:15" ht="15" customHeight="1" x14ac:dyDescent="0.25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</row>
    <row r="2674" spans="1:15" ht="15" customHeight="1" x14ac:dyDescent="0.25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</row>
    <row r="2675" spans="1:15" ht="15" customHeight="1" x14ac:dyDescent="0.25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</row>
    <row r="2676" spans="1:15" ht="15" customHeight="1" x14ac:dyDescent="0.25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</row>
    <row r="2677" spans="1:15" ht="15" customHeight="1" x14ac:dyDescent="0.25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</row>
    <row r="2678" spans="1:15" ht="15" customHeight="1" x14ac:dyDescent="0.25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</row>
    <row r="2679" spans="1:15" ht="15" customHeight="1" x14ac:dyDescent="0.25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</row>
    <row r="2680" spans="1:15" ht="15" customHeight="1" x14ac:dyDescent="0.25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</row>
    <row r="2681" spans="1:15" ht="15" customHeight="1" x14ac:dyDescent="0.25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</row>
    <row r="2682" spans="1:15" ht="15" customHeight="1" x14ac:dyDescent="0.25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</row>
    <row r="2683" spans="1:15" ht="15" customHeight="1" x14ac:dyDescent="0.25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</row>
    <row r="2684" spans="1:15" ht="15" customHeight="1" x14ac:dyDescent="0.25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</row>
    <row r="2685" spans="1:15" ht="15" customHeight="1" x14ac:dyDescent="0.25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</row>
    <row r="2686" spans="1:15" ht="15" customHeight="1" x14ac:dyDescent="0.25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</row>
    <row r="2687" spans="1:15" ht="15" customHeight="1" x14ac:dyDescent="0.25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</row>
    <row r="2688" spans="1:15" ht="15" customHeight="1" x14ac:dyDescent="0.25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</row>
    <row r="2689" spans="1:15" ht="15" customHeight="1" x14ac:dyDescent="0.25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</row>
    <row r="2690" spans="1:15" ht="15" customHeight="1" x14ac:dyDescent="0.25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</row>
    <row r="2691" spans="1:15" ht="15" customHeight="1" x14ac:dyDescent="0.25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</row>
    <row r="2692" spans="1:15" ht="15" customHeight="1" x14ac:dyDescent="0.25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</row>
    <row r="2693" spans="1:15" ht="15" customHeight="1" x14ac:dyDescent="0.25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</row>
    <row r="2694" spans="1:15" ht="15" customHeight="1" x14ac:dyDescent="0.25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</row>
    <row r="2695" spans="1:15" ht="15" customHeight="1" x14ac:dyDescent="0.25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</row>
    <row r="2696" spans="1:15" ht="15" customHeight="1" x14ac:dyDescent="0.25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</row>
    <row r="2697" spans="1:15" ht="15" customHeight="1" x14ac:dyDescent="0.25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</row>
    <row r="2698" spans="1:15" ht="15" customHeight="1" x14ac:dyDescent="0.25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</row>
    <row r="2699" spans="1:15" ht="15" customHeight="1" x14ac:dyDescent="0.25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</row>
    <row r="2700" spans="1:15" ht="15" customHeight="1" x14ac:dyDescent="0.25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</row>
    <row r="2701" spans="1:15" ht="15" customHeight="1" x14ac:dyDescent="0.25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</row>
    <row r="2702" spans="1:15" ht="15" customHeight="1" x14ac:dyDescent="0.25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</row>
    <row r="2703" spans="1:15" ht="15" customHeight="1" x14ac:dyDescent="0.25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</row>
    <row r="2704" spans="1:15" ht="15" customHeight="1" x14ac:dyDescent="0.25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</row>
    <row r="2705" spans="1:15" ht="15" customHeight="1" x14ac:dyDescent="0.25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</row>
    <row r="2706" spans="1:15" ht="15" customHeight="1" x14ac:dyDescent="0.25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</row>
    <row r="2707" spans="1:15" ht="15" customHeight="1" x14ac:dyDescent="0.25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</row>
    <row r="2708" spans="1:15" ht="15" customHeight="1" x14ac:dyDescent="0.25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</row>
    <row r="2709" spans="1:15" ht="15" customHeight="1" x14ac:dyDescent="0.25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</row>
    <row r="2710" spans="1:15" ht="15" customHeight="1" x14ac:dyDescent="0.25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</row>
    <row r="2711" spans="1:15" ht="15" customHeight="1" x14ac:dyDescent="0.25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</row>
    <row r="2712" spans="1:15" ht="15" customHeight="1" x14ac:dyDescent="0.25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</row>
    <row r="2713" spans="1:15" ht="15" customHeight="1" x14ac:dyDescent="0.25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</row>
    <row r="2714" spans="1:15" ht="15" customHeight="1" x14ac:dyDescent="0.25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</row>
    <row r="2715" spans="1:15" ht="15" customHeight="1" x14ac:dyDescent="0.2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</row>
    <row r="2716" spans="1:15" ht="15" customHeight="1" x14ac:dyDescent="0.25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</row>
    <row r="2717" spans="1:15" ht="15" customHeight="1" x14ac:dyDescent="0.25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</row>
    <row r="2718" spans="1:15" ht="15" customHeight="1" x14ac:dyDescent="0.25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</row>
    <row r="2719" spans="1:15" ht="15" customHeight="1" x14ac:dyDescent="0.25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</row>
    <row r="2720" spans="1:15" ht="15" customHeight="1" x14ac:dyDescent="0.25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</row>
    <row r="2721" spans="1:15" ht="15" customHeight="1" x14ac:dyDescent="0.25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</row>
    <row r="2722" spans="1:15" ht="15" customHeight="1" x14ac:dyDescent="0.25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</row>
    <row r="2723" spans="1:15" ht="15" customHeight="1" x14ac:dyDescent="0.25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</row>
    <row r="2724" spans="1:15" ht="15" customHeight="1" x14ac:dyDescent="0.25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</row>
    <row r="2725" spans="1:15" ht="15" customHeight="1" x14ac:dyDescent="0.25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</row>
    <row r="2726" spans="1:15" ht="15" customHeight="1" x14ac:dyDescent="0.25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</row>
    <row r="2727" spans="1:15" ht="15" customHeight="1" x14ac:dyDescent="0.25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</row>
    <row r="2728" spans="1:15" ht="15" customHeight="1" x14ac:dyDescent="0.25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</row>
    <row r="2729" spans="1:15" ht="15" customHeight="1" x14ac:dyDescent="0.25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</row>
    <row r="2730" spans="1:15" ht="15" customHeight="1" x14ac:dyDescent="0.25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</row>
    <row r="2731" spans="1:15" ht="15" customHeight="1" x14ac:dyDescent="0.25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</row>
    <row r="2732" spans="1:15" ht="15" customHeight="1" x14ac:dyDescent="0.25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</row>
    <row r="2733" spans="1:15" ht="15" customHeight="1" x14ac:dyDescent="0.25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</row>
    <row r="2734" spans="1:15" ht="15" customHeight="1" x14ac:dyDescent="0.25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</row>
    <row r="2735" spans="1:15" ht="15" customHeight="1" x14ac:dyDescent="0.25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</row>
    <row r="2736" spans="1:15" ht="15" customHeight="1" x14ac:dyDescent="0.25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</row>
    <row r="2737" spans="1:15" ht="15" customHeight="1" x14ac:dyDescent="0.25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</row>
    <row r="2738" spans="1:15" ht="15" customHeight="1" x14ac:dyDescent="0.25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</row>
    <row r="2739" spans="1:15" ht="15" customHeight="1" x14ac:dyDescent="0.25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</row>
    <row r="2740" spans="1:15" ht="15" customHeight="1" x14ac:dyDescent="0.25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</row>
    <row r="2741" spans="1:15" ht="15" customHeight="1" x14ac:dyDescent="0.25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</row>
    <row r="2742" spans="1:15" ht="15" customHeight="1" x14ac:dyDescent="0.25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</row>
    <row r="2743" spans="1:15" ht="15" customHeight="1" x14ac:dyDescent="0.25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</row>
    <row r="2744" spans="1:15" ht="15" customHeight="1" x14ac:dyDescent="0.25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</row>
    <row r="2745" spans="1:15" ht="15" customHeight="1" x14ac:dyDescent="0.25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</row>
    <row r="2746" spans="1:15" ht="15" customHeight="1" x14ac:dyDescent="0.25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</row>
    <row r="2747" spans="1:15" ht="15" customHeight="1" x14ac:dyDescent="0.25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</row>
    <row r="2748" spans="1:15" ht="15" customHeight="1" x14ac:dyDescent="0.25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</row>
    <row r="2749" spans="1:15" ht="15" customHeight="1" x14ac:dyDescent="0.25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</row>
    <row r="2750" spans="1:15" ht="15" customHeight="1" x14ac:dyDescent="0.25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</row>
    <row r="2751" spans="1:15" ht="15" customHeight="1" x14ac:dyDescent="0.25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</row>
    <row r="2752" spans="1:15" ht="15" customHeight="1" x14ac:dyDescent="0.25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</row>
    <row r="2753" spans="1:15" ht="15" customHeight="1" x14ac:dyDescent="0.25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</row>
    <row r="2754" spans="1:15" ht="15" customHeight="1" x14ac:dyDescent="0.25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</row>
    <row r="2755" spans="1:15" ht="15" customHeight="1" x14ac:dyDescent="0.25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</row>
    <row r="2756" spans="1:15" ht="15" customHeight="1" x14ac:dyDescent="0.25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</row>
    <row r="2757" spans="1:15" ht="15" customHeight="1" x14ac:dyDescent="0.25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</row>
    <row r="2758" spans="1:15" ht="15" customHeight="1" x14ac:dyDescent="0.25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</row>
    <row r="2759" spans="1:15" ht="15" customHeight="1" x14ac:dyDescent="0.25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</row>
    <row r="2760" spans="1:15" ht="15" customHeight="1" x14ac:dyDescent="0.25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</row>
    <row r="2761" spans="1:15" ht="15" customHeight="1" x14ac:dyDescent="0.25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</row>
    <row r="2762" spans="1:15" ht="15" customHeight="1" x14ac:dyDescent="0.25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</row>
    <row r="2763" spans="1:15" ht="15" customHeight="1" x14ac:dyDescent="0.25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</row>
    <row r="2764" spans="1:15" ht="15" customHeight="1" x14ac:dyDescent="0.25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</row>
    <row r="2765" spans="1:15" ht="15" customHeight="1" x14ac:dyDescent="0.25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</row>
    <row r="2766" spans="1:15" ht="15" customHeight="1" x14ac:dyDescent="0.25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</row>
    <row r="2767" spans="1:15" ht="15" customHeight="1" x14ac:dyDescent="0.25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</row>
    <row r="2768" spans="1:15" ht="15" customHeight="1" x14ac:dyDescent="0.25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</row>
    <row r="2769" spans="1:15" ht="15" customHeight="1" x14ac:dyDescent="0.25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</row>
    <row r="2770" spans="1:15" ht="15" customHeight="1" x14ac:dyDescent="0.25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</row>
    <row r="2771" spans="1:15" ht="15" customHeight="1" x14ac:dyDescent="0.25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</row>
    <row r="2772" spans="1:15" ht="15" customHeight="1" x14ac:dyDescent="0.25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</row>
    <row r="2773" spans="1:15" ht="15" customHeight="1" x14ac:dyDescent="0.25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</row>
    <row r="2774" spans="1:15" ht="15" customHeight="1" x14ac:dyDescent="0.25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</row>
    <row r="2775" spans="1:15" ht="15" customHeight="1" x14ac:dyDescent="0.25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</row>
    <row r="2776" spans="1:15" ht="15" customHeight="1" x14ac:dyDescent="0.25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</row>
    <row r="2777" spans="1:15" ht="15" customHeight="1" x14ac:dyDescent="0.25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</row>
    <row r="2778" spans="1:15" ht="15" customHeight="1" x14ac:dyDescent="0.25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</row>
    <row r="2779" spans="1:15" ht="15" customHeight="1" x14ac:dyDescent="0.25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</row>
    <row r="2780" spans="1:15" ht="15" customHeight="1" x14ac:dyDescent="0.25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</row>
    <row r="2781" spans="1:15" ht="15" customHeight="1" x14ac:dyDescent="0.25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</row>
    <row r="2782" spans="1:15" ht="15" customHeight="1" x14ac:dyDescent="0.25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</row>
    <row r="2783" spans="1:15" ht="15" customHeight="1" x14ac:dyDescent="0.25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</row>
    <row r="2784" spans="1:15" ht="15" customHeight="1" x14ac:dyDescent="0.25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</row>
    <row r="2785" spans="1:15" ht="15" customHeight="1" x14ac:dyDescent="0.25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</row>
    <row r="2786" spans="1:15" ht="15" customHeight="1" x14ac:dyDescent="0.25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</row>
    <row r="2787" spans="1:15" ht="15" customHeight="1" x14ac:dyDescent="0.25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</row>
    <row r="2788" spans="1:15" ht="15" customHeight="1" x14ac:dyDescent="0.25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</row>
    <row r="2789" spans="1:15" ht="15" customHeight="1" x14ac:dyDescent="0.25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</row>
    <row r="2790" spans="1:15" ht="15" customHeight="1" x14ac:dyDescent="0.25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</row>
    <row r="2791" spans="1:15" ht="15" customHeight="1" x14ac:dyDescent="0.25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</row>
    <row r="2792" spans="1:15" ht="15" customHeight="1" x14ac:dyDescent="0.25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</row>
    <row r="2793" spans="1:15" ht="15" customHeight="1" x14ac:dyDescent="0.25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</row>
    <row r="2794" spans="1:15" ht="15" customHeight="1" x14ac:dyDescent="0.25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</row>
    <row r="2795" spans="1:15" ht="15" customHeight="1" x14ac:dyDescent="0.25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</row>
    <row r="2796" spans="1:15" ht="15" customHeight="1" x14ac:dyDescent="0.25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</row>
    <row r="2797" spans="1:15" ht="15" customHeight="1" x14ac:dyDescent="0.25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</row>
    <row r="2798" spans="1:15" ht="15" customHeight="1" x14ac:dyDescent="0.25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</row>
    <row r="2799" spans="1:15" ht="15" customHeight="1" x14ac:dyDescent="0.25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</row>
    <row r="2800" spans="1:15" ht="15" customHeight="1" x14ac:dyDescent="0.25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</row>
    <row r="2801" spans="1:15" ht="15" customHeight="1" x14ac:dyDescent="0.25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</row>
    <row r="2802" spans="1:15" ht="15" customHeight="1" x14ac:dyDescent="0.25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</row>
    <row r="2803" spans="1:15" ht="15" customHeight="1" x14ac:dyDescent="0.25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</row>
    <row r="2804" spans="1:15" ht="15" customHeight="1" x14ac:dyDescent="0.25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</row>
    <row r="2805" spans="1:15" ht="15" customHeight="1" x14ac:dyDescent="0.25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</row>
    <row r="2806" spans="1:15" ht="15" customHeight="1" x14ac:dyDescent="0.25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</row>
    <row r="2807" spans="1:15" ht="15" customHeight="1" x14ac:dyDescent="0.25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</row>
    <row r="2808" spans="1:15" ht="15" customHeight="1" x14ac:dyDescent="0.25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</row>
    <row r="2809" spans="1:15" ht="15" customHeight="1" x14ac:dyDescent="0.25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</row>
    <row r="2810" spans="1:15" ht="15" customHeight="1" x14ac:dyDescent="0.25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</row>
    <row r="2811" spans="1:15" ht="15" customHeight="1" x14ac:dyDescent="0.25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</row>
    <row r="2812" spans="1:15" ht="15" customHeight="1" x14ac:dyDescent="0.25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</row>
    <row r="2813" spans="1:15" ht="15" customHeight="1" x14ac:dyDescent="0.25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</row>
    <row r="2814" spans="1:15" ht="15" customHeight="1" x14ac:dyDescent="0.25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</row>
    <row r="2815" spans="1:15" ht="15" customHeight="1" x14ac:dyDescent="0.25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</row>
    <row r="2816" spans="1:15" ht="15" customHeight="1" x14ac:dyDescent="0.25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</row>
    <row r="2817" spans="1:15" ht="15" customHeight="1" x14ac:dyDescent="0.25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</row>
    <row r="2818" spans="1:15" ht="15" customHeight="1" x14ac:dyDescent="0.25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</row>
    <row r="2819" spans="1:15" ht="15" customHeight="1" x14ac:dyDescent="0.25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</row>
    <row r="2820" spans="1:15" ht="15" customHeight="1" x14ac:dyDescent="0.25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</row>
    <row r="2821" spans="1:15" ht="15" customHeight="1" x14ac:dyDescent="0.25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</row>
    <row r="2822" spans="1:15" ht="15" customHeight="1" x14ac:dyDescent="0.25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</row>
    <row r="2823" spans="1:15" ht="15" customHeight="1" x14ac:dyDescent="0.25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</row>
    <row r="2824" spans="1:15" ht="15" customHeight="1" x14ac:dyDescent="0.25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</row>
    <row r="2825" spans="1:15" ht="15" customHeight="1" x14ac:dyDescent="0.25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</row>
    <row r="2826" spans="1:15" ht="15" customHeight="1" x14ac:dyDescent="0.25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</row>
    <row r="2827" spans="1:15" ht="15" customHeight="1" x14ac:dyDescent="0.25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</row>
    <row r="2828" spans="1:15" ht="15" customHeight="1" x14ac:dyDescent="0.25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</row>
    <row r="2829" spans="1:15" ht="15" customHeight="1" x14ac:dyDescent="0.25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</row>
    <row r="2830" spans="1:15" ht="15" customHeight="1" x14ac:dyDescent="0.25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</row>
    <row r="2831" spans="1:15" ht="15" customHeight="1" x14ac:dyDescent="0.25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</row>
    <row r="2832" spans="1:15" ht="15" customHeight="1" x14ac:dyDescent="0.25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</row>
    <row r="2833" spans="1:15" ht="15" customHeight="1" x14ac:dyDescent="0.25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</row>
    <row r="2834" spans="1:15" ht="15" customHeight="1" x14ac:dyDescent="0.25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</row>
    <row r="2835" spans="1:15" ht="15" customHeight="1" x14ac:dyDescent="0.25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</row>
    <row r="2836" spans="1:15" ht="15" customHeight="1" x14ac:dyDescent="0.25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</row>
    <row r="2837" spans="1:15" ht="15" customHeight="1" x14ac:dyDescent="0.25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</row>
    <row r="2838" spans="1:15" ht="15" customHeight="1" x14ac:dyDescent="0.25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</row>
    <row r="2839" spans="1:15" ht="15" customHeight="1" x14ac:dyDescent="0.25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</row>
    <row r="2840" spans="1:15" ht="15" customHeight="1" x14ac:dyDescent="0.25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</row>
    <row r="2841" spans="1:15" ht="15" customHeight="1" x14ac:dyDescent="0.25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</row>
    <row r="2842" spans="1:15" ht="15" customHeight="1" x14ac:dyDescent="0.25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</row>
    <row r="2843" spans="1:15" ht="15" customHeight="1" x14ac:dyDescent="0.25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</row>
    <row r="2844" spans="1:15" ht="15" customHeight="1" x14ac:dyDescent="0.25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</row>
    <row r="2845" spans="1:15" ht="15" customHeight="1" x14ac:dyDescent="0.25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</row>
    <row r="2846" spans="1:15" ht="15" customHeight="1" x14ac:dyDescent="0.25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</row>
    <row r="2847" spans="1:15" ht="15" customHeight="1" x14ac:dyDescent="0.25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</row>
    <row r="2848" spans="1:15" ht="15" customHeight="1" x14ac:dyDescent="0.25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</row>
    <row r="2849" spans="1:15" ht="15" customHeight="1" x14ac:dyDescent="0.25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</row>
    <row r="2850" spans="1:15" ht="15" customHeight="1" x14ac:dyDescent="0.25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</row>
    <row r="2851" spans="1:15" ht="15" customHeight="1" x14ac:dyDescent="0.25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</row>
    <row r="2852" spans="1:15" ht="15" customHeight="1" x14ac:dyDescent="0.25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</row>
    <row r="2853" spans="1:15" ht="15" customHeight="1" x14ac:dyDescent="0.25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</row>
    <row r="2854" spans="1:15" ht="15" customHeight="1" x14ac:dyDescent="0.25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</row>
    <row r="2855" spans="1:15" ht="15" customHeight="1" x14ac:dyDescent="0.25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</row>
    <row r="2856" spans="1:15" ht="15" customHeight="1" x14ac:dyDescent="0.25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</row>
    <row r="2857" spans="1:15" ht="15" customHeight="1" x14ac:dyDescent="0.25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</row>
    <row r="2858" spans="1:15" ht="15" customHeight="1" x14ac:dyDescent="0.25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</row>
    <row r="2859" spans="1:15" ht="15" customHeight="1" x14ac:dyDescent="0.25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</row>
    <row r="2860" spans="1:15" ht="15" customHeight="1" x14ac:dyDescent="0.25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</row>
    <row r="2861" spans="1:15" ht="15" customHeight="1" x14ac:dyDescent="0.25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</row>
    <row r="2862" spans="1:15" ht="15" customHeight="1" x14ac:dyDescent="0.25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</row>
    <row r="2863" spans="1:15" ht="15" customHeight="1" x14ac:dyDescent="0.25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</row>
    <row r="2864" spans="1:15" ht="15" customHeight="1" x14ac:dyDescent="0.25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</row>
    <row r="2865" spans="1:15" ht="15" customHeight="1" x14ac:dyDescent="0.25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</row>
    <row r="2866" spans="1:15" ht="15" customHeight="1" x14ac:dyDescent="0.25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</row>
    <row r="2867" spans="1:15" ht="15" customHeight="1" x14ac:dyDescent="0.25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</row>
    <row r="2868" spans="1:15" ht="15" customHeight="1" x14ac:dyDescent="0.25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</row>
    <row r="2869" spans="1:15" ht="15" customHeight="1" x14ac:dyDescent="0.25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</row>
    <row r="2870" spans="1:15" ht="15" customHeight="1" x14ac:dyDescent="0.25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</row>
    <row r="2871" spans="1:15" ht="15" customHeight="1" x14ac:dyDescent="0.25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</row>
    <row r="2872" spans="1:15" ht="15" customHeight="1" x14ac:dyDescent="0.25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</row>
    <row r="2873" spans="1:15" ht="15" customHeight="1" x14ac:dyDescent="0.25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</row>
    <row r="2874" spans="1:15" ht="15" customHeight="1" x14ac:dyDescent="0.25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</row>
    <row r="2875" spans="1:15" ht="15" customHeight="1" x14ac:dyDescent="0.25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</row>
    <row r="2876" spans="1:15" ht="15" customHeight="1" x14ac:dyDescent="0.25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</row>
    <row r="2877" spans="1:15" ht="15" customHeight="1" x14ac:dyDescent="0.25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</row>
    <row r="2878" spans="1:15" ht="15" customHeight="1" x14ac:dyDescent="0.25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</row>
    <row r="2879" spans="1:15" ht="15" customHeight="1" x14ac:dyDescent="0.25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</row>
    <row r="2880" spans="1:15" ht="15" customHeight="1" x14ac:dyDescent="0.25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</row>
    <row r="2881" spans="1:15" ht="15" customHeight="1" x14ac:dyDescent="0.25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</row>
    <row r="2882" spans="1:15" ht="15" customHeight="1" x14ac:dyDescent="0.25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</row>
    <row r="2883" spans="1:15" ht="15" customHeight="1" x14ac:dyDescent="0.25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</row>
    <row r="2884" spans="1:15" ht="15" customHeight="1" x14ac:dyDescent="0.25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</row>
    <row r="2885" spans="1:15" ht="15" customHeight="1" x14ac:dyDescent="0.25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</row>
    <row r="2886" spans="1:15" ht="15" customHeight="1" x14ac:dyDescent="0.25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</row>
    <row r="2887" spans="1:15" ht="15" customHeight="1" x14ac:dyDescent="0.25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</row>
    <row r="2888" spans="1:15" ht="15" customHeight="1" x14ac:dyDescent="0.25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</row>
    <row r="2889" spans="1:15" ht="15" customHeight="1" x14ac:dyDescent="0.25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</row>
    <row r="2890" spans="1:15" ht="15" customHeight="1" x14ac:dyDescent="0.25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</row>
    <row r="2891" spans="1:15" ht="15" customHeight="1" x14ac:dyDescent="0.25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</row>
    <row r="2892" spans="1:15" ht="15" customHeight="1" x14ac:dyDescent="0.25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</row>
    <row r="2893" spans="1:15" ht="15" customHeight="1" x14ac:dyDescent="0.25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</row>
    <row r="2894" spans="1:15" ht="15" customHeight="1" x14ac:dyDescent="0.25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</row>
    <row r="2895" spans="1:15" ht="15" customHeight="1" x14ac:dyDescent="0.25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</row>
    <row r="2896" spans="1:15" ht="15" customHeight="1" x14ac:dyDescent="0.25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</row>
    <row r="2897" spans="1:15" ht="15" customHeight="1" x14ac:dyDescent="0.25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</row>
    <row r="2898" spans="1:15" ht="15" customHeight="1" x14ac:dyDescent="0.25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</row>
    <row r="2899" spans="1:15" ht="15" customHeight="1" x14ac:dyDescent="0.25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</row>
    <row r="2900" spans="1:15" ht="15" customHeight="1" x14ac:dyDescent="0.25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</row>
    <row r="2901" spans="1:15" ht="15" customHeight="1" x14ac:dyDescent="0.25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</row>
    <row r="2902" spans="1:15" ht="15" customHeight="1" x14ac:dyDescent="0.25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</row>
    <row r="2903" spans="1:15" ht="15" customHeight="1" x14ac:dyDescent="0.25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</row>
    <row r="2904" spans="1:15" ht="15" customHeight="1" x14ac:dyDescent="0.25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</row>
    <row r="2905" spans="1:15" ht="15" customHeight="1" x14ac:dyDescent="0.25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</row>
    <row r="2906" spans="1:15" ht="15" customHeight="1" x14ac:dyDescent="0.25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</row>
    <row r="2907" spans="1:15" ht="15" customHeight="1" x14ac:dyDescent="0.25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</row>
    <row r="2908" spans="1:15" ht="15" customHeight="1" x14ac:dyDescent="0.25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</row>
    <row r="2909" spans="1:15" ht="15" customHeight="1" x14ac:dyDescent="0.25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</row>
    <row r="2910" spans="1:15" ht="15" customHeight="1" x14ac:dyDescent="0.25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</row>
    <row r="2911" spans="1:15" ht="15" customHeight="1" x14ac:dyDescent="0.25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</row>
    <row r="2912" spans="1:15" ht="15" customHeight="1" x14ac:dyDescent="0.25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</row>
    <row r="2913" spans="1:15" ht="15" customHeight="1" x14ac:dyDescent="0.25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</row>
    <row r="2914" spans="1:15" ht="15" customHeight="1" x14ac:dyDescent="0.25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</row>
    <row r="2915" spans="1:15" ht="15" customHeight="1" x14ac:dyDescent="0.25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</row>
    <row r="2916" spans="1:15" ht="15" customHeight="1" x14ac:dyDescent="0.25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</row>
    <row r="2917" spans="1:15" ht="15" customHeight="1" x14ac:dyDescent="0.25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</row>
    <row r="2918" spans="1:15" ht="15" customHeight="1" x14ac:dyDescent="0.25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</row>
    <row r="2919" spans="1:15" ht="15" customHeight="1" x14ac:dyDescent="0.25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</row>
    <row r="2920" spans="1:15" ht="15" customHeight="1" x14ac:dyDescent="0.25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</row>
    <row r="2921" spans="1:15" ht="15" customHeight="1" x14ac:dyDescent="0.25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</row>
    <row r="2922" spans="1:15" ht="15" customHeight="1" x14ac:dyDescent="0.25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</row>
    <row r="2923" spans="1:15" ht="15" customHeight="1" x14ac:dyDescent="0.25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</row>
    <row r="2924" spans="1:15" ht="15" customHeight="1" x14ac:dyDescent="0.25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</row>
    <row r="2925" spans="1:15" ht="15" customHeight="1" x14ac:dyDescent="0.25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</row>
    <row r="2926" spans="1:15" ht="15" customHeight="1" x14ac:dyDescent="0.25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</row>
    <row r="2927" spans="1:15" ht="15" customHeight="1" x14ac:dyDescent="0.25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</row>
    <row r="2928" spans="1:15" ht="15" customHeight="1" x14ac:dyDescent="0.25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</row>
    <row r="2929" spans="1:15" ht="15" customHeight="1" x14ac:dyDescent="0.25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</row>
    <row r="2930" spans="1:15" ht="15" customHeight="1" x14ac:dyDescent="0.25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</row>
    <row r="2931" spans="1:15" ht="15" customHeight="1" x14ac:dyDescent="0.25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</row>
    <row r="2932" spans="1:15" ht="15" customHeight="1" x14ac:dyDescent="0.25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</row>
    <row r="2933" spans="1:15" ht="15" customHeight="1" x14ac:dyDescent="0.25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</row>
    <row r="2934" spans="1:15" ht="15" customHeight="1" x14ac:dyDescent="0.25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</row>
    <row r="2935" spans="1:15" ht="15" customHeight="1" x14ac:dyDescent="0.25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</row>
    <row r="2936" spans="1:15" ht="15" customHeight="1" x14ac:dyDescent="0.25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</row>
    <row r="2937" spans="1:15" ht="15" customHeight="1" x14ac:dyDescent="0.25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</row>
    <row r="2938" spans="1:15" ht="15" customHeight="1" x14ac:dyDescent="0.25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</row>
    <row r="2939" spans="1:15" ht="15" customHeight="1" x14ac:dyDescent="0.25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</row>
    <row r="2940" spans="1:15" ht="15" customHeight="1" x14ac:dyDescent="0.25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</row>
    <row r="2941" spans="1:15" ht="15" customHeight="1" x14ac:dyDescent="0.25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</row>
    <row r="2942" spans="1:15" ht="15" customHeight="1" x14ac:dyDescent="0.25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</row>
    <row r="2943" spans="1:15" ht="15" customHeight="1" x14ac:dyDescent="0.25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</row>
    <row r="2944" spans="1:15" ht="15" customHeight="1" x14ac:dyDescent="0.25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</row>
    <row r="2945" spans="1:15" ht="15" customHeight="1" x14ac:dyDescent="0.25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</row>
    <row r="2946" spans="1:15" ht="15" customHeight="1" x14ac:dyDescent="0.25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</row>
    <row r="2947" spans="1:15" ht="15" customHeight="1" x14ac:dyDescent="0.25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</row>
    <row r="2948" spans="1:15" ht="15" customHeight="1" x14ac:dyDescent="0.25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</row>
    <row r="2949" spans="1:15" ht="15" customHeight="1" x14ac:dyDescent="0.25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</row>
    <row r="2950" spans="1:15" ht="15" customHeight="1" x14ac:dyDescent="0.25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</row>
    <row r="2951" spans="1:15" ht="15" customHeight="1" x14ac:dyDescent="0.25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</row>
    <row r="2952" spans="1:15" ht="15" customHeight="1" x14ac:dyDescent="0.25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</row>
    <row r="2953" spans="1:15" ht="15" customHeight="1" x14ac:dyDescent="0.25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</row>
    <row r="2954" spans="1:15" ht="15" customHeight="1" x14ac:dyDescent="0.25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</row>
    <row r="2955" spans="1:15" ht="15" customHeight="1" x14ac:dyDescent="0.25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</row>
    <row r="2956" spans="1:15" ht="15" customHeight="1" x14ac:dyDescent="0.25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</row>
    <row r="2957" spans="1:15" ht="15" customHeight="1" x14ac:dyDescent="0.25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</row>
    <row r="2958" spans="1:15" ht="15" customHeight="1" x14ac:dyDescent="0.25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</row>
    <row r="2959" spans="1:15" ht="15" customHeight="1" x14ac:dyDescent="0.25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</row>
    <row r="2960" spans="1:15" ht="15" customHeight="1" x14ac:dyDescent="0.25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</row>
    <row r="2961" spans="1:15" ht="15" customHeight="1" x14ac:dyDescent="0.25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</row>
    <row r="2962" spans="1:15" ht="15" customHeight="1" x14ac:dyDescent="0.25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</row>
    <row r="2963" spans="1:15" ht="15" customHeight="1" x14ac:dyDescent="0.25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</row>
    <row r="2964" spans="1:15" ht="15" customHeight="1" x14ac:dyDescent="0.25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</row>
    <row r="2965" spans="1:15" ht="15" customHeight="1" x14ac:dyDescent="0.25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</row>
    <row r="2966" spans="1:15" ht="15" customHeight="1" x14ac:dyDescent="0.25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</row>
    <row r="2967" spans="1:15" ht="15" customHeight="1" x14ac:dyDescent="0.25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</row>
    <row r="2968" spans="1:15" ht="15" customHeight="1" x14ac:dyDescent="0.25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</row>
    <row r="2969" spans="1:15" ht="15" customHeight="1" x14ac:dyDescent="0.25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</row>
    <row r="2970" spans="1:15" ht="15" customHeight="1" x14ac:dyDescent="0.25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</row>
    <row r="2971" spans="1:15" ht="15" customHeight="1" x14ac:dyDescent="0.25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</row>
    <row r="2972" spans="1:15" ht="15" customHeight="1" x14ac:dyDescent="0.25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</row>
    <row r="2973" spans="1:15" ht="15" customHeight="1" x14ac:dyDescent="0.25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</row>
    <row r="2974" spans="1:15" ht="15" customHeight="1" x14ac:dyDescent="0.25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</row>
    <row r="2975" spans="1:15" ht="15" customHeight="1" x14ac:dyDescent="0.25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</row>
    <row r="2976" spans="1:15" ht="15" customHeight="1" x14ac:dyDescent="0.25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</row>
    <row r="2977" spans="1:15" ht="15" customHeight="1" x14ac:dyDescent="0.25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</row>
    <row r="2978" spans="1:15" ht="15" customHeight="1" x14ac:dyDescent="0.25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</row>
    <row r="2979" spans="1:15" ht="15" customHeight="1" x14ac:dyDescent="0.25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</row>
    <row r="2980" spans="1:15" ht="15" customHeight="1" x14ac:dyDescent="0.25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</row>
    <row r="2981" spans="1:15" ht="15" customHeight="1" x14ac:dyDescent="0.25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</row>
    <row r="2982" spans="1:15" ht="15" customHeight="1" x14ac:dyDescent="0.25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</row>
    <row r="2983" spans="1:15" ht="15" customHeight="1" x14ac:dyDescent="0.25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</row>
    <row r="2984" spans="1:15" ht="15" customHeight="1" x14ac:dyDescent="0.25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</row>
    <row r="2985" spans="1:15" ht="15" customHeight="1" x14ac:dyDescent="0.25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</row>
    <row r="2986" spans="1:15" ht="15" customHeight="1" x14ac:dyDescent="0.25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</row>
    <row r="2987" spans="1:15" ht="15" customHeight="1" x14ac:dyDescent="0.25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</row>
    <row r="2988" spans="1:15" ht="15" customHeight="1" x14ac:dyDescent="0.25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</row>
    <row r="2989" spans="1:15" ht="15" customHeight="1" x14ac:dyDescent="0.25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</row>
    <row r="2990" spans="1:15" ht="15" customHeight="1" x14ac:dyDescent="0.25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</row>
    <row r="2991" spans="1:15" ht="15" customHeight="1" x14ac:dyDescent="0.25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</row>
    <row r="2992" spans="1:15" ht="15" customHeight="1" x14ac:dyDescent="0.25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</row>
    <row r="2993" spans="1:15" ht="15" customHeight="1" x14ac:dyDescent="0.25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</row>
    <row r="2994" spans="1:15" ht="15" customHeight="1" x14ac:dyDescent="0.25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</row>
    <row r="2995" spans="1:15" ht="15" customHeight="1" x14ac:dyDescent="0.25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</row>
    <row r="2996" spans="1:15" ht="15" customHeight="1" x14ac:dyDescent="0.25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</row>
    <row r="2997" spans="1:15" ht="15" customHeight="1" x14ac:dyDescent="0.25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</row>
    <row r="2998" spans="1:15" ht="15" customHeight="1" x14ac:dyDescent="0.25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</row>
    <row r="2999" spans="1:15" ht="15" customHeight="1" x14ac:dyDescent="0.25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</row>
    <row r="3000" spans="1:15" ht="15" customHeight="1" x14ac:dyDescent="0.25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</row>
    <row r="3001" spans="1:15" ht="15" customHeight="1" x14ac:dyDescent="0.25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</row>
    <row r="3002" spans="1:15" ht="15" customHeight="1" x14ac:dyDescent="0.25">
      <c r="A3002" s="2"/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</row>
    <row r="3003" spans="1:15" ht="15" customHeight="1" x14ac:dyDescent="0.25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</row>
    <row r="3004" spans="1:15" ht="15" customHeight="1" x14ac:dyDescent="0.25">
      <c r="A3004" s="2"/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</row>
    <row r="3005" spans="1:15" ht="15" customHeight="1" x14ac:dyDescent="0.25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</row>
    <row r="3006" spans="1:15" ht="15" customHeight="1" x14ac:dyDescent="0.25">
      <c r="A3006" s="2"/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</row>
    <row r="3007" spans="1:15" ht="15" customHeight="1" x14ac:dyDescent="0.25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</row>
    <row r="3008" spans="1:15" ht="15" customHeight="1" x14ac:dyDescent="0.25">
      <c r="A3008" s="2"/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</row>
    <row r="3009" spans="1:15" ht="15" customHeight="1" x14ac:dyDescent="0.25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</row>
    <row r="3010" spans="1:15" ht="15" customHeight="1" x14ac:dyDescent="0.25">
      <c r="A3010" s="2"/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</row>
    <row r="3011" spans="1:15" ht="15" customHeight="1" x14ac:dyDescent="0.25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</row>
    <row r="3012" spans="1:15" ht="15" customHeight="1" x14ac:dyDescent="0.25">
      <c r="A3012" s="2"/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</row>
    <row r="3013" spans="1:15" ht="15" customHeight="1" x14ac:dyDescent="0.25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</row>
    <row r="3014" spans="1:15" ht="15" customHeight="1" x14ac:dyDescent="0.25">
      <c r="A3014" s="2"/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</row>
    <row r="3015" spans="1:15" ht="15" customHeight="1" x14ac:dyDescent="0.25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</row>
    <row r="3016" spans="1:15" ht="15" customHeight="1" x14ac:dyDescent="0.25">
      <c r="A3016" s="2"/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</row>
    <row r="3017" spans="1:15" ht="15" customHeight="1" x14ac:dyDescent="0.25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</row>
    <row r="3018" spans="1:15" ht="15" customHeight="1" x14ac:dyDescent="0.25">
      <c r="A3018" s="2"/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</row>
    <row r="3019" spans="1:15" ht="15" customHeight="1" x14ac:dyDescent="0.25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</row>
    <row r="3020" spans="1:15" ht="15" customHeight="1" x14ac:dyDescent="0.25">
      <c r="A3020" s="2"/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</row>
    <row r="3021" spans="1:15" ht="15" customHeight="1" x14ac:dyDescent="0.25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</row>
    <row r="3022" spans="1:15" ht="15" customHeight="1" x14ac:dyDescent="0.25">
      <c r="A3022" s="2"/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</row>
    <row r="3023" spans="1:15" ht="15" customHeight="1" x14ac:dyDescent="0.25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</row>
    <row r="3024" spans="1:15" ht="15" customHeight="1" x14ac:dyDescent="0.25">
      <c r="A3024" s="2"/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</row>
    <row r="3025" spans="1:15" ht="15" customHeight="1" x14ac:dyDescent="0.25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</row>
    <row r="3026" spans="1:15" ht="15" customHeight="1" x14ac:dyDescent="0.25">
      <c r="A3026" s="2"/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</row>
    <row r="3027" spans="1:15" ht="15" customHeight="1" x14ac:dyDescent="0.25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</row>
    <row r="3028" spans="1:15" ht="15" customHeight="1" x14ac:dyDescent="0.25">
      <c r="A3028" s="2"/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</row>
    <row r="3029" spans="1:15" ht="15" customHeight="1" x14ac:dyDescent="0.25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</row>
    <row r="3030" spans="1:15" ht="15" customHeight="1" x14ac:dyDescent="0.25">
      <c r="A3030" s="2"/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</row>
    <row r="3031" spans="1:15" ht="15" customHeight="1" x14ac:dyDescent="0.25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</row>
    <row r="3032" spans="1:15" ht="15" customHeight="1" x14ac:dyDescent="0.25">
      <c r="A3032" s="2"/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</row>
    <row r="3033" spans="1:15" ht="15" customHeight="1" x14ac:dyDescent="0.25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</row>
    <row r="3034" spans="1:15" ht="15" customHeight="1" x14ac:dyDescent="0.25">
      <c r="A3034" s="2"/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</row>
    <row r="3035" spans="1:15" ht="15" customHeight="1" x14ac:dyDescent="0.25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</row>
    <row r="3036" spans="1:15" ht="15" customHeight="1" x14ac:dyDescent="0.25">
      <c r="A3036" s="2"/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</row>
    <row r="3037" spans="1:15" ht="15" customHeight="1" x14ac:dyDescent="0.25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</row>
    <row r="3038" spans="1:15" ht="15" customHeight="1" x14ac:dyDescent="0.25">
      <c r="A3038" s="2"/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</row>
    <row r="3039" spans="1:15" ht="15" customHeight="1" x14ac:dyDescent="0.25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</row>
    <row r="3040" spans="1:15" ht="15" customHeight="1" x14ac:dyDescent="0.25">
      <c r="A3040" s="2"/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</row>
    <row r="3041" spans="1:15" ht="15" customHeight="1" x14ac:dyDescent="0.25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</row>
    <row r="3042" spans="1:15" ht="15" customHeight="1" x14ac:dyDescent="0.25">
      <c r="A3042" s="2"/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</row>
    <row r="3043" spans="1:15" ht="15" customHeight="1" x14ac:dyDescent="0.25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</row>
    <row r="3044" spans="1:15" ht="15" customHeight="1" x14ac:dyDescent="0.25">
      <c r="A3044" s="2"/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</row>
    <row r="3045" spans="1:15" ht="15" customHeight="1" x14ac:dyDescent="0.25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</row>
    <row r="3046" spans="1:15" ht="15" customHeight="1" x14ac:dyDescent="0.25">
      <c r="A3046" s="2"/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</row>
    <row r="3047" spans="1:15" ht="15" customHeight="1" x14ac:dyDescent="0.25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</row>
    <row r="3048" spans="1:15" ht="15" customHeight="1" x14ac:dyDescent="0.25">
      <c r="A3048" s="2"/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</row>
    <row r="3049" spans="1:15" ht="15" customHeight="1" x14ac:dyDescent="0.25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</row>
    <row r="3050" spans="1:15" ht="15" customHeight="1" x14ac:dyDescent="0.25">
      <c r="A3050" s="2"/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</row>
    <row r="3051" spans="1:15" ht="15" customHeight="1" x14ac:dyDescent="0.25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</row>
    <row r="3052" spans="1:15" ht="15" customHeight="1" x14ac:dyDescent="0.25">
      <c r="A3052" s="2"/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</row>
    <row r="3053" spans="1:15" ht="15" customHeight="1" x14ac:dyDescent="0.25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</row>
    <row r="3054" spans="1:15" ht="15" customHeight="1" x14ac:dyDescent="0.25">
      <c r="A3054" s="2"/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</row>
    <row r="3055" spans="1:15" ht="15" customHeight="1" x14ac:dyDescent="0.25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</row>
    <row r="3056" spans="1:15" ht="15" customHeight="1" x14ac:dyDescent="0.25">
      <c r="A3056" s="2"/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</row>
    <row r="3057" spans="1:15" ht="15" customHeight="1" x14ac:dyDescent="0.25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</row>
    <row r="3058" spans="1:15" ht="15" customHeight="1" x14ac:dyDescent="0.25">
      <c r="A3058" s="2"/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</row>
    <row r="3059" spans="1:15" ht="15" customHeight="1" x14ac:dyDescent="0.25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</row>
    <row r="3060" spans="1:15" ht="15" customHeight="1" x14ac:dyDescent="0.25">
      <c r="A3060" s="2"/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</row>
    <row r="3061" spans="1:15" ht="15" customHeight="1" x14ac:dyDescent="0.25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</row>
    <row r="3062" spans="1:15" ht="15" customHeight="1" x14ac:dyDescent="0.25">
      <c r="A3062" s="2"/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</row>
    <row r="3063" spans="1:15" ht="15" customHeight="1" x14ac:dyDescent="0.25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</row>
    <row r="3064" spans="1:15" ht="15" customHeight="1" x14ac:dyDescent="0.25">
      <c r="A3064" s="2"/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</row>
    <row r="3065" spans="1:15" ht="15" customHeight="1" x14ac:dyDescent="0.25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</row>
    <row r="3066" spans="1:15" ht="15" customHeight="1" x14ac:dyDescent="0.25">
      <c r="A3066" s="2"/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</row>
    <row r="3067" spans="1:15" ht="15" customHeight="1" x14ac:dyDescent="0.25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</row>
    <row r="3068" spans="1:15" ht="15" customHeight="1" x14ac:dyDescent="0.25">
      <c r="A3068" s="2"/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</row>
    <row r="3069" spans="1:15" ht="15" customHeight="1" x14ac:dyDescent="0.25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</row>
    <row r="3070" spans="1:15" ht="15" customHeight="1" x14ac:dyDescent="0.25">
      <c r="A3070" s="2"/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</row>
    <row r="3071" spans="1:15" ht="15" customHeight="1" x14ac:dyDescent="0.25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</row>
    <row r="3072" spans="1:15" ht="15" customHeight="1" x14ac:dyDescent="0.25">
      <c r="A3072" s="2"/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</row>
    <row r="3073" spans="1:15" ht="15" customHeight="1" x14ac:dyDescent="0.25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</row>
    <row r="3074" spans="1:15" ht="15" customHeight="1" x14ac:dyDescent="0.25">
      <c r="A3074" s="2"/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</row>
    <row r="3075" spans="1:15" ht="15" customHeight="1" x14ac:dyDescent="0.25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</row>
    <row r="3076" spans="1:15" ht="15" customHeight="1" x14ac:dyDescent="0.25">
      <c r="A3076" s="2"/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</row>
    <row r="3077" spans="1:15" ht="15" customHeight="1" x14ac:dyDescent="0.25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</row>
    <row r="3078" spans="1:15" ht="15" customHeight="1" x14ac:dyDescent="0.25">
      <c r="A3078" s="2"/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</row>
    <row r="3079" spans="1:15" ht="15" customHeight="1" x14ac:dyDescent="0.25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</row>
    <row r="3080" spans="1:15" ht="15" customHeight="1" x14ac:dyDescent="0.25">
      <c r="A3080" s="2"/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</row>
    <row r="3081" spans="1:15" ht="15" customHeight="1" x14ac:dyDescent="0.25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</row>
    <row r="3082" spans="1:15" ht="15" customHeight="1" x14ac:dyDescent="0.25">
      <c r="A3082" s="2"/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</row>
    <row r="3083" spans="1:15" ht="15" customHeight="1" x14ac:dyDescent="0.25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</row>
    <row r="3084" spans="1:15" ht="15" customHeight="1" x14ac:dyDescent="0.25">
      <c r="A3084" s="2"/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</row>
    <row r="3085" spans="1:15" ht="15" customHeight="1" x14ac:dyDescent="0.25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</row>
    <row r="3086" spans="1:15" ht="15" customHeight="1" x14ac:dyDescent="0.25">
      <c r="A3086" s="2"/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</row>
    <row r="3087" spans="1:15" ht="15" customHeight="1" x14ac:dyDescent="0.25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</row>
    <row r="3088" spans="1:15" ht="15" customHeight="1" x14ac:dyDescent="0.25">
      <c r="A3088" s="2"/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</row>
    <row r="3089" spans="1:15" ht="15" customHeight="1" x14ac:dyDescent="0.25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</row>
    <row r="3090" spans="1:15" ht="15" customHeight="1" x14ac:dyDescent="0.25">
      <c r="A3090" s="2"/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</row>
    <row r="3091" spans="1:15" ht="15" customHeight="1" x14ac:dyDescent="0.25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</row>
    <row r="3092" spans="1:15" ht="15" customHeight="1" x14ac:dyDescent="0.25">
      <c r="A3092" s="2"/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</row>
    <row r="3093" spans="1:15" ht="15" customHeight="1" x14ac:dyDescent="0.25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</row>
    <row r="3094" spans="1:15" ht="15" customHeight="1" x14ac:dyDescent="0.25">
      <c r="A3094" s="2"/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</row>
    <row r="3095" spans="1:15" ht="15" customHeight="1" x14ac:dyDescent="0.25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</row>
    <row r="3096" spans="1:15" ht="15" customHeight="1" x14ac:dyDescent="0.25">
      <c r="A3096" s="2"/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</row>
    <row r="3097" spans="1:15" ht="15" customHeight="1" x14ac:dyDescent="0.25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</row>
    <row r="3098" spans="1:15" ht="15" customHeight="1" x14ac:dyDescent="0.25">
      <c r="A3098" s="2"/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</row>
    <row r="3099" spans="1:15" ht="15" customHeight="1" x14ac:dyDescent="0.25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</row>
    <row r="3100" spans="1:15" ht="15" customHeight="1" x14ac:dyDescent="0.25">
      <c r="A3100" s="2"/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</row>
    <row r="3101" spans="1:15" ht="15" customHeight="1" x14ac:dyDescent="0.25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</row>
    <row r="3102" spans="1:15" ht="15" customHeight="1" x14ac:dyDescent="0.25">
      <c r="A3102" s="2"/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</row>
    <row r="3103" spans="1:15" ht="15" customHeight="1" x14ac:dyDescent="0.25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</row>
    <row r="3104" spans="1:15" ht="15" customHeight="1" x14ac:dyDescent="0.25">
      <c r="A3104" s="2"/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</row>
    <row r="3105" spans="1:15" ht="15" customHeight="1" x14ac:dyDescent="0.25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</row>
    <row r="3106" spans="1:15" ht="15" customHeight="1" x14ac:dyDescent="0.25">
      <c r="A3106" s="2"/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</row>
    <row r="3107" spans="1:15" ht="15" customHeight="1" x14ac:dyDescent="0.25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</row>
    <row r="3108" spans="1:15" ht="15" customHeight="1" x14ac:dyDescent="0.25">
      <c r="A3108" s="2"/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</row>
    <row r="3109" spans="1:15" ht="15" customHeight="1" x14ac:dyDescent="0.25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</row>
    <row r="3110" spans="1:15" ht="15" customHeight="1" x14ac:dyDescent="0.25">
      <c r="A3110" s="2"/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</row>
    <row r="3111" spans="1:15" ht="15" customHeight="1" x14ac:dyDescent="0.25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</row>
    <row r="3112" spans="1:15" ht="15" customHeight="1" x14ac:dyDescent="0.25">
      <c r="A3112" s="2"/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</row>
    <row r="3113" spans="1:15" ht="15" customHeight="1" x14ac:dyDescent="0.25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</row>
    <row r="3114" spans="1:15" ht="15" customHeight="1" x14ac:dyDescent="0.25">
      <c r="A3114" s="2"/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</row>
    <row r="3115" spans="1:15" ht="15" customHeight="1" x14ac:dyDescent="0.25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</row>
    <row r="3116" spans="1:15" ht="15" customHeight="1" x14ac:dyDescent="0.25">
      <c r="A3116" s="2"/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</row>
    <row r="3117" spans="1:15" ht="15" customHeight="1" x14ac:dyDescent="0.25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</row>
    <row r="3118" spans="1:15" ht="15" customHeight="1" x14ac:dyDescent="0.25">
      <c r="A3118" s="2"/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</row>
    <row r="3119" spans="1:15" ht="15" customHeight="1" x14ac:dyDescent="0.25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</row>
    <row r="3120" spans="1:15" ht="15" customHeight="1" x14ac:dyDescent="0.25">
      <c r="A3120" s="2"/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</row>
    <row r="3121" spans="1:15" ht="15" customHeight="1" x14ac:dyDescent="0.25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</row>
    <row r="3122" spans="1:15" ht="15" customHeight="1" x14ac:dyDescent="0.25">
      <c r="A3122" s="2"/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</row>
    <row r="3123" spans="1:15" ht="15" customHeight="1" x14ac:dyDescent="0.25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</row>
    <row r="3124" spans="1:15" ht="15" customHeight="1" x14ac:dyDescent="0.25">
      <c r="A3124" s="2"/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</row>
    <row r="3125" spans="1:15" ht="15" customHeight="1" x14ac:dyDescent="0.25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</row>
    <row r="3126" spans="1:15" ht="15" customHeight="1" x14ac:dyDescent="0.25">
      <c r="A3126" s="2"/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</row>
    <row r="3127" spans="1:15" ht="15" customHeight="1" x14ac:dyDescent="0.25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</row>
    <row r="3128" spans="1:15" ht="15" customHeight="1" x14ac:dyDescent="0.25">
      <c r="A3128" s="2"/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</row>
    <row r="3129" spans="1:15" ht="15" customHeight="1" x14ac:dyDescent="0.25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</row>
    <row r="3130" spans="1:15" ht="15" customHeight="1" x14ac:dyDescent="0.25">
      <c r="A3130" s="2"/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</row>
    <row r="3131" spans="1:15" ht="15" customHeight="1" x14ac:dyDescent="0.25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</row>
    <row r="3132" spans="1:15" ht="15" customHeight="1" x14ac:dyDescent="0.25">
      <c r="A3132" s="2"/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</row>
    <row r="3133" spans="1:15" ht="15" customHeight="1" x14ac:dyDescent="0.25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</row>
    <row r="3134" spans="1:15" ht="15" customHeight="1" x14ac:dyDescent="0.25">
      <c r="A3134" s="2"/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</row>
    <row r="3135" spans="1:15" ht="15" customHeight="1" x14ac:dyDescent="0.25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</row>
    <row r="3136" spans="1:15" ht="15" customHeight="1" x14ac:dyDescent="0.25">
      <c r="A3136" s="2"/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</row>
    <row r="3137" spans="1:15" ht="15" customHeight="1" x14ac:dyDescent="0.25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</row>
    <row r="3138" spans="1:15" ht="15" customHeight="1" x14ac:dyDescent="0.25">
      <c r="A3138" s="2"/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</row>
    <row r="3139" spans="1:15" ht="15" customHeight="1" x14ac:dyDescent="0.25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</row>
    <row r="3140" spans="1:15" ht="15" customHeight="1" x14ac:dyDescent="0.25">
      <c r="A3140" s="2"/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</row>
    <row r="3141" spans="1:15" ht="15" customHeight="1" x14ac:dyDescent="0.25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</row>
    <row r="3142" spans="1:15" ht="15" customHeight="1" x14ac:dyDescent="0.25">
      <c r="A3142" s="2"/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</row>
    <row r="3143" spans="1:15" ht="15" customHeight="1" x14ac:dyDescent="0.25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</row>
    <row r="3144" spans="1:15" ht="15" customHeight="1" x14ac:dyDescent="0.25">
      <c r="A3144" s="2"/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</row>
    <row r="3145" spans="1:15" ht="15" customHeight="1" x14ac:dyDescent="0.25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</row>
    <row r="3146" spans="1:15" ht="15" customHeight="1" x14ac:dyDescent="0.25">
      <c r="A3146" s="2"/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</row>
    <row r="3147" spans="1:15" ht="15" customHeight="1" x14ac:dyDescent="0.25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</row>
    <row r="3148" spans="1:15" ht="15" customHeight="1" x14ac:dyDescent="0.25">
      <c r="A3148" s="2"/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</row>
    <row r="3149" spans="1:15" ht="15" customHeight="1" x14ac:dyDescent="0.25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</row>
    <row r="3150" spans="1:15" ht="15" customHeight="1" x14ac:dyDescent="0.25">
      <c r="A3150" s="2"/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</row>
    <row r="3151" spans="1:15" ht="15" customHeight="1" x14ac:dyDescent="0.25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</row>
    <row r="3152" spans="1:15" ht="15" customHeight="1" x14ac:dyDescent="0.25">
      <c r="A3152" s="2"/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</row>
    <row r="3153" spans="1:15" ht="15" customHeight="1" x14ac:dyDescent="0.25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</row>
    <row r="3154" spans="1:15" ht="15" customHeight="1" x14ac:dyDescent="0.25">
      <c r="A3154" s="2"/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</row>
    <row r="3155" spans="1:15" ht="15" customHeight="1" x14ac:dyDescent="0.25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</row>
    <row r="3156" spans="1:15" ht="15" customHeight="1" x14ac:dyDescent="0.25">
      <c r="A3156" s="2"/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</row>
    <row r="3157" spans="1:15" ht="15" customHeight="1" x14ac:dyDescent="0.25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</row>
    <row r="3158" spans="1:15" ht="15" customHeight="1" x14ac:dyDescent="0.25">
      <c r="A3158" s="2"/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</row>
    <row r="3159" spans="1:15" ht="15" customHeight="1" x14ac:dyDescent="0.25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</row>
    <row r="3160" spans="1:15" ht="15" customHeight="1" x14ac:dyDescent="0.25">
      <c r="A3160" s="2"/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</row>
    <row r="3161" spans="1:15" ht="15" customHeight="1" x14ac:dyDescent="0.25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</row>
    <row r="3162" spans="1:15" ht="15" customHeight="1" x14ac:dyDescent="0.25">
      <c r="A3162" s="2"/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</row>
    <row r="3163" spans="1:15" ht="15" customHeight="1" x14ac:dyDescent="0.25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</row>
    <row r="3164" spans="1:15" ht="15" customHeight="1" x14ac:dyDescent="0.25">
      <c r="A3164" s="2"/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</row>
    <row r="3165" spans="1:15" ht="15" customHeight="1" x14ac:dyDescent="0.25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</row>
    <row r="3166" spans="1:15" ht="15" customHeight="1" x14ac:dyDescent="0.25">
      <c r="A3166" s="2"/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</row>
    <row r="3167" spans="1:15" ht="15" customHeight="1" x14ac:dyDescent="0.25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</row>
    <row r="3168" spans="1:15" ht="15" customHeight="1" x14ac:dyDescent="0.25">
      <c r="A3168" s="2"/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</row>
    <row r="3169" spans="1:15" ht="15" customHeight="1" x14ac:dyDescent="0.25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</row>
    <row r="3170" spans="1:15" ht="15" customHeight="1" x14ac:dyDescent="0.25">
      <c r="A3170" s="2"/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</row>
    <row r="3171" spans="1:15" ht="15" customHeight="1" x14ac:dyDescent="0.25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</row>
    <row r="3172" spans="1:15" ht="15" customHeight="1" x14ac:dyDescent="0.25">
      <c r="A3172" s="2"/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</row>
    <row r="3173" spans="1:15" ht="15" customHeight="1" x14ac:dyDescent="0.25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</row>
    <row r="3174" spans="1:15" ht="15" customHeight="1" x14ac:dyDescent="0.25">
      <c r="A3174" s="2"/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</row>
    <row r="3175" spans="1:15" ht="15" customHeight="1" x14ac:dyDescent="0.25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</row>
    <row r="3176" spans="1:15" ht="15" customHeight="1" x14ac:dyDescent="0.25">
      <c r="A3176" s="2"/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</row>
    <row r="3177" spans="1:15" ht="15" customHeight="1" x14ac:dyDescent="0.25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</row>
    <row r="3178" spans="1:15" ht="15" customHeight="1" x14ac:dyDescent="0.25">
      <c r="A3178" s="2"/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</row>
    <row r="3179" spans="1:15" ht="15" customHeight="1" x14ac:dyDescent="0.25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</row>
    <row r="3180" spans="1:15" ht="15" customHeight="1" x14ac:dyDescent="0.25">
      <c r="A3180" s="2"/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</row>
    <row r="3181" spans="1:15" ht="15" customHeight="1" x14ac:dyDescent="0.25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</row>
    <row r="3182" spans="1:15" ht="15" customHeight="1" x14ac:dyDescent="0.25">
      <c r="A3182" s="2"/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</row>
    <row r="3183" spans="1:15" ht="15" customHeight="1" x14ac:dyDescent="0.25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</row>
    <row r="3184" spans="1:15" ht="15" customHeight="1" x14ac:dyDescent="0.25">
      <c r="A3184" s="2"/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</row>
    <row r="3185" spans="1:15" ht="15" customHeight="1" x14ac:dyDescent="0.25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</row>
    <row r="3186" spans="1:15" ht="15" customHeight="1" x14ac:dyDescent="0.25">
      <c r="A3186" s="2"/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</row>
    <row r="3187" spans="1:15" ht="15" customHeight="1" x14ac:dyDescent="0.25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</row>
    <row r="3188" spans="1:15" ht="15" customHeight="1" x14ac:dyDescent="0.25">
      <c r="A3188" s="2"/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</row>
    <row r="3189" spans="1:15" ht="15" customHeight="1" x14ac:dyDescent="0.25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</row>
    <row r="3190" spans="1:15" ht="15" customHeight="1" x14ac:dyDescent="0.25">
      <c r="A3190" s="2"/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</row>
    <row r="3191" spans="1:15" ht="15" customHeight="1" x14ac:dyDescent="0.25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</row>
    <row r="3192" spans="1:15" ht="15" customHeight="1" x14ac:dyDescent="0.25">
      <c r="A3192" s="2"/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</row>
    <row r="3193" spans="1:15" ht="15" customHeight="1" x14ac:dyDescent="0.25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</row>
    <row r="3194" spans="1:15" ht="15" customHeight="1" x14ac:dyDescent="0.25">
      <c r="A3194" s="2"/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</row>
    <row r="3195" spans="1:15" ht="15" customHeight="1" x14ac:dyDescent="0.25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</row>
    <row r="3196" spans="1:15" ht="15" customHeight="1" x14ac:dyDescent="0.25">
      <c r="A3196" s="2"/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</row>
    <row r="3197" spans="1:15" ht="15" customHeight="1" x14ac:dyDescent="0.25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</row>
    <row r="3198" spans="1:15" ht="15" customHeight="1" x14ac:dyDescent="0.25">
      <c r="A3198" s="2"/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</row>
    <row r="3199" spans="1:15" ht="15" customHeight="1" x14ac:dyDescent="0.25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</row>
    <row r="3200" spans="1:15" ht="15" customHeight="1" x14ac:dyDescent="0.25">
      <c r="A3200" s="2"/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</row>
    <row r="3201" spans="1:15" ht="15" customHeight="1" x14ac:dyDescent="0.25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</row>
    <row r="3202" spans="1:15" ht="15" customHeight="1" x14ac:dyDescent="0.25">
      <c r="A3202" s="2"/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</row>
    <row r="3203" spans="1:15" ht="15" customHeight="1" x14ac:dyDescent="0.25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</row>
    <row r="3204" spans="1:15" ht="15" customHeight="1" x14ac:dyDescent="0.25">
      <c r="A3204" s="2"/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</row>
    <row r="3205" spans="1:15" ht="15" customHeight="1" x14ac:dyDescent="0.25">
      <c r="A3205" s="3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</row>
    <row r="3206" spans="1:15" ht="15" customHeight="1" x14ac:dyDescent="0.25">
      <c r="A3206" s="2"/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</row>
    <row r="3207" spans="1:15" ht="15" customHeight="1" x14ac:dyDescent="0.25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</row>
    <row r="3208" spans="1:15" ht="15" customHeight="1" x14ac:dyDescent="0.25">
      <c r="A3208" s="2"/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</row>
    <row r="3209" spans="1:15" ht="15" customHeight="1" x14ac:dyDescent="0.25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</row>
    <row r="3210" spans="1:15" ht="15" customHeight="1" x14ac:dyDescent="0.25">
      <c r="A3210" s="2"/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</row>
    <row r="3211" spans="1:15" ht="15" customHeight="1" x14ac:dyDescent="0.25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</row>
    <row r="3212" spans="1:15" ht="15" customHeight="1" x14ac:dyDescent="0.25">
      <c r="A3212" s="2"/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</row>
    <row r="3213" spans="1:15" ht="15" customHeight="1" x14ac:dyDescent="0.25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</row>
    <row r="3214" spans="1:15" ht="15" customHeight="1" x14ac:dyDescent="0.25">
      <c r="A3214" s="2"/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</row>
    <row r="3215" spans="1:15" ht="15" customHeight="1" x14ac:dyDescent="0.25">
      <c r="A3215" s="3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</row>
    <row r="3216" spans="1:15" ht="15" customHeight="1" x14ac:dyDescent="0.25">
      <c r="A3216" s="2"/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</row>
    <row r="3217" spans="1:15" ht="15" customHeight="1" x14ac:dyDescent="0.25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</row>
    <row r="3218" spans="1:15" ht="15" customHeight="1" x14ac:dyDescent="0.25">
      <c r="A3218" s="2"/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</row>
    <row r="3219" spans="1:15" ht="15" customHeight="1" x14ac:dyDescent="0.25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</row>
    <row r="3220" spans="1:15" ht="15" customHeight="1" x14ac:dyDescent="0.25">
      <c r="A3220" s="2"/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</row>
    <row r="3221" spans="1:15" ht="15" customHeight="1" x14ac:dyDescent="0.25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</row>
    <row r="3222" spans="1:15" ht="15" customHeight="1" x14ac:dyDescent="0.25">
      <c r="A3222" s="2"/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</row>
    <row r="3223" spans="1:15" ht="15" customHeight="1" x14ac:dyDescent="0.25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</row>
    <row r="3224" spans="1:15" ht="15" customHeight="1" x14ac:dyDescent="0.25">
      <c r="A3224" s="2"/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</row>
    <row r="3225" spans="1:15" ht="15" customHeight="1" x14ac:dyDescent="0.25">
      <c r="A3225" s="3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</row>
    <row r="3226" spans="1:15" ht="15" customHeight="1" x14ac:dyDescent="0.25">
      <c r="A3226" s="2"/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</row>
    <row r="3227" spans="1:15" ht="15" customHeight="1" x14ac:dyDescent="0.25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</row>
    <row r="3228" spans="1:15" ht="15" customHeight="1" x14ac:dyDescent="0.25">
      <c r="A3228" s="2"/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</row>
    <row r="3229" spans="1:15" ht="15" customHeight="1" x14ac:dyDescent="0.25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</row>
    <row r="3230" spans="1:15" ht="15" customHeight="1" x14ac:dyDescent="0.25">
      <c r="A3230" s="2"/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</row>
    <row r="3231" spans="1:15" ht="15" customHeight="1" x14ac:dyDescent="0.25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</row>
    <row r="3232" spans="1:15" ht="15" customHeight="1" x14ac:dyDescent="0.25">
      <c r="A3232" s="2"/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</row>
    <row r="3233" spans="1:15" ht="15" customHeight="1" x14ac:dyDescent="0.25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</row>
    <row r="3234" spans="1:15" ht="15" customHeight="1" x14ac:dyDescent="0.25">
      <c r="A3234" s="2"/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</row>
    <row r="3235" spans="1:15" ht="15" customHeight="1" x14ac:dyDescent="0.25">
      <c r="A3235" s="3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</row>
    <row r="3236" spans="1:15" ht="15" customHeight="1" x14ac:dyDescent="0.25">
      <c r="A3236" s="2"/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</row>
    <row r="3237" spans="1:15" ht="15" customHeight="1" x14ac:dyDescent="0.25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</row>
    <row r="3238" spans="1:15" ht="15" customHeight="1" x14ac:dyDescent="0.25">
      <c r="A3238" s="2"/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</row>
    <row r="3239" spans="1:15" ht="15" customHeight="1" x14ac:dyDescent="0.25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</row>
    <row r="3240" spans="1:15" ht="15" customHeight="1" x14ac:dyDescent="0.25">
      <c r="A3240" s="2"/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</row>
    <row r="3241" spans="1:15" ht="15" customHeight="1" x14ac:dyDescent="0.25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</row>
    <row r="3242" spans="1:15" ht="15" customHeight="1" x14ac:dyDescent="0.25">
      <c r="A3242" s="2"/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</row>
    <row r="3243" spans="1:15" ht="15" customHeight="1" x14ac:dyDescent="0.25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</row>
    <row r="3244" spans="1:15" ht="15" customHeight="1" x14ac:dyDescent="0.25">
      <c r="A3244" s="2"/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</row>
    <row r="3245" spans="1:15" ht="15" customHeight="1" x14ac:dyDescent="0.25">
      <c r="A3245" s="3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</row>
    <row r="3246" spans="1:15" ht="15" customHeight="1" x14ac:dyDescent="0.25">
      <c r="A3246" s="2"/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</row>
    <row r="3247" spans="1:15" ht="15" customHeight="1" x14ac:dyDescent="0.25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</row>
    <row r="3248" spans="1:15" ht="15" customHeight="1" x14ac:dyDescent="0.25">
      <c r="A3248" s="2"/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</row>
    <row r="3249" spans="1:15" ht="15" customHeight="1" x14ac:dyDescent="0.25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</row>
    <row r="3250" spans="1:15" ht="15" customHeight="1" x14ac:dyDescent="0.25">
      <c r="A3250" s="2"/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</row>
    <row r="3251" spans="1:15" ht="15" customHeight="1" x14ac:dyDescent="0.25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</row>
    <row r="3252" spans="1:15" ht="15" customHeight="1" x14ac:dyDescent="0.25">
      <c r="A3252" s="2"/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</row>
    <row r="3253" spans="1:15" ht="15" customHeight="1" x14ac:dyDescent="0.25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</row>
    <row r="3254" spans="1:15" ht="15" customHeight="1" x14ac:dyDescent="0.25">
      <c r="A3254" s="2"/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</row>
    <row r="3255" spans="1:15" ht="15" customHeight="1" x14ac:dyDescent="0.25">
      <c r="A3255" s="3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</row>
    <row r="3256" spans="1:15" ht="15" customHeight="1" x14ac:dyDescent="0.25">
      <c r="A3256" s="2"/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</row>
    <row r="3257" spans="1:15" ht="15" customHeight="1" x14ac:dyDescent="0.25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</row>
    <row r="3258" spans="1:15" ht="15" customHeight="1" x14ac:dyDescent="0.25">
      <c r="A3258" s="2"/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</row>
    <row r="3259" spans="1:15" ht="15" customHeight="1" x14ac:dyDescent="0.25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</row>
    <row r="3260" spans="1:15" ht="15" customHeight="1" x14ac:dyDescent="0.25">
      <c r="A3260" s="2"/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</row>
    <row r="3261" spans="1:15" ht="15" customHeight="1" x14ac:dyDescent="0.25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</row>
    <row r="3262" spans="1:15" ht="15" customHeight="1" x14ac:dyDescent="0.25">
      <c r="A3262" s="2"/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</row>
    <row r="3263" spans="1:15" ht="15" customHeight="1" x14ac:dyDescent="0.25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</row>
    <row r="3264" spans="1:15" ht="15" customHeight="1" x14ac:dyDescent="0.25">
      <c r="A3264" s="2"/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</row>
    <row r="3265" spans="1:15" ht="15" customHeight="1" x14ac:dyDescent="0.25">
      <c r="A3265" s="3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</row>
    <row r="3266" spans="1:15" ht="15" customHeight="1" x14ac:dyDescent="0.25">
      <c r="A3266" s="2"/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</row>
    <row r="3267" spans="1:15" ht="15" customHeight="1" x14ac:dyDescent="0.25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</row>
    <row r="3268" spans="1:15" ht="15" customHeight="1" x14ac:dyDescent="0.25">
      <c r="A3268" s="2"/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</row>
    <row r="3269" spans="1:15" ht="15" customHeight="1" x14ac:dyDescent="0.25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</row>
    <row r="3270" spans="1:15" ht="15" customHeight="1" x14ac:dyDescent="0.25">
      <c r="A3270" s="2"/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</row>
    <row r="3271" spans="1:15" ht="15" customHeight="1" x14ac:dyDescent="0.25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</row>
    <row r="3272" spans="1:15" ht="15" customHeight="1" x14ac:dyDescent="0.25">
      <c r="A3272" s="2"/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</row>
    <row r="3273" spans="1:15" ht="15" customHeight="1" x14ac:dyDescent="0.25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</row>
    <row r="3274" spans="1:15" ht="15" customHeight="1" x14ac:dyDescent="0.25">
      <c r="A3274" s="2"/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</row>
    <row r="3275" spans="1:15" ht="15" customHeight="1" x14ac:dyDescent="0.25">
      <c r="A3275" s="3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</row>
    <row r="3276" spans="1:15" ht="15" customHeight="1" x14ac:dyDescent="0.25">
      <c r="A3276" s="2"/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</row>
    <row r="3277" spans="1:15" ht="15" customHeight="1" x14ac:dyDescent="0.25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</row>
    <row r="3278" spans="1:15" ht="15" customHeight="1" x14ac:dyDescent="0.25">
      <c r="A3278" s="2"/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</row>
    <row r="3279" spans="1:15" ht="15" customHeight="1" x14ac:dyDescent="0.25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</row>
    <row r="3280" spans="1:15" ht="15" customHeight="1" x14ac:dyDescent="0.25">
      <c r="A3280" s="2"/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</row>
    <row r="3281" spans="1:15" ht="15" customHeight="1" x14ac:dyDescent="0.25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</row>
    <row r="3282" spans="1:15" ht="15" customHeight="1" x14ac:dyDescent="0.25">
      <c r="A3282" s="2"/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</row>
    <row r="3283" spans="1:15" ht="15" customHeight="1" x14ac:dyDescent="0.25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</row>
    <row r="3284" spans="1:15" ht="15" customHeight="1" x14ac:dyDescent="0.25">
      <c r="A3284" s="2"/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</row>
    <row r="3285" spans="1:15" ht="15" customHeight="1" x14ac:dyDescent="0.25">
      <c r="A3285" s="3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</row>
    <row r="3286" spans="1:15" ht="15" customHeight="1" x14ac:dyDescent="0.25">
      <c r="A3286" s="2"/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</row>
    <row r="3287" spans="1:15" ht="15" customHeight="1" x14ac:dyDescent="0.25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</row>
    <row r="3288" spans="1:15" ht="15" customHeight="1" x14ac:dyDescent="0.25">
      <c r="A3288" s="2"/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</row>
    <row r="3289" spans="1:15" ht="15" customHeight="1" x14ac:dyDescent="0.25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</row>
    <row r="3290" spans="1:15" ht="15" customHeight="1" x14ac:dyDescent="0.25">
      <c r="A3290" s="2"/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</row>
    <row r="3291" spans="1:15" ht="15" customHeight="1" x14ac:dyDescent="0.25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</row>
    <row r="3292" spans="1:15" ht="15" customHeight="1" x14ac:dyDescent="0.25">
      <c r="A3292" s="2"/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</row>
    <row r="3293" spans="1:15" ht="15" customHeight="1" x14ac:dyDescent="0.25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</row>
    <row r="3294" spans="1:15" ht="15" customHeight="1" x14ac:dyDescent="0.25">
      <c r="A3294" s="2"/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</row>
    <row r="3295" spans="1:15" ht="15" customHeight="1" x14ac:dyDescent="0.25">
      <c r="A3295" s="3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</row>
    <row r="3296" spans="1:15" ht="15" customHeight="1" x14ac:dyDescent="0.25">
      <c r="A3296" s="2"/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</row>
    <row r="3297" spans="1:15" ht="15" customHeight="1" x14ac:dyDescent="0.25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</row>
    <row r="3298" spans="1:15" ht="15" customHeight="1" x14ac:dyDescent="0.25">
      <c r="A3298" s="2"/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</row>
    <row r="3299" spans="1:15" ht="15" customHeight="1" x14ac:dyDescent="0.25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</row>
    <row r="3300" spans="1:15" ht="15" customHeight="1" x14ac:dyDescent="0.25">
      <c r="A3300" s="2"/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</row>
    <row r="3301" spans="1:15" ht="15" customHeight="1" x14ac:dyDescent="0.25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</row>
    <row r="3302" spans="1:15" ht="15" customHeight="1" x14ac:dyDescent="0.25">
      <c r="A3302" s="2"/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</row>
    <row r="3303" spans="1:15" ht="15" customHeight="1" x14ac:dyDescent="0.25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</row>
    <row r="3304" spans="1:15" ht="15" customHeight="1" x14ac:dyDescent="0.25">
      <c r="A3304" s="2"/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</row>
    <row r="3305" spans="1:15" ht="15" customHeight="1" x14ac:dyDescent="0.25">
      <c r="A3305" s="3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</row>
    <row r="3306" spans="1:15" ht="15" customHeight="1" x14ac:dyDescent="0.25">
      <c r="A3306" s="2"/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</row>
    <row r="3307" spans="1:15" ht="15" customHeight="1" x14ac:dyDescent="0.25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</row>
    <row r="3308" spans="1:15" ht="15" customHeight="1" x14ac:dyDescent="0.25">
      <c r="A3308" s="2"/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</row>
    <row r="3309" spans="1:15" ht="15" customHeight="1" x14ac:dyDescent="0.25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</row>
    <row r="3310" spans="1:15" ht="15" customHeight="1" x14ac:dyDescent="0.25">
      <c r="A3310" s="2"/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</row>
    <row r="3311" spans="1:15" ht="15" customHeight="1" x14ac:dyDescent="0.25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</row>
    <row r="3312" spans="1:15" ht="15" customHeight="1" x14ac:dyDescent="0.25">
      <c r="A3312" s="2"/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</row>
    <row r="3313" spans="1:15" ht="15" customHeight="1" x14ac:dyDescent="0.25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</row>
    <row r="3314" spans="1:15" ht="15" customHeight="1" x14ac:dyDescent="0.25">
      <c r="A3314" s="2"/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</row>
    <row r="3315" spans="1:15" ht="15" customHeight="1" x14ac:dyDescent="0.25">
      <c r="A3315" s="3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</row>
    <row r="3316" spans="1:15" ht="15" customHeight="1" x14ac:dyDescent="0.25">
      <c r="A3316" s="2"/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</row>
    <row r="3317" spans="1:15" ht="15" customHeight="1" x14ac:dyDescent="0.25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</row>
    <row r="3318" spans="1:15" ht="15" customHeight="1" x14ac:dyDescent="0.25">
      <c r="A3318" s="2"/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</row>
    <row r="3319" spans="1:15" ht="15" customHeight="1" x14ac:dyDescent="0.25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</row>
    <row r="3320" spans="1:15" ht="15" customHeight="1" x14ac:dyDescent="0.25">
      <c r="A3320" s="2"/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</row>
    <row r="3321" spans="1:15" ht="15" customHeight="1" x14ac:dyDescent="0.25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</row>
    <row r="3322" spans="1:15" ht="15" customHeight="1" x14ac:dyDescent="0.25">
      <c r="A3322" s="2"/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</row>
    <row r="3323" spans="1:15" ht="15" customHeight="1" x14ac:dyDescent="0.25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</row>
    <row r="3324" spans="1:15" ht="15" customHeight="1" x14ac:dyDescent="0.25">
      <c r="A3324" s="2"/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</row>
    <row r="3325" spans="1:15" ht="15" customHeight="1" x14ac:dyDescent="0.25">
      <c r="A3325" s="3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</row>
    <row r="3326" spans="1:15" ht="15" customHeight="1" x14ac:dyDescent="0.25">
      <c r="A3326" s="2"/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</row>
    <row r="3327" spans="1:15" ht="15" customHeight="1" x14ac:dyDescent="0.25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</row>
    <row r="3328" spans="1:15" ht="15" customHeight="1" x14ac:dyDescent="0.25">
      <c r="A3328" s="2"/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</row>
    <row r="3329" spans="1:15" ht="15" customHeight="1" x14ac:dyDescent="0.25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</row>
    <row r="3330" spans="1:15" ht="15" customHeight="1" x14ac:dyDescent="0.25">
      <c r="A3330" s="2"/>
      <c r="B3330" s="2"/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</row>
    <row r="3331" spans="1:15" ht="15" customHeight="1" x14ac:dyDescent="0.25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</row>
    <row r="3332" spans="1:15" ht="15" customHeight="1" x14ac:dyDescent="0.25">
      <c r="A3332" s="2"/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</row>
    <row r="3333" spans="1:15" ht="15" customHeight="1" x14ac:dyDescent="0.25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</row>
    <row r="3334" spans="1:15" ht="15" customHeight="1" x14ac:dyDescent="0.25">
      <c r="A3334" s="2"/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</row>
    <row r="3335" spans="1:15" ht="15" customHeight="1" x14ac:dyDescent="0.25">
      <c r="A3335" s="3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</row>
    <row r="3336" spans="1:15" ht="15" customHeight="1" x14ac:dyDescent="0.25">
      <c r="A3336" s="2"/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</row>
    <row r="3337" spans="1:15" ht="15" customHeight="1" x14ac:dyDescent="0.25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</row>
    <row r="3338" spans="1:15" ht="15" customHeight="1" x14ac:dyDescent="0.25">
      <c r="A3338" s="2"/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</row>
    <row r="3339" spans="1:15" ht="15" customHeight="1" x14ac:dyDescent="0.25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</row>
    <row r="3340" spans="1:15" ht="15" customHeight="1" x14ac:dyDescent="0.25">
      <c r="A3340" s="2"/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</row>
    <row r="3341" spans="1:15" ht="15" customHeight="1" x14ac:dyDescent="0.25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</row>
    <row r="3342" spans="1:15" ht="15" customHeight="1" x14ac:dyDescent="0.25">
      <c r="A3342" s="2"/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</row>
    <row r="3343" spans="1:15" ht="15" customHeight="1" x14ac:dyDescent="0.25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</row>
    <row r="3344" spans="1:15" ht="15" customHeight="1" x14ac:dyDescent="0.25">
      <c r="A3344" s="2"/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</row>
    <row r="3345" spans="1:15" ht="15" customHeight="1" x14ac:dyDescent="0.25">
      <c r="A3345" s="3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</row>
    <row r="3346" spans="1:15" ht="15" customHeight="1" x14ac:dyDescent="0.25">
      <c r="A3346" s="2"/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</row>
    <row r="3347" spans="1:15" ht="15" customHeight="1" x14ac:dyDescent="0.25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</row>
    <row r="3348" spans="1:15" ht="15" customHeight="1" x14ac:dyDescent="0.25">
      <c r="A3348" s="2"/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</row>
    <row r="3349" spans="1:15" ht="15" customHeight="1" x14ac:dyDescent="0.25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</row>
    <row r="3350" spans="1:15" ht="15" customHeight="1" x14ac:dyDescent="0.25">
      <c r="A3350" s="2"/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</row>
    <row r="3351" spans="1:15" ht="15" customHeight="1" x14ac:dyDescent="0.25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</row>
    <row r="3352" spans="1:15" ht="15" customHeight="1" x14ac:dyDescent="0.25">
      <c r="A3352" s="2"/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</row>
    <row r="3353" spans="1:15" ht="15" customHeight="1" x14ac:dyDescent="0.25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</row>
    <row r="3354" spans="1:15" ht="15" customHeight="1" x14ac:dyDescent="0.25">
      <c r="A3354" s="2"/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</row>
    <row r="3355" spans="1:15" ht="15" customHeight="1" x14ac:dyDescent="0.25">
      <c r="A3355" s="3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</row>
    <row r="3356" spans="1:15" ht="15" customHeight="1" x14ac:dyDescent="0.25">
      <c r="A3356" s="2"/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</row>
    <row r="3357" spans="1:15" ht="15" customHeight="1" x14ac:dyDescent="0.25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</row>
    <row r="3358" spans="1:15" ht="15" customHeight="1" x14ac:dyDescent="0.25">
      <c r="A3358" s="2"/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</row>
    <row r="3359" spans="1:15" ht="15" customHeight="1" x14ac:dyDescent="0.25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</row>
    <row r="3360" spans="1:15" ht="15" customHeight="1" x14ac:dyDescent="0.25">
      <c r="A3360" s="2"/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</row>
    <row r="3361" spans="1:15" ht="15" customHeight="1" x14ac:dyDescent="0.25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</row>
    <row r="3362" spans="1:15" ht="15" customHeight="1" x14ac:dyDescent="0.25">
      <c r="A3362" s="2"/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</row>
    <row r="3363" spans="1:15" ht="15" customHeight="1" x14ac:dyDescent="0.25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</row>
    <row r="3364" spans="1:15" ht="15" customHeight="1" x14ac:dyDescent="0.25">
      <c r="A3364" s="2"/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</row>
    <row r="3365" spans="1:15" ht="15" customHeight="1" x14ac:dyDescent="0.25">
      <c r="A3365" s="3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</row>
    <row r="3366" spans="1:15" ht="15" customHeight="1" x14ac:dyDescent="0.25">
      <c r="A3366" s="2"/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</row>
    <row r="3367" spans="1:15" ht="15" customHeight="1" x14ac:dyDescent="0.25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</row>
    <row r="3368" spans="1:15" ht="15" customHeight="1" x14ac:dyDescent="0.25">
      <c r="A3368" s="2"/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</row>
    <row r="3369" spans="1:15" ht="15" customHeight="1" x14ac:dyDescent="0.25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</row>
    <row r="3370" spans="1:15" ht="15" customHeight="1" x14ac:dyDescent="0.25">
      <c r="A3370" s="2"/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</row>
    <row r="3371" spans="1:15" ht="15" customHeight="1" x14ac:dyDescent="0.25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</row>
    <row r="3372" spans="1:15" ht="15" customHeight="1" x14ac:dyDescent="0.25">
      <c r="A3372" s="2"/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</row>
    <row r="3373" spans="1:15" ht="15" customHeight="1" x14ac:dyDescent="0.25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</row>
    <row r="3374" spans="1:15" ht="15" customHeight="1" x14ac:dyDescent="0.25">
      <c r="A3374" s="2"/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</row>
    <row r="3375" spans="1:15" ht="15" customHeight="1" x14ac:dyDescent="0.25">
      <c r="A3375" s="3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</row>
    <row r="3376" spans="1:15" ht="15" customHeight="1" x14ac:dyDescent="0.25">
      <c r="A3376" s="2"/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</row>
    <row r="3377" spans="1:15" ht="15" customHeight="1" x14ac:dyDescent="0.25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</row>
    <row r="3378" spans="1:15" ht="15" customHeight="1" x14ac:dyDescent="0.25">
      <c r="A3378" s="2"/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</row>
    <row r="3379" spans="1:15" ht="15" customHeight="1" x14ac:dyDescent="0.25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</row>
    <row r="3380" spans="1:15" ht="15" customHeight="1" x14ac:dyDescent="0.25">
      <c r="A3380" s="2"/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</row>
    <row r="3381" spans="1:15" ht="15" customHeight="1" x14ac:dyDescent="0.25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</row>
    <row r="3382" spans="1:15" ht="15" customHeight="1" x14ac:dyDescent="0.25">
      <c r="A3382" s="2"/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</row>
    <row r="3383" spans="1:15" ht="15" customHeight="1" x14ac:dyDescent="0.25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</row>
    <row r="3384" spans="1:15" ht="15" customHeight="1" x14ac:dyDescent="0.25">
      <c r="A3384" s="2"/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</row>
    <row r="3385" spans="1:15" ht="15" customHeight="1" x14ac:dyDescent="0.25">
      <c r="A3385" s="3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</row>
    <row r="3386" spans="1:15" ht="15" customHeight="1" x14ac:dyDescent="0.25">
      <c r="A3386" s="2"/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</row>
    <row r="3387" spans="1:15" ht="15" customHeight="1" x14ac:dyDescent="0.25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</row>
    <row r="3388" spans="1:15" ht="15" customHeight="1" x14ac:dyDescent="0.25">
      <c r="A3388" s="2"/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</row>
    <row r="3389" spans="1:15" ht="15" customHeight="1" x14ac:dyDescent="0.25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</row>
    <row r="3390" spans="1:15" ht="15" customHeight="1" x14ac:dyDescent="0.25">
      <c r="A3390" s="2"/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</row>
    <row r="3391" spans="1:15" ht="15" customHeight="1" x14ac:dyDescent="0.25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</row>
    <row r="3392" spans="1:15" ht="15" customHeight="1" x14ac:dyDescent="0.25">
      <c r="A3392" s="2"/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</row>
    <row r="3393" spans="1:15" ht="15" customHeight="1" x14ac:dyDescent="0.25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</row>
    <row r="3394" spans="1:15" ht="15" customHeight="1" x14ac:dyDescent="0.25">
      <c r="A3394" s="2"/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</row>
    <row r="3395" spans="1:15" ht="15" customHeight="1" x14ac:dyDescent="0.25">
      <c r="A3395" s="3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</row>
    <row r="3396" spans="1:15" ht="15" customHeight="1" x14ac:dyDescent="0.25">
      <c r="A3396" s="2"/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</row>
    <row r="3397" spans="1:15" ht="15" customHeight="1" x14ac:dyDescent="0.25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</row>
    <row r="3398" spans="1:15" ht="15" customHeight="1" x14ac:dyDescent="0.25">
      <c r="A3398" s="2"/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</row>
    <row r="3399" spans="1:15" ht="15" customHeight="1" x14ac:dyDescent="0.25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</row>
    <row r="3400" spans="1:15" ht="15" customHeight="1" x14ac:dyDescent="0.25">
      <c r="A3400" s="2"/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</row>
    <row r="3401" spans="1:15" ht="15" customHeight="1" x14ac:dyDescent="0.25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</row>
    <row r="3402" spans="1:15" ht="15" customHeight="1" x14ac:dyDescent="0.25">
      <c r="A3402" s="2"/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</row>
    <row r="3403" spans="1:15" ht="15" customHeight="1" x14ac:dyDescent="0.25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</row>
    <row r="3404" spans="1:15" ht="15" customHeight="1" x14ac:dyDescent="0.25">
      <c r="A3404" s="2"/>
      <c r="B3404" s="2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</row>
    <row r="3405" spans="1:15" ht="15" customHeight="1" x14ac:dyDescent="0.25">
      <c r="A3405" s="3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</row>
    <row r="3406" spans="1:15" ht="15" customHeight="1" x14ac:dyDescent="0.25">
      <c r="A3406" s="2"/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</row>
    <row r="3407" spans="1:15" ht="15" customHeight="1" x14ac:dyDescent="0.25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</row>
    <row r="3408" spans="1:15" ht="15" customHeight="1" x14ac:dyDescent="0.25">
      <c r="A3408" s="2"/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</row>
    <row r="3409" spans="1:15" ht="15" customHeight="1" x14ac:dyDescent="0.25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</row>
    <row r="3410" spans="1:15" ht="15" customHeight="1" x14ac:dyDescent="0.25">
      <c r="A3410" s="2"/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</row>
    <row r="3411" spans="1:15" ht="15" customHeight="1" x14ac:dyDescent="0.25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</row>
    <row r="3412" spans="1:15" ht="15" customHeight="1" x14ac:dyDescent="0.25">
      <c r="A3412" s="2"/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</row>
    <row r="3413" spans="1:15" ht="15" customHeight="1" x14ac:dyDescent="0.25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</row>
    <row r="3414" spans="1:15" ht="15" customHeight="1" x14ac:dyDescent="0.25">
      <c r="A3414" s="2"/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</row>
    <row r="3415" spans="1:15" ht="15" customHeight="1" x14ac:dyDescent="0.25">
      <c r="A3415" s="3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</row>
    <row r="3416" spans="1:15" ht="15" customHeight="1" x14ac:dyDescent="0.25">
      <c r="A3416" s="2"/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</row>
    <row r="3417" spans="1:15" ht="15" customHeight="1" x14ac:dyDescent="0.25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</row>
    <row r="3418" spans="1:15" ht="15" customHeight="1" x14ac:dyDescent="0.25">
      <c r="A3418" s="2"/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</row>
    <row r="3419" spans="1:15" ht="15" customHeight="1" x14ac:dyDescent="0.25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</row>
    <row r="3420" spans="1:15" ht="15" customHeight="1" x14ac:dyDescent="0.25">
      <c r="A3420" s="2"/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</row>
    <row r="3421" spans="1:15" ht="15" customHeight="1" x14ac:dyDescent="0.25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</row>
    <row r="3422" spans="1:15" ht="15" customHeight="1" x14ac:dyDescent="0.25">
      <c r="A3422" s="2"/>
      <c r="B3422" s="2"/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</row>
    <row r="3423" spans="1:15" ht="15" customHeight="1" x14ac:dyDescent="0.25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</row>
    <row r="3424" spans="1:15" ht="15" customHeight="1" x14ac:dyDescent="0.25">
      <c r="A3424" s="2"/>
      <c r="B3424" s="2"/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</row>
    <row r="3425" spans="1:15" ht="15" customHeight="1" x14ac:dyDescent="0.25">
      <c r="A3425" s="3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</row>
    <row r="3426" spans="1:15" ht="15" customHeight="1" x14ac:dyDescent="0.25">
      <c r="A3426" s="2"/>
      <c r="B3426" s="2"/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</row>
    <row r="3427" spans="1:15" ht="15" customHeight="1" x14ac:dyDescent="0.25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</row>
    <row r="3428" spans="1:15" ht="15" customHeight="1" x14ac:dyDescent="0.25">
      <c r="A3428" s="2"/>
      <c r="B3428" s="2"/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</row>
    <row r="3429" spans="1:15" ht="15" customHeight="1" x14ac:dyDescent="0.25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</row>
    <row r="3430" spans="1:15" ht="15" customHeight="1" x14ac:dyDescent="0.25">
      <c r="A3430" s="2"/>
      <c r="B3430" s="2"/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</row>
    <row r="3431" spans="1:15" ht="15" customHeight="1" x14ac:dyDescent="0.25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</row>
    <row r="3432" spans="1:15" ht="15" customHeight="1" x14ac:dyDescent="0.25">
      <c r="A3432" s="2"/>
      <c r="B3432" s="2"/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</row>
    <row r="3433" spans="1:15" ht="15" customHeight="1" x14ac:dyDescent="0.25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</row>
    <row r="3434" spans="1:15" ht="15" customHeight="1" x14ac:dyDescent="0.25">
      <c r="A3434" s="2"/>
      <c r="B3434" s="2"/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</row>
    <row r="3435" spans="1:15" ht="15" customHeight="1" x14ac:dyDescent="0.25">
      <c r="A3435" s="3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</row>
    <row r="3436" spans="1:15" ht="15" customHeight="1" x14ac:dyDescent="0.25">
      <c r="A3436" s="2"/>
      <c r="B3436" s="2"/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</row>
    <row r="3437" spans="1:15" ht="15" customHeight="1" x14ac:dyDescent="0.25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</row>
    <row r="3438" spans="1:15" ht="15" customHeight="1" x14ac:dyDescent="0.25">
      <c r="A3438" s="2"/>
      <c r="B3438" s="2"/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</row>
    <row r="3439" spans="1:15" ht="15" customHeight="1" x14ac:dyDescent="0.25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</row>
    <row r="3440" spans="1:15" ht="15" customHeight="1" x14ac:dyDescent="0.25">
      <c r="A3440" s="2"/>
      <c r="B3440" s="2"/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</row>
    <row r="3441" spans="1:15" ht="15" customHeight="1" x14ac:dyDescent="0.25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</row>
    <row r="3442" spans="1:15" ht="15" customHeight="1" x14ac:dyDescent="0.25">
      <c r="A3442" s="2"/>
      <c r="B3442" s="2"/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</row>
    <row r="3443" spans="1:15" ht="15" customHeight="1" x14ac:dyDescent="0.25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</row>
    <row r="3444" spans="1:15" ht="15" customHeight="1" x14ac:dyDescent="0.25">
      <c r="A3444" s="2"/>
      <c r="B3444" s="2"/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</row>
    <row r="3445" spans="1:15" ht="15" customHeight="1" x14ac:dyDescent="0.25">
      <c r="A3445" s="3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</row>
    <row r="3446" spans="1:15" ht="15" customHeight="1" x14ac:dyDescent="0.25">
      <c r="A3446" s="2"/>
      <c r="B3446" s="2"/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</row>
    <row r="3447" spans="1:15" ht="15" customHeight="1" x14ac:dyDescent="0.25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</row>
    <row r="3448" spans="1:15" ht="15" customHeight="1" x14ac:dyDescent="0.25">
      <c r="A3448" s="2"/>
      <c r="B3448" s="2"/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</row>
    <row r="3449" spans="1:15" ht="15" customHeight="1" x14ac:dyDescent="0.25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</row>
    <row r="3450" spans="1:15" ht="15" customHeight="1" x14ac:dyDescent="0.25">
      <c r="A3450" s="2"/>
      <c r="B3450" s="2"/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</row>
    <row r="3451" spans="1:15" ht="15" customHeight="1" x14ac:dyDescent="0.25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</row>
    <row r="3452" spans="1:15" ht="15" customHeight="1" x14ac:dyDescent="0.25">
      <c r="A3452" s="2"/>
      <c r="B3452" s="2"/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</row>
    <row r="3453" spans="1:15" ht="15" customHeight="1" x14ac:dyDescent="0.25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</row>
    <row r="3454" spans="1:15" ht="15" customHeight="1" x14ac:dyDescent="0.25">
      <c r="A3454" s="2"/>
      <c r="B3454" s="2"/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</row>
    <row r="3455" spans="1:15" ht="15" customHeight="1" x14ac:dyDescent="0.25">
      <c r="A3455" s="3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</row>
    <row r="3456" spans="1:15" ht="15" customHeight="1" x14ac:dyDescent="0.25">
      <c r="A3456" s="2"/>
      <c r="B3456" s="2"/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</row>
    <row r="3457" spans="1:15" ht="15" customHeight="1" x14ac:dyDescent="0.25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</row>
    <row r="3458" spans="1:15" ht="15" customHeight="1" x14ac:dyDescent="0.25">
      <c r="A3458" s="2"/>
      <c r="B3458" s="2"/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</row>
    <row r="3459" spans="1:15" ht="15" customHeight="1" x14ac:dyDescent="0.25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</row>
    <row r="3460" spans="1:15" ht="15" customHeight="1" x14ac:dyDescent="0.25">
      <c r="A3460" s="2"/>
      <c r="B3460" s="2"/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</row>
    <row r="3461" spans="1:15" ht="15" customHeight="1" x14ac:dyDescent="0.25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</row>
    <row r="3462" spans="1:15" ht="15" customHeight="1" x14ac:dyDescent="0.25">
      <c r="A3462" s="2"/>
      <c r="B3462" s="2"/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</row>
    <row r="3463" spans="1:15" ht="15" customHeight="1" x14ac:dyDescent="0.25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</row>
    <row r="3464" spans="1:15" ht="15" customHeight="1" x14ac:dyDescent="0.25">
      <c r="A3464" s="2"/>
      <c r="B3464" s="2"/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</row>
    <row r="3465" spans="1:15" ht="15" customHeight="1" x14ac:dyDescent="0.25">
      <c r="A3465" s="3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</row>
    <row r="3466" spans="1:15" ht="15" customHeight="1" x14ac:dyDescent="0.25">
      <c r="A3466" s="2"/>
      <c r="B3466" s="2"/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</row>
    <row r="3467" spans="1:15" ht="15" customHeight="1" x14ac:dyDescent="0.25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</row>
    <row r="3468" spans="1:15" ht="15" customHeight="1" x14ac:dyDescent="0.25">
      <c r="A3468" s="2"/>
      <c r="B3468" s="2"/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</row>
    <row r="3469" spans="1:15" ht="15" customHeight="1" x14ac:dyDescent="0.25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</row>
    <row r="3470" spans="1:15" ht="15" customHeight="1" x14ac:dyDescent="0.25">
      <c r="A3470" s="2"/>
      <c r="B3470" s="2"/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</row>
    <row r="3471" spans="1:15" ht="15" customHeight="1" x14ac:dyDescent="0.25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</row>
    <row r="3472" spans="1:15" ht="15" customHeight="1" x14ac:dyDescent="0.25">
      <c r="A3472" s="2"/>
      <c r="B3472" s="2"/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</row>
    <row r="3473" spans="1:15" ht="15" customHeight="1" x14ac:dyDescent="0.25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</row>
    <row r="3474" spans="1:15" ht="15" customHeight="1" x14ac:dyDescent="0.25">
      <c r="A3474" s="2"/>
      <c r="B3474" s="2"/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</row>
    <row r="3475" spans="1:15" ht="15" customHeight="1" x14ac:dyDescent="0.25">
      <c r="A3475" s="3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</row>
    <row r="3476" spans="1:15" ht="15" customHeight="1" x14ac:dyDescent="0.25">
      <c r="A3476" s="2"/>
      <c r="B3476" s="2"/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</row>
    <row r="3477" spans="1:15" ht="15" customHeight="1" x14ac:dyDescent="0.25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</row>
    <row r="3478" spans="1:15" ht="15" customHeight="1" x14ac:dyDescent="0.25">
      <c r="A3478" s="2"/>
      <c r="B3478" s="2"/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</row>
    <row r="3479" spans="1:15" ht="15" customHeight="1" x14ac:dyDescent="0.25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</row>
    <row r="3480" spans="1:15" ht="15" customHeight="1" x14ac:dyDescent="0.25">
      <c r="A3480" s="2"/>
      <c r="B3480" s="2"/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</row>
    <row r="3481" spans="1:15" ht="15" customHeight="1" x14ac:dyDescent="0.25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</row>
    <row r="3482" spans="1:15" ht="15" customHeight="1" x14ac:dyDescent="0.25">
      <c r="A3482" s="2"/>
      <c r="B3482" s="2"/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</row>
    <row r="3483" spans="1:15" ht="15" customHeight="1" x14ac:dyDescent="0.25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</row>
    <row r="3484" spans="1:15" ht="15" customHeight="1" x14ac:dyDescent="0.25">
      <c r="A3484" s="2"/>
      <c r="B3484" s="2"/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</row>
    <row r="3485" spans="1:15" ht="15" customHeight="1" x14ac:dyDescent="0.25">
      <c r="A3485" s="3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</row>
    <row r="3486" spans="1:15" ht="15" customHeight="1" x14ac:dyDescent="0.25">
      <c r="A3486" s="2"/>
      <c r="B3486" s="2"/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</row>
    <row r="3487" spans="1:15" ht="15" customHeight="1" x14ac:dyDescent="0.25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</row>
    <row r="3488" spans="1:15" ht="15" customHeight="1" x14ac:dyDescent="0.25">
      <c r="A3488" s="2"/>
      <c r="B3488" s="2"/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</row>
    <row r="3489" spans="1:15" ht="15" customHeight="1" x14ac:dyDescent="0.25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</row>
    <row r="3490" spans="1:15" ht="15" customHeight="1" x14ac:dyDescent="0.25">
      <c r="A3490" s="2"/>
      <c r="B3490" s="2"/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</row>
    <row r="3491" spans="1:15" ht="15" customHeight="1" x14ac:dyDescent="0.25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</row>
    <row r="3492" spans="1:15" ht="15" customHeight="1" x14ac:dyDescent="0.25">
      <c r="A3492" s="2"/>
      <c r="B3492" s="2"/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</row>
    <row r="3493" spans="1:15" ht="15" customHeight="1" x14ac:dyDescent="0.25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</row>
    <row r="3494" spans="1:15" ht="15" customHeight="1" x14ac:dyDescent="0.25">
      <c r="A3494" s="2"/>
      <c r="B3494" s="2"/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</row>
    <row r="3495" spans="1:15" ht="15" customHeight="1" x14ac:dyDescent="0.25">
      <c r="A3495" s="3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</row>
    <row r="3496" spans="1:15" ht="15" customHeight="1" x14ac:dyDescent="0.25">
      <c r="A3496" s="2"/>
      <c r="B3496" s="2"/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</row>
    <row r="3497" spans="1:15" ht="15" customHeight="1" x14ac:dyDescent="0.25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</row>
    <row r="3498" spans="1:15" ht="15" customHeight="1" x14ac:dyDescent="0.25">
      <c r="A3498" s="2"/>
      <c r="B3498" s="2"/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</row>
    <row r="3499" spans="1:15" ht="15" customHeight="1" x14ac:dyDescent="0.25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</row>
    <row r="3500" spans="1:15" ht="15" customHeight="1" x14ac:dyDescent="0.25">
      <c r="A3500" s="2"/>
      <c r="B3500" s="2"/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</row>
    <row r="3501" spans="1:15" ht="15" customHeight="1" x14ac:dyDescent="0.25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</row>
    <row r="3502" spans="1:15" ht="15" customHeight="1" x14ac:dyDescent="0.25">
      <c r="A3502" s="2"/>
      <c r="B3502" s="2"/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</row>
    <row r="3503" spans="1:15" ht="15" customHeight="1" x14ac:dyDescent="0.25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</row>
    <row r="3504" spans="1:15" ht="15" customHeight="1" x14ac:dyDescent="0.25">
      <c r="A3504" s="2"/>
      <c r="B3504" s="2"/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</row>
    <row r="3505" spans="1:15" ht="15" customHeight="1" x14ac:dyDescent="0.25">
      <c r="A3505" s="3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</row>
    <row r="3506" spans="1:15" ht="15" customHeight="1" x14ac:dyDescent="0.25">
      <c r="A3506" s="2"/>
      <c r="B3506" s="2"/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</row>
    <row r="3507" spans="1:15" ht="15" customHeight="1" x14ac:dyDescent="0.25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</row>
    <row r="3508" spans="1:15" ht="15" customHeight="1" x14ac:dyDescent="0.25">
      <c r="A3508" s="2"/>
      <c r="B3508" s="2"/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</row>
    <row r="3509" spans="1:15" ht="15" customHeight="1" x14ac:dyDescent="0.25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</row>
    <row r="3510" spans="1:15" ht="15" customHeight="1" x14ac:dyDescent="0.25">
      <c r="A3510" s="2"/>
      <c r="B3510" s="2"/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</row>
    <row r="3511" spans="1:15" ht="15" customHeight="1" x14ac:dyDescent="0.25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</row>
    <row r="3512" spans="1:15" ht="15" customHeight="1" x14ac:dyDescent="0.25">
      <c r="A3512" s="2"/>
      <c r="B3512" s="2"/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</row>
    <row r="3513" spans="1:15" ht="15" customHeight="1" x14ac:dyDescent="0.25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</row>
    <row r="3514" spans="1:15" ht="15" customHeight="1" x14ac:dyDescent="0.25">
      <c r="A3514" s="2"/>
      <c r="B3514" s="2"/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</row>
    <row r="3515" spans="1:15" ht="15" customHeight="1" x14ac:dyDescent="0.25">
      <c r="A3515" s="3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</row>
    <row r="3516" spans="1:15" ht="15" customHeight="1" x14ac:dyDescent="0.25">
      <c r="A3516" s="2"/>
      <c r="B3516" s="2"/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</row>
    <row r="3517" spans="1:15" ht="15" customHeight="1" x14ac:dyDescent="0.25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</row>
    <row r="3518" spans="1:15" ht="15" customHeight="1" x14ac:dyDescent="0.25">
      <c r="A3518" s="2"/>
      <c r="B3518" s="2"/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</row>
    <row r="3519" spans="1:15" ht="15" customHeight="1" x14ac:dyDescent="0.25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</row>
    <row r="3520" spans="1:15" ht="15" customHeight="1" x14ac:dyDescent="0.25">
      <c r="A3520" s="2"/>
      <c r="B3520" s="2"/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</row>
    <row r="3521" spans="1:15" ht="15" customHeight="1" x14ac:dyDescent="0.25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</row>
    <row r="3522" spans="1:15" ht="15" customHeight="1" x14ac:dyDescent="0.25">
      <c r="A3522" s="2"/>
      <c r="B3522" s="2"/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</row>
    <row r="3523" spans="1:15" ht="15" customHeight="1" x14ac:dyDescent="0.25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</row>
    <row r="3524" spans="1:15" ht="15" customHeight="1" x14ac:dyDescent="0.25">
      <c r="A3524" s="2"/>
      <c r="B3524" s="2"/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</row>
    <row r="3525" spans="1:15" ht="15" customHeight="1" x14ac:dyDescent="0.25">
      <c r="A3525" s="3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</row>
    <row r="3526" spans="1:15" ht="15" customHeight="1" x14ac:dyDescent="0.25">
      <c r="A3526" s="2"/>
      <c r="B3526" s="2"/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</row>
    <row r="3527" spans="1:15" ht="15" customHeight="1" x14ac:dyDescent="0.25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</row>
    <row r="3528" spans="1:15" ht="15" customHeight="1" x14ac:dyDescent="0.25">
      <c r="A3528" s="2"/>
      <c r="B3528" s="2"/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</row>
    <row r="3529" spans="1:15" ht="15" customHeight="1" x14ac:dyDescent="0.25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</row>
    <row r="3530" spans="1:15" ht="15" customHeight="1" x14ac:dyDescent="0.25">
      <c r="A3530" s="2"/>
      <c r="B3530" s="2"/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</row>
    <row r="3531" spans="1:15" ht="15" customHeight="1" x14ac:dyDescent="0.25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</row>
    <row r="3532" spans="1:15" ht="15" customHeight="1" x14ac:dyDescent="0.25">
      <c r="A3532" s="2"/>
      <c r="B3532" s="2"/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</row>
    <row r="3533" spans="1:15" ht="15" customHeight="1" x14ac:dyDescent="0.25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</row>
    <row r="3534" spans="1:15" ht="15" customHeight="1" x14ac:dyDescent="0.25">
      <c r="A3534" s="2"/>
      <c r="B3534" s="2"/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</row>
    <row r="3535" spans="1:15" ht="15" customHeight="1" x14ac:dyDescent="0.25">
      <c r="A3535" s="3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</row>
    <row r="3536" spans="1:15" ht="15" customHeight="1" x14ac:dyDescent="0.25">
      <c r="A3536" s="2"/>
      <c r="B3536" s="2"/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</row>
    <row r="3537" spans="1:15" ht="15" customHeight="1" x14ac:dyDescent="0.25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</row>
    <row r="3538" spans="1:15" ht="15" customHeight="1" x14ac:dyDescent="0.25">
      <c r="A3538" s="2"/>
      <c r="B3538" s="2"/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</row>
    <row r="3539" spans="1:15" ht="15" customHeight="1" x14ac:dyDescent="0.25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</row>
    <row r="3540" spans="1:15" ht="15" customHeight="1" x14ac:dyDescent="0.25">
      <c r="A3540" s="2"/>
      <c r="B3540" s="2"/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</row>
    <row r="3541" spans="1:15" ht="15" customHeight="1" x14ac:dyDescent="0.25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</row>
    <row r="3542" spans="1:15" ht="15" customHeight="1" x14ac:dyDescent="0.25">
      <c r="A3542" s="2"/>
      <c r="B3542" s="2"/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</row>
    <row r="3543" spans="1:15" ht="15" customHeight="1" x14ac:dyDescent="0.25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</row>
    <row r="3544" spans="1:15" ht="15" customHeight="1" x14ac:dyDescent="0.25">
      <c r="A3544" s="2"/>
      <c r="B3544" s="2"/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</row>
    <row r="3545" spans="1:15" ht="15" customHeight="1" x14ac:dyDescent="0.25">
      <c r="A3545" s="3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</row>
    <row r="3546" spans="1:15" ht="15" customHeight="1" x14ac:dyDescent="0.25">
      <c r="A3546" s="2"/>
      <c r="B3546" s="2"/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</row>
    <row r="3547" spans="1:15" ht="15" customHeight="1" x14ac:dyDescent="0.25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</row>
    <row r="3548" spans="1:15" ht="15" customHeight="1" x14ac:dyDescent="0.25">
      <c r="A3548" s="2"/>
      <c r="B3548" s="2"/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</row>
    <row r="3549" spans="1:15" ht="15" customHeight="1" x14ac:dyDescent="0.25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</row>
    <row r="3550" spans="1:15" ht="15" customHeight="1" x14ac:dyDescent="0.25">
      <c r="A3550" s="2"/>
      <c r="B3550" s="2"/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</row>
    <row r="3551" spans="1:15" ht="15" customHeight="1" x14ac:dyDescent="0.25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</row>
    <row r="3552" spans="1:15" ht="15" customHeight="1" x14ac:dyDescent="0.25">
      <c r="A3552" s="2"/>
      <c r="B3552" s="2"/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</row>
    <row r="3553" spans="1:15" ht="15" customHeight="1" x14ac:dyDescent="0.25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</row>
    <row r="3554" spans="1:15" ht="15" customHeight="1" x14ac:dyDescent="0.25">
      <c r="A3554" s="2"/>
      <c r="B3554" s="2"/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</row>
    <row r="3555" spans="1:15" ht="15" customHeight="1" x14ac:dyDescent="0.25">
      <c r="A3555" s="3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</row>
    <row r="3556" spans="1:15" ht="15" customHeight="1" x14ac:dyDescent="0.25">
      <c r="A3556" s="2"/>
      <c r="B3556" s="2"/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</row>
    <row r="3557" spans="1:15" ht="15" customHeight="1" x14ac:dyDescent="0.25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</row>
    <row r="3558" spans="1:15" ht="15" customHeight="1" x14ac:dyDescent="0.25">
      <c r="A3558" s="2"/>
      <c r="B3558" s="2"/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</row>
    <row r="3559" spans="1:15" ht="15" customHeight="1" x14ac:dyDescent="0.25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</row>
    <row r="3560" spans="1:15" ht="15" customHeight="1" x14ac:dyDescent="0.25">
      <c r="A3560" s="2"/>
      <c r="B3560" s="2"/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</row>
    <row r="3561" spans="1:15" ht="15" customHeight="1" x14ac:dyDescent="0.25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</row>
    <row r="3562" spans="1:15" ht="15" customHeight="1" x14ac:dyDescent="0.25">
      <c r="A3562" s="2"/>
      <c r="B3562" s="2"/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</row>
    <row r="3563" spans="1:15" ht="15" customHeight="1" x14ac:dyDescent="0.25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</row>
    <row r="3564" spans="1:15" ht="15" customHeight="1" x14ac:dyDescent="0.25">
      <c r="A3564" s="2"/>
      <c r="B3564" s="2"/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</row>
    <row r="3565" spans="1:15" ht="15" customHeight="1" x14ac:dyDescent="0.25">
      <c r="A3565" s="3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</row>
    <row r="3566" spans="1:15" ht="15" customHeight="1" x14ac:dyDescent="0.25">
      <c r="A3566" s="2"/>
      <c r="B3566" s="2"/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</row>
    <row r="3567" spans="1:15" ht="15" customHeight="1" x14ac:dyDescent="0.25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</row>
    <row r="3568" spans="1:15" ht="15" customHeight="1" x14ac:dyDescent="0.25">
      <c r="A3568" s="2"/>
      <c r="B3568" s="2"/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</row>
    <row r="3569" spans="1:15" ht="15" customHeight="1" x14ac:dyDescent="0.25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</row>
    <row r="3570" spans="1:15" ht="15" customHeight="1" x14ac:dyDescent="0.25">
      <c r="A3570" s="2"/>
      <c r="B3570" s="2"/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</row>
    <row r="3571" spans="1:15" ht="15" customHeight="1" x14ac:dyDescent="0.25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</row>
    <row r="3572" spans="1:15" ht="15" customHeight="1" x14ac:dyDescent="0.25">
      <c r="A3572" s="2"/>
      <c r="B3572" s="2"/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</row>
    <row r="3573" spans="1:15" ht="15" customHeight="1" x14ac:dyDescent="0.25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</row>
    <row r="3574" spans="1:15" ht="15" customHeight="1" x14ac:dyDescent="0.25">
      <c r="A3574" s="2"/>
      <c r="B3574" s="2"/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</row>
    <row r="3575" spans="1:15" ht="15" customHeight="1" x14ac:dyDescent="0.25">
      <c r="A3575" s="3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</row>
    <row r="3576" spans="1:15" ht="15" customHeight="1" x14ac:dyDescent="0.25">
      <c r="A3576" s="2"/>
      <c r="B3576" s="2"/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</row>
    <row r="3577" spans="1:15" ht="15" customHeight="1" x14ac:dyDescent="0.25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</row>
    <row r="3578" spans="1:15" ht="15" customHeight="1" x14ac:dyDescent="0.25">
      <c r="A3578" s="2"/>
      <c r="B3578" s="2"/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</row>
    <row r="3579" spans="1:15" ht="15" customHeight="1" x14ac:dyDescent="0.25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</row>
    <row r="3580" spans="1:15" ht="15" customHeight="1" x14ac:dyDescent="0.25">
      <c r="A3580" s="2"/>
      <c r="B3580" s="2"/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</row>
    <row r="3581" spans="1:15" ht="15" customHeight="1" x14ac:dyDescent="0.25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</row>
    <row r="3582" spans="1:15" ht="15" customHeight="1" x14ac:dyDescent="0.25">
      <c r="A3582" s="2"/>
      <c r="B3582" s="2"/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</row>
    <row r="3583" spans="1:15" ht="15" customHeight="1" x14ac:dyDescent="0.25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</row>
    <row r="3584" spans="1:15" ht="15" customHeight="1" x14ac:dyDescent="0.25">
      <c r="A3584" s="2"/>
      <c r="B3584" s="2"/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</row>
    <row r="3585" spans="1:15" ht="15" customHeight="1" x14ac:dyDescent="0.25">
      <c r="A3585" s="3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</row>
    <row r="3586" spans="1:15" ht="15" customHeight="1" x14ac:dyDescent="0.25">
      <c r="A3586" s="2"/>
      <c r="B3586" s="2"/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</row>
    <row r="3587" spans="1:15" ht="15" customHeight="1" x14ac:dyDescent="0.25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</row>
    <row r="3588" spans="1:15" ht="15" customHeight="1" x14ac:dyDescent="0.25">
      <c r="A3588" s="2"/>
      <c r="B3588" s="2"/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</row>
    <row r="3589" spans="1:15" ht="15" customHeight="1" x14ac:dyDescent="0.25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</row>
    <row r="3590" spans="1:15" ht="15" customHeight="1" x14ac:dyDescent="0.25">
      <c r="A3590" s="2"/>
      <c r="B3590" s="2"/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</row>
    <row r="3591" spans="1:15" ht="15" customHeight="1" x14ac:dyDescent="0.25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</row>
    <row r="3592" spans="1:15" ht="15" customHeight="1" x14ac:dyDescent="0.25">
      <c r="A3592" s="2"/>
      <c r="B3592" s="2"/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</row>
    <row r="3593" spans="1:15" ht="15" customHeight="1" x14ac:dyDescent="0.25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</row>
    <row r="3594" spans="1:15" ht="15" customHeight="1" x14ac:dyDescent="0.25">
      <c r="A3594" s="2"/>
      <c r="B3594" s="2"/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</row>
    <row r="3595" spans="1:15" ht="15" customHeight="1" x14ac:dyDescent="0.25">
      <c r="A3595" s="3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</row>
    <row r="3596" spans="1:15" ht="15" customHeight="1" x14ac:dyDescent="0.25">
      <c r="A3596" s="2"/>
      <c r="B3596" s="2"/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</row>
    <row r="3597" spans="1:15" ht="15" customHeight="1" x14ac:dyDescent="0.25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</row>
    <row r="3598" spans="1:15" ht="15" customHeight="1" x14ac:dyDescent="0.25">
      <c r="A3598" s="2"/>
      <c r="B3598" s="2"/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</row>
    <row r="3599" spans="1:15" ht="15" customHeight="1" x14ac:dyDescent="0.25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</row>
    <row r="3600" spans="1:15" ht="15" customHeight="1" x14ac:dyDescent="0.25">
      <c r="A3600" s="2"/>
      <c r="B3600" s="2"/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</row>
    <row r="3601" spans="1:15" ht="15" customHeight="1" x14ac:dyDescent="0.25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</row>
    <row r="3602" spans="1:15" ht="15" customHeight="1" x14ac:dyDescent="0.25">
      <c r="A3602" s="2"/>
      <c r="B3602" s="2"/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</row>
    <row r="3603" spans="1:15" ht="15" customHeight="1" x14ac:dyDescent="0.25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</row>
    <row r="3604" spans="1:15" ht="15" customHeight="1" x14ac:dyDescent="0.25">
      <c r="A3604" s="2"/>
      <c r="B3604" s="2"/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</row>
    <row r="3605" spans="1:15" ht="15" customHeight="1" x14ac:dyDescent="0.25">
      <c r="A3605" s="3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</row>
    <row r="3606" spans="1:15" ht="15" customHeight="1" x14ac:dyDescent="0.25">
      <c r="A3606" s="2"/>
      <c r="B3606" s="2"/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</row>
    <row r="3607" spans="1:15" ht="15" customHeight="1" x14ac:dyDescent="0.25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</row>
    <row r="3608" spans="1:15" ht="15" customHeight="1" x14ac:dyDescent="0.25">
      <c r="A3608" s="2"/>
      <c r="B3608" s="2"/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</row>
    <row r="3609" spans="1:15" ht="15" customHeight="1" x14ac:dyDescent="0.25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</row>
    <row r="3610" spans="1:15" ht="15" customHeight="1" x14ac:dyDescent="0.25">
      <c r="A3610" s="2"/>
      <c r="B3610" s="2"/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</row>
    <row r="3611" spans="1:15" ht="15" customHeight="1" x14ac:dyDescent="0.25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</row>
    <row r="3612" spans="1:15" ht="15" customHeight="1" x14ac:dyDescent="0.25">
      <c r="A3612" s="2"/>
      <c r="B3612" s="2"/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</row>
    <row r="3613" spans="1:15" ht="15" customHeight="1" x14ac:dyDescent="0.25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</row>
    <row r="3614" spans="1:15" ht="15" customHeight="1" x14ac:dyDescent="0.25">
      <c r="A3614" s="2"/>
      <c r="B3614" s="2"/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</row>
    <row r="3615" spans="1:15" ht="15" customHeight="1" x14ac:dyDescent="0.25">
      <c r="A3615" s="3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</row>
    <row r="3616" spans="1:15" ht="15" customHeight="1" x14ac:dyDescent="0.25">
      <c r="A3616" s="2"/>
      <c r="B3616" s="2"/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</row>
    <row r="3617" spans="1:15" ht="15" customHeight="1" x14ac:dyDescent="0.25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</row>
    <row r="3618" spans="1:15" ht="15" customHeight="1" x14ac:dyDescent="0.25">
      <c r="A3618" s="2"/>
      <c r="B3618" s="2"/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</row>
    <row r="3619" spans="1:15" ht="15" customHeight="1" x14ac:dyDescent="0.25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</row>
    <row r="3620" spans="1:15" ht="15" customHeight="1" x14ac:dyDescent="0.25">
      <c r="A3620" s="2"/>
      <c r="B3620" s="2"/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</row>
    <row r="3621" spans="1:15" ht="15" customHeight="1" x14ac:dyDescent="0.25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</row>
    <row r="3622" spans="1:15" ht="15" customHeight="1" x14ac:dyDescent="0.25">
      <c r="A3622" s="2"/>
      <c r="B3622" s="2"/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</row>
    <row r="3623" spans="1:15" ht="15" customHeight="1" x14ac:dyDescent="0.25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</row>
    <row r="3624" spans="1:15" ht="15" customHeight="1" x14ac:dyDescent="0.25">
      <c r="A3624" s="2"/>
      <c r="B3624" s="2"/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</row>
    <row r="3625" spans="1:15" ht="15" customHeight="1" x14ac:dyDescent="0.25">
      <c r="A3625" s="3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</row>
    <row r="3626" spans="1:15" ht="15" customHeight="1" x14ac:dyDescent="0.25">
      <c r="A3626" s="2"/>
      <c r="B3626" s="2"/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</row>
    <row r="3627" spans="1:15" ht="15" customHeight="1" x14ac:dyDescent="0.25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</row>
    <row r="3628" spans="1:15" ht="15" customHeight="1" x14ac:dyDescent="0.25">
      <c r="A3628" s="2"/>
      <c r="B3628" s="2"/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</row>
    <row r="3629" spans="1:15" ht="15" customHeight="1" x14ac:dyDescent="0.25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</row>
    <row r="3630" spans="1:15" ht="15" customHeight="1" x14ac:dyDescent="0.25">
      <c r="A3630" s="2"/>
      <c r="B3630" s="2"/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</row>
    <row r="3631" spans="1:15" ht="15" customHeight="1" x14ac:dyDescent="0.25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</row>
    <row r="3632" spans="1:15" ht="15" customHeight="1" x14ac:dyDescent="0.25">
      <c r="A3632" s="2"/>
      <c r="B3632" s="2"/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</row>
    <row r="3633" spans="1:15" ht="15" customHeight="1" x14ac:dyDescent="0.25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</row>
    <row r="3634" spans="1:15" ht="15" customHeight="1" x14ac:dyDescent="0.25">
      <c r="A3634" s="2"/>
      <c r="B3634" s="2"/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</row>
    <row r="3635" spans="1:15" ht="15" customHeight="1" x14ac:dyDescent="0.25">
      <c r="A3635" s="3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</row>
    <row r="3636" spans="1:15" ht="15" customHeight="1" x14ac:dyDescent="0.25">
      <c r="A3636" s="2"/>
      <c r="B3636" s="2"/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</row>
    <row r="3637" spans="1:15" ht="15" customHeight="1" x14ac:dyDescent="0.25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</row>
    <row r="3638" spans="1:15" ht="15" customHeight="1" x14ac:dyDescent="0.25">
      <c r="A3638" s="2"/>
      <c r="B3638" s="2"/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</row>
    <row r="3639" spans="1:15" ht="15" customHeight="1" x14ac:dyDescent="0.25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</row>
    <row r="3640" spans="1:15" ht="15" customHeight="1" x14ac:dyDescent="0.25">
      <c r="A3640" s="2"/>
      <c r="B3640" s="2"/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</row>
    <row r="3641" spans="1:15" ht="15" customHeight="1" x14ac:dyDescent="0.25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</row>
    <row r="3642" spans="1:15" ht="15" customHeight="1" x14ac:dyDescent="0.25">
      <c r="A3642" s="2"/>
      <c r="B3642" s="2"/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</row>
    <row r="3643" spans="1:15" ht="15" customHeight="1" x14ac:dyDescent="0.25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</row>
    <row r="3644" spans="1:15" ht="15" customHeight="1" x14ac:dyDescent="0.25">
      <c r="A3644" s="2"/>
      <c r="B3644" s="2"/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</row>
    <row r="3645" spans="1:15" ht="15" customHeight="1" x14ac:dyDescent="0.25">
      <c r="A3645" s="3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</row>
    <row r="3646" spans="1:15" ht="15" customHeight="1" x14ac:dyDescent="0.25">
      <c r="A3646" s="2"/>
      <c r="B3646" s="2"/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</row>
    <row r="3647" spans="1:15" ht="15" customHeight="1" x14ac:dyDescent="0.25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</row>
    <row r="3648" spans="1:15" ht="15" customHeight="1" x14ac:dyDescent="0.25">
      <c r="A3648" s="2"/>
      <c r="B3648" s="2"/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</row>
    <row r="3649" spans="1:15" ht="15" customHeight="1" x14ac:dyDescent="0.25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</row>
    <row r="3650" spans="1:15" ht="15" customHeight="1" x14ac:dyDescent="0.25">
      <c r="A3650" s="2"/>
      <c r="B3650" s="2"/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</row>
    <row r="3651" spans="1:15" ht="15" customHeight="1" x14ac:dyDescent="0.25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</row>
    <row r="3652" spans="1:15" ht="15" customHeight="1" x14ac:dyDescent="0.25">
      <c r="A3652" s="2"/>
      <c r="B3652" s="2"/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</row>
    <row r="3653" spans="1:15" ht="15" customHeight="1" x14ac:dyDescent="0.25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</row>
    <row r="3654" spans="1:15" ht="15" customHeight="1" x14ac:dyDescent="0.25">
      <c r="A3654" s="2"/>
      <c r="B3654" s="2"/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</row>
    <row r="3655" spans="1:15" ht="15" customHeight="1" x14ac:dyDescent="0.25">
      <c r="A3655" s="3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</row>
    <row r="3656" spans="1:15" ht="15" customHeight="1" x14ac:dyDescent="0.25">
      <c r="A3656" s="2"/>
      <c r="B3656" s="2"/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</row>
    <row r="3657" spans="1:15" ht="15" customHeight="1" x14ac:dyDescent="0.25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</row>
    <row r="3658" spans="1:15" ht="15" customHeight="1" x14ac:dyDescent="0.25">
      <c r="A3658" s="2"/>
      <c r="B3658" s="2"/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</row>
    <row r="3659" spans="1:15" ht="15" customHeight="1" x14ac:dyDescent="0.25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</row>
    <row r="3660" spans="1:15" ht="15" customHeight="1" x14ac:dyDescent="0.25">
      <c r="A3660" s="2"/>
      <c r="B3660" s="2"/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</row>
    <row r="3661" spans="1:15" ht="15" customHeight="1" x14ac:dyDescent="0.25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</row>
    <row r="3662" spans="1:15" ht="15" customHeight="1" x14ac:dyDescent="0.25">
      <c r="A3662" s="2"/>
      <c r="B3662" s="2"/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</row>
    <row r="3663" spans="1:15" ht="15" customHeight="1" x14ac:dyDescent="0.25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</row>
    <row r="3664" spans="1:15" ht="15" customHeight="1" x14ac:dyDescent="0.25">
      <c r="A3664" s="2"/>
      <c r="B3664" s="2"/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</row>
    <row r="3665" spans="1:15" ht="15" customHeight="1" x14ac:dyDescent="0.25">
      <c r="A3665" s="3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</row>
    <row r="3666" spans="1:15" ht="15" customHeight="1" x14ac:dyDescent="0.25">
      <c r="A3666" s="2"/>
      <c r="B3666" s="2"/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</row>
    <row r="3667" spans="1:15" ht="15" customHeight="1" x14ac:dyDescent="0.25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</row>
    <row r="3668" spans="1:15" ht="15" customHeight="1" x14ac:dyDescent="0.25">
      <c r="A3668" s="2"/>
      <c r="B3668" s="2"/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</row>
    <row r="3669" spans="1:15" ht="15" customHeight="1" x14ac:dyDescent="0.25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</row>
    <row r="3670" spans="1:15" ht="15" customHeight="1" x14ac:dyDescent="0.25">
      <c r="A3670" s="2"/>
      <c r="B3670" s="2"/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</row>
    <row r="3671" spans="1:15" ht="15" customHeight="1" x14ac:dyDescent="0.25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</row>
    <row r="3672" spans="1:15" ht="15" customHeight="1" x14ac:dyDescent="0.25">
      <c r="A3672" s="2"/>
      <c r="B3672" s="2"/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</row>
    <row r="3673" spans="1:15" ht="15" customHeight="1" x14ac:dyDescent="0.25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</row>
    <row r="3674" spans="1:15" ht="15" customHeight="1" x14ac:dyDescent="0.25">
      <c r="A3674" s="2"/>
      <c r="B3674" s="2"/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</row>
    <row r="3675" spans="1:15" ht="15" customHeight="1" x14ac:dyDescent="0.25">
      <c r="A3675" s="3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</row>
    <row r="3676" spans="1:15" ht="15" customHeight="1" x14ac:dyDescent="0.25">
      <c r="A3676" s="2"/>
      <c r="B3676" s="2"/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</row>
    <row r="3677" spans="1:15" ht="15" customHeight="1" x14ac:dyDescent="0.25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</row>
    <row r="3678" spans="1:15" ht="15" customHeight="1" x14ac:dyDescent="0.25">
      <c r="A3678" s="2"/>
      <c r="B3678" s="2"/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</row>
    <row r="3679" spans="1:15" ht="15" customHeight="1" x14ac:dyDescent="0.25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</row>
    <row r="3680" spans="1:15" ht="15" customHeight="1" x14ac:dyDescent="0.25">
      <c r="A3680" s="2"/>
      <c r="B3680" s="2"/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</row>
    <row r="3681" spans="1:15" ht="15" customHeight="1" x14ac:dyDescent="0.25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</row>
    <row r="3682" spans="1:15" ht="15" customHeight="1" x14ac:dyDescent="0.25">
      <c r="A3682" s="2"/>
      <c r="B3682" s="2"/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</row>
    <row r="3683" spans="1:15" ht="15" customHeight="1" x14ac:dyDescent="0.25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</row>
    <row r="3684" spans="1:15" ht="15" customHeight="1" x14ac:dyDescent="0.25">
      <c r="A3684" s="2"/>
      <c r="B3684" s="2"/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</row>
    <row r="3685" spans="1:15" ht="15" customHeight="1" x14ac:dyDescent="0.25">
      <c r="A3685" s="3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</row>
    <row r="3686" spans="1:15" ht="15" customHeight="1" x14ac:dyDescent="0.25">
      <c r="A3686" s="2"/>
      <c r="B3686" s="2"/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</row>
    <row r="3687" spans="1:15" ht="15" customHeight="1" x14ac:dyDescent="0.25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</row>
    <row r="3688" spans="1:15" ht="15" customHeight="1" x14ac:dyDescent="0.25">
      <c r="A3688" s="2"/>
      <c r="B3688" s="2"/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</row>
    <row r="3689" spans="1:15" ht="15" customHeight="1" x14ac:dyDescent="0.25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</row>
    <row r="3690" spans="1:15" ht="15" customHeight="1" x14ac:dyDescent="0.25">
      <c r="A3690" s="2"/>
      <c r="B3690" s="2"/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</row>
    <row r="3691" spans="1:15" ht="15" customHeight="1" x14ac:dyDescent="0.25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</row>
    <row r="3692" spans="1:15" ht="15" customHeight="1" x14ac:dyDescent="0.25">
      <c r="A3692" s="2"/>
      <c r="B3692" s="2"/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</row>
    <row r="3693" spans="1:15" ht="15" customHeight="1" x14ac:dyDescent="0.25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</row>
    <row r="3694" spans="1:15" ht="15" customHeight="1" x14ac:dyDescent="0.25">
      <c r="A3694" s="2"/>
      <c r="B3694" s="2"/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</row>
    <row r="3695" spans="1:15" ht="15" customHeight="1" x14ac:dyDescent="0.25">
      <c r="A3695" s="3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</row>
    <row r="3696" spans="1:15" ht="15" customHeight="1" x14ac:dyDescent="0.25">
      <c r="A3696" s="2"/>
      <c r="B3696" s="2"/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</row>
    <row r="3697" spans="1:15" ht="15" customHeight="1" x14ac:dyDescent="0.25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</row>
    <row r="3698" spans="1:15" ht="15" customHeight="1" x14ac:dyDescent="0.25">
      <c r="A3698" s="2"/>
      <c r="B3698" s="2"/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</row>
    <row r="3699" spans="1:15" ht="15" customHeight="1" x14ac:dyDescent="0.25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</row>
    <row r="3700" spans="1:15" ht="15" customHeight="1" x14ac:dyDescent="0.25">
      <c r="A3700" s="2"/>
      <c r="B3700" s="2"/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</row>
    <row r="3701" spans="1:15" ht="15" customHeight="1" x14ac:dyDescent="0.25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</row>
    <row r="3702" spans="1:15" ht="15" customHeight="1" x14ac:dyDescent="0.25">
      <c r="A3702" s="2"/>
      <c r="B3702" s="2"/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</row>
    <row r="3703" spans="1:15" ht="15" customHeight="1" x14ac:dyDescent="0.25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</row>
    <row r="3704" spans="1:15" ht="15" customHeight="1" x14ac:dyDescent="0.25">
      <c r="A3704" s="2"/>
      <c r="B3704" s="2"/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</row>
    <row r="3705" spans="1:15" ht="15" customHeight="1" x14ac:dyDescent="0.25">
      <c r="A3705" s="3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</row>
    <row r="3706" spans="1:15" ht="15" customHeight="1" x14ac:dyDescent="0.25">
      <c r="A3706" s="2"/>
      <c r="B3706" s="2"/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</row>
    <row r="3707" spans="1:15" ht="15" customHeight="1" x14ac:dyDescent="0.25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</row>
    <row r="3708" spans="1:15" ht="15" customHeight="1" x14ac:dyDescent="0.25">
      <c r="A3708" s="2"/>
      <c r="B3708" s="2"/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</row>
    <row r="3709" spans="1:15" ht="15" customHeight="1" x14ac:dyDescent="0.25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</row>
    <row r="3710" spans="1:15" ht="15" customHeight="1" x14ac:dyDescent="0.25">
      <c r="A3710" s="2"/>
      <c r="B3710" s="2"/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</row>
    <row r="3711" spans="1:15" ht="15" customHeight="1" x14ac:dyDescent="0.25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</row>
    <row r="3712" spans="1:15" ht="15" customHeight="1" x14ac:dyDescent="0.25">
      <c r="A3712" s="2"/>
      <c r="B3712" s="2"/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</row>
    <row r="3713" spans="1:15" ht="15" customHeight="1" x14ac:dyDescent="0.25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</row>
    <row r="3714" spans="1:15" ht="15" customHeight="1" x14ac:dyDescent="0.25">
      <c r="A3714" s="2"/>
      <c r="B3714" s="2"/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</row>
    <row r="3715" spans="1:15" ht="15" customHeight="1" x14ac:dyDescent="0.25">
      <c r="A3715" s="3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</row>
    <row r="3716" spans="1:15" ht="15" customHeight="1" x14ac:dyDescent="0.25">
      <c r="A3716" s="2"/>
      <c r="B3716" s="2"/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</row>
    <row r="3717" spans="1:15" ht="15" customHeight="1" x14ac:dyDescent="0.25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</row>
    <row r="3718" spans="1:15" ht="15" customHeight="1" x14ac:dyDescent="0.25">
      <c r="A3718" s="2"/>
      <c r="B3718" s="2"/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</row>
    <row r="3719" spans="1:15" ht="15" customHeight="1" x14ac:dyDescent="0.25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</row>
    <row r="3720" spans="1:15" ht="15" customHeight="1" x14ac:dyDescent="0.25">
      <c r="A3720" s="2"/>
      <c r="B3720" s="2"/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</row>
    <row r="3721" spans="1:15" ht="15" customHeight="1" x14ac:dyDescent="0.25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</row>
    <row r="3722" spans="1:15" ht="15" customHeight="1" x14ac:dyDescent="0.25">
      <c r="A3722" s="2"/>
      <c r="B3722" s="2"/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</row>
    <row r="3723" spans="1:15" ht="15" customHeight="1" x14ac:dyDescent="0.25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</row>
    <row r="3724" spans="1:15" ht="15" customHeight="1" x14ac:dyDescent="0.25">
      <c r="A3724" s="2"/>
      <c r="B3724" s="2"/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</row>
    <row r="3725" spans="1:15" ht="15" customHeight="1" x14ac:dyDescent="0.25">
      <c r="A3725" s="3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</row>
    <row r="3726" spans="1:15" ht="15" customHeight="1" x14ac:dyDescent="0.25">
      <c r="A3726" s="2"/>
      <c r="B3726" s="2"/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</row>
    <row r="3727" spans="1:15" ht="15" customHeight="1" x14ac:dyDescent="0.25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</row>
    <row r="3728" spans="1:15" ht="15" customHeight="1" x14ac:dyDescent="0.25">
      <c r="A3728" s="2"/>
      <c r="B3728" s="2"/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</row>
    <row r="3729" spans="1:15" ht="15" customHeight="1" x14ac:dyDescent="0.25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</row>
    <row r="3730" spans="1:15" ht="15" customHeight="1" x14ac:dyDescent="0.25">
      <c r="A3730" s="2"/>
      <c r="B3730" s="2"/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</row>
    <row r="3731" spans="1:15" ht="15" customHeight="1" x14ac:dyDescent="0.25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</row>
    <row r="3732" spans="1:15" ht="15" customHeight="1" x14ac:dyDescent="0.25">
      <c r="A3732" s="2"/>
      <c r="B3732" s="2"/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</row>
    <row r="3733" spans="1:15" ht="15" customHeight="1" x14ac:dyDescent="0.25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</row>
    <row r="3734" spans="1:15" ht="15" customHeight="1" x14ac:dyDescent="0.25">
      <c r="A3734" s="2"/>
      <c r="B3734" s="2"/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</row>
    <row r="3735" spans="1:15" ht="15" customHeight="1" x14ac:dyDescent="0.25">
      <c r="A3735" s="3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</row>
    <row r="3736" spans="1:15" ht="15" customHeight="1" x14ac:dyDescent="0.25">
      <c r="A3736" s="2"/>
      <c r="B3736" s="2"/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</row>
    <row r="3737" spans="1:15" ht="15" customHeight="1" x14ac:dyDescent="0.25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</row>
    <row r="3738" spans="1:15" ht="15" customHeight="1" x14ac:dyDescent="0.25">
      <c r="A3738" s="2"/>
      <c r="B3738" s="2"/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</row>
    <row r="3739" spans="1:15" ht="15" customHeight="1" x14ac:dyDescent="0.25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</row>
    <row r="3740" spans="1:15" ht="15" customHeight="1" x14ac:dyDescent="0.25">
      <c r="A3740" s="2"/>
      <c r="B3740" s="2"/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</row>
    <row r="3741" spans="1:15" ht="15" customHeight="1" x14ac:dyDescent="0.25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</row>
    <row r="3742" spans="1:15" ht="15" customHeight="1" x14ac:dyDescent="0.25">
      <c r="A3742" s="2"/>
      <c r="B3742" s="2"/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</row>
    <row r="3743" spans="1:15" ht="15" customHeight="1" x14ac:dyDescent="0.25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</row>
    <row r="3744" spans="1:15" ht="15" customHeight="1" x14ac:dyDescent="0.25">
      <c r="A3744" s="2"/>
      <c r="B3744" s="2"/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</row>
    <row r="3745" spans="1:15" ht="15" customHeight="1" x14ac:dyDescent="0.25">
      <c r="A3745" s="3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</row>
    <row r="3746" spans="1:15" ht="15" customHeight="1" x14ac:dyDescent="0.25">
      <c r="A3746" s="2"/>
      <c r="B3746" s="2"/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</row>
    <row r="3747" spans="1:15" ht="15" customHeight="1" x14ac:dyDescent="0.25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</row>
    <row r="3748" spans="1:15" ht="15" customHeight="1" x14ac:dyDescent="0.25">
      <c r="A3748" s="2"/>
      <c r="B3748" s="2"/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</row>
    <row r="3749" spans="1:15" ht="15" customHeight="1" x14ac:dyDescent="0.25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</row>
    <row r="3750" spans="1:15" ht="15" customHeight="1" x14ac:dyDescent="0.25">
      <c r="A3750" s="2"/>
      <c r="B3750" s="2"/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</row>
    <row r="3751" spans="1:15" ht="15" customHeight="1" x14ac:dyDescent="0.25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</row>
    <row r="3752" spans="1:15" ht="15" customHeight="1" x14ac:dyDescent="0.25">
      <c r="A3752" s="2"/>
      <c r="B3752" s="2"/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</row>
    <row r="3753" spans="1:15" ht="15" customHeight="1" x14ac:dyDescent="0.25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</row>
    <row r="3754" spans="1:15" ht="15" customHeight="1" x14ac:dyDescent="0.25">
      <c r="A3754" s="2"/>
      <c r="B3754" s="2"/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</row>
    <row r="3755" spans="1:15" ht="15" customHeight="1" x14ac:dyDescent="0.25">
      <c r="A3755" s="3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</row>
    <row r="3756" spans="1:15" ht="15" customHeight="1" x14ac:dyDescent="0.25">
      <c r="A3756" s="2"/>
      <c r="B3756" s="2"/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</row>
    <row r="3757" spans="1:15" ht="15" customHeight="1" x14ac:dyDescent="0.25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</row>
    <row r="3758" spans="1:15" ht="15" customHeight="1" x14ac:dyDescent="0.25">
      <c r="A3758" s="2"/>
      <c r="B3758" s="2"/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</row>
    <row r="3759" spans="1:15" ht="15" customHeight="1" x14ac:dyDescent="0.25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</row>
    <row r="3760" spans="1:15" ht="15" customHeight="1" x14ac:dyDescent="0.25">
      <c r="A3760" s="2"/>
      <c r="B3760" s="2"/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</row>
    <row r="3761" spans="1:15" ht="15" customHeight="1" x14ac:dyDescent="0.25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</row>
    <row r="3762" spans="1:15" ht="15" customHeight="1" x14ac:dyDescent="0.25">
      <c r="A3762" s="2"/>
      <c r="B3762" s="2"/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</row>
    <row r="3763" spans="1:15" ht="15" customHeight="1" x14ac:dyDescent="0.25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</row>
    <row r="3764" spans="1:15" ht="15" customHeight="1" x14ac:dyDescent="0.25">
      <c r="A3764" s="2"/>
      <c r="B3764" s="2"/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</row>
    <row r="3765" spans="1:15" ht="15" customHeight="1" x14ac:dyDescent="0.25">
      <c r="A3765" s="3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</row>
    <row r="3766" spans="1:15" ht="15" customHeight="1" x14ac:dyDescent="0.25">
      <c r="A3766" s="2"/>
      <c r="B3766" s="2"/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</row>
    <row r="3767" spans="1:15" ht="15" customHeight="1" x14ac:dyDescent="0.25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</row>
    <row r="3768" spans="1:15" ht="15" customHeight="1" x14ac:dyDescent="0.25">
      <c r="A3768" s="2"/>
      <c r="B3768" s="2"/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</row>
    <row r="3769" spans="1:15" ht="15" customHeight="1" x14ac:dyDescent="0.25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</row>
    <row r="3770" spans="1:15" ht="15" customHeight="1" x14ac:dyDescent="0.25">
      <c r="A3770" s="2"/>
      <c r="B3770" s="2"/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</row>
    <row r="3771" spans="1:15" ht="15" customHeight="1" x14ac:dyDescent="0.25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</row>
    <row r="3772" spans="1:15" ht="15" customHeight="1" x14ac:dyDescent="0.25">
      <c r="A3772" s="2"/>
      <c r="B3772" s="2"/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</row>
    <row r="3773" spans="1:15" ht="15" customHeight="1" x14ac:dyDescent="0.25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</row>
    <row r="3774" spans="1:15" ht="15" customHeight="1" x14ac:dyDescent="0.25">
      <c r="A3774" s="2"/>
      <c r="B3774" s="2"/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</row>
    <row r="3775" spans="1:15" ht="15" customHeight="1" x14ac:dyDescent="0.25">
      <c r="A3775" s="3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</row>
    <row r="3776" spans="1:15" ht="15" customHeight="1" x14ac:dyDescent="0.25">
      <c r="A3776" s="2"/>
      <c r="B3776" s="2"/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</row>
    <row r="3777" spans="1:15" ht="15" customHeight="1" x14ac:dyDescent="0.25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</row>
    <row r="3778" spans="1:15" ht="15" customHeight="1" x14ac:dyDescent="0.25">
      <c r="A3778" s="2"/>
      <c r="B3778" s="2"/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</row>
    <row r="3779" spans="1:15" ht="15" customHeight="1" x14ac:dyDescent="0.25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</row>
    <row r="3780" spans="1:15" ht="15" customHeight="1" x14ac:dyDescent="0.25">
      <c r="A3780" s="2"/>
      <c r="B3780" s="2"/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</row>
    <row r="3781" spans="1:15" ht="15" customHeight="1" x14ac:dyDescent="0.25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</row>
    <row r="3782" spans="1:15" ht="15" customHeight="1" x14ac:dyDescent="0.25">
      <c r="A3782" s="2"/>
      <c r="B3782" s="2"/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</row>
    <row r="3783" spans="1:15" ht="15" customHeight="1" x14ac:dyDescent="0.25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</row>
    <row r="3784" spans="1:15" ht="15" customHeight="1" x14ac:dyDescent="0.25">
      <c r="A3784" s="2"/>
      <c r="B3784" s="2"/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</row>
    <row r="3785" spans="1:15" ht="15" customHeight="1" x14ac:dyDescent="0.25">
      <c r="A3785" s="3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</row>
    <row r="3786" spans="1:15" ht="15" customHeight="1" x14ac:dyDescent="0.25">
      <c r="A3786" s="2"/>
      <c r="B3786" s="2"/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</row>
    <row r="3787" spans="1:15" ht="15" customHeight="1" x14ac:dyDescent="0.25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</row>
    <row r="3788" spans="1:15" ht="15" customHeight="1" x14ac:dyDescent="0.25">
      <c r="A3788" s="2"/>
      <c r="B3788" s="2"/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</row>
    <row r="3789" spans="1:15" ht="15" customHeight="1" x14ac:dyDescent="0.25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</row>
    <row r="3790" spans="1:15" ht="15" customHeight="1" x14ac:dyDescent="0.25">
      <c r="A3790" s="2"/>
      <c r="B3790" s="2"/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</row>
    <row r="3791" spans="1:15" ht="15" customHeight="1" x14ac:dyDescent="0.25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</row>
    <row r="3792" spans="1:15" ht="15" customHeight="1" x14ac:dyDescent="0.25">
      <c r="A3792" s="2"/>
      <c r="B3792" s="2"/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</row>
    <row r="3793" spans="1:15" ht="15" customHeight="1" x14ac:dyDescent="0.25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</row>
    <row r="3794" spans="1:15" ht="15" customHeight="1" x14ac:dyDescent="0.25">
      <c r="A3794" s="2"/>
      <c r="B3794" s="2"/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</row>
    <row r="3795" spans="1:15" ht="15" customHeight="1" x14ac:dyDescent="0.25">
      <c r="A3795" s="3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</row>
    <row r="3796" spans="1:15" ht="15" customHeight="1" x14ac:dyDescent="0.25">
      <c r="A3796" s="2"/>
      <c r="B3796" s="2"/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</row>
    <row r="3797" spans="1:15" ht="15" customHeight="1" x14ac:dyDescent="0.25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</row>
    <row r="3798" spans="1:15" ht="15" customHeight="1" x14ac:dyDescent="0.25">
      <c r="A3798" s="2"/>
      <c r="B3798" s="2"/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</row>
    <row r="3799" spans="1:15" ht="15" customHeight="1" x14ac:dyDescent="0.25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</row>
    <row r="3800" spans="1:15" ht="15" customHeight="1" x14ac:dyDescent="0.25">
      <c r="A3800" s="2"/>
      <c r="B3800" s="2"/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</row>
    <row r="3801" spans="1:15" ht="15" customHeight="1" x14ac:dyDescent="0.25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</row>
    <row r="3802" spans="1:15" ht="15" customHeight="1" x14ac:dyDescent="0.25">
      <c r="A3802" s="2"/>
      <c r="B3802" s="2"/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</row>
    <row r="3803" spans="1:15" ht="15" customHeight="1" x14ac:dyDescent="0.25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</row>
    <row r="3804" spans="1:15" ht="15" customHeight="1" x14ac:dyDescent="0.25">
      <c r="A3804" s="2"/>
      <c r="B3804" s="2"/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</row>
    <row r="3805" spans="1:15" ht="15" customHeight="1" x14ac:dyDescent="0.25">
      <c r="A3805" s="3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</row>
    <row r="3806" spans="1:15" ht="15" customHeight="1" x14ac:dyDescent="0.25">
      <c r="A3806" s="2"/>
      <c r="B3806" s="2"/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</row>
    <row r="3807" spans="1:15" ht="15" customHeight="1" x14ac:dyDescent="0.25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</row>
    <row r="3808" spans="1:15" ht="15" customHeight="1" x14ac:dyDescent="0.25">
      <c r="A3808" s="2"/>
      <c r="B3808" s="2"/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</row>
    <row r="3809" spans="1:15" ht="15" customHeight="1" x14ac:dyDescent="0.25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</row>
    <row r="3810" spans="1:15" ht="15" customHeight="1" x14ac:dyDescent="0.25">
      <c r="A3810" s="2"/>
      <c r="B3810" s="2"/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</row>
    <row r="3811" spans="1:15" ht="15" customHeight="1" x14ac:dyDescent="0.25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</row>
    <row r="3812" spans="1:15" ht="15" customHeight="1" x14ac:dyDescent="0.25">
      <c r="A3812" s="2"/>
      <c r="B3812" s="2"/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</row>
    <row r="3813" spans="1:15" ht="15" customHeight="1" x14ac:dyDescent="0.25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</row>
    <row r="3814" spans="1:15" ht="15" customHeight="1" x14ac:dyDescent="0.25">
      <c r="A3814" s="2"/>
      <c r="B3814" s="2"/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</row>
    <row r="3815" spans="1:15" ht="15" customHeight="1" x14ac:dyDescent="0.25">
      <c r="A3815" s="3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</row>
    <row r="3816" spans="1:15" ht="15" customHeight="1" x14ac:dyDescent="0.25">
      <c r="A3816" s="2"/>
      <c r="B3816" s="2"/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</row>
    <row r="3817" spans="1:15" ht="15" customHeight="1" x14ac:dyDescent="0.25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</row>
    <row r="3818" spans="1:15" ht="15" customHeight="1" x14ac:dyDescent="0.25">
      <c r="A3818" s="2"/>
      <c r="B3818" s="2"/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</row>
    <row r="3819" spans="1:15" ht="15" customHeight="1" x14ac:dyDescent="0.25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</row>
    <row r="3820" spans="1:15" ht="15" customHeight="1" x14ac:dyDescent="0.25">
      <c r="A3820" s="2"/>
      <c r="B3820" s="2"/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</row>
    <row r="3821" spans="1:15" ht="15" customHeight="1" x14ac:dyDescent="0.25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</row>
    <row r="3822" spans="1:15" ht="15" customHeight="1" x14ac:dyDescent="0.25">
      <c r="A3822" s="2"/>
      <c r="B3822" s="2"/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</row>
    <row r="3823" spans="1:15" ht="15" customHeight="1" x14ac:dyDescent="0.25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</row>
    <row r="3824" spans="1:15" ht="15" customHeight="1" x14ac:dyDescent="0.25">
      <c r="A3824" s="2"/>
      <c r="B3824" s="2"/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</row>
    <row r="3825" spans="1:15" ht="15" customHeight="1" x14ac:dyDescent="0.25">
      <c r="A3825" s="3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</row>
    <row r="3826" spans="1:15" ht="15" customHeight="1" x14ac:dyDescent="0.25">
      <c r="A3826" s="2"/>
      <c r="B3826" s="2"/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</row>
    <row r="3827" spans="1:15" ht="15" customHeight="1" x14ac:dyDescent="0.25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</row>
    <row r="3828" spans="1:15" ht="15" customHeight="1" x14ac:dyDescent="0.25">
      <c r="A3828" s="2"/>
      <c r="B3828" s="2"/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</row>
    <row r="3829" spans="1:15" ht="15" customHeight="1" x14ac:dyDescent="0.25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</row>
    <row r="3830" spans="1:15" ht="15" customHeight="1" x14ac:dyDescent="0.25">
      <c r="A3830" s="2"/>
      <c r="B3830" s="2"/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</row>
    <row r="3831" spans="1:15" ht="15" customHeight="1" x14ac:dyDescent="0.25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</row>
    <row r="3832" spans="1:15" ht="15" customHeight="1" x14ac:dyDescent="0.25">
      <c r="A3832" s="2"/>
      <c r="B3832" s="2"/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</row>
    <row r="3833" spans="1:15" ht="15" customHeight="1" x14ac:dyDescent="0.25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</row>
    <row r="3834" spans="1:15" ht="15" customHeight="1" x14ac:dyDescent="0.25">
      <c r="A3834" s="2"/>
      <c r="B3834" s="2"/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</row>
    <row r="3835" spans="1:15" ht="15" customHeight="1" x14ac:dyDescent="0.25">
      <c r="A3835" s="3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</row>
    <row r="3836" spans="1:15" ht="15" customHeight="1" x14ac:dyDescent="0.25">
      <c r="A3836" s="2"/>
      <c r="B3836" s="2"/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</row>
    <row r="3837" spans="1:15" ht="15" customHeight="1" x14ac:dyDescent="0.25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</row>
    <row r="3838" spans="1:15" ht="15" customHeight="1" x14ac:dyDescent="0.25">
      <c r="A3838" s="2"/>
      <c r="B3838" s="2"/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</row>
    <row r="3839" spans="1:15" ht="15" customHeight="1" x14ac:dyDescent="0.25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</row>
    <row r="3840" spans="1:15" ht="15" customHeight="1" x14ac:dyDescent="0.25">
      <c r="A3840" s="2"/>
      <c r="B3840" s="2"/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</row>
    <row r="3841" spans="1:15" ht="15" customHeight="1" x14ac:dyDescent="0.25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</row>
    <row r="3842" spans="1:15" ht="15" customHeight="1" x14ac:dyDescent="0.25">
      <c r="A3842" s="2"/>
      <c r="B3842" s="2"/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</row>
    <row r="3843" spans="1:15" ht="15" customHeight="1" x14ac:dyDescent="0.25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</row>
    <row r="3844" spans="1:15" ht="15" customHeight="1" x14ac:dyDescent="0.25">
      <c r="A3844" s="2"/>
      <c r="B3844" s="2"/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</row>
    <row r="3845" spans="1:15" ht="15" customHeight="1" x14ac:dyDescent="0.25">
      <c r="A3845" s="3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</row>
    <row r="3846" spans="1:15" ht="15" customHeight="1" x14ac:dyDescent="0.25">
      <c r="A3846" s="2"/>
      <c r="B3846" s="2"/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</row>
    <row r="3847" spans="1:15" ht="15" customHeight="1" x14ac:dyDescent="0.25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</row>
    <row r="3848" spans="1:15" ht="15" customHeight="1" x14ac:dyDescent="0.25">
      <c r="A3848" s="2"/>
      <c r="B3848" s="2"/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</row>
    <row r="3849" spans="1:15" ht="15" customHeight="1" x14ac:dyDescent="0.25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</row>
    <row r="3850" spans="1:15" ht="15" customHeight="1" x14ac:dyDescent="0.25">
      <c r="A3850" s="2"/>
      <c r="B3850" s="2"/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</row>
    <row r="3851" spans="1:15" ht="15" customHeight="1" x14ac:dyDescent="0.25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</row>
    <row r="3852" spans="1:15" ht="15" customHeight="1" x14ac:dyDescent="0.25">
      <c r="A3852" s="2"/>
      <c r="B3852" s="2"/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</row>
    <row r="3853" spans="1:15" ht="15" customHeight="1" x14ac:dyDescent="0.25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</row>
    <row r="3854" spans="1:15" ht="15" customHeight="1" x14ac:dyDescent="0.25">
      <c r="A3854" s="2"/>
      <c r="B3854" s="2"/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</row>
    <row r="3855" spans="1:15" ht="15" customHeight="1" x14ac:dyDescent="0.25">
      <c r="A3855" s="3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</row>
    <row r="3856" spans="1:15" ht="15" customHeight="1" x14ac:dyDescent="0.25">
      <c r="A3856" s="2"/>
      <c r="B3856" s="2"/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</row>
    <row r="3857" spans="1:15" ht="15" customHeight="1" x14ac:dyDescent="0.25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</row>
    <row r="3858" spans="1:15" ht="15" customHeight="1" x14ac:dyDescent="0.25">
      <c r="A3858" s="2"/>
      <c r="B3858" s="2"/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</row>
    <row r="3859" spans="1:15" ht="15" customHeight="1" x14ac:dyDescent="0.25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</row>
    <row r="3860" spans="1:15" ht="15" customHeight="1" x14ac:dyDescent="0.25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</row>
    <row r="3861" spans="1:15" ht="15" customHeight="1" x14ac:dyDescent="0.25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</row>
    <row r="3862" spans="1:15" ht="15" customHeight="1" x14ac:dyDescent="0.25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</row>
    <row r="3863" spans="1:15" ht="15" customHeight="1" x14ac:dyDescent="0.25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</row>
    <row r="3864" spans="1:15" ht="15" customHeight="1" x14ac:dyDescent="0.25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</row>
    <row r="3865" spans="1:15" ht="15" customHeight="1" x14ac:dyDescent="0.25">
      <c r="A3865" s="3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</row>
    <row r="3866" spans="1:15" ht="15" customHeight="1" x14ac:dyDescent="0.25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</row>
    <row r="3867" spans="1:15" ht="15" customHeight="1" x14ac:dyDescent="0.25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</row>
    <row r="3868" spans="1:15" ht="15" customHeight="1" x14ac:dyDescent="0.25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</row>
    <row r="3869" spans="1:15" ht="15" customHeight="1" x14ac:dyDescent="0.25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</row>
    <row r="3870" spans="1:15" ht="15" customHeight="1" x14ac:dyDescent="0.25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</row>
    <row r="3871" spans="1:15" ht="15" customHeight="1" x14ac:dyDescent="0.25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</row>
    <row r="3872" spans="1:15" ht="15" customHeight="1" x14ac:dyDescent="0.25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</row>
    <row r="3873" spans="1:15" ht="15" customHeight="1" x14ac:dyDescent="0.25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</row>
    <row r="3874" spans="1:15" ht="15" customHeight="1" x14ac:dyDescent="0.25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</row>
    <row r="3875" spans="1:15" ht="15" customHeight="1" x14ac:dyDescent="0.25">
      <c r="A3875" s="3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</row>
    <row r="3876" spans="1:15" ht="15" customHeight="1" x14ac:dyDescent="0.25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</row>
    <row r="3877" spans="1:15" ht="15" customHeight="1" x14ac:dyDescent="0.25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</row>
    <row r="3878" spans="1:15" ht="15" customHeight="1" x14ac:dyDescent="0.25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</row>
    <row r="3879" spans="1:15" ht="15" customHeight="1" x14ac:dyDescent="0.25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</row>
    <row r="3880" spans="1:15" ht="15" customHeight="1" x14ac:dyDescent="0.25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</row>
    <row r="3881" spans="1:15" ht="15" customHeight="1" x14ac:dyDescent="0.25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</row>
    <row r="3882" spans="1:15" ht="15" customHeight="1" x14ac:dyDescent="0.25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</row>
    <row r="3883" spans="1:15" ht="15" customHeight="1" x14ac:dyDescent="0.25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</row>
    <row r="3884" spans="1:15" ht="15" customHeight="1" x14ac:dyDescent="0.25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</row>
    <row r="3885" spans="1:15" ht="15" customHeight="1" x14ac:dyDescent="0.25">
      <c r="A3885" s="3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</row>
    <row r="3886" spans="1:15" ht="15" customHeight="1" x14ac:dyDescent="0.25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</row>
    <row r="3887" spans="1:15" ht="15" customHeight="1" x14ac:dyDescent="0.25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</row>
    <row r="3888" spans="1:15" ht="15" customHeight="1" x14ac:dyDescent="0.25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</row>
    <row r="3889" spans="1:15" ht="15" customHeight="1" x14ac:dyDescent="0.25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</row>
    <row r="3890" spans="1:15" ht="15" customHeight="1" x14ac:dyDescent="0.25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</row>
    <row r="3891" spans="1:15" ht="15" customHeight="1" x14ac:dyDescent="0.25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</row>
    <row r="3892" spans="1:15" ht="15" customHeight="1" x14ac:dyDescent="0.25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</row>
    <row r="3893" spans="1:15" ht="15" customHeight="1" x14ac:dyDescent="0.25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</row>
    <row r="3894" spans="1:15" ht="15" customHeight="1" x14ac:dyDescent="0.25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</row>
    <row r="3895" spans="1:15" ht="15" customHeight="1" x14ac:dyDescent="0.25">
      <c r="A3895" s="3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</row>
    <row r="3896" spans="1:15" ht="15" customHeight="1" x14ac:dyDescent="0.25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</row>
    <row r="3897" spans="1:15" ht="15" customHeight="1" x14ac:dyDescent="0.25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</row>
    <row r="3898" spans="1:15" ht="15" customHeight="1" x14ac:dyDescent="0.25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</row>
    <row r="3899" spans="1:15" ht="15" customHeight="1" x14ac:dyDescent="0.25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</row>
    <row r="3900" spans="1:15" ht="15" customHeight="1" x14ac:dyDescent="0.25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</row>
    <row r="3901" spans="1:15" ht="15" customHeight="1" x14ac:dyDescent="0.25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</row>
    <row r="3902" spans="1:15" ht="15" customHeight="1" x14ac:dyDescent="0.25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</row>
    <row r="3903" spans="1:15" ht="15" customHeight="1" x14ac:dyDescent="0.25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</row>
    <row r="3904" spans="1:15" ht="15" customHeight="1" x14ac:dyDescent="0.25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</row>
    <row r="3905" spans="1:15" ht="15" customHeight="1" x14ac:dyDescent="0.25">
      <c r="A3905" s="3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</row>
    <row r="3906" spans="1:15" ht="15" customHeight="1" x14ac:dyDescent="0.25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</row>
    <row r="3907" spans="1:15" ht="15" customHeight="1" x14ac:dyDescent="0.25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</row>
    <row r="3908" spans="1:15" ht="15" customHeight="1" x14ac:dyDescent="0.25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</row>
    <row r="3909" spans="1:15" ht="15" customHeight="1" x14ac:dyDescent="0.25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</row>
    <row r="3910" spans="1:15" ht="15" customHeight="1" x14ac:dyDescent="0.25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</row>
    <row r="3911" spans="1:15" ht="15" customHeight="1" x14ac:dyDescent="0.25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</row>
    <row r="3912" spans="1:15" ht="15" customHeight="1" x14ac:dyDescent="0.25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</row>
    <row r="3913" spans="1:15" ht="15" customHeight="1" x14ac:dyDescent="0.25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</row>
    <row r="3914" spans="1:15" ht="15" customHeight="1" x14ac:dyDescent="0.25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</row>
    <row r="3915" spans="1:15" ht="15" customHeight="1" x14ac:dyDescent="0.25">
      <c r="A3915" s="3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</row>
    <row r="3916" spans="1:15" ht="15" customHeight="1" x14ac:dyDescent="0.25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</row>
    <row r="3917" spans="1:15" ht="15" customHeight="1" x14ac:dyDescent="0.25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</row>
    <row r="3918" spans="1:15" ht="15" customHeight="1" x14ac:dyDescent="0.25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</row>
    <row r="3919" spans="1:15" ht="15" customHeight="1" x14ac:dyDescent="0.25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</row>
    <row r="3920" spans="1:15" ht="15" customHeight="1" x14ac:dyDescent="0.25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</row>
    <row r="3921" spans="1:15" ht="15" customHeight="1" x14ac:dyDescent="0.25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</row>
    <row r="3922" spans="1:15" ht="15" customHeight="1" x14ac:dyDescent="0.25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</row>
    <row r="3923" spans="1:15" ht="15" customHeight="1" x14ac:dyDescent="0.25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</row>
    <row r="3924" spans="1:15" ht="15" customHeight="1" x14ac:dyDescent="0.25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</row>
    <row r="3925" spans="1:15" ht="15" customHeight="1" x14ac:dyDescent="0.25">
      <c r="A3925" s="3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</row>
    <row r="3926" spans="1:15" ht="15" customHeight="1" x14ac:dyDescent="0.25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</row>
    <row r="3927" spans="1:15" ht="15" customHeight="1" x14ac:dyDescent="0.25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</row>
    <row r="3928" spans="1:15" ht="15" customHeight="1" x14ac:dyDescent="0.25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</row>
    <row r="3929" spans="1:15" ht="15" customHeight="1" x14ac:dyDescent="0.25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</row>
    <row r="3930" spans="1:15" ht="15" customHeight="1" x14ac:dyDescent="0.25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</row>
    <row r="3931" spans="1:15" ht="15" customHeight="1" x14ac:dyDescent="0.25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</row>
    <row r="3932" spans="1:15" ht="15" customHeight="1" x14ac:dyDescent="0.25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</row>
    <row r="3933" spans="1:15" ht="15" customHeight="1" x14ac:dyDescent="0.25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</row>
    <row r="3934" spans="1:15" ht="15" customHeight="1" x14ac:dyDescent="0.25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</row>
    <row r="3935" spans="1:15" ht="15" customHeight="1" x14ac:dyDescent="0.25">
      <c r="A3935" s="3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</row>
    <row r="3936" spans="1:15" ht="15" customHeight="1" x14ac:dyDescent="0.25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</row>
    <row r="3937" spans="1:15" ht="15" customHeight="1" x14ac:dyDescent="0.25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</row>
    <row r="3938" spans="1:15" ht="15" customHeight="1" x14ac:dyDescent="0.25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</row>
    <row r="3939" spans="1:15" ht="15" customHeight="1" x14ac:dyDescent="0.25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</row>
    <row r="3940" spans="1:15" ht="15" customHeight="1" x14ac:dyDescent="0.25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</row>
    <row r="3941" spans="1:15" ht="15" customHeight="1" x14ac:dyDescent="0.25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</row>
    <row r="3942" spans="1:15" ht="15" customHeight="1" x14ac:dyDescent="0.25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</row>
    <row r="3943" spans="1:15" ht="15" customHeight="1" x14ac:dyDescent="0.25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</row>
    <row r="3944" spans="1:15" ht="15" customHeight="1" x14ac:dyDescent="0.25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</row>
    <row r="3945" spans="1:15" ht="15" customHeight="1" x14ac:dyDescent="0.25">
      <c r="A3945" s="3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</row>
    <row r="3946" spans="1:15" ht="15" customHeight="1" x14ac:dyDescent="0.25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</row>
    <row r="3947" spans="1:15" ht="15" customHeight="1" x14ac:dyDescent="0.25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</row>
    <row r="3948" spans="1:15" ht="15" customHeight="1" x14ac:dyDescent="0.25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</row>
    <row r="3949" spans="1:15" ht="15" customHeight="1" x14ac:dyDescent="0.25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</row>
    <row r="3950" spans="1:15" ht="15" customHeight="1" x14ac:dyDescent="0.25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</row>
    <row r="3951" spans="1:15" ht="15" customHeight="1" x14ac:dyDescent="0.25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</row>
    <row r="3952" spans="1:15" ht="15" customHeight="1" x14ac:dyDescent="0.25">
      <c r="A3952" s="2"/>
      <c r="B3952" s="2"/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</row>
    <row r="3953" spans="1:15" ht="15" customHeight="1" x14ac:dyDescent="0.25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</row>
    <row r="3954" spans="1:15" ht="15" customHeight="1" x14ac:dyDescent="0.25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</row>
    <row r="3955" spans="1:15" ht="15" customHeight="1" x14ac:dyDescent="0.25">
      <c r="A3955" s="3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</row>
    <row r="3956" spans="1:15" ht="15" customHeight="1" x14ac:dyDescent="0.25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</row>
    <row r="3957" spans="1:15" ht="15" customHeight="1" x14ac:dyDescent="0.25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</row>
    <row r="3958" spans="1:15" ht="15" customHeight="1" x14ac:dyDescent="0.25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</row>
    <row r="3959" spans="1:15" ht="15" customHeight="1" x14ac:dyDescent="0.25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</row>
    <row r="3960" spans="1:15" ht="15" customHeight="1" x14ac:dyDescent="0.25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</row>
    <row r="3961" spans="1:15" ht="15" customHeight="1" x14ac:dyDescent="0.25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</row>
    <row r="3962" spans="1:15" ht="15" customHeight="1" x14ac:dyDescent="0.25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</row>
    <row r="3963" spans="1:15" ht="15" customHeight="1" x14ac:dyDescent="0.25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</row>
    <row r="3964" spans="1:15" ht="15" customHeight="1" x14ac:dyDescent="0.25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</row>
    <row r="3965" spans="1:15" ht="15" customHeight="1" x14ac:dyDescent="0.25">
      <c r="A3965" s="3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</row>
    <row r="3966" spans="1:15" ht="15" customHeight="1" x14ac:dyDescent="0.25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</row>
    <row r="3967" spans="1:15" ht="15" customHeight="1" x14ac:dyDescent="0.25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</row>
    <row r="3968" spans="1:15" ht="15" customHeight="1" x14ac:dyDescent="0.25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</row>
    <row r="3969" spans="1:15" ht="15" customHeight="1" x14ac:dyDescent="0.25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</row>
    <row r="3970" spans="1:15" ht="15" customHeight="1" x14ac:dyDescent="0.25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</row>
    <row r="3971" spans="1:15" ht="15" customHeight="1" x14ac:dyDescent="0.25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</row>
    <row r="3972" spans="1:15" ht="15" customHeight="1" x14ac:dyDescent="0.25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</row>
    <row r="3973" spans="1:15" ht="15" customHeight="1" x14ac:dyDescent="0.25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</row>
    <row r="3974" spans="1:15" ht="15" customHeight="1" x14ac:dyDescent="0.25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</row>
    <row r="3975" spans="1:15" ht="15" customHeight="1" x14ac:dyDescent="0.25">
      <c r="A3975" s="3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</row>
    <row r="3976" spans="1:15" ht="15" customHeight="1" x14ac:dyDescent="0.25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</row>
    <row r="3977" spans="1:15" ht="15" customHeight="1" x14ac:dyDescent="0.25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</row>
    <row r="3978" spans="1:15" ht="15" customHeight="1" x14ac:dyDescent="0.25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</row>
    <row r="3979" spans="1:15" ht="15" customHeight="1" x14ac:dyDescent="0.25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</row>
    <row r="3980" spans="1:15" ht="15" customHeight="1" x14ac:dyDescent="0.25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</row>
    <row r="3981" spans="1:15" ht="15" customHeight="1" x14ac:dyDescent="0.25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</row>
    <row r="3982" spans="1:15" ht="15" customHeight="1" x14ac:dyDescent="0.25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</row>
    <row r="3983" spans="1:15" ht="15" customHeight="1" x14ac:dyDescent="0.25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</row>
    <row r="3984" spans="1:15" ht="15" customHeight="1" x14ac:dyDescent="0.25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</row>
    <row r="3985" spans="1:15" ht="15" customHeight="1" x14ac:dyDescent="0.25">
      <c r="A3985" s="3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</row>
    <row r="3986" spans="1:15" ht="15" customHeight="1" x14ac:dyDescent="0.25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</row>
    <row r="3987" spans="1:15" ht="15" customHeight="1" x14ac:dyDescent="0.25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</row>
    <row r="3988" spans="1:15" ht="15" customHeight="1" x14ac:dyDescent="0.25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</row>
    <row r="3989" spans="1:15" ht="15" customHeight="1" x14ac:dyDescent="0.25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</row>
    <row r="3990" spans="1:15" ht="15" customHeight="1" x14ac:dyDescent="0.25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</row>
    <row r="3991" spans="1:15" ht="15" customHeight="1" x14ac:dyDescent="0.25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</row>
    <row r="3992" spans="1:15" ht="15" customHeight="1" x14ac:dyDescent="0.25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</row>
    <row r="3993" spans="1:15" ht="15" customHeight="1" x14ac:dyDescent="0.25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</row>
    <row r="3994" spans="1:15" ht="15" customHeight="1" x14ac:dyDescent="0.25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</row>
    <row r="3995" spans="1:15" ht="15" customHeight="1" x14ac:dyDescent="0.25">
      <c r="A3995" s="3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</row>
    <row r="3996" spans="1:15" ht="15" customHeight="1" x14ac:dyDescent="0.25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</row>
    <row r="3997" spans="1:15" ht="15" customHeight="1" x14ac:dyDescent="0.25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</row>
    <row r="3998" spans="1:15" ht="15" customHeight="1" x14ac:dyDescent="0.25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</row>
    <row r="3999" spans="1:15" ht="15" customHeight="1" x14ac:dyDescent="0.25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</row>
    <row r="4000" spans="1:15" ht="15" customHeight="1" x14ac:dyDescent="0.25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</row>
    <row r="4001" spans="1:15" ht="15" customHeight="1" x14ac:dyDescent="0.25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</row>
    <row r="4002" spans="1:15" ht="15" customHeight="1" x14ac:dyDescent="0.25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</row>
    <row r="4003" spans="1:15" ht="15" customHeight="1" x14ac:dyDescent="0.25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</row>
    <row r="4004" spans="1:15" ht="15" customHeight="1" x14ac:dyDescent="0.25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</row>
    <row r="4005" spans="1:15" ht="15" customHeight="1" x14ac:dyDescent="0.25">
      <c r="A4005" s="3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</row>
    <row r="4006" spans="1:15" ht="15" customHeight="1" x14ac:dyDescent="0.25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</row>
    <row r="4007" spans="1:15" ht="15" customHeight="1" x14ac:dyDescent="0.25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</row>
    <row r="4008" spans="1:15" ht="15" customHeight="1" x14ac:dyDescent="0.25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</row>
    <row r="4009" spans="1:15" ht="15" customHeight="1" x14ac:dyDescent="0.25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</row>
    <row r="4010" spans="1:15" ht="15" customHeight="1" x14ac:dyDescent="0.25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</row>
    <row r="4011" spans="1:15" ht="15" customHeight="1" x14ac:dyDescent="0.25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</row>
    <row r="4012" spans="1:15" ht="15" customHeight="1" x14ac:dyDescent="0.25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</row>
    <row r="4013" spans="1:15" ht="15" customHeight="1" x14ac:dyDescent="0.25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</row>
    <row r="4014" spans="1:15" ht="15" customHeight="1" x14ac:dyDescent="0.25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</row>
    <row r="4015" spans="1:15" ht="15" customHeight="1" x14ac:dyDescent="0.25">
      <c r="A4015" s="3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</row>
    <row r="4016" spans="1:15" ht="15" customHeight="1" x14ac:dyDescent="0.25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</row>
    <row r="4017" spans="1:15" ht="15" customHeight="1" x14ac:dyDescent="0.25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</row>
    <row r="4018" spans="1:15" ht="15" customHeight="1" x14ac:dyDescent="0.25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</row>
    <row r="4019" spans="1:15" ht="15" customHeight="1" x14ac:dyDescent="0.25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</row>
    <row r="4020" spans="1:15" ht="15" customHeight="1" x14ac:dyDescent="0.25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</row>
    <row r="4021" spans="1:15" ht="15" customHeight="1" x14ac:dyDescent="0.25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</row>
    <row r="4022" spans="1:15" ht="15" customHeight="1" x14ac:dyDescent="0.25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</row>
    <row r="4023" spans="1:15" ht="15" customHeight="1" x14ac:dyDescent="0.25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</row>
    <row r="4024" spans="1:15" ht="15" customHeight="1" x14ac:dyDescent="0.25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</row>
    <row r="4025" spans="1:15" ht="15" customHeight="1" x14ac:dyDescent="0.25">
      <c r="A4025" s="3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</row>
    <row r="4026" spans="1:15" ht="15" customHeight="1" x14ac:dyDescent="0.25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</row>
    <row r="4027" spans="1:15" ht="15" customHeight="1" x14ac:dyDescent="0.25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</row>
    <row r="4028" spans="1:15" ht="15" customHeight="1" x14ac:dyDescent="0.25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</row>
    <row r="4029" spans="1:15" ht="15" customHeight="1" x14ac:dyDescent="0.25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</row>
    <row r="4030" spans="1:15" ht="15" customHeight="1" x14ac:dyDescent="0.25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</row>
    <row r="4031" spans="1:15" ht="15" customHeight="1" x14ac:dyDescent="0.25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</row>
    <row r="4032" spans="1:15" ht="15" customHeight="1" x14ac:dyDescent="0.25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</row>
    <row r="4033" spans="1:15" ht="15" customHeight="1" x14ac:dyDescent="0.25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</row>
    <row r="4034" spans="1:15" ht="15" customHeight="1" x14ac:dyDescent="0.25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</row>
    <row r="4035" spans="1:15" ht="15" customHeight="1" x14ac:dyDescent="0.25">
      <c r="A4035" s="3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</row>
    <row r="4036" spans="1:15" ht="15" customHeight="1" x14ac:dyDescent="0.25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</row>
    <row r="4037" spans="1:15" ht="15" customHeight="1" x14ac:dyDescent="0.25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</row>
    <row r="4038" spans="1:15" ht="15" customHeight="1" x14ac:dyDescent="0.25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</row>
    <row r="4039" spans="1:15" ht="15" customHeight="1" x14ac:dyDescent="0.25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</row>
    <row r="4040" spans="1:15" ht="15" customHeight="1" x14ac:dyDescent="0.25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</row>
    <row r="4041" spans="1:15" ht="15" customHeight="1" x14ac:dyDescent="0.25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</row>
    <row r="4042" spans="1:15" ht="15" customHeight="1" x14ac:dyDescent="0.25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</row>
    <row r="4043" spans="1:15" ht="15" customHeight="1" x14ac:dyDescent="0.25">
      <c r="A4043" s="3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</row>
    <row r="4044" spans="1:15" ht="15" customHeight="1" x14ac:dyDescent="0.25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</row>
    <row r="4045" spans="1:15" ht="15" customHeight="1" x14ac:dyDescent="0.25">
      <c r="A4045" s="3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</row>
    <row r="4046" spans="1:15" ht="15" customHeight="1" x14ac:dyDescent="0.25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</row>
    <row r="4047" spans="1:15" ht="15" customHeight="1" x14ac:dyDescent="0.25">
      <c r="A4047" s="3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</row>
    <row r="4048" spans="1:15" ht="15" customHeight="1" x14ac:dyDescent="0.25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</row>
    <row r="4049" spans="1:15" ht="15" customHeight="1" x14ac:dyDescent="0.25">
      <c r="A4049" s="3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</row>
    <row r="4050" spans="1:15" ht="15" customHeight="1" x14ac:dyDescent="0.25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</row>
    <row r="4051" spans="1:15" ht="15" customHeight="1" x14ac:dyDescent="0.25">
      <c r="A4051" s="3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</row>
    <row r="4052" spans="1:15" ht="15" customHeight="1" x14ac:dyDescent="0.25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</row>
    <row r="4053" spans="1:15" ht="15" customHeight="1" x14ac:dyDescent="0.25">
      <c r="A4053" s="3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</row>
    <row r="4054" spans="1:15" ht="15" customHeight="1" x14ac:dyDescent="0.25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</row>
    <row r="4055" spans="1:15" ht="15" customHeight="1" x14ac:dyDescent="0.25">
      <c r="A4055" s="3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</row>
    <row r="4056" spans="1:15" ht="15" customHeight="1" x14ac:dyDescent="0.25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</row>
    <row r="4057" spans="1:15" ht="15" customHeight="1" x14ac:dyDescent="0.25">
      <c r="A4057" s="3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</row>
    <row r="4058" spans="1:15" ht="15" customHeight="1" x14ac:dyDescent="0.25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</row>
    <row r="4059" spans="1:15" ht="15" customHeight="1" x14ac:dyDescent="0.25">
      <c r="A4059" s="3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</row>
    <row r="4060" spans="1:15" ht="15" customHeight="1" x14ac:dyDescent="0.25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</row>
    <row r="4061" spans="1:15" ht="15" customHeight="1" x14ac:dyDescent="0.25">
      <c r="A4061" s="3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</row>
    <row r="4062" spans="1:15" ht="15" customHeight="1" x14ac:dyDescent="0.25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</row>
    <row r="4063" spans="1:15" ht="15" customHeight="1" x14ac:dyDescent="0.25">
      <c r="A4063" s="3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</row>
    <row r="4064" spans="1:15" ht="15" customHeight="1" x14ac:dyDescent="0.25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</row>
    <row r="4065" spans="1:15" ht="15" customHeight="1" x14ac:dyDescent="0.25">
      <c r="A4065" s="3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</row>
    <row r="4066" spans="1:15" ht="15" customHeight="1" x14ac:dyDescent="0.25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</row>
    <row r="4067" spans="1:15" ht="15" customHeight="1" x14ac:dyDescent="0.25">
      <c r="A4067" s="3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</row>
    <row r="4068" spans="1:15" ht="15" customHeight="1" x14ac:dyDescent="0.25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</row>
    <row r="4069" spans="1:15" ht="15" customHeight="1" x14ac:dyDescent="0.25">
      <c r="A4069" s="3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</row>
    <row r="4070" spans="1:15" ht="15" customHeight="1" x14ac:dyDescent="0.25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</row>
    <row r="4071" spans="1:15" ht="15" customHeight="1" x14ac:dyDescent="0.25">
      <c r="A4071" s="3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</row>
    <row r="4072" spans="1:15" ht="15" customHeight="1" x14ac:dyDescent="0.25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</row>
    <row r="4073" spans="1:15" ht="15" customHeight="1" x14ac:dyDescent="0.25">
      <c r="A4073" s="3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</row>
    <row r="4074" spans="1:15" ht="15" customHeight="1" x14ac:dyDescent="0.25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</row>
    <row r="4075" spans="1:15" ht="15" customHeight="1" x14ac:dyDescent="0.25">
      <c r="A4075" s="3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</row>
    <row r="4076" spans="1:15" ht="15" customHeight="1" x14ac:dyDescent="0.25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</row>
    <row r="4077" spans="1:15" ht="15" customHeight="1" x14ac:dyDescent="0.25">
      <c r="A4077" s="3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</row>
    <row r="4078" spans="1:15" ht="15" customHeight="1" x14ac:dyDescent="0.25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</row>
    <row r="4079" spans="1:15" ht="15" customHeight="1" x14ac:dyDescent="0.25">
      <c r="A4079" s="3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</row>
    <row r="4080" spans="1:15" ht="15" customHeight="1" x14ac:dyDescent="0.25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</row>
    <row r="4081" spans="1:15" ht="15" customHeight="1" x14ac:dyDescent="0.25">
      <c r="A4081" s="3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</row>
    <row r="4082" spans="1:15" ht="15" customHeight="1" x14ac:dyDescent="0.25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</row>
    <row r="4083" spans="1:15" ht="15" customHeight="1" x14ac:dyDescent="0.25">
      <c r="A4083" s="3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</row>
    <row r="4084" spans="1:15" ht="15" customHeight="1" x14ac:dyDescent="0.25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</row>
    <row r="4085" spans="1:15" ht="15" customHeight="1" x14ac:dyDescent="0.25">
      <c r="A4085" s="3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</row>
    <row r="4086" spans="1:15" ht="15" customHeight="1" x14ac:dyDescent="0.25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</row>
    <row r="4087" spans="1:15" ht="15" customHeight="1" x14ac:dyDescent="0.25">
      <c r="A4087" s="3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</row>
    <row r="4088" spans="1:15" ht="15" customHeight="1" x14ac:dyDescent="0.25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</row>
    <row r="4089" spans="1:15" ht="15" customHeight="1" x14ac:dyDescent="0.25">
      <c r="A4089" s="3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</row>
    <row r="4090" spans="1:15" ht="15" customHeight="1" x14ac:dyDescent="0.25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</row>
    <row r="4091" spans="1:15" ht="15" customHeight="1" x14ac:dyDescent="0.25">
      <c r="A4091" s="3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</row>
    <row r="4092" spans="1:15" ht="15" customHeight="1" x14ac:dyDescent="0.25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</row>
    <row r="4093" spans="1:15" ht="15" customHeight="1" x14ac:dyDescent="0.25">
      <c r="A4093" s="3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</row>
    <row r="4094" spans="1:15" ht="15" customHeight="1" x14ac:dyDescent="0.25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</row>
    <row r="4095" spans="1:15" ht="15" customHeight="1" x14ac:dyDescent="0.25">
      <c r="A4095" s="3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</row>
    <row r="4096" spans="1:15" ht="15" customHeight="1" x14ac:dyDescent="0.25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</row>
    <row r="4097" spans="1:15" ht="15" customHeight="1" x14ac:dyDescent="0.25">
      <c r="A4097" s="3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</row>
    <row r="4098" spans="1:15" ht="15" customHeight="1" x14ac:dyDescent="0.25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</row>
    <row r="4099" spans="1:15" ht="15" customHeight="1" x14ac:dyDescent="0.25">
      <c r="A4099" s="3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</row>
    <row r="4100" spans="1:15" ht="15" customHeight="1" x14ac:dyDescent="0.25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</row>
    <row r="4101" spans="1:15" ht="15" customHeight="1" x14ac:dyDescent="0.25">
      <c r="A4101" s="3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</row>
    <row r="4102" spans="1:15" ht="15" customHeight="1" x14ac:dyDescent="0.25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</row>
    <row r="4103" spans="1:15" ht="15" customHeight="1" x14ac:dyDescent="0.25">
      <c r="A4103" s="3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</row>
    <row r="4104" spans="1:15" ht="15" customHeight="1" x14ac:dyDescent="0.25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</row>
    <row r="4105" spans="1:15" ht="15" customHeight="1" x14ac:dyDescent="0.25">
      <c r="A4105" s="3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</row>
    <row r="4106" spans="1:15" ht="15" customHeight="1" x14ac:dyDescent="0.25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</row>
    <row r="4107" spans="1:15" ht="15" customHeight="1" x14ac:dyDescent="0.25">
      <c r="A4107" s="3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</row>
    <row r="4108" spans="1:15" ht="15" customHeight="1" x14ac:dyDescent="0.25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</row>
    <row r="4109" spans="1:15" ht="15" customHeight="1" x14ac:dyDescent="0.25">
      <c r="A4109" s="3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</row>
    <row r="4110" spans="1:15" ht="15" customHeight="1" x14ac:dyDescent="0.25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</row>
    <row r="4111" spans="1:15" ht="15" customHeight="1" x14ac:dyDescent="0.25">
      <c r="A4111" s="3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</row>
    <row r="4112" spans="1:15" ht="15" customHeight="1" x14ac:dyDescent="0.25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</row>
    <row r="4113" spans="1:15" ht="15" customHeight="1" x14ac:dyDescent="0.25">
      <c r="A4113" s="3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</row>
    <row r="4114" spans="1:15" ht="15" customHeight="1" x14ac:dyDescent="0.25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</row>
    <row r="4115" spans="1:15" ht="15" customHeight="1" x14ac:dyDescent="0.25">
      <c r="A4115" s="3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</row>
    <row r="4116" spans="1:15" ht="15" customHeight="1" x14ac:dyDescent="0.25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</row>
    <row r="4117" spans="1:15" ht="15" customHeight="1" x14ac:dyDescent="0.25">
      <c r="A4117" s="3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</row>
    <row r="4118" spans="1:15" ht="15" customHeight="1" x14ac:dyDescent="0.25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</row>
    <row r="4119" spans="1:15" ht="15" customHeight="1" x14ac:dyDescent="0.25">
      <c r="A4119" s="3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</row>
    <row r="4120" spans="1:15" ht="15" customHeight="1" x14ac:dyDescent="0.25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</row>
    <row r="4121" spans="1:15" ht="15" customHeight="1" x14ac:dyDescent="0.25">
      <c r="A4121" s="3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</row>
    <row r="4122" spans="1:15" ht="15" customHeight="1" x14ac:dyDescent="0.25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</row>
    <row r="4123" spans="1:15" ht="15" customHeight="1" x14ac:dyDescent="0.25">
      <c r="A4123" s="3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</row>
    <row r="4124" spans="1:15" ht="15" customHeight="1" x14ac:dyDescent="0.25">
      <c r="A4124" s="2"/>
      <c r="B4124" s="2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</row>
    <row r="4125" spans="1:15" ht="15" customHeight="1" x14ac:dyDescent="0.25">
      <c r="A4125" s="3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</row>
    <row r="4126" spans="1:15" ht="15" customHeight="1" x14ac:dyDescent="0.25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</row>
    <row r="4127" spans="1:15" ht="15" customHeight="1" x14ac:dyDescent="0.25">
      <c r="A4127" s="3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</row>
    <row r="4128" spans="1:15" ht="15" customHeight="1" x14ac:dyDescent="0.25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</row>
    <row r="4129" spans="1:15" ht="15" customHeight="1" x14ac:dyDescent="0.25">
      <c r="A4129" s="3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</row>
    <row r="4130" spans="1:15" ht="15" customHeight="1" x14ac:dyDescent="0.25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</row>
    <row r="4131" spans="1:15" ht="15" customHeight="1" x14ac:dyDescent="0.25">
      <c r="A4131" s="3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</row>
    <row r="4132" spans="1:15" ht="15" customHeight="1" x14ac:dyDescent="0.25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</row>
    <row r="4133" spans="1:15" ht="15" customHeight="1" x14ac:dyDescent="0.25">
      <c r="A4133" s="3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</row>
    <row r="4134" spans="1:15" ht="15" customHeight="1" x14ac:dyDescent="0.25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</row>
    <row r="4135" spans="1:15" ht="15" customHeight="1" x14ac:dyDescent="0.25">
      <c r="A4135" s="3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</row>
    <row r="4136" spans="1:15" ht="15" customHeight="1" x14ac:dyDescent="0.25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</row>
    <row r="4137" spans="1:15" ht="15" customHeight="1" x14ac:dyDescent="0.25">
      <c r="A4137" s="3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</row>
    <row r="4138" spans="1:15" ht="15" customHeight="1" x14ac:dyDescent="0.25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</row>
    <row r="4139" spans="1:15" ht="15" customHeight="1" x14ac:dyDescent="0.25">
      <c r="A4139" s="3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</row>
    <row r="4140" spans="1:15" ht="15" customHeight="1" x14ac:dyDescent="0.25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</row>
    <row r="4141" spans="1:15" ht="15" customHeight="1" x14ac:dyDescent="0.25">
      <c r="A4141" s="3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</row>
    <row r="4142" spans="1:15" ht="15" customHeight="1" x14ac:dyDescent="0.25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</row>
    <row r="4143" spans="1:15" ht="15" customHeight="1" x14ac:dyDescent="0.25">
      <c r="A4143" s="3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</row>
    <row r="4144" spans="1:15" ht="15" customHeight="1" x14ac:dyDescent="0.25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</row>
    <row r="4145" spans="1:15" ht="15" customHeight="1" x14ac:dyDescent="0.25">
      <c r="A4145" s="3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</row>
    <row r="4146" spans="1:15" ht="15" customHeight="1" x14ac:dyDescent="0.25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</row>
    <row r="4147" spans="1:15" ht="15" customHeight="1" x14ac:dyDescent="0.25">
      <c r="A4147" s="3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</row>
    <row r="4148" spans="1:15" ht="15" customHeight="1" x14ac:dyDescent="0.25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</row>
    <row r="4149" spans="1:15" ht="15" customHeight="1" x14ac:dyDescent="0.25">
      <c r="A4149" s="3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</row>
    <row r="4150" spans="1:15" ht="15" customHeight="1" x14ac:dyDescent="0.25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</row>
    <row r="4151" spans="1:15" ht="15" customHeight="1" x14ac:dyDescent="0.25">
      <c r="A4151" s="3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</row>
    <row r="4152" spans="1:15" ht="15" customHeight="1" x14ac:dyDescent="0.25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</row>
    <row r="4153" spans="1:15" ht="15" customHeight="1" x14ac:dyDescent="0.25">
      <c r="A4153" s="3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</row>
    <row r="4154" spans="1:15" ht="15" customHeight="1" x14ac:dyDescent="0.25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</row>
    <row r="4155" spans="1:15" ht="15" customHeight="1" x14ac:dyDescent="0.25">
      <c r="A4155" s="3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</row>
    <row r="4156" spans="1:15" ht="15" customHeight="1" x14ac:dyDescent="0.25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</row>
    <row r="4157" spans="1:15" ht="15" customHeight="1" x14ac:dyDescent="0.25">
      <c r="A4157" s="3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</row>
    <row r="4158" spans="1:15" ht="15" customHeight="1" x14ac:dyDescent="0.25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</row>
    <row r="4159" spans="1:15" ht="15" customHeight="1" x14ac:dyDescent="0.25">
      <c r="A4159" s="3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</row>
    <row r="4160" spans="1:15" ht="15" customHeight="1" x14ac:dyDescent="0.25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</row>
    <row r="4161" spans="1:15" ht="15" customHeight="1" x14ac:dyDescent="0.25">
      <c r="A4161" s="3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</row>
    <row r="4162" spans="1:15" ht="15" customHeight="1" x14ac:dyDescent="0.25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</row>
    <row r="4163" spans="1:15" ht="15" customHeight="1" x14ac:dyDescent="0.25">
      <c r="A4163" s="3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</row>
    <row r="4164" spans="1:15" ht="15" customHeight="1" x14ac:dyDescent="0.25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</row>
    <row r="4165" spans="1:15" ht="15" customHeight="1" x14ac:dyDescent="0.25">
      <c r="A4165" s="3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</row>
    <row r="4166" spans="1:15" ht="15" customHeight="1" x14ac:dyDescent="0.25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</row>
    <row r="4167" spans="1:15" ht="15" customHeight="1" x14ac:dyDescent="0.25">
      <c r="A4167" s="3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</row>
    <row r="4168" spans="1:15" ht="15" customHeight="1" x14ac:dyDescent="0.25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</row>
    <row r="4169" spans="1:15" ht="15" customHeight="1" x14ac:dyDescent="0.25">
      <c r="A4169" s="3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</row>
    <row r="4170" spans="1:15" ht="15" customHeight="1" x14ac:dyDescent="0.25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</row>
    <row r="4171" spans="1:15" ht="15" customHeight="1" x14ac:dyDescent="0.25">
      <c r="A4171" s="3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</row>
    <row r="4172" spans="1:15" ht="15" customHeight="1" x14ac:dyDescent="0.25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</row>
    <row r="4173" spans="1:15" ht="15" customHeight="1" x14ac:dyDescent="0.25">
      <c r="A4173" s="3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</row>
    <row r="4174" spans="1:15" ht="15" customHeight="1" x14ac:dyDescent="0.25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</row>
    <row r="4175" spans="1:15" ht="15" customHeight="1" x14ac:dyDescent="0.25">
      <c r="A4175" s="3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</row>
    <row r="4176" spans="1:15" ht="15" customHeight="1" x14ac:dyDescent="0.25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</row>
    <row r="4177" spans="1:15" ht="15" customHeight="1" x14ac:dyDescent="0.25">
      <c r="A4177" s="3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</row>
    <row r="4178" spans="1:15" ht="15" customHeight="1" x14ac:dyDescent="0.25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</row>
    <row r="4179" spans="1:15" ht="15" customHeight="1" x14ac:dyDescent="0.25">
      <c r="A4179" s="3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</row>
    <row r="4180" spans="1:15" ht="15" customHeight="1" x14ac:dyDescent="0.25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</row>
    <row r="4181" spans="1:15" ht="15" customHeight="1" x14ac:dyDescent="0.25">
      <c r="A4181" s="3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</row>
    <row r="4182" spans="1:15" ht="15" customHeight="1" x14ac:dyDescent="0.25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</row>
    <row r="4183" spans="1:15" ht="15" customHeight="1" x14ac:dyDescent="0.25">
      <c r="A4183" s="3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</row>
    <row r="4184" spans="1:15" ht="15" customHeight="1" x14ac:dyDescent="0.25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</row>
    <row r="4185" spans="1:15" ht="15" customHeight="1" x14ac:dyDescent="0.25">
      <c r="A4185" s="3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</row>
    <row r="4186" spans="1:15" ht="15" customHeight="1" x14ac:dyDescent="0.25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</row>
    <row r="4187" spans="1:15" ht="15" customHeight="1" x14ac:dyDescent="0.25">
      <c r="A4187" s="3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</row>
    <row r="4188" spans="1:15" ht="15" customHeight="1" x14ac:dyDescent="0.25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</row>
    <row r="4189" spans="1:15" ht="15" customHeight="1" x14ac:dyDescent="0.25">
      <c r="A4189" s="3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</row>
    <row r="4190" spans="1:15" ht="15" customHeight="1" x14ac:dyDescent="0.25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</row>
    <row r="4191" spans="1:15" ht="15" customHeight="1" x14ac:dyDescent="0.25">
      <c r="A4191" s="3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</row>
    <row r="4192" spans="1:15" ht="15" customHeight="1" x14ac:dyDescent="0.25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</row>
    <row r="4193" spans="1:15" ht="15" customHeight="1" x14ac:dyDescent="0.25">
      <c r="A4193" s="3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</row>
    <row r="4194" spans="1:15" ht="15" customHeight="1" x14ac:dyDescent="0.25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</row>
    <row r="4195" spans="1:15" ht="15" customHeight="1" x14ac:dyDescent="0.25">
      <c r="A4195" s="3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</row>
    <row r="4196" spans="1:15" ht="15" customHeight="1" x14ac:dyDescent="0.25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</row>
    <row r="4197" spans="1:15" ht="15" customHeight="1" x14ac:dyDescent="0.25">
      <c r="A4197" s="3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</row>
    <row r="4198" spans="1:15" ht="15" customHeight="1" x14ac:dyDescent="0.25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</row>
    <row r="4199" spans="1:15" ht="15" customHeight="1" x14ac:dyDescent="0.25">
      <c r="A4199" s="3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</row>
    <row r="4200" spans="1:15" ht="15" customHeight="1" x14ac:dyDescent="0.25">
      <c r="A4200" s="2"/>
      <c r="B4200" s="2"/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</row>
    <row r="4201" spans="1:15" ht="15" customHeight="1" x14ac:dyDescent="0.25">
      <c r="A4201" s="3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</row>
    <row r="4202" spans="1:15" ht="15" customHeight="1" x14ac:dyDescent="0.25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</row>
    <row r="4203" spans="1:15" ht="15" customHeight="1" x14ac:dyDescent="0.25">
      <c r="A4203" s="3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</row>
    <row r="4204" spans="1:15" ht="15" customHeight="1" x14ac:dyDescent="0.25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</row>
    <row r="4205" spans="1:15" ht="15" customHeight="1" x14ac:dyDescent="0.25">
      <c r="A4205" s="3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</row>
    <row r="4206" spans="1:15" ht="15" customHeight="1" x14ac:dyDescent="0.25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</row>
    <row r="4207" spans="1:15" ht="15" customHeight="1" x14ac:dyDescent="0.25">
      <c r="A4207" s="3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</row>
    <row r="4208" spans="1:15" ht="15" customHeight="1" x14ac:dyDescent="0.25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</row>
    <row r="4209" spans="1:15" ht="15" customHeight="1" x14ac:dyDescent="0.25">
      <c r="A4209" s="3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</row>
    <row r="4210" spans="1:15" ht="15" customHeight="1" x14ac:dyDescent="0.25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</row>
    <row r="4211" spans="1:15" ht="15" customHeight="1" x14ac:dyDescent="0.25">
      <c r="A4211" s="3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</row>
    <row r="4212" spans="1:15" ht="15" customHeight="1" x14ac:dyDescent="0.25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</row>
    <row r="4213" spans="1:15" ht="15" customHeight="1" x14ac:dyDescent="0.25">
      <c r="A4213" s="3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</row>
    <row r="4214" spans="1:15" ht="15" customHeight="1" x14ac:dyDescent="0.25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</row>
    <row r="4215" spans="1:15" ht="15" customHeight="1" x14ac:dyDescent="0.25">
      <c r="A4215" s="3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</row>
    <row r="4216" spans="1:15" ht="15" customHeight="1" x14ac:dyDescent="0.25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</row>
    <row r="4217" spans="1:15" ht="15" customHeight="1" x14ac:dyDescent="0.25">
      <c r="A4217" s="3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</row>
    <row r="4218" spans="1:15" ht="15" customHeight="1" x14ac:dyDescent="0.25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</row>
    <row r="4219" spans="1:15" ht="15" customHeight="1" x14ac:dyDescent="0.25">
      <c r="A4219" s="3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</row>
    <row r="4220" spans="1:15" ht="15" customHeight="1" x14ac:dyDescent="0.25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</row>
    <row r="4221" spans="1:15" ht="15" customHeight="1" x14ac:dyDescent="0.25">
      <c r="A4221" s="3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</row>
    <row r="4222" spans="1:15" ht="15" customHeight="1" x14ac:dyDescent="0.25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</row>
    <row r="4223" spans="1:15" ht="15" customHeight="1" x14ac:dyDescent="0.25">
      <c r="A4223" s="3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</row>
    <row r="4224" spans="1:15" ht="15" customHeight="1" x14ac:dyDescent="0.25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</row>
    <row r="4225" spans="1:15" ht="15" customHeight="1" x14ac:dyDescent="0.25">
      <c r="A4225" s="3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</row>
    <row r="4226" spans="1:15" ht="15" customHeight="1" x14ac:dyDescent="0.25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</row>
    <row r="4227" spans="1:15" ht="15" customHeight="1" x14ac:dyDescent="0.25">
      <c r="A4227" s="3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</row>
    <row r="4228" spans="1:15" ht="15" customHeight="1" x14ac:dyDescent="0.25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</row>
    <row r="4229" spans="1:15" ht="15" customHeight="1" x14ac:dyDescent="0.25">
      <c r="A4229" s="3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</row>
    <row r="4230" spans="1:15" ht="15" customHeight="1" x14ac:dyDescent="0.25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</row>
    <row r="4231" spans="1:15" ht="15" customHeight="1" x14ac:dyDescent="0.25">
      <c r="A4231" s="3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</row>
    <row r="4232" spans="1:15" ht="15" customHeight="1" x14ac:dyDescent="0.25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</row>
    <row r="4233" spans="1:15" ht="15" customHeight="1" x14ac:dyDescent="0.25">
      <c r="A4233" s="3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</row>
    <row r="4234" spans="1:15" ht="15" customHeight="1" x14ac:dyDescent="0.25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</row>
    <row r="4235" spans="1:15" ht="15" customHeight="1" x14ac:dyDescent="0.25">
      <c r="A4235" s="3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</row>
    <row r="4236" spans="1:15" ht="15" customHeight="1" x14ac:dyDescent="0.25">
      <c r="A4236" s="2"/>
      <c r="B4236" s="2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</row>
    <row r="4237" spans="1:15" ht="15" customHeight="1" x14ac:dyDescent="0.25">
      <c r="A4237" s="3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</row>
    <row r="4238" spans="1:15" ht="15" customHeight="1" x14ac:dyDescent="0.25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</row>
    <row r="4239" spans="1:15" ht="15" customHeight="1" x14ac:dyDescent="0.25">
      <c r="A4239" s="3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</row>
    <row r="4240" spans="1:15" ht="15" customHeight="1" x14ac:dyDescent="0.25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</row>
    <row r="4241" spans="1:15" ht="15" customHeight="1" x14ac:dyDescent="0.25">
      <c r="A4241" s="3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</row>
    <row r="4242" spans="1:15" ht="15" customHeight="1" x14ac:dyDescent="0.25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</row>
    <row r="4243" spans="1:15" ht="15" customHeight="1" x14ac:dyDescent="0.25">
      <c r="A4243" s="3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</row>
    <row r="4244" spans="1:15" ht="15" customHeight="1" x14ac:dyDescent="0.25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</row>
    <row r="4245" spans="1:15" ht="15" customHeight="1" x14ac:dyDescent="0.25">
      <c r="A4245" s="3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</row>
    <row r="4246" spans="1:15" ht="15" customHeight="1" x14ac:dyDescent="0.25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</row>
    <row r="4247" spans="1:15" ht="15" customHeight="1" x14ac:dyDescent="0.25">
      <c r="A4247" s="3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</row>
    <row r="4248" spans="1:15" ht="15" customHeight="1" x14ac:dyDescent="0.25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</row>
    <row r="4249" spans="1:15" ht="15" customHeight="1" x14ac:dyDescent="0.25">
      <c r="A4249" s="3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</row>
    <row r="4250" spans="1:15" ht="15" customHeight="1" x14ac:dyDescent="0.25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</row>
    <row r="4251" spans="1:15" ht="15" customHeight="1" x14ac:dyDescent="0.25">
      <c r="A4251" s="3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</row>
    <row r="4252" spans="1:15" ht="15" customHeight="1" x14ac:dyDescent="0.25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</row>
    <row r="4253" spans="1:15" ht="15" customHeight="1" x14ac:dyDescent="0.25">
      <c r="A4253" s="3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</row>
    <row r="4254" spans="1:15" ht="15" customHeight="1" x14ac:dyDescent="0.25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</row>
    <row r="4255" spans="1:15" ht="15" customHeight="1" x14ac:dyDescent="0.25">
      <c r="A4255" s="3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</row>
    <row r="4256" spans="1:15" ht="15" customHeight="1" x14ac:dyDescent="0.25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</row>
    <row r="4257" spans="1:15" ht="15" customHeight="1" x14ac:dyDescent="0.25">
      <c r="A4257" s="3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</row>
    <row r="4258" spans="1:15" ht="15" customHeight="1" x14ac:dyDescent="0.25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</row>
    <row r="4259" spans="1:15" ht="15" customHeight="1" x14ac:dyDescent="0.25">
      <c r="A4259" s="3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</row>
    <row r="4260" spans="1:15" ht="15" customHeight="1" x14ac:dyDescent="0.25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</row>
    <row r="4261" spans="1:15" ht="15" customHeight="1" x14ac:dyDescent="0.25">
      <c r="A4261" s="3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</row>
    <row r="4262" spans="1:15" ht="15" customHeight="1" x14ac:dyDescent="0.25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</row>
    <row r="4263" spans="1:15" ht="15" customHeight="1" x14ac:dyDescent="0.25">
      <c r="A4263" s="3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</row>
    <row r="4264" spans="1:15" ht="15" customHeight="1" x14ac:dyDescent="0.25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</row>
    <row r="4265" spans="1:15" ht="15" customHeight="1" x14ac:dyDescent="0.25">
      <c r="A4265" s="3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</row>
    <row r="4266" spans="1:15" ht="15" customHeight="1" x14ac:dyDescent="0.25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</row>
    <row r="4267" spans="1:15" ht="15" customHeight="1" x14ac:dyDescent="0.25">
      <c r="A4267" s="3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</row>
    <row r="4268" spans="1:15" ht="15" customHeight="1" x14ac:dyDescent="0.25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</row>
    <row r="4269" spans="1:15" ht="15" customHeight="1" x14ac:dyDescent="0.25">
      <c r="A4269" s="3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</row>
    <row r="4270" spans="1:15" ht="15" customHeight="1" x14ac:dyDescent="0.25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</row>
    <row r="4271" spans="1:15" ht="15" customHeight="1" x14ac:dyDescent="0.25">
      <c r="A4271" s="3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</row>
    <row r="4272" spans="1:15" ht="15" customHeight="1" x14ac:dyDescent="0.25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</row>
    <row r="4273" spans="1:15" ht="15" customHeight="1" x14ac:dyDescent="0.25">
      <c r="A4273" s="3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</row>
    <row r="4274" spans="1:15" ht="15" customHeight="1" x14ac:dyDescent="0.25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</row>
    <row r="4275" spans="1:15" ht="15" customHeight="1" x14ac:dyDescent="0.25">
      <c r="A4275" s="3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</row>
    <row r="4276" spans="1:15" ht="15" customHeight="1" x14ac:dyDescent="0.25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</row>
    <row r="4277" spans="1:15" ht="15" customHeight="1" x14ac:dyDescent="0.25">
      <c r="A4277" s="3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</row>
    <row r="4278" spans="1:15" ht="15" customHeight="1" x14ac:dyDescent="0.25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</row>
    <row r="4279" spans="1:15" ht="15" customHeight="1" x14ac:dyDescent="0.25">
      <c r="A4279" s="3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</row>
    <row r="4280" spans="1:15" ht="15" customHeight="1" x14ac:dyDescent="0.25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</row>
    <row r="4281" spans="1:15" ht="15" customHeight="1" x14ac:dyDescent="0.25">
      <c r="A4281" s="3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</row>
    <row r="4282" spans="1:15" ht="15" customHeight="1" x14ac:dyDescent="0.25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</row>
    <row r="4283" spans="1:15" ht="15" customHeight="1" x14ac:dyDescent="0.25">
      <c r="A4283" s="3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</row>
    <row r="4284" spans="1:15" ht="15" customHeight="1" x14ac:dyDescent="0.25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</row>
    <row r="4285" spans="1:15" ht="15" customHeight="1" x14ac:dyDescent="0.25">
      <c r="A4285" s="3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</row>
    <row r="4286" spans="1:15" ht="15" customHeight="1" x14ac:dyDescent="0.25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</row>
    <row r="4287" spans="1:15" ht="15" customHeight="1" x14ac:dyDescent="0.25">
      <c r="A4287" s="3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</row>
    <row r="4288" spans="1:15" ht="15" customHeight="1" x14ac:dyDescent="0.25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</row>
    <row r="4289" spans="1:15" ht="15" customHeight="1" x14ac:dyDescent="0.25">
      <c r="A4289" s="3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</row>
    <row r="4290" spans="1:15" ht="15" customHeight="1" x14ac:dyDescent="0.25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</row>
    <row r="4291" spans="1:15" ht="15" customHeight="1" x14ac:dyDescent="0.25">
      <c r="A4291" s="3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</row>
    <row r="4292" spans="1:15" ht="15" customHeight="1" x14ac:dyDescent="0.25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</row>
    <row r="4293" spans="1:15" ht="15" customHeight="1" x14ac:dyDescent="0.25">
      <c r="A4293" s="3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</row>
    <row r="4294" spans="1:15" ht="15" customHeight="1" x14ac:dyDescent="0.25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</row>
    <row r="4295" spans="1:15" ht="15" customHeight="1" x14ac:dyDescent="0.25">
      <c r="A4295" s="3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</row>
    <row r="4296" spans="1:15" ht="15" customHeight="1" x14ac:dyDescent="0.25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</row>
    <row r="4297" spans="1:15" ht="15" customHeight="1" x14ac:dyDescent="0.25">
      <c r="A4297" s="3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</row>
    <row r="4298" spans="1:15" ht="15" customHeight="1" x14ac:dyDescent="0.25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</row>
    <row r="4299" spans="1:15" ht="15" customHeight="1" x14ac:dyDescent="0.25">
      <c r="A4299" s="3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</row>
    <row r="4300" spans="1:15" ht="15" customHeight="1" x14ac:dyDescent="0.25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</row>
    <row r="4301" spans="1:15" ht="15" customHeight="1" x14ac:dyDescent="0.25">
      <c r="A4301" s="3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</row>
    <row r="4302" spans="1:15" ht="15" customHeight="1" x14ac:dyDescent="0.25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</row>
    <row r="4303" spans="1:15" ht="15" customHeight="1" x14ac:dyDescent="0.25">
      <c r="A4303" s="3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</row>
    <row r="4304" spans="1:15" ht="15" customHeight="1" x14ac:dyDescent="0.25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</row>
    <row r="4305" spans="1:15" ht="15" customHeight="1" x14ac:dyDescent="0.25">
      <c r="A4305" s="3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</row>
    <row r="4306" spans="1:15" ht="15" customHeight="1" x14ac:dyDescent="0.25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</row>
    <row r="4307" spans="1:15" ht="15" customHeight="1" x14ac:dyDescent="0.25">
      <c r="A4307" s="3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</row>
    <row r="4308" spans="1:15" ht="15" customHeight="1" x14ac:dyDescent="0.25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</row>
    <row r="4309" spans="1:15" ht="15" customHeight="1" x14ac:dyDescent="0.25">
      <c r="A4309" s="3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</row>
    <row r="4310" spans="1:15" ht="15" customHeight="1" x14ac:dyDescent="0.25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</row>
    <row r="4311" spans="1:15" ht="15" customHeight="1" x14ac:dyDescent="0.25">
      <c r="A4311" s="3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</row>
    <row r="4312" spans="1:15" ht="15" customHeight="1" x14ac:dyDescent="0.25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</row>
    <row r="4313" spans="1:15" ht="15" customHeight="1" x14ac:dyDescent="0.25">
      <c r="A4313" s="3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</row>
    <row r="4314" spans="1:15" ht="15" customHeight="1" x14ac:dyDescent="0.25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</row>
    <row r="4315" spans="1:15" ht="15" customHeight="1" x14ac:dyDescent="0.25">
      <c r="A4315" s="3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</row>
    <row r="4316" spans="1:15" ht="15" customHeight="1" x14ac:dyDescent="0.25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</row>
    <row r="4317" spans="1:15" ht="15" customHeight="1" x14ac:dyDescent="0.25">
      <c r="A4317" s="3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</row>
    <row r="4318" spans="1:15" ht="15" customHeight="1" x14ac:dyDescent="0.25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</row>
    <row r="4319" spans="1:15" ht="15" customHeight="1" x14ac:dyDescent="0.25">
      <c r="A4319" s="3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</row>
    <row r="4320" spans="1:15" ht="15" customHeight="1" x14ac:dyDescent="0.25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</row>
    <row r="4321" spans="1:15" ht="15" customHeight="1" x14ac:dyDescent="0.25">
      <c r="A4321" s="3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</row>
    <row r="4322" spans="1:15" ht="15" customHeight="1" x14ac:dyDescent="0.25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</row>
    <row r="4323" spans="1:15" ht="15" customHeight="1" x14ac:dyDescent="0.25">
      <c r="A4323" s="3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</row>
    <row r="4324" spans="1:15" ht="15" customHeight="1" x14ac:dyDescent="0.25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</row>
    <row r="4325" spans="1:15" ht="15" customHeight="1" x14ac:dyDescent="0.25">
      <c r="A4325" s="3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</row>
    <row r="4326" spans="1:15" ht="15" customHeight="1" x14ac:dyDescent="0.25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</row>
    <row r="4327" spans="1:15" ht="15" customHeight="1" x14ac:dyDescent="0.25">
      <c r="A4327" s="3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</row>
    <row r="4328" spans="1:15" ht="15" customHeight="1" x14ac:dyDescent="0.25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</row>
    <row r="4329" spans="1:15" ht="15" customHeight="1" x14ac:dyDescent="0.25">
      <c r="A4329" s="3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</row>
    <row r="4330" spans="1:15" ht="15" customHeight="1" x14ac:dyDescent="0.25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</row>
    <row r="4331" spans="1:15" ht="15" customHeight="1" x14ac:dyDescent="0.25">
      <c r="A4331" s="3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</row>
    <row r="4332" spans="1:15" ht="15" customHeight="1" x14ac:dyDescent="0.25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</row>
    <row r="4333" spans="1:15" ht="15" customHeight="1" x14ac:dyDescent="0.25">
      <c r="A4333" s="3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</row>
    <row r="4334" spans="1:15" ht="15" customHeight="1" x14ac:dyDescent="0.25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</row>
    <row r="4335" spans="1:15" ht="15" customHeight="1" x14ac:dyDescent="0.25">
      <c r="A4335" s="3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</row>
    <row r="4336" spans="1:15" ht="15" customHeight="1" x14ac:dyDescent="0.25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</row>
    <row r="4337" spans="1:15" ht="15" customHeight="1" x14ac:dyDescent="0.25">
      <c r="A4337" s="3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</row>
    <row r="4338" spans="1:15" ht="15" customHeight="1" x14ac:dyDescent="0.25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</row>
    <row r="4339" spans="1:15" ht="15" customHeight="1" x14ac:dyDescent="0.25">
      <c r="A4339" s="3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</row>
    <row r="4340" spans="1:15" ht="15" customHeight="1" x14ac:dyDescent="0.25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</row>
    <row r="4341" spans="1:15" ht="15" customHeight="1" x14ac:dyDescent="0.25">
      <c r="A4341" s="3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</row>
    <row r="4342" spans="1:15" ht="15" customHeight="1" x14ac:dyDescent="0.25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</row>
    <row r="4343" spans="1:15" ht="15" customHeight="1" x14ac:dyDescent="0.25">
      <c r="A4343" s="3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</row>
    <row r="4344" spans="1:15" ht="15" customHeight="1" x14ac:dyDescent="0.25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</row>
    <row r="4345" spans="1:15" ht="15" customHeight="1" x14ac:dyDescent="0.25">
      <c r="A4345" s="3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</row>
    <row r="4346" spans="1:15" ht="15" customHeight="1" x14ac:dyDescent="0.25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</row>
    <row r="4347" spans="1:15" ht="15" customHeight="1" x14ac:dyDescent="0.25">
      <c r="A4347" s="3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</row>
    <row r="4348" spans="1:15" ht="15" customHeight="1" x14ac:dyDescent="0.25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</row>
    <row r="4349" spans="1:15" ht="15" customHeight="1" x14ac:dyDescent="0.25">
      <c r="A4349" s="3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</row>
    <row r="4350" spans="1:15" ht="15" customHeight="1" x14ac:dyDescent="0.25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</row>
    <row r="4351" spans="1:15" ht="15" customHeight="1" x14ac:dyDescent="0.25">
      <c r="A4351" s="3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</row>
    <row r="4352" spans="1:15" ht="15" customHeight="1" x14ac:dyDescent="0.25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</row>
    <row r="4353" spans="1:15" ht="15" customHeight="1" x14ac:dyDescent="0.25">
      <c r="A4353" s="3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</row>
    <row r="4354" spans="1:15" ht="15" customHeight="1" x14ac:dyDescent="0.25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</row>
    <row r="4355" spans="1:15" ht="15" customHeight="1" x14ac:dyDescent="0.25">
      <c r="A4355" s="3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</row>
    <row r="4356" spans="1:15" ht="15" customHeight="1" x14ac:dyDescent="0.25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</row>
    <row r="4357" spans="1:15" ht="15" customHeight="1" x14ac:dyDescent="0.25">
      <c r="A4357" s="3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</row>
    <row r="4358" spans="1:15" ht="15" customHeight="1" x14ac:dyDescent="0.25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</row>
    <row r="4359" spans="1:15" ht="15" customHeight="1" x14ac:dyDescent="0.25">
      <c r="A4359" s="3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</row>
    <row r="4360" spans="1:15" ht="15" customHeight="1" x14ac:dyDescent="0.25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</row>
    <row r="4361" spans="1:15" ht="15" customHeight="1" x14ac:dyDescent="0.25">
      <c r="A4361" s="3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</row>
    <row r="4362" spans="1:15" ht="15" customHeight="1" x14ac:dyDescent="0.25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</row>
    <row r="4363" spans="1:15" ht="15" customHeight="1" x14ac:dyDescent="0.25">
      <c r="A4363" s="3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</row>
    <row r="4364" spans="1:15" ht="15" customHeight="1" x14ac:dyDescent="0.25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</row>
    <row r="4365" spans="1:15" ht="15" customHeight="1" x14ac:dyDescent="0.25">
      <c r="A4365" s="3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</row>
    <row r="4366" spans="1:15" ht="15" customHeight="1" x14ac:dyDescent="0.25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</row>
    <row r="4367" spans="1:15" ht="15" customHeight="1" x14ac:dyDescent="0.25">
      <c r="A4367" s="3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</row>
    <row r="4368" spans="1:15" ht="15" customHeight="1" x14ac:dyDescent="0.25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</row>
    <row r="4369" spans="1:15" ht="15" customHeight="1" x14ac:dyDescent="0.25">
      <c r="A4369" s="3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</row>
    <row r="4370" spans="1:15" ht="15" customHeight="1" x14ac:dyDescent="0.25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</row>
    <row r="4371" spans="1:15" ht="15" customHeight="1" x14ac:dyDescent="0.25">
      <c r="A4371" s="3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</row>
    <row r="4372" spans="1:15" ht="15" customHeight="1" x14ac:dyDescent="0.25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</row>
    <row r="4373" spans="1:15" ht="15" customHeight="1" x14ac:dyDescent="0.25">
      <c r="A4373" s="3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</row>
    <row r="4374" spans="1:15" ht="15" customHeight="1" x14ac:dyDescent="0.25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</row>
    <row r="4375" spans="1:15" ht="15" customHeight="1" x14ac:dyDescent="0.25">
      <c r="A4375" s="3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</row>
    <row r="4376" spans="1:15" ht="15" customHeight="1" x14ac:dyDescent="0.25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</row>
    <row r="4377" spans="1:15" ht="15" customHeight="1" x14ac:dyDescent="0.25">
      <c r="A4377" s="3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</row>
    <row r="4378" spans="1:15" ht="15" customHeight="1" x14ac:dyDescent="0.25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</row>
    <row r="4379" spans="1:15" ht="15" customHeight="1" x14ac:dyDescent="0.25">
      <c r="A4379" s="3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</row>
    <row r="4380" spans="1:15" ht="15" customHeight="1" x14ac:dyDescent="0.25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</row>
    <row r="4381" spans="1:15" ht="15" customHeight="1" x14ac:dyDescent="0.25">
      <c r="A4381" s="3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</row>
    <row r="4382" spans="1:15" ht="15" customHeight="1" x14ac:dyDescent="0.25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</row>
    <row r="4383" spans="1:15" ht="15" customHeight="1" x14ac:dyDescent="0.25">
      <c r="A4383" s="3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</row>
    <row r="4384" spans="1:15" ht="15" customHeight="1" x14ac:dyDescent="0.25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</row>
    <row r="4385" spans="1:15" ht="15" customHeight="1" x14ac:dyDescent="0.25">
      <c r="A4385" s="3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</row>
    <row r="4386" spans="1:15" ht="15" customHeight="1" x14ac:dyDescent="0.25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</row>
    <row r="4387" spans="1:15" ht="15" customHeight="1" x14ac:dyDescent="0.25">
      <c r="A4387" s="3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</row>
    <row r="4388" spans="1:15" ht="15" customHeight="1" x14ac:dyDescent="0.25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</row>
    <row r="4389" spans="1:15" ht="15" customHeight="1" x14ac:dyDescent="0.25">
      <c r="A4389" s="3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</row>
    <row r="4390" spans="1:15" ht="15" customHeight="1" x14ac:dyDescent="0.25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</row>
    <row r="4391" spans="1:15" ht="15" customHeight="1" x14ac:dyDescent="0.25">
      <c r="A4391" s="3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</row>
    <row r="4392" spans="1:15" ht="15" customHeight="1" x14ac:dyDescent="0.25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</row>
    <row r="4393" spans="1:15" ht="15" customHeight="1" x14ac:dyDescent="0.25">
      <c r="A4393" s="3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</row>
    <row r="4394" spans="1:15" ht="15" customHeight="1" x14ac:dyDescent="0.25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</row>
    <row r="4395" spans="1:15" ht="15" customHeight="1" x14ac:dyDescent="0.25">
      <c r="A4395" s="3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</row>
    <row r="4396" spans="1:15" ht="15" customHeight="1" x14ac:dyDescent="0.25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</row>
    <row r="4397" spans="1:15" ht="15" customHeight="1" x14ac:dyDescent="0.25">
      <c r="A4397" s="3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</row>
    <row r="4398" spans="1:15" ht="15" customHeight="1" x14ac:dyDescent="0.25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</row>
    <row r="4399" spans="1:15" ht="15" customHeight="1" x14ac:dyDescent="0.25">
      <c r="A4399" s="3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</row>
    <row r="4400" spans="1:15" ht="15" customHeight="1" x14ac:dyDescent="0.25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</row>
    <row r="4401" spans="1:15" ht="15" customHeight="1" x14ac:dyDescent="0.25">
      <c r="A4401" s="3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</row>
    <row r="4402" spans="1:15" ht="15" customHeight="1" x14ac:dyDescent="0.25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</row>
    <row r="4403" spans="1:15" ht="15" customHeight="1" x14ac:dyDescent="0.25">
      <c r="A4403" s="3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</row>
    <row r="4404" spans="1:15" ht="15" customHeight="1" x14ac:dyDescent="0.25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</row>
    <row r="4405" spans="1:15" ht="15" customHeight="1" x14ac:dyDescent="0.25">
      <c r="A4405" s="3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</row>
    <row r="4406" spans="1:15" ht="15" customHeight="1" x14ac:dyDescent="0.25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</row>
    <row r="4407" spans="1:15" ht="15" customHeight="1" x14ac:dyDescent="0.25">
      <c r="A4407" s="3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</row>
    <row r="4408" spans="1:15" ht="15" customHeight="1" x14ac:dyDescent="0.25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</row>
    <row r="4409" spans="1:15" ht="15" customHeight="1" x14ac:dyDescent="0.25">
      <c r="A4409" s="3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</row>
    <row r="4410" spans="1:15" ht="15" customHeight="1" x14ac:dyDescent="0.25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</row>
    <row r="4411" spans="1:15" ht="15" customHeight="1" x14ac:dyDescent="0.25">
      <c r="A4411" s="3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</row>
    <row r="4412" spans="1:15" ht="15" customHeight="1" x14ac:dyDescent="0.25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</row>
    <row r="4413" spans="1:15" ht="15" customHeight="1" x14ac:dyDescent="0.25">
      <c r="A4413" s="3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</row>
    <row r="4414" spans="1:15" ht="15" customHeight="1" x14ac:dyDescent="0.25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</row>
    <row r="4415" spans="1:15" ht="15" customHeight="1" x14ac:dyDescent="0.25">
      <c r="A4415" s="3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</row>
    <row r="4416" spans="1:15" ht="15" customHeight="1" x14ac:dyDescent="0.25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</row>
    <row r="4417" spans="1:15" ht="15" customHeight="1" x14ac:dyDescent="0.25">
      <c r="A4417" s="3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</row>
    <row r="4418" spans="1:15" ht="15" customHeight="1" x14ac:dyDescent="0.25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</row>
    <row r="4419" spans="1:15" ht="15" customHeight="1" x14ac:dyDescent="0.25">
      <c r="A4419" s="3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</row>
    <row r="4420" spans="1:15" ht="15" customHeight="1" x14ac:dyDescent="0.25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</row>
    <row r="4421" spans="1:15" ht="15" customHeight="1" x14ac:dyDescent="0.25">
      <c r="A4421" s="3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</row>
    <row r="4422" spans="1:15" ht="15" customHeight="1" x14ac:dyDescent="0.25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</row>
    <row r="4423" spans="1:15" ht="15" customHeight="1" x14ac:dyDescent="0.25">
      <c r="A4423" s="3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</row>
    <row r="4424" spans="1:15" ht="15" customHeight="1" x14ac:dyDescent="0.25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</row>
    <row r="4425" spans="1:15" ht="15" customHeight="1" x14ac:dyDescent="0.25">
      <c r="A4425" s="3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</row>
    <row r="4426" spans="1:15" ht="15" customHeight="1" x14ac:dyDescent="0.25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</row>
    <row r="4427" spans="1:15" ht="15" customHeight="1" x14ac:dyDescent="0.25">
      <c r="A4427" s="3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</row>
    <row r="4428" spans="1:15" ht="15" customHeight="1" x14ac:dyDescent="0.25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</row>
    <row r="4429" spans="1:15" ht="15" customHeight="1" x14ac:dyDescent="0.25">
      <c r="A4429" s="3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</row>
    <row r="4430" spans="1:15" ht="15" customHeight="1" x14ac:dyDescent="0.25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</row>
    <row r="4431" spans="1:15" ht="15" customHeight="1" x14ac:dyDescent="0.25">
      <c r="A4431" s="3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</row>
    <row r="4432" spans="1:15" ht="15" customHeight="1" x14ac:dyDescent="0.25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</row>
    <row r="4433" spans="1:15" ht="15" customHeight="1" x14ac:dyDescent="0.25">
      <c r="A4433" s="3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</row>
    <row r="4434" spans="1:15" ht="15" customHeight="1" x14ac:dyDescent="0.25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</row>
    <row r="4435" spans="1:15" ht="15" customHeight="1" x14ac:dyDescent="0.25">
      <c r="A4435" s="3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</row>
    <row r="4436" spans="1:15" ht="15" customHeight="1" x14ac:dyDescent="0.25">
      <c r="A4436" s="2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</row>
    <row r="4437" spans="1:15" ht="15" customHeight="1" x14ac:dyDescent="0.25">
      <c r="A4437" s="3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</row>
    <row r="4438" spans="1:15" ht="15" customHeight="1" x14ac:dyDescent="0.25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</row>
    <row r="4439" spans="1:15" ht="15" customHeight="1" x14ac:dyDescent="0.25">
      <c r="A4439" s="3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</row>
    <row r="4440" spans="1:15" ht="15" customHeight="1" x14ac:dyDescent="0.25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</row>
    <row r="4441" spans="1:15" ht="15" customHeight="1" x14ac:dyDescent="0.25">
      <c r="A4441" s="3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</row>
    <row r="4442" spans="1:15" ht="15" customHeight="1" x14ac:dyDescent="0.25">
      <c r="A4442" s="2"/>
      <c r="B4442" s="2"/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</row>
    <row r="4443" spans="1:15" ht="15" customHeight="1" x14ac:dyDescent="0.25">
      <c r="A4443" s="3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</row>
    <row r="4444" spans="1:15" ht="15" customHeight="1" x14ac:dyDescent="0.25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</row>
    <row r="4445" spans="1:15" ht="15" customHeight="1" x14ac:dyDescent="0.25">
      <c r="A4445" s="3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</row>
    <row r="4446" spans="1:15" ht="15" customHeight="1" x14ac:dyDescent="0.25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</row>
    <row r="4447" spans="1:15" ht="15" customHeight="1" x14ac:dyDescent="0.25">
      <c r="A4447" s="3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</row>
    <row r="4448" spans="1:15" ht="15" customHeight="1" x14ac:dyDescent="0.25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</row>
    <row r="4449" spans="1:15" ht="15" customHeight="1" x14ac:dyDescent="0.25">
      <c r="A4449" s="3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</row>
    <row r="4450" spans="1:15" ht="15" customHeight="1" x14ac:dyDescent="0.25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</row>
    <row r="4451" spans="1:15" ht="15" customHeight="1" x14ac:dyDescent="0.25">
      <c r="A4451" s="3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</row>
    <row r="4452" spans="1:15" ht="15" customHeight="1" x14ac:dyDescent="0.25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</row>
    <row r="4453" spans="1:15" ht="15" customHeight="1" x14ac:dyDescent="0.25">
      <c r="A4453" s="3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</row>
    <row r="4454" spans="1:15" ht="15" customHeight="1" x14ac:dyDescent="0.25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</row>
    <row r="4455" spans="1:15" ht="15" customHeight="1" x14ac:dyDescent="0.25">
      <c r="A4455" s="3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</row>
    <row r="4456" spans="1:15" ht="15" customHeight="1" x14ac:dyDescent="0.25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</row>
    <row r="4457" spans="1:15" ht="15" customHeight="1" x14ac:dyDescent="0.25">
      <c r="A4457" s="3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</row>
    <row r="4458" spans="1:15" ht="15" customHeight="1" x14ac:dyDescent="0.25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</row>
    <row r="4459" spans="1:15" ht="15" customHeight="1" x14ac:dyDescent="0.25">
      <c r="A4459" s="3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</row>
    <row r="4460" spans="1:15" ht="15" customHeight="1" x14ac:dyDescent="0.25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</row>
    <row r="4461" spans="1:15" ht="15" customHeight="1" x14ac:dyDescent="0.25">
      <c r="A4461" s="3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</row>
    <row r="4462" spans="1:15" ht="15" customHeight="1" x14ac:dyDescent="0.25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</row>
    <row r="4463" spans="1:15" ht="15" customHeight="1" x14ac:dyDescent="0.25">
      <c r="A4463" s="3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</row>
    <row r="4464" spans="1:15" ht="15" customHeight="1" x14ac:dyDescent="0.25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</row>
    <row r="4465" spans="1:15" ht="15" customHeight="1" x14ac:dyDescent="0.25">
      <c r="A4465" s="3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</row>
    <row r="4466" spans="1:15" ht="15" customHeight="1" x14ac:dyDescent="0.25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</row>
    <row r="4467" spans="1:15" ht="15" customHeight="1" x14ac:dyDescent="0.25">
      <c r="A4467" s="3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</row>
    <row r="4468" spans="1:15" ht="15" customHeight="1" x14ac:dyDescent="0.25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</row>
    <row r="4469" spans="1:15" ht="15" customHeight="1" x14ac:dyDescent="0.25">
      <c r="A4469" s="3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</row>
    <row r="4470" spans="1:15" ht="15" customHeight="1" x14ac:dyDescent="0.25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</row>
    <row r="4471" spans="1:15" ht="15" customHeight="1" x14ac:dyDescent="0.25">
      <c r="A4471" s="3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</row>
    <row r="4472" spans="1:15" ht="15" customHeight="1" x14ac:dyDescent="0.25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</row>
    <row r="4473" spans="1:15" ht="15" customHeight="1" x14ac:dyDescent="0.25">
      <c r="A4473" s="3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</row>
    <row r="4474" spans="1:15" ht="15" customHeight="1" x14ac:dyDescent="0.25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</row>
    <row r="4475" spans="1:15" ht="15" customHeight="1" x14ac:dyDescent="0.25">
      <c r="A4475" s="3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</row>
    <row r="4476" spans="1:15" ht="15" customHeight="1" x14ac:dyDescent="0.25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</row>
    <row r="4477" spans="1:15" ht="15" customHeight="1" x14ac:dyDescent="0.25">
      <c r="A4477" s="3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</row>
    <row r="4478" spans="1:15" ht="15" customHeight="1" x14ac:dyDescent="0.25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</row>
    <row r="4479" spans="1:15" ht="15" customHeight="1" x14ac:dyDescent="0.25">
      <c r="A4479" s="3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</row>
    <row r="4480" spans="1:15" ht="15" customHeight="1" x14ac:dyDescent="0.25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</row>
    <row r="4481" spans="1:15" ht="15" customHeight="1" x14ac:dyDescent="0.25">
      <c r="A4481" s="3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</row>
    <row r="4482" spans="1:15" ht="15" customHeight="1" x14ac:dyDescent="0.25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</row>
    <row r="4483" spans="1:15" ht="15" customHeight="1" x14ac:dyDescent="0.25">
      <c r="A4483" s="3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</row>
    <row r="4484" spans="1:15" ht="15" customHeight="1" x14ac:dyDescent="0.25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</row>
    <row r="4485" spans="1:15" ht="15" customHeight="1" x14ac:dyDescent="0.25">
      <c r="A4485" s="3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</row>
    <row r="4486" spans="1:15" ht="15" customHeight="1" x14ac:dyDescent="0.25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</row>
    <row r="4487" spans="1:15" ht="15" customHeight="1" x14ac:dyDescent="0.25">
      <c r="A4487" s="3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</row>
    <row r="4488" spans="1:15" ht="15" customHeight="1" x14ac:dyDescent="0.25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</row>
    <row r="4489" spans="1:15" ht="15" customHeight="1" x14ac:dyDescent="0.25">
      <c r="A4489" s="3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</row>
    <row r="4490" spans="1:15" ht="15" customHeight="1" x14ac:dyDescent="0.25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</row>
    <row r="4491" spans="1:15" ht="15" customHeight="1" x14ac:dyDescent="0.25">
      <c r="A4491" s="3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</row>
    <row r="4492" spans="1:15" ht="15" customHeight="1" x14ac:dyDescent="0.25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</row>
    <row r="4493" spans="1:15" ht="15" customHeight="1" x14ac:dyDescent="0.25">
      <c r="A4493" s="3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</row>
    <row r="4494" spans="1:15" ht="15" customHeight="1" x14ac:dyDescent="0.25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</row>
    <row r="4495" spans="1:15" ht="15" customHeight="1" x14ac:dyDescent="0.25">
      <c r="A4495" s="3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</row>
    <row r="4496" spans="1:15" ht="15" customHeight="1" x14ac:dyDescent="0.25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</row>
    <row r="4497" spans="1:15" ht="15" customHeight="1" x14ac:dyDescent="0.25">
      <c r="A4497" s="3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</row>
    <row r="4498" spans="1:15" ht="15" customHeight="1" x14ac:dyDescent="0.25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</row>
    <row r="4499" spans="1:15" ht="15" customHeight="1" x14ac:dyDescent="0.25">
      <c r="A4499" s="3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</row>
    <row r="4500" spans="1:15" ht="15" customHeight="1" x14ac:dyDescent="0.25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</row>
    <row r="4501" spans="1:15" ht="15" customHeight="1" x14ac:dyDescent="0.25">
      <c r="A4501" s="3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</row>
    <row r="4502" spans="1:15" ht="15" customHeight="1" x14ac:dyDescent="0.25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</row>
    <row r="4503" spans="1:15" ht="15" customHeight="1" x14ac:dyDescent="0.25">
      <c r="A4503" s="3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</row>
    <row r="4504" spans="1:15" ht="15" customHeight="1" x14ac:dyDescent="0.25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</row>
    <row r="4505" spans="1:15" ht="15" customHeight="1" x14ac:dyDescent="0.25">
      <c r="A4505" s="3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</row>
    <row r="4506" spans="1:15" ht="15" customHeight="1" x14ac:dyDescent="0.25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</row>
    <row r="4507" spans="1:15" ht="15" customHeight="1" x14ac:dyDescent="0.25">
      <c r="A4507" s="3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</row>
    <row r="4508" spans="1:15" ht="15" customHeight="1" x14ac:dyDescent="0.25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</row>
    <row r="4509" spans="1:15" ht="15" customHeight="1" x14ac:dyDescent="0.25">
      <c r="A4509" s="3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</row>
    <row r="4510" spans="1:15" ht="15" customHeight="1" x14ac:dyDescent="0.25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</row>
    <row r="4511" spans="1:15" ht="15" customHeight="1" x14ac:dyDescent="0.25">
      <c r="A4511" s="3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</row>
    <row r="4512" spans="1:15" ht="15" customHeight="1" x14ac:dyDescent="0.25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</row>
    <row r="4513" spans="1:15" ht="15" customHeight="1" x14ac:dyDescent="0.25">
      <c r="A4513" s="3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</row>
    <row r="4514" spans="1:15" ht="15" customHeight="1" x14ac:dyDescent="0.25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</row>
    <row r="4515" spans="1:15" ht="15" customHeight="1" x14ac:dyDescent="0.25">
      <c r="A4515" s="3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</row>
    <row r="4516" spans="1:15" ht="15" customHeight="1" x14ac:dyDescent="0.25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</row>
    <row r="4517" spans="1:15" ht="15" customHeight="1" x14ac:dyDescent="0.25">
      <c r="A4517" s="3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</row>
    <row r="4518" spans="1:15" ht="15" customHeight="1" x14ac:dyDescent="0.25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</row>
    <row r="4519" spans="1:15" ht="15" customHeight="1" x14ac:dyDescent="0.25">
      <c r="A4519" s="3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</row>
    <row r="4520" spans="1:15" ht="15" customHeight="1" x14ac:dyDescent="0.25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</row>
    <row r="4521" spans="1:15" ht="15" customHeight="1" x14ac:dyDescent="0.25">
      <c r="A4521" s="3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</row>
    <row r="4522" spans="1:15" ht="15" customHeight="1" x14ac:dyDescent="0.25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</row>
    <row r="4523" spans="1:15" ht="15" customHeight="1" x14ac:dyDescent="0.25">
      <c r="A4523" s="3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</row>
    <row r="4524" spans="1:15" ht="15" customHeight="1" x14ac:dyDescent="0.25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</row>
    <row r="4525" spans="1:15" ht="15" customHeight="1" x14ac:dyDescent="0.25">
      <c r="A4525" s="3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</row>
    <row r="4526" spans="1:15" ht="15" customHeight="1" x14ac:dyDescent="0.25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</row>
    <row r="4527" spans="1:15" ht="15" customHeight="1" x14ac:dyDescent="0.25">
      <c r="A4527" s="3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</row>
    <row r="4528" spans="1:15" ht="15" customHeight="1" x14ac:dyDescent="0.25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</row>
    <row r="4529" spans="1:15" ht="15" customHeight="1" x14ac:dyDescent="0.25">
      <c r="A4529" s="3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</row>
    <row r="4530" spans="1:15" ht="15" customHeight="1" x14ac:dyDescent="0.25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</row>
    <row r="4531" spans="1:15" ht="15" customHeight="1" x14ac:dyDescent="0.25">
      <c r="A4531" s="3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</row>
    <row r="4532" spans="1:15" ht="15" customHeight="1" x14ac:dyDescent="0.25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</row>
    <row r="4533" spans="1:15" ht="15" customHeight="1" x14ac:dyDescent="0.25">
      <c r="A4533" s="3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</row>
    <row r="4534" spans="1:15" ht="15" customHeight="1" x14ac:dyDescent="0.25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</row>
    <row r="4535" spans="1:15" ht="15" customHeight="1" x14ac:dyDescent="0.25">
      <c r="A4535" s="3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</row>
    <row r="4536" spans="1:15" ht="15" customHeight="1" x14ac:dyDescent="0.25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</row>
    <row r="4537" spans="1:15" ht="15" customHeight="1" x14ac:dyDescent="0.25">
      <c r="A4537" s="3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</row>
    <row r="4538" spans="1:15" ht="15" customHeight="1" x14ac:dyDescent="0.25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</row>
    <row r="4539" spans="1:15" ht="15" customHeight="1" x14ac:dyDescent="0.25">
      <c r="A4539" s="3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</row>
    <row r="4540" spans="1:15" ht="15" customHeight="1" x14ac:dyDescent="0.25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</row>
    <row r="4541" spans="1:15" ht="15" customHeight="1" x14ac:dyDescent="0.25">
      <c r="A4541" s="3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</row>
    <row r="4542" spans="1:15" ht="15" customHeight="1" x14ac:dyDescent="0.25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</row>
    <row r="4543" spans="1:15" ht="15" customHeight="1" x14ac:dyDescent="0.25">
      <c r="A4543" s="3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</row>
    <row r="4544" spans="1:15" ht="15" customHeight="1" x14ac:dyDescent="0.25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</row>
    <row r="4545" spans="1:15" ht="15" customHeight="1" x14ac:dyDescent="0.25">
      <c r="A4545" s="3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</row>
    <row r="4546" spans="1:15" ht="15" customHeight="1" x14ac:dyDescent="0.25">
      <c r="A4546" s="2"/>
      <c r="B4546" s="2"/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</row>
    <row r="4547" spans="1:15" ht="15" customHeight="1" x14ac:dyDescent="0.25">
      <c r="A4547" s="3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</row>
    <row r="4548" spans="1:15" ht="15" customHeight="1" x14ac:dyDescent="0.25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</row>
    <row r="4549" spans="1:15" ht="15" customHeight="1" x14ac:dyDescent="0.25">
      <c r="A4549" s="3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</row>
    <row r="4550" spans="1:15" ht="15" customHeight="1" x14ac:dyDescent="0.25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</row>
    <row r="4551" spans="1:15" ht="15" customHeight="1" x14ac:dyDescent="0.25">
      <c r="A4551" s="3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</row>
    <row r="4552" spans="1:15" ht="15" customHeight="1" x14ac:dyDescent="0.25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</row>
    <row r="4553" spans="1:15" ht="15" customHeight="1" x14ac:dyDescent="0.25">
      <c r="A4553" s="3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</row>
    <row r="4554" spans="1:15" ht="15" customHeight="1" x14ac:dyDescent="0.25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</row>
    <row r="4555" spans="1:15" ht="15" customHeight="1" x14ac:dyDescent="0.25">
      <c r="A4555" s="3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</row>
    <row r="4556" spans="1:15" ht="15" customHeight="1" x14ac:dyDescent="0.25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</row>
    <row r="4557" spans="1:15" ht="15" customHeight="1" x14ac:dyDescent="0.25">
      <c r="A4557" s="3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</row>
    <row r="4558" spans="1:15" ht="15" customHeight="1" x14ac:dyDescent="0.25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</row>
    <row r="4559" spans="1:15" ht="15" customHeight="1" x14ac:dyDescent="0.25">
      <c r="A4559" s="3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</row>
    <row r="4560" spans="1:15" ht="15" customHeight="1" x14ac:dyDescent="0.25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</row>
    <row r="4561" spans="1:15" ht="15" customHeight="1" x14ac:dyDescent="0.25">
      <c r="A4561" s="3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</row>
    <row r="4562" spans="1:15" ht="15" customHeight="1" x14ac:dyDescent="0.25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</row>
    <row r="4563" spans="1:15" ht="15" customHeight="1" x14ac:dyDescent="0.25">
      <c r="A4563" s="3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</row>
    <row r="4564" spans="1:15" ht="15" customHeight="1" x14ac:dyDescent="0.25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</row>
    <row r="4565" spans="1:15" ht="15" customHeight="1" x14ac:dyDescent="0.25">
      <c r="A4565" s="3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</row>
    <row r="4566" spans="1:15" ht="15" customHeight="1" x14ac:dyDescent="0.25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</row>
    <row r="4567" spans="1:15" ht="15" customHeight="1" x14ac:dyDescent="0.25">
      <c r="A4567" s="3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</row>
    <row r="4568" spans="1:15" ht="15" customHeight="1" x14ac:dyDescent="0.25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</row>
    <row r="4569" spans="1:15" ht="15" customHeight="1" x14ac:dyDescent="0.25">
      <c r="A4569" s="3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</row>
    <row r="4570" spans="1:15" ht="15" customHeight="1" x14ac:dyDescent="0.25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</row>
    <row r="4571" spans="1:15" ht="15" customHeight="1" x14ac:dyDescent="0.25">
      <c r="A4571" s="3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</row>
    <row r="4572" spans="1:15" ht="15" customHeight="1" x14ac:dyDescent="0.25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</row>
    <row r="4573" spans="1:15" ht="15" customHeight="1" x14ac:dyDescent="0.25">
      <c r="A4573" s="3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</row>
    <row r="4574" spans="1:15" ht="15" customHeight="1" x14ac:dyDescent="0.25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</row>
    <row r="4575" spans="1:15" ht="15" customHeight="1" x14ac:dyDescent="0.25">
      <c r="A4575" s="3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</row>
    <row r="4576" spans="1:15" ht="15" customHeight="1" x14ac:dyDescent="0.25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</row>
    <row r="4577" spans="1:15" ht="15" customHeight="1" x14ac:dyDescent="0.25">
      <c r="A4577" s="3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</row>
    <row r="4578" spans="1:15" ht="15" customHeight="1" x14ac:dyDescent="0.25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</row>
    <row r="4579" spans="1:15" ht="15" customHeight="1" x14ac:dyDescent="0.25">
      <c r="A4579" s="3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</row>
    <row r="4580" spans="1:15" ht="15" customHeight="1" x14ac:dyDescent="0.25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</row>
    <row r="4581" spans="1:15" ht="15" customHeight="1" x14ac:dyDescent="0.25">
      <c r="A4581" s="3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</row>
    <row r="4582" spans="1:15" ht="15" customHeight="1" x14ac:dyDescent="0.25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</row>
    <row r="4583" spans="1:15" ht="15" customHeight="1" x14ac:dyDescent="0.25">
      <c r="A4583" s="3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</row>
    <row r="4584" spans="1:15" ht="15" customHeight="1" x14ac:dyDescent="0.25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</row>
    <row r="4585" spans="1:15" ht="15" customHeight="1" x14ac:dyDescent="0.25">
      <c r="A4585" s="3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</row>
    <row r="4586" spans="1:15" ht="15" customHeight="1" x14ac:dyDescent="0.25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</row>
    <row r="4587" spans="1:15" ht="15" customHeight="1" x14ac:dyDescent="0.25">
      <c r="A4587" s="3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</row>
    <row r="4588" spans="1:15" ht="15" customHeight="1" x14ac:dyDescent="0.25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</row>
    <row r="4589" spans="1:15" ht="15" customHeight="1" x14ac:dyDescent="0.25">
      <c r="A4589" s="3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</row>
    <row r="4590" spans="1:15" ht="15" customHeight="1" x14ac:dyDescent="0.25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</row>
    <row r="4591" spans="1:15" ht="15" customHeight="1" x14ac:dyDescent="0.25">
      <c r="A4591" s="3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</row>
    <row r="4592" spans="1:15" ht="15" customHeight="1" x14ac:dyDescent="0.25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</row>
    <row r="4593" spans="1:15" ht="15" customHeight="1" x14ac:dyDescent="0.25">
      <c r="A4593" s="3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</row>
    <row r="4594" spans="1:15" ht="15" customHeight="1" x14ac:dyDescent="0.25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</row>
    <row r="4595" spans="1:15" ht="15" customHeight="1" x14ac:dyDescent="0.25">
      <c r="A4595" s="3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</row>
    <row r="4596" spans="1:15" ht="15" customHeight="1" x14ac:dyDescent="0.25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</row>
    <row r="4597" spans="1:15" ht="15" customHeight="1" x14ac:dyDescent="0.25">
      <c r="A4597" s="3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</row>
    <row r="4598" spans="1:15" ht="15" customHeight="1" x14ac:dyDescent="0.25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</row>
    <row r="4599" spans="1:15" ht="15" customHeight="1" x14ac:dyDescent="0.25">
      <c r="A4599" s="3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</row>
    <row r="4600" spans="1:15" ht="15" customHeight="1" x14ac:dyDescent="0.25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</row>
    <row r="4601" spans="1:15" ht="15" customHeight="1" x14ac:dyDescent="0.25">
      <c r="A4601" s="3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</row>
    <row r="4602" spans="1:15" ht="15" customHeight="1" x14ac:dyDescent="0.25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</row>
    <row r="4603" spans="1:15" ht="15" customHeight="1" x14ac:dyDescent="0.25">
      <c r="A4603" s="3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</row>
    <row r="4604" spans="1:15" ht="15" customHeight="1" x14ac:dyDescent="0.25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</row>
    <row r="4605" spans="1:15" ht="15" customHeight="1" x14ac:dyDescent="0.25">
      <c r="A4605" s="3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</row>
    <row r="4606" spans="1:15" ht="15" customHeight="1" x14ac:dyDescent="0.25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</row>
    <row r="4607" spans="1:15" ht="15" customHeight="1" x14ac:dyDescent="0.25">
      <c r="A4607" s="3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</row>
    <row r="4608" spans="1:15" ht="15" customHeight="1" x14ac:dyDescent="0.25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</row>
    <row r="4609" spans="1:15" ht="15" customHeight="1" x14ac:dyDescent="0.25">
      <c r="A4609" s="3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</row>
    <row r="4610" spans="1:15" ht="15" customHeight="1" x14ac:dyDescent="0.25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</row>
    <row r="4611" spans="1:15" ht="15" customHeight="1" x14ac:dyDescent="0.25">
      <c r="A4611" s="3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</row>
    <row r="4612" spans="1:15" ht="15" customHeight="1" x14ac:dyDescent="0.25">
      <c r="A4612" s="2"/>
      <c r="B4612" s="2"/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</row>
    <row r="4613" spans="1:15" ht="15" customHeight="1" x14ac:dyDescent="0.25">
      <c r="A4613" s="3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</row>
    <row r="4614" spans="1:15" ht="15" customHeight="1" x14ac:dyDescent="0.25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</row>
    <row r="4615" spans="1:15" ht="15" customHeight="1" x14ac:dyDescent="0.25">
      <c r="A4615" s="3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</row>
    <row r="4616" spans="1:15" ht="15" customHeight="1" x14ac:dyDescent="0.25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</row>
    <row r="4617" spans="1:15" ht="15" customHeight="1" x14ac:dyDescent="0.25">
      <c r="A4617" s="3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</row>
    <row r="4618" spans="1:15" ht="15" customHeight="1" x14ac:dyDescent="0.25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</row>
    <row r="4619" spans="1:15" ht="15" customHeight="1" x14ac:dyDescent="0.25">
      <c r="A4619" s="3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</row>
    <row r="4620" spans="1:15" ht="15" customHeight="1" x14ac:dyDescent="0.25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</row>
    <row r="4621" spans="1:15" ht="15" customHeight="1" x14ac:dyDescent="0.25">
      <c r="A4621" s="3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</row>
    <row r="4622" spans="1:15" ht="15" customHeight="1" x14ac:dyDescent="0.25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</row>
    <row r="4623" spans="1:15" ht="15" customHeight="1" x14ac:dyDescent="0.25">
      <c r="A4623" s="3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</row>
    <row r="4624" spans="1:15" ht="15" customHeight="1" x14ac:dyDescent="0.25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</row>
    <row r="4625" spans="1:15" ht="15" customHeight="1" x14ac:dyDescent="0.25">
      <c r="A4625" s="3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</row>
    <row r="4626" spans="1:15" ht="15" customHeight="1" x14ac:dyDescent="0.25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</row>
    <row r="4627" spans="1:15" ht="15" customHeight="1" x14ac:dyDescent="0.25">
      <c r="A4627" s="3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</row>
    <row r="4628" spans="1:15" ht="15" customHeight="1" x14ac:dyDescent="0.25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</row>
    <row r="4629" spans="1:15" ht="15" customHeight="1" x14ac:dyDescent="0.25">
      <c r="A4629" s="3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</row>
    <row r="4630" spans="1:15" ht="15" customHeight="1" x14ac:dyDescent="0.25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</row>
    <row r="4631" spans="1:15" ht="15" customHeight="1" x14ac:dyDescent="0.25">
      <c r="A4631" s="3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</row>
    <row r="4632" spans="1:15" ht="15" customHeight="1" x14ac:dyDescent="0.25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</row>
    <row r="4633" spans="1:15" ht="15" customHeight="1" x14ac:dyDescent="0.25">
      <c r="A4633" s="3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</row>
    <row r="4634" spans="1:15" ht="15" customHeight="1" x14ac:dyDescent="0.25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</row>
    <row r="4635" spans="1:15" ht="15" customHeight="1" x14ac:dyDescent="0.25">
      <c r="A4635" s="3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</row>
    <row r="4636" spans="1:15" ht="15" customHeight="1" x14ac:dyDescent="0.25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</row>
    <row r="4637" spans="1:15" ht="15" customHeight="1" x14ac:dyDescent="0.25">
      <c r="A4637" s="3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</row>
    <row r="4638" spans="1:15" ht="15" customHeight="1" x14ac:dyDescent="0.25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</row>
    <row r="4639" spans="1:15" ht="15" customHeight="1" x14ac:dyDescent="0.25">
      <c r="A4639" s="3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</row>
    <row r="4640" spans="1:15" ht="15" customHeight="1" x14ac:dyDescent="0.25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</row>
    <row r="4641" spans="1:15" ht="15" customHeight="1" x14ac:dyDescent="0.25">
      <c r="A4641" s="3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</row>
    <row r="4642" spans="1:15" ht="15" customHeight="1" x14ac:dyDescent="0.25">
      <c r="A4642" s="2"/>
      <c r="B4642" s="2"/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</row>
    <row r="4643" spans="1:15" ht="15" customHeight="1" x14ac:dyDescent="0.25">
      <c r="A4643" s="3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</row>
    <row r="4644" spans="1:15" ht="15" customHeight="1" x14ac:dyDescent="0.25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</row>
    <row r="4645" spans="1:15" ht="15" customHeight="1" x14ac:dyDescent="0.25">
      <c r="A4645" s="3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</row>
    <row r="4646" spans="1:15" ht="15" customHeight="1" x14ac:dyDescent="0.25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</row>
    <row r="4647" spans="1:15" ht="15" customHeight="1" x14ac:dyDescent="0.25">
      <c r="A4647" s="3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</row>
    <row r="4648" spans="1:15" ht="15" customHeight="1" x14ac:dyDescent="0.25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</row>
    <row r="4649" spans="1:15" ht="15" customHeight="1" x14ac:dyDescent="0.25">
      <c r="A4649" s="3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</row>
    <row r="4650" spans="1:15" ht="15" customHeight="1" x14ac:dyDescent="0.25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</row>
    <row r="4651" spans="1:15" ht="15" customHeight="1" x14ac:dyDescent="0.25">
      <c r="A4651" s="3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</row>
    <row r="4652" spans="1:15" ht="15" customHeight="1" x14ac:dyDescent="0.25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</row>
    <row r="4653" spans="1:15" ht="15" customHeight="1" x14ac:dyDescent="0.25">
      <c r="A4653" s="3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</row>
    <row r="4654" spans="1:15" ht="15" customHeight="1" x14ac:dyDescent="0.25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</row>
    <row r="4655" spans="1:15" ht="15" customHeight="1" x14ac:dyDescent="0.25">
      <c r="A4655" s="3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</row>
    <row r="4656" spans="1:15" ht="15" customHeight="1" x14ac:dyDescent="0.25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</row>
    <row r="4657" spans="1:15" ht="15" customHeight="1" x14ac:dyDescent="0.25">
      <c r="A4657" s="3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</row>
    <row r="4658" spans="1:15" ht="15" customHeight="1" x14ac:dyDescent="0.25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</row>
    <row r="4659" spans="1:15" ht="15" customHeight="1" x14ac:dyDescent="0.25">
      <c r="A4659" s="3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</row>
    <row r="4660" spans="1:15" ht="15" customHeight="1" x14ac:dyDescent="0.25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</row>
    <row r="4661" spans="1:15" ht="15" customHeight="1" x14ac:dyDescent="0.25">
      <c r="A4661" s="3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</row>
    <row r="4662" spans="1:15" ht="15" customHeight="1" x14ac:dyDescent="0.25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</row>
    <row r="4663" spans="1:15" ht="15" customHeight="1" x14ac:dyDescent="0.25">
      <c r="A4663" s="3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</row>
    <row r="4664" spans="1:15" ht="15" customHeight="1" x14ac:dyDescent="0.25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</row>
    <row r="4665" spans="1:15" ht="15" customHeight="1" x14ac:dyDescent="0.25">
      <c r="A4665" s="3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</row>
    <row r="4666" spans="1:15" ht="15" customHeight="1" x14ac:dyDescent="0.25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</row>
    <row r="4667" spans="1:15" ht="15" customHeight="1" x14ac:dyDescent="0.25">
      <c r="A4667" s="3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</row>
    <row r="4668" spans="1:15" ht="15" customHeight="1" x14ac:dyDescent="0.25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</row>
    <row r="4669" spans="1:15" ht="15" customHeight="1" x14ac:dyDescent="0.25">
      <c r="A4669" s="3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</row>
    <row r="4670" spans="1:15" ht="15" customHeight="1" x14ac:dyDescent="0.25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</row>
    <row r="4671" spans="1:15" ht="15" customHeight="1" x14ac:dyDescent="0.25">
      <c r="A4671" s="3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</row>
    <row r="4672" spans="1:15" ht="15" customHeight="1" x14ac:dyDescent="0.25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</row>
    <row r="4673" spans="1:15" ht="15" customHeight="1" x14ac:dyDescent="0.25">
      <c r="A4673" s="3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</row>
    <row r="4674" spans="1:15" ht="15" customHeight="1" x14ac:dyDescent="0.25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</row>
    <row r="4675" spans="1:15" ht="15" customHeight="1" x14ac:dyDescent="0.25">
      <c r="A4675" s="3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</row>
    <row r="4676" spans="1:15" ht="15" customHeight="1" x14ac:dyDescent="0.25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</row>
    <row r="4677" spans="1:15" ht="15" customHeight="1" x14ac:dyDescent="0.25">
      <c r="A4677" s="3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</row>
    <row r="4678" spans="1:15" ht="15" customHeight="1" x14ac:dyDescent="0.25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</row>
    <row r="4679" spans="1:15" ht="15" customHeight="1" x14ac:dyDescent="0.25">
      <c r="A4679" s="3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</row>
    <row r="4680" spans="1:15" ht="15" customHeight="1" x14ac:dyDescent="0.25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</row>
    <row r="4681" spans="1:15" ht="15" customHeight="1" x14ac:dyDescent="0.25">
      <c r="A4681" s="3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</row>
    <row r="4682" spans="1:15" ht="15" customHeight="1" x14ac:dyDescent="0.25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</row>
    <row r="4683" spans="1:15" ht="15" customHeight="1" x14ac:dyDescent="0.25">
      <c r="A4683" s="3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</row>
    <row r="4684" spans="1:15" ht="15" customHeight="1" x14ac:dyDescent="0.25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</row>
    <row r="4685" spans="1:15" ht="15" customHeight="1" x14ac:dyDescent="0.25">
      <c r="A4685" s="3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</row>
    <row r="4686" spans="1:15" ht="15" customHeight="1" x14ac:dyDescent="0.25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</row>
    <row r="4687" spans="1:15" ht="15" customHeight="1" x14ac:dyDescent="0.25">
      <c r="A4687" s="3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</row>
    <row r="4688" spans="1:15" ht="15" customHeight="1" x14ac:dyDescent="0.25">
      <c r="A4688" s="2"/>
      <c r="B4688" s="2"/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</row>
    <row r="4689" spans="1:15" ht="15" customHeight="1" x14ac:dyDescent="0.25">
      <c r="A4689" s="3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</row>
    <row r="4690" spans="1:15" ht="15" customHeight="1" x14ac:dyDescent="0.25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</row>
    <row r="4691" spans="1:15" ht="15" customHeight="1" x14ac:dyDescent="0.25">
      <c r="A4691" s="3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</row>
    <row r="4692" spans="1:15" ht="15" customHeight="1" x14ac:dyDescent="0.25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</row>
    <row r="4693" spans="1:15" ht="15" customHeight="1" x14ac:dyDescent="0.25">
      <c r="A4693" s="3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</row>
    <row r="4694" spans="1:15" ht="15" customHeight="1" x14ac:dyDescent="0.25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</row>
    <row r="4695" spans="1:15" ht="15" customHeight="1" x14ac:dyDescent="0.25">
      <c r="A4695" s="3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</row>
    <row r="4696" spans="1:15" ht="15" customHeight="1" x14ac:dyDescent="0.25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</row>
    <row r="4697" spans="1:15" ht="15" customHeight="1" x14ac:dyDescent="0.25">
      <c r="A4697" s="3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</row>
    <row r="4698" spans="1:15" ht="15" customHeight="1" x14ac:dyDescent="0.25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</row>
    <row r="4699" spans="1:15" ht="15" customHeight="1" x14ac:dyDescent="0.25">
      <c r="A4699" s="3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</row>
    <row r="4700" spans="1:15" ht="15" customHeight="1" x14ac:dyDescent="0.25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</row>
    <row r="4701" spans="1:15" ht="15" customHeight="1" x14ac:dyDescent="0.25">
      <c r="A4701" s="3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</row>
    <row r="4702" spans="1:15" ht="15" customHeight="1" x14ac:dyDescent="0.25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</row>
    <row r="4703" spans="1:15" ht="15" customHeight="1" x14ac:dyDescent="0.25">
      <c r="A4703" s="3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</row>
    <row r="4704" spans="1:15" ht="15" customHeight="1" x14ac:dyDescent="0.25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</row>
    <row r="4705" spans="1:15" ht="15" customHeight="1" x14ac:dyDescent="0.25">
      <c r="A4705" s="3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</row>
    <row r="4706" spans="1:15" ht="15" customHeight="1" x14ac:dyDescent="0.25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</row>
    <row r="4707" spans="1:15" ht="15" customHeight="1" x14ac:dyDescent="0.25">
      <c r="A4707" s="3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</row>
    <row r="4708" spans="1:15" ht="15" customHeight="1" x14ac:dyDescent="0.25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</row>
    <row r="4709" spans="1:15" ht="15" customHeight="1" x14ac:dyDescent="0.25">
      <c r="A4709" s="3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</row>
    <row r="4710" spans="1:15" ht="15" customHeight="1" x14ac:dyDescent="0.25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</row>
    <row r="4711" spans="1:15" ht="15" customHeight="1" x14ac:dyDescent="0.25">
      <c r="A4711" s="3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</row>
    <row r="4712" spans="1:15" ht="15" customHeight="1" x14ac:dyDescent="0.25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</row>
    <row r="4713" spans="1:15" ht="15" customHeight="1" x14ac:dyDescent="0.25">
      <c r="A4713" s="3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</row>
    <row r="4714" spans="1:15" ht="15" customHeight="1" x14ac:dyDescent="0.25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</row>
    <row r="4715" spans="1:15" ht="15" customHeight="1" x14ac:dyDescent="0.25">
      <c r="A4715" s="3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</row>
    <row r="4716" spans="1:15" ht="15" customHeight="1" x14ac:dyDescent="0.25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</row>
    <row r="4717" spans="1:15" ht="15" customHeight="1" x14ac:dyDescent="0.25">
      <c r="A4717" s="3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</row>
    <row r="4718" spans="1:15" ht="15" customHeight="1" x14ac:dyDescent="0.25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</row>
    <row r="4719" spans="1:15" ht="15" customHeight="1" x14ac:dyDescent="0.25">
      <c r="A4719" s="3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</row>
    <row r="4720" spans="1:15" ht="15" customHeight="1" x14ac:dyDescent="0.25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</row>
    <row r="4721" spans="1:15" ht="15" customHeight="1" x14ac:dyDescent="0.25">
      <c r="A4721" s="3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</row>
    <row r="4722" spans="1:15" ht="15" customHeight="1" x14ac:dyDescent="0.25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</row>
    <row r="4723" spans="1:15" ht="15" customHeight="1" x14ac:dyDescent="0.25">
      <c r="A4723" s="3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</row>
    <row r="4724" spans="1:15" ht="15" customHeight="1" x14ac:dyDescent="0.25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</row>
    <row r="4725" spans="1:15" ht="15" customHeight="1" x14ac:dyDescent="0.25">
      <c r="A4725" s="3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</row>
    <row r="4726" spans="1:15" ht="15" customHeight="1" x14ac:dyDescent="0.25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</row>
    <row r="4727" spans="1:15" ht="15" customHeight="1" x14ac:dyDescent="0.25">
      <c r="A4727" s="3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</row>
    <row r="4728" spans="1:15" ht="15" customHeight="1" x14ac:dyDescent="0.25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</row>
    <row r="4729" spans="1:15" ht="15" customHeight="1" x14ac:dyDescent="0.25">
      <c r="A4729" s="3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</row>
    <row r="4730" spans="1:15" ht="15" customHeight="1" x14ac:dyDescent="0.25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</row>
    <row r="4731" spans="1:15" ht="15" customHeight="1" x14ac:dyDescent="0.25">
      <c r="A4731" s="3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</row>
    <row r="4732" spans="1:15" ht="15" customHeight="1" x14ac:dyDescent="0.25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</row>
    <row r="4733" spans="1:15" ht="15" customHeight="1" x14ac:dyDescent="0.25">
      <c r="A4733" s="3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</row>
    <row r="4734" spans="1:15" ht="15" customHeight="1" x14ac:dyDescent="0.25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</row>
    <row r="4735" spans="1:15" ht="15" customHeight="1" x14ac:dyDescent="0.25">
      <c r="A4735" s="3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</row>
    <row r="4736" spans="1:15" ht="15" customHeight="1" x14ac:dyDescent="0.25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</row>
    <row r="4737" spans="1:15" ht="15" customHeight="1" x14ac:dyDescent="0.25">
      <c r="A4737" s="3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</row>
    <row r="4738" spans="1:15" ht="15" customHeight="1" x14ac:dyDescent="0.25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</row>
    <row r="4739" spans="1:15" ht="15" customHeight="1" x14ac:dyDescent="0.25">
      <c r="A4739" s="3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</row>
    <row r="4740" spans="1:15" ht="15" customHeight="1" x14ac:dyDescent="0.25">
      <c r="A4740" s="2"/>
      <c r="B4740" s="2"/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</row>
    <row r="4741" spans="1:15" ht="15" customHeight="1" x14ac:dyDescent="0.25">
      <c r="A4741" s="3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</row>
    <row r="4742" spans="1:15" ht="15" customHeight="1" x14ac:dyDescent="0.25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</row>
    <row r="4743" spans="1:15" ht="15" customHeight="1" x14ac:dyDescent="0.25">
      <c r="A4743" s="3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</row>
    <row r="4744" spans="1:15" ht="15" customHeight="1" x14ac:dyDescent="0.25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</row>
    <row r="4745" spans="1:15" ht="15" customHeight="1" x14ac:dyDescent="0.25">
      <c r="A4745" s="3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</row>
    <row r="4746" spans="1:15" ht="15" customHeight="1" x14ac:dyDescent="0.25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</row>
    <row r="4747" spans="1:15" ht="15" customHeight="1" x14ac:dyDescent="0.25">
      <c r="A4747" s="3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</row>
    <row r="4748" spans="1:15" ht="15" customHeight="1" x14ac:dyDescent="0.25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</row>
    <row r="4749" spans="1:15" ht="15" customHeight="1" x14ac:dyDescent="0.25">
      <c r="A4749" s="3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</row>
    <row r="4750" spans="1:15" ht="15" customHeight="1" x14ac:dyDescent="0.25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</row>
    <row r="4751" spans="1:15" ht="15" customHeight="1" x14ac:dyDescent="0.25">
      <c r="A4751" s="3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</row>
    <row r="4752" spans="1:15" ht="15" customHeight="1" x14ac:dyDescent="0.25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</row>
    <row r="4753" spans="1:15" ht="15" customHeight="1" x14ac:dyDescent="0.25">
      <c r="A4753" s="3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</row>
    <row r="4754" spans="1:15" ht="15" customHeight="1" x14ac:dyDescent="0.25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</row>
    <row r="4755" spans="1:15" ht="15" customHeight="1" x14ac:dyDescent="0.25">
      <c r="A4755" s="3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</row>
    <row r="4756" spans="1:15" ht="15" customHeight="1" x14ac:dyDescent="0.25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</row>
    <row r="4757" spans="1:15" ht="15" customHeight="1" x14ac:dyDescent="0.25">
      <c r="A4757" s="3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</row>
    <row r="4758" spans="1:15" ht="15" customHeight="1" x14ac:dyDescent="0.25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</row>
    <row r="4759" spans="1:15" ht="15" customHeight="1" x14ac:dyDescent="0.25">
      <c r="A4759" s="3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</row>
    <row r="4760" spans="1:15" ht="15" customHeight="1" x14ac:dyDescent="0.25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</row>
    <row r="4761" spans="1:15" ht="15" customHeight="1" x14ac:dyDescent="0.25">
      <c r="A4761" s="3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</row>
    <row r="4762" spans="1:15" ht="15" customHeight="1" x14ac:dyDescent="0.25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</row>
    <row r="4763" spans="1:15" ht="15" customHeight="1" x14ac:dyDescent="0.25">
      <c r="A4763" s="3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</row>
    <row r="4764" spans="1:15" ht="15" customHeight="1" x14ac:dyDescent="0.25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</row>
    <row r="4765" spans="1:15" ht="15" customHeight="1" x14ac:dyDescent="0.25">
      <c r="A4765" s="3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</row>
    <row r="4766" spans="1:15" ht="15" customHeight="1" x14ac:dyDescent="0.25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</row>
    <row r="4767" spans="1:15" ht="15" customHeight="1" x14ac:dyDescent="0.25">
      <c r="A4767" s="3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</row>
    <row r="4768" spans="1:15" ht="15" customHeight="1" x14ac:dyDescent="0.25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</row>
    <row r="4769" spans="1:15" ht="15" customHeight="1" x14ac:dyDescent="0.25">
      <c r="A4769" s="3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</row>
    <row r="4770" spans="1:15" ht="15" customHeight="1" x14ac:dyDescent="0.25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</row>
    <row r="4771" spans="1:15" ht="15" customHeight="1" x14ac:dyDescent="0.25">
      <c r="A4771" s="3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</row>
    <row r="4772" spans="1:15" ht="15" customHeight="1" x14ac:dyDescent="0.25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</row>
    <row r="4773" spans="1:15" ht="15" customHeight="1" x14ac:dyDescent="0.25">
      <c r="A4773" s="3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</row>
    <row r="4774" spans="1:15" ht="15" customHeight="1" x14ac:dyDescent="0.25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</row>
    <row r="4775" spans="1:15" ht="15" customHeight="1" x14ac:dyDescent="0.25">
      <c r="A4775" s="3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</row>
    <row r="4776" spans="1:15" ht="15" customHeight="1" x14ac:dyDescent="0.25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</row>
    <row r="4777" spans="1:15" ht="15" customHeight="1" x14ac:dyDescent="0.25">
      <c r="A4777" s="3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</row>
    <row r="4778" spans="1:15" ht="15" customHeight="1" x14ac:dyDescent="0.25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</row>
    <row r="4779" spans="1:15" ht="15" customHeight="1" x14ac:dyDescent="0.25">
      <c r="A4779" s="3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</row>
    <row r="4780" spans="1:15" ht="15" customHeight="1" x14ac:dyDescent="0.25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</row>
    <row r="4781" spans="1:15" ht="15" customHeight="1" x14ac:dyDescent="0.25">
      <c r="A4781" s="3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</row>
    <row r="4782" spans="1:15" ht="15" customHeight="1" x14ac:dyDescent="0.25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</row>
    <row r="4783" spans="1:15" ht="15" customHeight="1" x14ac:dyDescent="0.25">
      <c r="A4783" s="3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</row>
    <row r="4784" spans="1:15" ht="15" customHeight="1" x14ac:dyDescent="0.25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</row>
    <row r="4785" spans="1:15" ht="15" customHeight="1" x14ac:dyDescent="0.25">
      <c r="A4785" s="3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</row>
    <row r="4786" spans="1:15" ht="15" customHeight="1" x14ac:dyDescent="0.25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</row>
    <row r="4787" spans="1:15" ht="15" customHeight="1" x14ac:dyDescent="0.25">
      <c r="A4787" s="3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</row>
    <row r="4788" spans="1:15" ht="15" customHeight="1" x14ac:dyDescent="0.25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</row>
    <row r="4789" spans="1:15" ht="15" customHeight="1" x14ac:dyDescent="0.25">
      <c r="A4789" s="3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</row>
    <row r="4790" spans="1:15" ht="15" customHeight="1" x14ac:dyDescent="0.25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</row>
    <row r="4791" spans="1:15" ht="15" customHeight="1" x14ac:dyDescent="0.25">
      <c r="A4791" s="3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</row>
    <row r="4792" spans="1:15" ht="15" customHeight="1" x14ac:dyDescent="0.25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</row>
    <row r="4793" spans="1:15" ht="15" customHeight="1" x14ac:dyDescent="0.25">
      <c r="A4793" s="3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</row>
    <row r="4794" spans="1:15" ht="15" customHeight="1" x14ac:dyDescent="0.25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</row>
    <row r="4795" spans="1:15" ht="15" customHeight="1" x14ac:dyDescent="0.25">
      <c r="A4795" s="3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</row>
    <row r="4796" spans="1:15" ht="15" customHeight="1" x14ac:dyDescent="0.25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</row>
    <row r="4797" spans="1:15" ht="15" customHeight="1" x14ac:dyDescent="0.25">
      <c r="A4797" s="3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</row>
    <row r="4798" spans="1:15" ht="15" customHeight="1" x14ac:dyDescent="0.25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</row>
    <row r="4799" spans="1:15" ht="15" customHeight="1" x14ac:dyDescent="0.25">
      <c r="A4799" s="3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</row>
    <row r="4800" spans="1:15" ht="15" customHeight="1" x14ac:dyDescent="0.25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</row>
    <row r="4801" spans="1:15" ht="15" customHeight="1" x14ac:dyDescent="0.25">
      <c r="A4801" s="3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</row>
    <row r="4802" spans="1:15" ht="15" customHeight="1" x14ac:dyDescent="0.25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</row>
    <row r="4803" spans="1:15" ht="15" customHeight="1" x14ac:dyDescent="0.25">
      <c r="A4803" s="3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</row>
    <row r="4804" spans="1:15" ht="15" customHeight="1" x14ac:dyDescent="0.25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</row>
    <row r="4805" spans="1:15" ht="15" customHeight="1" x14ac:dyDescent="0.25">
      <c r="A4805" s="3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</row>
    <row r="4806" spans="1:15" ht="15" customHeight="1" x14ac:dyDescent="0.25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</row>
    <row r="4807" spans="1:15" ht="15" customHeight="1" x14ac:dyDescent="0.25">
      <c r="A4807" s="3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</row>
    <row r="4808" spans="1:15" ht="15" customHeight="1" x14ac:dyDescent="0.25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</row>
    <row r="4809" spans="1:15" ht="15" customHeight="1" x14ac:dyDescent="0.25">
      <c r="A4809" s="3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</row>
    <row r="4810" spans="1:15" ht="15" customHeight="1" x14ac:dyDescent="0.25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</row>
    <row r="4811" spans="1:15" ht="15" customHeight="1" x14ac:dyDescent="0.25">
      <c r="A4811" s="3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</row>
    <row r="4812" spans="1:15" ht="15" customHeight="1" x14ac:dyDescent="0.25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</row>
    <row r="4813" spans="1:15" ht="15" customHeight="1" x14ac:dyDescent="0.25">
      <c r="A4813" s="3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</row>
    <row r="4814" spans="1:15" ht="15" customHeight="1" x14ac:dyDescent="0.25">
      <c r="A4814" s="2"/>
      <c r="B4814" s="2"/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</row>
    <row r="4815" spans="1:15" ht="15" customHeight="1" x14ac:dyDescent="0.25">
      <c r="A4815" s="3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</row>
    <row r="4816" spans="1:15" ht="15" customHeight="1" x14ac:dyDescent="0.25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</row>
    <row r="4817" spans="1:15" ht="15" customHeight="1" x14ac:dyDescent="0.25">
      <c r="A4817" s="3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</row>
    <row r="4818" spans="1:15" ht="15" customHeight="1" x14ac:dyDescent="0.25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</row>
    <row r="4819" spans="1:15" ht="15" customHeight="1" x14ac:dyDescent="0.25">
      <c r="A4819" s="3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</row>
    <row r="4820" spans="1:15" ht="15" customHeight="1" x14ac:dyDescent="0.25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</row>
    <row r="4821" spans="1:15" ht="15" customHeight="1" x14ac:dyDescent="0.25">
      <c r="A4821" s="3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</row>
    <row r="4822" spans="1:15" ht="15" customHeight="1" x14ac:dyDescent="0.25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</row>
    <row r="4823" spans="1:15" ht="15" customHeight="1" x14ac:dyDescent="0.25">
      <c r="A4823" s="3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</row>
    <row r="4824" spans="1:15" ht="15" customHeight="1" x14ac:dyDescent="0.25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</row>
    <row r="4825" spans="1:15" ht="15" customHeight="1" x14ac:dyDescent="0.25">
      <c r="A4825" s="3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</row>
    <row r="4826" spans="1:15" ht="15" customHeight="1" x14ac:dyDescent="0.25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</row>
    <row r="4827" spans="1:15" ht="15" customHeight="1" x14ac:dyDescent="0.25">
      <c r="A4827" s="3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</row>
    <row r="4828" spans="1:15" ht="15" customHeight="1" x14ac:dyDescent="0.25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</row>
    <row r="4829" spans="1:15" ht="15" customHeight="1" x14ac:dyDescent="0.25">
      <c r="A4829" s="3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</row>
    <row r="4830" spans="1:15" ht="15" customHeight="1" x14ac:dyDescent="0.25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</row>
    <row r="4831" spans="1:15" ht="15" customHeight="1" x14ac:dyDescent="0.25">
      <c r="A4831" s="3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</row>
    <row r="4832" spans="1:15" ht="15" customHeight="1" x14ac:dyDescent="0.25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</row>
    <row r="4833" spans="1:15" ht="15" customHeight="1" x14ac:dyDescent="0.25">
      <c r="A4833" s="3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</row>
    <row r="4834" spans="1:15" ht="15" customHeight="1" x14ac:dyDescent="0.25">
      <c r="A4834" s="2"/>
      <c r="B4834" s="2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</row>
    <row r="4835" spans="1:15" ht="15" customHeight="1" x14ac:dyDescent="0.25">
      <c r="A4835" s="3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</row>
    <row r="4836" spans="1:15" ht="15" customHeight="1" x14ac:dyDescent="0.25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</row>
    <row r="4837" spans="1:15" ht="15" customHeight="1" x14ac:dyDescent="0.25">
      <c r="A4837" s="3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</row>
    <row r="4838" spans="1:15" ht="15" customHeight="1" x14ac:dyDescent="0.25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</row>
    <row r="4839" spans="1:15" ht="15" customHeight="1" x14ac:dyDescent="0.25">
      <c r="A4839" s="3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</row>
    <row r="4840" spans="1:15" ht="15" customHeight="1" x14ac:dyDescent="0.25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</row>
    <row r="4841" spans="1:15" ht="15" customHeight="1" x14ac:dyDescent="0.25">
      <c r="A4841" s="3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</row>
    <row r="4842" spans="1:15" ht="15" customHeight="1" x14ac:dyDescent="0.25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</row>
    <row r="4843" spans="1:15" ht="15" customHeight="1" x14ac:dyDescent="0.25">
      <c r="A4843" s="3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</row>
    <row r="4844" spans="1:15" ht="15" customHeight="1" x14ac:dyDescent="0.25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</row>
    <row r="4845" spans="1:15" ht="15" customHeight="1" x14ac:dyDescent="0.25">
      <c r="A4845" s="3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</row>
    <row r="4846" spans="1:15" ht="15" customHeight="1" x14ac:dyDescent="0.25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</row>
    <row r="4847" spans="1:15" ht="15" customHeight="1" x14ac:dyDescent="0.25">
      <c r="A4847" s="3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</row>
    <row r="4848" spans="1:15" ht="15" customHeight="1" x14ac:dyDescent="0.25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</row>
    <row r="4849" spans="1:15" ht="15" customHeight="1" x14ac:dyDescent="0.25">
      <c r="A4849" s="3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</row>
    <row r="4850" spans="1:15" ht="15" customHeight="1" x14ac:dyDescent="0.25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</row>
    <row r="4851" spans="1:15" ht="15" customHeight="1" x14ac:dyDescent="0.25">
      <c r="A4851" s="3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</row>
    <row r="4852" spans="1:15" ht="15" customHeight="1" x14ac:dyDescent="0.25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</row>
    <row r="4853" spans="1:15" ht="15" customHeight="1" x14ac:dyDescent="0.25">
      <c r="A4853" s="3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</row>
    <row r="4854" spans="1:15" ht="15" customHeight="1" x14ac:dyDescent="0.25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</row>
    <row r="4855" spans="1:15" ht="15" customHeight="1" x14ac:dyDescent="0.25">
      <c r="A4855" s="3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</row>
    <row r="4856" spans="1:15" ht="15" customHeight="1" x14ac:dyDescent="0.25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</row>
    <row r="4857" spans="1:15" ht="15" customHeight="1" x14ac:dyDescent="0.25">
      <c r="A4857" s="3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</row>
    <row r="4858" spans="1:15" ht="15" customHeight="1" x14ac:dyDescent="0.25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</row>
    <row r="4859" spans="1:15" ht="15" customHeight="1" x14ac:dyDescent="0.25">
      <c r="A4859" s="3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</row>
    <row r="4860" spans="1:15" ht="15" customHeight="1" x14ac:dyDescent="0.25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</row>
    <row r="4861" spans="1:15" ht="15" customHeight="1" x14ac:dyDescent="0.25">
      <c r="A4861" s="3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</row>
    <row r="4862" spans="1:15" ht="15" customHeight="1" x14ac:dyDescent="0.25">
      <c r="A4862" s="2"/>
      <c r="B4862" s="2"/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</row>
    <row r="4863" spans="1:15" ht="15" customHeight="1" x14ac:dyDescent="0.25">
      <c r="A4863" s="3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</row>
    <row r="4864" spans="1:15" ht="15" customHeight="1" x14ac:dyDescent="0.25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</row>
    <row r="4865" spans="1:15" ht="15" customHeight="1" x14ac:dyDescent="0.25">
      <c r="A4865" s="3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</row>
    <row r="4866" spans="1:15" ht="15" customHeight="1" x14ac:dyDescent="0.25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</row>
    <row r="4867" spans="1:15" ht="15" customHeight="1" x14ac:dyDescent="0.25">
      <c r="A4867" s="3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</row>
    <row r="4868" spans="1:15" ht="15" customHeight="1" x14ac:dyDescent="0.25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</row>
    <row r="4869" spans="1:15" ht="15" customHeight="1" x14ac:dyDescent="0.25">
      <c r="A4869" s="3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</row>
    <row r="4870" spans="1:15" ht="15" customHeight="1" x14ac:dyDescent="0.25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</row>
    <row r="4871" spans="1:15" ht="15" customHeight="1" x14ac:dyDescent="0.25">
      <c r="A4871" s="3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</row>
    <row r="4872" spans="1:15" ht="15" customHeight="1" x14ac:dyDescent="0.25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</row>
    <row r="4873" spans="1:15" ht="15" customHeight="1" x14ac:dyDescent="0.25">
      <c r="A4873" s="3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</row>
    <row r="4874" spans="1:15" ht="15" customHeight="1" x14ac:dyDescent="0.25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</row>
    <row r="4875" spans="1:15" ht="15" customHeight="1" x14ac:dyDescent="0.25">
      <c r="A4875" s="3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</row>
    <row r="4876" spans="1:15" ht="15" customHeight="1" x14ac:dyDescent="0.25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</row>
    <row r="4877" spans="1:15" ht="15" customHeight="1" x14ac:dyDescent="0.25">
      <c r="A4877" s="3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</row>
    <row r="4878" spans="1:15" ht="15" customHeight="1" x14ac:dyDescent="0.25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</row>
    <row r="4879" spans="1:15" ht="15" customHeight="1" x14ac:dyDescent="0.25">
      <c r="A4879" s="3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</row>
    <row r="4880" spans="1:15" ht="15" customHeight="1" x14ac:dyDescent="0.25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</row>
    <row r="4881" spans="1:15" ht="15" customHeight="1" x14ac:dyDescent="0.25">
      <c r="A4881" s="3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</row>
    <row r="4882" spans="1:15" ht="15" customHeight="1" x14ac:dyDescent="0.25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</row>
    <row r="4883" spans="1:15" ht="15" customHeight="1" x14ac:dyDescent="0.25">
      <c r="A4883" s="3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</row>
    <row r="4884" spans="1:15" ht="15" customHeight="1" x14ac:dyDescent="0.25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</row>
    <row r="4885" spans="1:15" ht="15" customHeight="1" x14ac:dyDescent="0.25">
      <c r="A4885" s="3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</row>
    <row r="4886" spans="1:15" ht="15" customHeight="1" x14ac:dyDescent="0.25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</row>
    <row r="4887" spans="1:15" ht="15" customHeight="1" x14ac:dyDescent="0.25">
      <c r="A4887" s="3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</row>
    <row r="4888" spans="1:15" ht="15" customHeight="1" x14ac:dyDescent="0.25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</row>
    <row r="4889" spans="1:15" ht="15" customHeight="1" x14ac:dyDescent="0.25">
      <c r="A4889" s="3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</row>
    <row r="4890" spans="1:15" ht="15" customHeight="1" x14ac:dyDescent="0.25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</row>
    <row r="4891" spans="1:15" ht="15" customHeight="1" x14ac:dyDescent="0.25">
      <c r="A4891" s="3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</row>
    <row r="4892" spans="1:15" ht="15" customHeight="1" x14ac:dyDescent="0.25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</row>
    <row r="4893" spans="1:15" ht="15" customHeight="1" x14ac:dyDescent="0.25">
      <c r="A4893" s="3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</row>
    <row r="4894" spans="1:15" ht="15" customHeight="1" x14ac:dyDescent="0.25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</row>
    <row r="4895" spans="1:15" ht="15" customHeight="1" x14ac:dyDescent="0.25">
      <c r="A4895" s="3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</row>
    <row r="4896" spans="1:15" ht="15" customHeight="1" x14ac:dyDescent="0.25">
      <c r="A4896" s="2"/>
      <c r="B4896" s="2"/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</row>
    <row r="4897" spans="1:15" ht="15" customHeight="1" x14ac:dyDescent="0.25">
      <c r="A4897" s="3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</row>
    <row r="4898" spans="1:15" ht="15" customHeight="1" x14ac:dyDescent="0.25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</row>
    <row r="4899" spans="1:15" ht="15" customHeight="1" x14ac:dyDescent="0.25">
      <c r="A4899" s="3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</row>
    <row r="4900" spans="1:15" ht="15" customHeight="1" x14ac:dyDescent="0.25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</row>
    <row r="4901" spans="1:15" ht="15" customHeight="1" x14ac:dyDescent="0.25">
      <c r="A4901" s="3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</row>
    <row r="4902" spans="1:15" ht="15" customHeight="1" x14ac:dyDescent="0.25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</row>
    <row r="4903" spans="1:15" ht="15" customHeight="1" x14ac:dyDescent="0.25">
      <c r="A4903" s="3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</row>
    <row r="4904" spans="1:15" ht="15" customHeight="1" x14ac:dyDescent="0.25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</row>
    <row r="4905" spans="1:15" ht="15" customHeight="1" x14ac:dyDescent="0.25">
      <c r="A4905" s="3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</row>
    <row r="4906" spans="1:15" ht="15" customHeight="1" x14ac:dyDescent="0.25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</row>
    <row r="4907" spans="1:15" ht="15" customHeight="1" x14ac:dyDescent="0.25">
      <c r="A4907" s="3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</row>
    <row r="4908" spans="1:15" ht="15" customHeight="1" x14ac:dyDescent="0.25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</row>
    <row r="4909" spans="1:15" ht="15" customHeight="1" x14ac:dyDescent="0.25">
      <c r="A4909" s="3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</row>
    <row r="4910" spans="1:15" ht="15" customHeight="1" x14ac:dyDescent="0.25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</row>
    <row r="4911" spans="1:15" ht="15" customHeight="1" x14ac:dyDescent="0.25">
      <c r="A4911" s="3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</row>
    <row r="4912" spans="1:15" ht="15" customHeight="1" x14ac:dyDescent="0.25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</row>
    <row r="4913" spans="1:15" ht="15" customHeight="1" x14ac:dyDescent="0.25">
      <c r="A4913" s="3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</row>
    <row r="4914" spans="1:15" ht="15" customHeight="1" x14ac:dyDescent="0.25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</row>
    <row r="4915" spans="1:15" ht="15" customHeight="1" x14ac:dyDescent="0.25">
      <c r="A4915" s="3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</row>
    <row r="4916" spans="1:15" ht="15" customHeight="1" x14ac:dyDescent="0.25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</row>
    <row r="4917" spans="1:15" ht="15" customHeight="1" x14ac:dyDescent="0.25">
      <c r="A4917" s="3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</row>
    <row r="4918" spans="1:15" ht="15" customHeight="1" x14ac:dyDescent="0.25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</row>
    <row r="4919" spans="1:15" ht="15" customHeight="1" x14ac:dyDescent="0.25">
      <c r="A4919" s="3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</row>
    <row r="4920" spans="1:15" ht="15" customHeight="1" x14ac:dyDescent="0.25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</row>
    <row r="4921" spans="1:15" ht="15" customHeight="1" x14ac:dyDescent="0.25">
      <c r="A4921" s="3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</row>
    <row r="4922" spans="1:15" ht="15" customHeight="1" x14ac:dyDescent="0.25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</row>
    <row r="4923" spans="1:15" ht="15" customHeight="1" x14ac:dyDescent="0.25">
      <c r="A4923" s="3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</row>
    <row r="4924" spans="1:15" ht="15" customHeight="1" x14ac:dyDescent="0.25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</row>
    <row r="4925" spans="1:15" ht="15" customHeight="1" x14ac:dyDescent="0.25">
      <c r="A4925" s="3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</row>
    <row r="4926" spans="1:15" ht="15" customHeight="1" x14ac:dyDescent="0.25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</row>
    <row r="4927" spans="1:15" ht="15" customHeight="1" x14ac:dyDescent="0.25">
      <c r="A4927" s="3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</row>
    <row r="4928" spans="1:15" ht="15" customHeight="1" x14ac:dyDescent="0.25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</row>
    <row r="4929" spans="1:15" ht="15" customHeight="1" x14ac:dyDescent="0.25">
      <c r="A4929" s="3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</row>
    <row r="4930" spans="1:15" ht="15" customHeight="1" x14ac:dyDescent="0.25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</row>
    <row r="4931" spans="1:15" ht="15" customHeight="1" x14ac:dyDescent="0.25">
      <c r="A4931" s="3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</row>
    <row r="4932" spans="1:15" ht="15" customHeight="1" x14ac:dyDescent="0.25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</row>
    <row r="4933" spans="1:15" ht="15" customHeight="1" x14ac:dyDescent="0.25">
      <c r="A4933" s="3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</row>
    <row r="4934" spans="1:15" ht="15" customHeight="1" x14ac:dyDescent="0.25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</row>
    <row r="4935" spans="1:15" ht="15" customHeight="1" x14ac:dyDescent="0.25">
      <c r="A4935" s="3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</row>
    <row r="4936" spans="1:15" ht="15" customHeight="1" x14ac:dyDescent="0.25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</row>
    <row r="4937" spans="1:15" ht="15" customHeight="1" x14ac:dyDescent="0.25">
      <c r="A4937" s="3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</row>
    <row r="4938" spans="1:15" ht="15" customHeight="1" x14ac:dyDescent="0.25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</row>
    <row r="4939" spans="1:15" ht="15" customHeight="1" x14ac:dyDescent="0.25">
      <c r="A4939" s="3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</row>
    <row r="4940" spans="1:15" ht="15" customHeight="1" x14ac:dyDescent="0.25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</row>
    <row r="4941" spans="1:15" ht="15" customHeight="1" x14ac:dyDescent="0.25">
      <c r="A4941" s="3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</row>
    <row r="4942" spans="1:15" ht="15" customHeight="1" x14ac:dyDescent="0.25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</row>
    <row r="4943" spans="1:15" ht="15" customHeight="1" x14ac:dyDescent="0.25">
      <c r="A4943" s="3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</row>
    <row r="4944" spans="1:15" ht="15" customHeight="1" x14ac:dyDescent="0.25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</row>
    <row r="4945" spans="1:15" ht="15" customHeight="1" x14ac:dyDescent="0.25">
      <c r="A4945" s="3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</row>
    <row r="4946" spans="1:15" ht="15" customHeight="1" x14ac:dyDescent="0.25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</row>
    <row r="4947" spans="1:15" ht="15" customHeight="1" x14ac:dyDescent="0.25">
      <c r="A4947" s="3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</row>
    <row r="4948" spans="1:15" ht="15" customHeight="1" x14ac:dyDescent="0.25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</row>
    <row r="4949" spans="1:15" ht="15" customHeight="1" x14ac:dyDescent="0.25">
      <c r="A4949" s="3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</row>
    <row r="4950" spans="1:15" ht="15" customHeight="1" x14ac:dyDescent="0.25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</row>
    <row r="4951" spans="1:15" ht="15" customHeight="1" x14ac:dyDescent="0.25">
      <c r="A4951" s="3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</row>
    <row r="4952" spans="1:15" ht="15" customHeight="1" x14ac:dyDescent="0.25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</row>
    <row r="4953" spans="1:15" ht="15" customHeight="1" x14ac:dyDescent="0.25">
      <c r="A4953" s="3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</row>
    <row r="4954" spans="1:15" ht="15" customHeight="1" x14ac:dyDescent="0.25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</row>
    <row r="4955" spans="1:15" ht="15" customHeight="1" x14ac:dyDescent="0.25">
      <c r="A4955" s="3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</row>
    <row r="4956" spans="1:15" ht="15" customHeight="1" x14ac:dyDescent="0.25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</row>
    <row r="4957" spans="1:15" ht="15" customHeight="1" x14ac:dyDescent="0.25">
      <c r="A4957" s="3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</row>
    <row r="4958" spans="1:15" ht="15" customHeight="1" x14ac:dyDescent="0.25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</row>
    <row r="4959" spans="1:15" ht="15" customHeight="1" x14ac:dyDescent="0.25">
      <c r="A4959" s="3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</row>
    <row r="4960" spans="1:15" ht="15" customHeight="1" x14ac:dyDescent="0.25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</row>
    <row r="4961" spans="1:15" ht="15" customHeight="1" x14ac:dyDescent="0.25">
      <c r="A4961" s="3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</row>
    <row r="4962" spans="1:15" ht="15" customHeight="1" x14ac:dyDescent="0.25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</row>
    <row r="4963" spans="1:15" ht="15" customHeight="1" x14ac:dyDescent="0.25">
      <c r="A4963" s="3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</row>
    <row r="4964" spans="1:15" ht="15" customHeight="1" x14ac:dyDescent="0.25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</row>
    <row r="4965" spans="1:15" ht="15" customHeight="1" x14ac:dyDescent="0.25">
      <c r="A4965" s="3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</row>
    <row r="4966" spans="1:15" ht="15" customHeight="1" x14ac:dyDescent="0.25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</row>
    <row r="4967" spans="1:15" ht="15" customHeight="1" x14ac:dyDescent="0.25">
      <c r="A4967" s="3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</row>
    <row r="4968" spans="1:15" ht="15" customHeight="1" x14ac:dyDescent="0.25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</row>
    <row r="4969" spans="1:15" ht="15" customHeight="1" x14ac:dyDescent="0.25">
      <c r="A4969" s="3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</row>
    <row r="4970" spans="1:15" ht="15" customHeight="1" x14ac:dyDescent="0.25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</row>
    <row r="4971" spans="1:15" ht="15" customHeight="1" x14ac:dyDescent="0.25">
      <c r="A4971" s="3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</row>
    <row r="4972" spans="1:15" ht="15" customHeight="1" x14ac:dyDescent="0.25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</row>
    <row r="4973" spans="1:15" ht="15" customHeight="1" x14ac:dyDescent="0.25">
      <c r="A4973" s="3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</row>
    <row r="4974" spans="1:15" ht="15" customHeight="1" x14ac:dyDescent="0.25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</row>
    <row r="4975" spans="1:15" ht="15" customHeight="1" x14ac:dyDescent="0.25">
      <c r="A4975" s="3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</row>
    <row r="4976" spans="1:15" ht="15" customHeight="1" x14ac:dyDescent="0.25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</row>
    <row r="4977" spans="1:15" ht="15" customHeight="1" x14ac:dyDescent="0.25">
      <c r="A4977" s="3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</row>
    <row r="4978" spans="1:15" ht="15" customHeight="1" x14ac:dyDescent="0.25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</row>
    <row r="4979" spans="1:15" ht="15" customHeight="1" x14ac:dyDescent="0.25">
      <c r="A4979" s="3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</row>
    <row r="4980" spans="1:15" ht="15" customHeight="1" x14ac:dyDescent="0.25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</row>
    <row r="4981" spans="1:15" ht="15" customHeight="1" x14ac:dyDescent="0.25">
      <c r="A4981" s="3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</row>
    <row r="4982" spans="1:15" ht="15" customHeight="1" x14ac:dyDescent="0.25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</row>
    <row r="4983" spans="1:15" ht="15" customHeight="1" x14ac:dyDescent="0.25">
      <c r="A4983" s="3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</row>
    <row r="4984" spans="1:15" ht="15" customHeight="1" x14ac:dyDescent="0.25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</row>
    <row r="4985" spans="1:15" ht="15" customHeight="1" x14ac:dyDescent="0.25">
      <c r="A4985" s="3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</row>
    <row r="4986" spans="1:15" ht="15" customHeight="1" x14ac:dyDescent="0.25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</row>
    <row r="4987" spans="1:15" ht="15" customHeight="1" x14ac:dyDescent="0.25">
      <c r="A4987" s="3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</row>
    <row r="4988" spans="1:15" ht="15" customHeight="1" x14ac:dyDescent="0.25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</row>
    <row r="4989" spans="1:15" ht="15" customHeight="1" x14ac:dyDescent="0.25">
      <c r="A4989" s="3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</row>
    <row r="4990" spans="1:15" ht="15" customHeight="1" x14ac:dyDescent="0.25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</row>
    <row r="4991" spans="1:15" ht="15" customHeight="1" x14ac:dyDescent="0.25">
      <c r="A4991" s="3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</row>
    <row r="4992" spans="1:15" ht="15" customHeight="1" x14ac:dyDescent="0.25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</row>
    <row r="4993" spans="1:15" ht="15" customHeight="1" x14ac:dyDescent="0.25">
      <c r="A4993" s="3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</row>
    <row r="4994" spans="1:15" ht="15" customHeight="1" x14ac:dyDescent="0.25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</row>
    <row r="4995" spans="1:15" ht="15" customHeight="1" x14ac:dyDescent="0.25">
      <c r="A4995" s="3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</row>
    <row r="4996" spans="1:15" ht="15" customHeight="1" x14ac:dyDescent="0.25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</row>
    <row r="4997" spans="1:15" ht="15" customHeight="1" x14ac:dyDescent="0.25">
      <c r="A4997" s="3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</row>
    <row r="4998" spans="1:15" ht="15" customHeight="1" x14ac:dyDescent="0.25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</row>
    <row r="4999" spans="1:15" ht="15" customHeight="1" x14ac:dyDescent="0.25">
      <c r="A4999" s="3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</row>
    <row r="5000" spans="1:15" ht="15" customHeight="1" x14ac:dyDescent="0.25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</row>
    <row r="5001" spans="1:15" ht="15" customHeight="1" x14ac:dyDescent="0.25">
      <c r="A5001" s="3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</row>
    <row r="5002" spans="1:15" ht="15" customHeight="1" x14ac:dyDescent="0.25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</row>
    <row r="5003" spans="1:15" ht="15" customHeight="1" x14ac:dyDescent="0.25">
      <c r="A5003" s="3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</row>
    <row r="5004" spans="1:15" ht="15" customHeight="1" x14ac:dyDescent="0.25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</row>
    <row r="5005" spans="1:15" ht="15" customHeight="1" x14ac:dyDescent="0.25">
      <c r="A5005" s="3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</row>
    <row r="5006" spans="1:15" ht="15" customHeight="1" x14ac:dyDescent="0.25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</row>
    <row r="5007" spans="1:15" ht="15" customHeight="1" x14ac:dyDescent="0.25">
      <c r="A5007" s="3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</row>
    <row r="5008" spans="1:15" ht="15" customHeight="1" x14ac:dyDescent="0.25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</row>
    <row r="5009" spans="1:15" ht="15" customHeight="1" x14ac:dyDescent="0.25">
      <c r="A5009" s="3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</row>
    <row r="5010" spans="1:15" ht="15" customHeight="1" x14ac:dyDescent="0.25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</row>
    <row r="5011" spans="1:15" ht="15" customHeight="1" x14ac:dyDescent="0.25">
      <c r="A5011" s="3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</row>
    <row r="5012" spans="1:15" ht="15" customHeight="1" x14ac:dyDescent="0.25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</row>
    <row r="5013" spans="1:15" ht="15" customHeight="1" x14ac:dyDescent="0.25">
      <c r="A5013" s="3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</row>
    <row r="5014" spans="1:15" ht="15" customHeight="1" x14ac:dyDescent="0.25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</row>
    <row r="5015" spans="1:15" ht="15" customHeight="1" x14ac:dyDescent="0.25">
      <c r="A5015" s="3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</row>
    <row r="5016" spans="1:15" ht="15" customHeight="1" x14ac:dyDescent="0.25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</row>
    <row r="5017" spans="1:15" ht="15" customHeight="1" x14ac:dyDescent="0.25">
      <c r="A5017" s="3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</row>
    <row r="5018" spans="1:15" ht="15" customHeight="1" x14ac:dyDescent="0.25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</row>
    <row r="5019" spans="1:15" ht="15" customHeight="1" x14ac:dyDescent="0.25">
      <c r="A5019" s="3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</row>
    <row r="5020" spans="1:15" ht="15" customHeight="1" x14ac:dyDescent="0.25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</row>
    <row r="5021" spans="1:15" ht="15" customHeight="1" x14ac:dyDescent="0.25">
      <c r="A5021" s="3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</row>
    <row r="5022" spans="1:15" ht="15" customHeight="1" x14ac:dyDescent="0.25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</row>
    <row r="5023" spans="1:15" ht="15" customHeight="1" x14ac:dyDescent="0.25">
      <c r="A5023" s="3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</row>
    <row r="5024" spans="1:15" ht="15" customHeight="1" x14ac:dyDescent="0.25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</row>
    <row r="5025" spans="1:15" ht="15" customHeight="1" x14ac:dyDescent="0.25">
      <c r="A5025" s="3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</row>
    <row r="5026" spans="1:15" ht="15" customHeight="1" x14ac:dyDescent="0.25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</row>
    <row r="5027" spans="1:15" ht="15" customHeight="1" x14ac:dyDescent="0.25">
      <c r="A5027" s="3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</row>
    <row r="5028" spans="1:15" ht="15" customHeight="1" x14ac:dyDescent="0.25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</row>
    <row r="5029" spans="1:15" ht="15" customHeight="1" x14ac:dyDescent="0.25">
      <c r="A5029" s="3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</row>
    <row r="5030" spans="1:15" ht="15" customHeight="1" x14ac:dyDescent="0.25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</row>
    <row r="5031" spans="1:15" ht="15" customHeight="1" x14ac:dyDescent="0.25">
      <c r="A5031" s="3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</row>
    <row r="5032" spans="1:15" ht="15" customHeight="1" x14ac:dyDescent="0.25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</row>
    <row r="5033" spans="1:15" ht="15" customHeight="1" x14ac:dyDescent="0.25">
      <c r="A5033" s="3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</row>
    <row r="5034" spans="1:15" ht="15" customHeight="1" x14ac:dyDescent="0.25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</row>
    <row r="5035" spans="1:15" ht="15" customHeight="1" x14ac:dyDescent="0.25">
      <c r="A5035" s="3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</row>
    <row r="5036" spans="1:15" ht="15" customHeight="1" x14ac:dyDescent="0.25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</row>
    <row r="5037" spans="1:15" ht="15" customHeight="1" x14ac:dyDescent="0.25">
      <c r="A5037" s="3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</row>
    <row r="5038" spans="1:15" ht="15" customHeight="1" x14ac:dyDescent="0.25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</row>
    <row r="5039" spans="1:15" ht="15" customHeight="1" x14ac:dyDescent="0.25">
      <c r="A5039" s="3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</row>
    <row r="5040" spans="1:15" ht="15" customHeight="1" x14ac:dyDescent="0.25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</row>
    <row r="5041" spans="1:15" ht="15" customHeight="1" x14ac:dyDescent="0.25">
      <c r="A5041" s="3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</row>
    <row r="5042" spans="1:15" ht="15" customHeight="1" x14ac:dyDescent="0.25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</row>
    <row r="5043" spans="1:15" ht="15" customHeight="1" x14ac:dyDescent="0.25">
      <c r="A5043" s="3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</row>
    <row r="5044" spans="1:15" ht="15" customHeight="1" x14ac:dyDescent="0.25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</row>
    <row r="5045" spans="1:15" ht="15" customHeight="1" x14ac:dyDescent="0.25">
      <c r="A5045" s="3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</row>
    <row r="5046" spans="1:15" ht="15" customHeight="1" x14ac:dyDescent="0.25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</row>
    <row r="5047" spans="1:15" ht="15" customHeight="1" x14ac:dyDescent="0.25">
      <c r="A5047" s="3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</row>
    <row r="5048" spans="1:15" ht="15" customHeight="1" x14ac:dyDescent="0.25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</row>
    <row r="5049" spans="1:15" ht="15" customHeight="1" x14ac:dyDescent="0.25">
      <c r="A5049" s="3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</row>
    <row r="5050" spans="1:15" ht="15" customHeight="1" x14ac:dyDescent="0.25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</row>
    <row r="5051" spans="1:15" ht="15" customHeight="1" x14ac:dyDescent="0.25">
      <c r="A5051" s="3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</row>
    <row r="5052" spans="1:15" ht="15" customHeight="1" x14ac:dyDescent="0.25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</row>
    <row r="5053" spans="1:15" ht="15" customHeight="1" x14ac:dyDescent="0.25">
      <c r="A5053" s="3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</row>
    <row r="5054" spans="1:15" ht="15" customHeight="1" x14ac:dyDescent="0.25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</row>
    <row r="5055" spans="1:15" ht="15" customHeight="1" x14ac:dyDescent="0.25">
      <c r="A5055" s="3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</row>
    <row r="5056" spans="1:15" ht="15" customHeight="1" x14ac:dyDescent="0.25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</row>
    <row r="5057" spans="1:15" ht="15" customHeight="1" x14ac:dyDescent="0.25">
      <c r="A5057" s="3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</row>
    <row r="5058" spans="1:15" ht="15" customHeight="1" x14ac:dyDescent="0.25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</row>
    <row r="5059" spans="1:15" ht="15" customHeight="1" x14ac:dyDescent="0.25">
      <c r="A5059" s="3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</row>
    <row r="5060" spans="1:15" ht="15" customHeight="1" x14ac:dyDescent="0.25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</row>
    <row r="5061" spans="1:15" ht="15" customHeight="1" x14ac:dyDescent="0.25">
      <c r="A5061" s="3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</row>
    <row r="5062" spans="1:15" ht="15" customHeight="1" x14ac:dyDescent="0.25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</row>
    <row r="5063" spans="1:15" ht="15" customHeight="1" x14ac:dyDescent="0.25">
      <c r="A5063" s="3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</row>
    <row r="5064" spans="1:15" ht="15" customHeight="1" x14ac:dyDescent="0.25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</row>
    <row r="5065" spans="1:15" ht="15" customHeight="1" x14ac:dyDescent="0.25">
      <c r="A5065" s="3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</row>
    <row r="5066" spans="1:15" ht="15" customHeight="1" x14ac:dyDescent="0.25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</row>
    <row r="5067" spans="1:15" ht="15" customHeight="1" x14ac:dyDescent="0.25">
      <c r="A5067" s="3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</row>
    <row r="5068" spans="1:15" ht="15" customHeight="1" x14ac:dyDescent="0.25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</row>
    <row r="5069" spans="1:15" ht="15" customHeight="1" x14ac:dyDescent="0.25">
      <c r="A5069" s="3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</row>
    <row r="5070" spans="1:15" ht="15" customHeight="1" x14ac:dyDescent="0.25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</row>
    <row r="5071" spans="1:15" ht="15" customHeight="1" x14ac:dyDescent="0.25">
      <c r="A5071" s="3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</row>
    <row r="5072" spans="1:15" ht="15" customHeight="1" x14ac:dyDescent="0.25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</row>
    <row r="5073" spans="1:15" ht="15" customHeight="1" x14ac:dyDescent="0.25">
      <c r="A5073" s="3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</row>
    <row r="5074" spans="1:15" ht="15" customHeight="1" x14ac:dyDescent="0.25">
      <c r="A5074" s="2"/>
      <c r="B5074" s="2"/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</row>
    <row r="5075" spans="1:15" ht="15" customHeight="1" x14ac:dyDescent="0.25">
      <c r="A5075" s="3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</row>
    <row r="5076" spans="1:15" ht="15" customHeight="1" x14ac:dyDescent="0.25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</row>
    <row r="5077" spans="1:15" ht="15" customHeight="1" x14ac:dyDescent="0.25">
      <c r="A5077" s="3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</row>
    <row r="5078" spans="1:15" ht="15" customHeight="1" x14ac:dyDescent="0.25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</row>
    <row r="5079" spans="1:15" ht="15" customHeight="1" x14ac:dyDescent="0.25">
      <c r="A5079" s="3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</row>
    <row r="5080" spans="1:15" ht="15" customHeight="1" x14ac:dyDescent="0.25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</row>
    <row r="5081" spans="1:15" ht="15" customHeight="1" x14ac:dyDescent="0.25">
      <c r="A5081" s="3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</row>
    <row r="5082" spans="1:15" ht="15" customHeight="1" x14ac:dyDescent="0.25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</row>
    <row r="5083" spans="1:15" ht="15" customHeight="1" x14ac:dyDescent="0.25">
      <c r="A5083" s="3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</row>
    <row r="5084" spans="1:15" ht="15" customHeight="1" x14ac:dyDescent="0.25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</row>
    <row r="5085" spans="1:15" ht="15" customHeight="1" x14ac:dyDescent="0.25">
      <c r="A5085" s="3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</row>
    <row r="5086" spans="1:15" ht="15" customHeight="1" x14ac:dyDescent="0.25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</row>
    <row r="5087" spans="1:15" ht="15" customHeight="1" x14ac:dyDescent="0.25">
      <c r="A5087" s="3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</row>
    <row r="5088" spans="1:15" ht="15" customHeight="1" x14ac:dyDescent="0.25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</row>
    <row r="5089" spans="1:15" ht="15" customHeight="1" x14ac:dyDescent="0.25">
      <c r="A5089" s="3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</row>
    <row r="5090" spans="1:15" ht="15" customHeight="1" x14ac:dyDescent="0.25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</row>
    <row r="5091" spans="1:15" ht="15" customHeight="1" x14ac:dyDescent="0.25">
      <c r="A5091" s="3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</row>
    <row r="5092" spans="1:15" ht="15" customHeight="1" x14ac:dyDescent="0.25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</row>
    <row r="5093" spans="1:15" ht="15" customHeight="1" x14ac:dyDescent="0.25">
      <c r="A5093" s="3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</row>
    <row r="5094" spans="1:15" ht="15" customHeight="1" x14ac:dyDescent="0.25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</row>
    <row r="5095" spans="1:15" ht="15" customHeight="1" x14ac:dyDescent="0.25">
      <c r="A5095" s="3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</row>
    <row r="5096" spans="1:15" ht="15" customHeight="1" x14ac:dyDescent="0.25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</row>
    <row r="5097" spans="1:15" ht="15" customHeight="1" x14ac:dyDescent="0.25">
      <c r="A5097" s="3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</row>
    <row r="5098" spans="1:15" ht="15" customHeight="1" x14ac:dyDescent="0.25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</row>
    <row r="5099" spans="1:15" ht="15" customHeight="1" x14ac:dyDescent="0.25">
      <c r="A5099" s="3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</row>
    <row r="5100" spans="1:15" ht="15" customHeight="1" x14ac:dyDescent="0.25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</row>
    <row r="5101" spans="1:15" ht="15" customHeight="1" x14ac:dyDescent="0.25">
      <c r="A5101" s="3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</row>
    <row r="5102" spans="1:15" ht="15" customHeight="1" x14ac:dyDescent="0.25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</row>
    <row r="5103" spans="1:15" ht="15" customHeight="1" x14ac:dyDescent="0.25">
      <c r="A5103" s="3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</row>
    <row r="5104" spans="1:15" ht="15" customHeight="1" x14ac:dyDescent="0.25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</row>
    <row r="5105" spans="1:15" ht="15" customHeight="1" x14ac:dyDescent="0.25">
      <c r="A5105" s="3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</row>
    <row r="5106" spans="1:15" ht="15" customHeight="1" x14ac:dyDescent="0.25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</row>
    <row r="5107" spans="1:15" ht="15" customHeight="1" x14ac:dyDescent="0.25">
      <c r="A5107" s="3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</row>
    <row r="5108" spans="1:15" ht="15" customHeight="1" x14ac:dyDescent="0.25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</row>
    <row r="5109" spans="1:15" ht="15" customHeight="1" x14ac:dyDescent="0.25">
      <c r="A5109" s="3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</row>
    <row r="5110" spans="1:15" ht="15" customHeight="1" x14ac:dyDescent="0.25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</row>
    <row r="5111" spans="1:15" ht="15" customHeight="1" x14ac:dyDescent="0.25">
      <c r="A5111" s="3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</row>
    <row r="5112" spans="1:15" ht="15" customHeight="1" x14ac:dyDescent="0.25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</row>
    <row r="5113" spans="1:15" ht="15" customHeight="1" x14ac:dyDescent="0.25">
      <c r="A5113" s="3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</row>
    <row r="5114" spans="1:15" ht="15" customHeight="1" x14ac:dyDescent="0.25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</row>
    <row r="5115" spans="1:15" ht="15" customHeight="1" x14ac:dyDescent="0.25">
      <c r="A5115" s="3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</row>
    <row r="5116" spans="1:15" ht="15" customHeight="1" x14ac:dyDescent="0.25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</row>
    <row r="5117" spans="1:15" ht="15" customHeight="1" x14ac:dyDescent="0.25">
      <c r="A5117" s="3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</row>
    <row r="5118" spans="1:15" ht="15" customHeight="1" x14ac:dyDescent="0.25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</row>
    <row r="5119" spans="1:15" ht="15" customHeight="1" x14ac:dyDescent="0.25">
      <c r="A5119" s="3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</row>
    <row r="5120" spans="1:15" ht="15" customHeight="1" x14ac:dyDescent="0.25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</row>
    <row r="5121" spans="1:15" ht="15" customHeight="1" x14ac:dyDescent="0.25">
      <c r="A5121" s="3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</row>
    <row r="5122" spans="1:15" ht="15" customHeight="1" x14ac:dyDescent="0.25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</row>
    <row r="5123" spans="1:15" ht="15" customHeight="1" x14ac:dyDescent="0.25">
      <c r="A5123" s="3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</row>
    <row r="5124" spans="1:15" ht="15" customHeight="1" x14ac:dyDescent="0.25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</row>
    <row r="5125" spans="1:15" ht="15" customHeight="1" x14ac:dyDescent="0.25">
      <c r="A5125" s="3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</row>
    <row r="5126" spans="1:15" ht="15" customHeight="1" x14ac:dyDescent="0.25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</row>
    <row r="5127" spans="1:15" ht="15" customHeight="1" x14ac:dyDescent="0.25">
      <c r="A5127" s="3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</row>
    <row r="5128" spans="1:15" ht="15" customHeight="1" x14ac:dyDescent="0.25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</row>
    <row r="5129" spans="1:15" ht="15" customHeight="1" x14ac:dyDescent="0.25">
      <c r="A5129" s="3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</row>
    <row r="5130" spans="1:15" ht="15" customHeight="1" x14ac:dyDescent="0.25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</row>
    <row r="5131" spans="1:15" ht="15" customHeight="1" x14ac:dyDescent="0.25">
      <c r="A5131" s="3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</row>
    <row r="5132" spans="1:15" ht="15" customHeight="1" x14ac:dyDescent="0.25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</row>
    <row r="5133" spans="1:15" ht="15" customHeight="1" x14ac:dyDescent="0.25">
      <c r="A5133" s="3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</row>
    <row r="5134" spans="1:15" ht="15" customHeight="1" x14ac:dyDescent="0.25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</row>
    <row r="5135" spans="1:15" ht="15" customHeight="1" x14ac:dyDescent="0.25">
      <c r="A5135" s="3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</row>
    <row r="5136" spans="1:15" ht="15" customHeight="1" x14ac:dyDescent="0.25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</row>
    <row r="5137" spans="1:15" ht="15" customHeight="1" x14ac:dyDescent="0.25">
      <c r="A5137" s="3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</row>
    <row r="5138" spans="1:15" ht="15" customHeight="1" x14ac:dyDescent="0.25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</row>
    <row r="5139" spans="1:15" ht="15" customHeight="1" x14ac:dyDescent="0.25">
      <c r="A5139" s="3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</row>
    <row r="5140" spans="1:15" ht="15" customHeight="1" x14ac:dyDescent="0.25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</row>
    <row r="5141" spans="1:15" ht="15" customHeight="1" x14ac:dyDescent="0.25">
      <c r="A5141" s="3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</row>
    <row r="5142" spans="1:15" ht="15" customHeight="1" x14ac:dyDescent="0.25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</row>
    <row r="5143" spans="1:15" ht="15" customHeight="1" x14ac:dyDescent="0.25">
      <c r="A5143" s="3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</row>
    <row r="5144" spans="1:15" ht="15" customHeight="1" x14ac:dyDescent="0.25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</row>
    <row r="5145" spans="1:15" ht="15" customHeight="1" x14ac:dyDescent="0.25">
      <c r="A5145" s="3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</row>
    <row r="5146" spans="1:15" ht="15" customHeight="1" x14ac:dyDescent="0.25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</row>
    <row r="5147" spans="1:15" ht="15" customHeight="1" x14ac:dyDescent="0.25">
      <c r="A5147" s="3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</row>
    <row r="5148" spans="1:15" ht="15" customHeight="1" x14ac:dyDescent="0.25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</row>
    <row r="5149" spans="1:15" ht="15" customHeight="1" x14ac:dyDescent="0.25">
      <c r="A5149" s="3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</row>
    <row r="5150" spans="1:15" ht="15" customHeight="1" x14ac:dyDescent="0.25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</row>
    <row r="5151" spans="1:15" ht="15" customHeight="1" x14ac:dyDescent="0.25">
      <c r="A5151" s="3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</row>
    <row r="5152" spans="1:15" ht="15" customHeight="1" x14ac:dyDescent="0.25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</row>
    <row r="5153" spans="1:15" ht="15" customHeight="1" x14ac:dyDescent="0.25">
      <c r="A5153" s="3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</row>
    <row r="5154" spans="1:15" ht="15" customHeight="1" x14ac:dyDescent="0.25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</row>
    <row r="5155" spans="1:15" ht="15" customHeight="1" x14ac:dyDescent="0.25">
      <c r="A5155" s="3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</row>
    <row r="5156" spans="1:15" ht="15" customHeight="1" x14ac:dyDescent="0.25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</row>
    <row r="5157" spans="1:15" ht="15" customHeight="1" x14ac:dyDescent="0.25">
      <c r="A5157" s="3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</row>
    <row r="5158" spans="1:15" ht="15" customHeight="1" x14ac:dyDescent="0.25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</row>
    <row r="5159" spans="1:15" ht="15" customHeight="1" x14ac:dyDescent="0.25">
      <c r="A5159" s="3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</row>
    <row r="5160" spans="1:15" ht="15" customHeight="1" x14ac:dyDescent="0.25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</row>
    <row r="5161" spans="1:15" ht="15" customHeight="1" x14ac:dyDescent="0.25">
      <c r="A5161" s="3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</row>
    <row r="5162" spans="1:15" ht="15" customHeight="1" x14ac:dyDescent="0.25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</row>
    <row r="5163" spans="1:15" ht="15" customHeight="1" x14ac:dyDescent="0.25">
      <c r="A5163" s="3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</row>
    <row r="5164" spans="1:15" ht="15" customHeight="1" x14ac:dyDescent="0.25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</row>
    <row r="5165" spans="1:15" ht="15" customHeight="1" x14ac:dyDescent="0.25">
      <c r="A5165" s="3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</row>
    <row r="5166" spans="1:15" ht="15" customHeight="1" x14ac:dyDescent="0.25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</row>
    <row r="5167" spans="1:15" ht="15" customHeight="1" x14ac:dyDescent="0.25">
      <c r="A5167" s="3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</row>
    <row r="5168" spans="1:15" ht="15" customHeight="1" x14ac:dyDescent="0.25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</row>
    <row r="5169" spans="1:15" ht="15" customHeight="1" x14ac:dyDescent="0.25">
      <c r="A5169" s="3"/>
      <c r="B5169" s="3"/>
      <c r="C5169" s="3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</row>
    <row r="5170" spans="1:15" ht="15" customHeight="1" x14ac:dyDescent="0.25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</row>
    <row r="5171" spans="1:15" ht="15" customHeight="1" x14ac:dyDescent="0.25">
      <c r="A5171" s="3"/>
      <c r="B5171" s="3"/>
      <c r="C5171" s="3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</row>
    <row r="5172" spans="1:15" ht="15" customHeight="1" x14ac:dyDescent="0.25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</row>
    <row r="5173" spans="1:15" ht="15" customHeight="1" x14ac:dyDescent="0.25">
      <c r="A5173" s="3"/>
      <c r="B5173" s="3"/>
      <c r="C5173" s="3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</row>
    <row r="5174" spans="1:15" ht="15" customHeight="1" x14ac:dyDescent="0.25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</row>
    <row r="5175" spans="1:15" ht="15" customHeight="1" x14ac:dyDescent="0.25">
      <c r="A5175" s="3"/>
      <c r="B5175" s="3"/>
      <c r="C5175" s="3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</row>
    <row r="5176" spans="1:15" ht="15" customHeight="1" x14ac:dyDescent="0.25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</row>
    <row r="5177" spans="1:15" ht="15" customHeight="1" x14ac:dyDescent="0.25">
      <c r="A5177" s="3"/>
      <c r="B5177" s="3"/>
      <c r="C5177" s="3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</row>
    <row r="5178" spans="1:15" ht="15" customHeight="1" x14ac:dyDescent="0.25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</row>
    <row r="5179" spans="1:15" ht="15" customHeight="1" x14ac:dyDescent="0.25">
      <c r="A5179" s="3"/>
      <c r="B5179" s="3"/>
      <c r="C5179" s="3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</row>
    <row r="5180" spans="1:15" ht="15" customHeight="1" x14ac:dyDescent="0.25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</row>
    <row r="5181" spans="1:15" ht="15" customHeight="1" x14ac:dyDescent="0.25">
      <c r="A5181" s="3"/>
      <c r="B5181" s="3"/>
      <c r="C5181" s="3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</row>
    <row r="5182" spans="1:15" ht="15" customHeight="1" x14ac:dyDescent="0.25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</row>
    <row r="5183" spans="1:15" ht="15" customHeight="1" x14ac:dyDescent="0.25">
      <c r="A5183" s="3"/>
      <c r="B5183" s="3"/>
      <c r="C5183" s="3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</row>
    <row r="5184" spans="1:15" ht="15" customHeight="1" x14ac:dyDescent="0.25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</row>
    <row r="5185" spans="1:15" ht="15" customHeight="1" x14ac:dyDescent="0.25">
      <c r="A5185" s="3"/>
      <c r="B5185" s="3"/>
      <c r="C5185" s="3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</row>
    <row r="5186" spans="1:15" ht="15" customHeight="1" x14ac:dyDescent="0.25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</row>
    <row r="5187" spans="1:15" ht="15" customHeight="1" x14ac:dyDescent="0.25">
      <c r="A5187" s="3"/>
      <c r="B5187" s="3"/>
      <c r="C5187" s="3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</row>
    <row r="5188" spans="1:15" ht="15" customHeight="1" x14ac:dyDescent="0.25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</row>
    <row r="5189" spans="1:15" ht="15" customHeight="1" x14ac:dyDescent="0.25">
      <c r="A5189" s="3"/>
      <c r="B5189" s="3"/>
      <c r="C5189" s="3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</row>
    <row r="5190" spans="1:15" ht="15" customHeight="1" x14ac:dyDescent="0.25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</row>
    <row r="5191" spans="1:15" ht="15" customHeight="1" x14ac:dyDescent="0.25">
      <c r="A5191" s="3"/>
      <c r="B5191" s="3"/>
      <c r="C5191" s="3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</row>
    <row r="5192" spans="1:15" ht="15" customHeight="1" x14ac:dyDescent="0.25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</row>
    <row r="5193" spans="1:15" ht="15" customHeight="1" x14ac:dyDescent="0.25">
      <c r="A5193" s="3"/>
      <c r="B5193" s="3"/>
      <c r="C5193" s="3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</row>
    <row r="5194" spans="1:15" ht="15" customHeight="1" x14ac:dyDescent="0.25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</row>
    <row r="5195" spans="1:15" ht="15" customHeight="1" x14ac:dyDescent="0.25">
      <c r="A5195" s="3"/>
      <c r="B5195" s="3"/>
      <c r="C5195" s="3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</row>
    <row r="5196" spans="1:15" ht="15" customHeight="1" x14ac:dyDescent="0.25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</row>
    <row r="5197" spans="1:15" ht="15" customHeight="1" x14ac:dyDescent="0.25">
      <c r="A5197" s="3"/>
      <c r="B5197" s="3"/>
      <c r="C5197" s="3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</row>
    <row r="5198" spans="1:15" ht="15" customHeight="1" x14ac:dyDescent="0.25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</row>
    <row r="5199" spans="1:15" ht="15" customHeight="1" x14ac:dyDescent="0.25">
      <c r="A5199" s="3"/>
      <c r="B5199" s="3"/>
      <c r="C5199" s="3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</row>
    <row r="5200" spans="1:15" ht="15" customHeight="1" x14ac:dyDescent="0.25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</row>
    <row r="5201" spans="1:15" ht="15" customHeight="1" x14ac:dyDescent="0.25">
      <c r="A5201" s="3"/>
      <c r="B5201" s="3"/>
      <c r="C5201" s="3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</row>
    <row r="5202" spans="1:15" ht="15" customHeight="1" x14ac:dyDescent="0.25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</row>
    <row r="5203" spans="1:15" ht="15" customHeight="1" x14ac:dyDescent="0.25">
      <c r="A5203" s="3"/>
      <c r="B5203" s="3"/>
      <c r="C5203" s="3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</row>
    <row r="5204" spans="1:15" ht="15" customHeight="1" x14ac:dyDescent="0.25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</row>
    <row r="5205" spans="1:15" ht="15" customHeight="1" x14ac:dyDescent="0.25">
      <c r="A5205" s="3"/>
      <c r="B5205" s="3"/>
      <c r="C5205" s="3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</row>
    <row r="5206" spans="1:15" ht="15" customHeight="1" x14ac:dyDescent="0.25">
      <c r="A5206" s="2"/>
      <c r="B5206" s="2"/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</row>
    <row r="5207" spans="1:15" ht="15" customHeight="1" x14ac:dyDescent="0.25">
      <c r="A5207" s="3"/>
      <c r="B5207" s="3"/>
      <c r="C5207" s="3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</row>
    <row r="5208" spans="1:15" ht="15" customHeight="1" x14ac:dyDescent="0.25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</row>
    <row r="5209" spans="1:15" ht="15" customHeight="1" x14ac:dyDescent="0.25">
      <c r="A5209" s="3"/>
      <c r="B5209" s="3"/>
      <c r="C5209" s="3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</row>
    <row r="5210" spans="1:15" ht="15" customHeight="1" x14ac:dyDescent="0.25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</row>
    <row r="5211" spans="1:15" ht="15" customHeight="1" x14ac:dyDescent="0.25">
      <c r="A5211" s="3"/>
      <c r="B5211" s="3"/>
      <c r="C5211" s="3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</row>
    <row r="5212" spans="1:15" ht="15" customHeight="1" x14ac:dyDescent="0.25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</row>
    <row r="5213" spans="1:15" ht="15" customHeight="1" x14ac:dyDescent="0.25">
      <c r="A5213" s="3"/>
      <c r="B5213" s="3"/>
      <c r="C5213" s="3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</row>
    <row r="5214" spans="1:15" ht="15" customHeight="1" x14ac:dyDescent="0.25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</row>
    <row r="5215" spans="1:15" ht="15" customHeight="1" x14ac:dyDescent="0.25">
      <c r="A5215" s="3"/>
      <c r="B5215" s="3"/>
      <c r="C5215" s="3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</row>
    <row r="5216" spans="1:15" ht="15" customHeight="1" x14ac:dyDescent="0.25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</row>
    <row r="5217" spans="1:15" ht="15" customHeight="1" x14ac:dyDescent="0.25">
      <c r="A5217" s="3"/>
      <c r="B5217" s="3"/>
      <c r="C5217" s="3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</row>
    <row r="5218" spans="1:15" ht="15" customHeight="1" x14ac:dyDescent="0.25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</row>
    <row r="5219" spans="1:15" ht="15" customHeight="1" x14ac:dyDescent="0.25">
      <c r="A5219" s="3"/>
      <c r="B5219" s="3"/>
      <c r="C5219" s="3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</row>
    <row r="5220" spans="1:15" ht="15" customHeight="1" x14ac:dyDescent="0.25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</row>
    <row r="5221" spans="1:15" ht="15" customHeight="1" x14ac:dyDescent="0.25">
      <c r="A5221" s="3"/>
      <c r="B5221" s="3"/>
      <c r="C5221" s="3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</row>
    <row r="5222" spans="1:15" ht="15" customHeight="1" x14ac:dyDescent="0.25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</row>
    <row r="5223" spans="1:15" ht="15" customHeight="1" x14ac:dyDescent="0.25">
      <c r="A5223" s="3"/>
      <c r="B5223" s="3"/>
      <c r="C5223" s="3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</row>
    <row r="5224" spans="1:15" ht="15" customHeight="1" x14ac:dyDescent="0.25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</row>
    <row r="5225" spans="1:15" ht="15" customHeight="1" x14ac:dyDescent="0.25">
      <c r="A5225" s="3"/>
      <c r="B5225" s="3"/>
      <c r="C5225" s="3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</row>
    <row r="5226" spans="1:15" ht="15" customHeight="1" x14ac:dyDescent="0.25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</row>
    <row r="5227" spans="1:15" ht="15" customHeight="1" x14ac:dyDescent="0.25">
      <c r="A5227" s="3"/>
      <c r="B5227" s="3"/>
      <c r="C5227" s="3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</row>
    <row r="5228" spans="1:15" ht="15" customHeight="1" x14ac:dyDescent="0.25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</row>
    <row r="5229" spans="1:15" ht="15" customHeight="1" x14ac:dyDescent="0.25">
      <c r="A5229" s="3"/>
      <c r="B5229" s="3"/>
      <c r="C5229" s="3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</row>
    <row r="5230" spans="1:15" ht="15" customHeight="1" x14ac:dyDescent="0.25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</row>
    <row r="5231" spans="1:15" ht="15" customHeight="1" x14ac:dyDescent="0.25">
      <c r="A5231" s="3"/>
      <c r="B5231" s="3"/>
      <c r="C5231" s="3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</row>
    <row r="5232" spans="1:15" ht="15" customHeight="1" x14ac:dyDescent="0.25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</row>
    <row r="5233" spans="1:15" ht="15" customHeight="1" x14ac:dyDescent="0.25">
      <c r="A5233" s="3"/>
      <c r="B5233" s="3"/>
      <c r="C5233" s="3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</row>
    <row r="5234" spans="1:15" ht="15" customHeight="1" x14ac:dyDescent="0.25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</row>
    <row r="5235" spans="1:15" ht="15" customHeight="1" x14ac:dyDescent="0.25">
      <c r="A5235" s="3"/>
      <c r="B5235" s="3"/>
      <c r="C5235" s="3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</row>
    <row r="5236" spans="1:15" ht="15" customHeight="1" x14ac:dyDescent="0.25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</row>
    <row r="5237" spans="1:15" ht="15" customHeight="1" x14ac:dyDescent="0.25">
      <c r="A5237" s="3"/>
      <c r="B5237" s="3"/>
      <c r="C5237" s="3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</row>
    <row r="5238" spans="1:15" ht="15" customHeight="1" x14ac:dyDescent="0.25">
      <c r="A5238" s="2"/>
      <c r="B5238" s="2"/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</row>
    <row r="5239" spans="1:15" ht="15" customHeight="1" x14ac:dyDescent="0.25">
      <c r="A5239" s="3"/>
      <c r="B5239" s="3"/>
      <c r="C5239" s="3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</row>
    <row r="5240" spans="1:15" ht="15" customHeight="1" x14ac:dyDescent="0.25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</row>
    <row r="5241" spans="1:15" ht="15" customHeight="1" x14ac:dyDescent="0.25">
      <c r="A5241" s="3"/>
      <c r="B5241" s="3"/>
      <c r="C5241" s="3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</row>
    <row r="5242" spans="1:15" ht="15" customHeight="1" x14ac:dyDescent="0.25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</row>
    <row r="5243" spans="1:15" ht="15" customHeight="1" x14ac:dyDescent="0.25">
      <c r="A5243" s="3"/>
      <c r="B5243" s="3"/>
      <c r="C5243" s="3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</row>
    <row r="5244" spans="1:15" ht="15" customHeight="1" x14ac:dyDescent="0.25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</row>
    <row r="5245" spans="1:15" ht="15" customHeight="1" x14ac:dyDescent="0.25">
      <c r="A5245" s="3"/>
      <c r="B5245" s="3"/>
      <c r="C5245" s="3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</row>
    <row r="5246" spans="1:15" ht="15" customHeight="1" x14ac:dyDescent="0.25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</row>
    <row r="5247" spans="1:15" ht="15" customHeight="1" x14ac:dyDescent="0.25">
      <c r="A5247" s="3"/>
      <c r="B5247" s="3"/>
      <c r="C5247" s="3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</row>
    <row r="5248" spans="1:15" ht="15" customHeight="1" x14ac:dyDescent="0.25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</row>
    <row r="5249" spans="1:15" ht="15" customHeight="1" x14ac:dyDescent="0.25">
      <c r="A5249" s="3"/>
      <c r="B5249" s="3"/>
      <c r="C5249" s="3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</row>
    <row r="5250" spans="1:15" ht="15" customHeight="1" x14ac:dyDescent="0.25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</row>
    <row r="5251" spans="1:15" ht="15" customHeight="1" x14ac:dyDescent="0.25">
      <c r="A5251" s="3"/>
      <c r="B5251" s="3"/>
      <c r="C5251" s="3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</row>
    <row r="5252" spans="1:15" ht="15" customHeight="1" x14ac:dyDescent="0.25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</row>
    <row r="5253" spans="1:15" ht="15" customHeight="1" x14ac:dyDescent="0.25">
      <c r="A5253" s="3"/>
      <c r="B5253" s="3"/>
      <c r="C5253" s="3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</row>
    <row r="5254" spans="1:15" ht="15" customHeight="1" x14ac:dyDescent="0.25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</row>
    <row r="5255" spans="1:15" ht="15" customHeight="1" x14ac:dyDescent="0.25">
      <c r="A5255" s="3"/>
      <c r="B5255" s="3"/>
      <c r="C5255" s="3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</row>
    <row r="5256" spans="1:15" ht="15" customHeight="1" x14ac:dyDescent="0.25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</row>
    <row r="5257" spans="1:15" ht="15" customHeight="1" x14ac:dyDescent="0.25">
      <c r="A5257" s="3"/>
      <c r="B5257" s="3"/>
      <c r="C5257" s="3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</row>
    <row r="5258" spans="1:15" ht="15" customHeight="1" x14ac:dyDescent="0.25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</row>
    <row r="5259" spans="1:15" ht="15" customHeight="1" x14ac:dyDescent="0.25">
      <c r="A5259" s="3"/>
      <c r="B5259" s="3"/>
      <c r="C5259" s="3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</row>
    <row r="5260" spans="1:15" ht="15" customHeight="1" x14ac:dyDescent="0.25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</row>
    <row r="5261" spans="1:15" ht="15" customHeight="1" x14ac:dyDescent="0.25">
      <c r="A5261" s="3"/>
      <c r="B5261" s="3"/>
      <c r="C5261" s="3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</row>
    <row r="5262" spans="1:15" ht="15" customHeight="1" x14ac:dyDescent="0.25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</row>
    <row r="5263" spans="1:15" ht="15" customHeight="1" x14ac:dyDescent="0.25">
      <c r="A5263" s="3"/>
      <c r="B5263" s="3"/>
      <c r="C5263" s="3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</row>
    <row r="5264" spans="1:15" ht="15" customHeight="1" x14ac:dyDescent="0.25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</row>
    <row r="5265" spans="1:15" ht="15" customHeight="1" x14ac:dyDescent="0.25">
      <c r="A5265" s="3"/>
      <c r="B5265" s="3"/>
      <c r="C5265" s="3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</row>
    <row r="5266" spans="1:15" ht="15" customHeight="1" x14ac:dyDescent="0.25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</row>
    <row r="5267" spans="1:15" ht="15" customHeight="1" x14ac:dyDescent="0.25">
      <c r="A5267" s="3"/>
      <c r="B5267" s="3"/>
      <c r="C5267" s="3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</row>
    <row r="5268" spans="1:15" ht="15" customHeight="1" x14ac:dyDescent="0.25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</row>
    <row r="5269" spans="1:15" ht="15" customHeight="1" x14ac:dyDescent="0.25">
      <c r="A5269" s="3"/>
      <c r="B5269" s="3"/>
      <c r="C5269" s="3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</row>
    <row r="5270" spans="1:15" ht="15" customHeight="1" x14ac:dyDescent="0.25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</row>
    <row r="5271" spans="1:15" ht="15" customHeight="1" x14ac:dyDescent="0.25">
      <c r="A5271" s="3"/>
      <c r="B5271" s="3"/>
      <c r="C5271" s="3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</row>
    <row r="5272" spans="1:15" ht="15" customHeight="1" x14ac:dyDescent="0.25">
      <c r="A5272" s="2"/>
      <c r="B5272" s="2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</row>
    <row r="5273" spans="1:15" ht="15" customHeight="1" x14ac:dyDescent="0.25">
      <c r="A5273" s="3"/>
      <c r="B5273" s="3"/>
      <c r="C5273" s="3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</row>
    <row r="5274" spans="1:15" ht="15" customHeight="1" x14ac:dyDescent="0.25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</row>
    <row r="5275" spans="1:15" ht="15" customHeight="1" x14ac:dyDescent="0.25">
      <c r="A5275" s="3"/>
      <c r="B5275" s="3"/>
      <c r="C5275" s="3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</row>
    <row r="5276" spans="1:15" ht="15" customHeight="1" x14ac:dyDescent="0.25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</row>
    <row r="5277" spans="1:15" ht="15" customHeight="1" x14ac:dyDescent="0.25">
      <c r="A5277" s="3"/>
      <c r="B5277" s="3"/>
      <c r="C5277" s="3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</row>
    <row r="5278" spans="1:15" ht="15" customHeight="1" x14ac:dyDescent="0.25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</row>
    <row r="5279" spans="1:15" ht="15" customHeight="1" x14ac:dyDescent="0.25">
      <c r="A5279" s="3"/>
      <c r="B5279" s="3"/>
      <c r="C5279" s="3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</row>
    <row r="5280" spans="1:15" ht="15" customHeight="1" x14ac:dyDescent="0.25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</row>
    <row r="5281" spans="1:15" ht="15" customHeight="1" x14ac:dyDescent="0.25">
      <c r="A5281" s="3"/>
      <c r="B5281" s="3"/>
      <c r="C5281" s="3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</row>
    <row r="5282" spans="1:15" ht="15" customHeight="1" x14ac:dyDescent="0.25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</row>
    <row r="5283" spans="1:15" ht="15" customHeight="1" x14ac:dyDescent="0.25">
      <c r="A5283" s="3"/>
      <c r="B5283" s="3"/>
      <c r="C5283" s="3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</row>
    <row r="5284" spans="1:15" ht="15" customHeight="1" x14ac:dyDescent="0.25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</row>
    <row r="5285" spans="1:15" ht="15" customHeight="1" x14ac:dyDescent="0.25">
      <c r="A5285" s="3"/>
      <c r="B5285" s="3"/>
      <c r="C5285" s="3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</row>
    <row r="5286" spans="1:15" ht="15" customHeight="1" x14ac:dyDescent="0.25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</row>
    <row r="5287" spans="1:15" ht="15" customHeight="1" x14ac:dyDescent="0.25">
      <c r="A5287" s="3"/>
      <c r="B5287" s="3"/>
      <c r="C5287" s="3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</row>
    <row r="5288" spans="1:15" ht="15" customHeight="1" x14ac:dyDescent="0.25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</row>
    <row r="5289" spans="1:15" ht="15" customHeight="1" x14ac:dyDescent="0.25">
      <c r="A5289" s="3"/>
      <c r="B5289" s="3"/>
      <c r="C5289" s="3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</row>
    <row r="5290" spans="1:15" ht="15" customHeight="1" x14ac:dyDescent="0.25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</row>
    <row r="5291" spans="1:15" ht="15" customHeight="1" x14ac:dyDescent="0.25">
      <c r="A5291" s="3"/>
      <c r="B5291" s="3"/>
      <c r="C5291" s="3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</row>
    <row r="5292" spans="1:15" ht="15" customHeight="1" x14ac:dyDescent="0.25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</row>
    <row r="5293" spans="1:15" ht="15" customHeight="1" x14ac:dyDescent="0.25">
      <c r="A5293" s="3"/>
      <c r="B5293" s="3"/>
      <c r="C5293" s="3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</row>
    <row r="5294" spans="1:15" ht="15" customHeight="1" x14ac:dyDescent="0.25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</row>
    <row r="5295" spans="1:15" ht="15" customHeight="1" x14ac:dyDescent="0.25">
      <c r="A5295" s="3"/>
      <c r="B5295" s="3"/>
      <c r="C5295" s="3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</row>
    <row r="5296" spans="1:15" ht="15" customHeight="1" x14ac:dyDescent="0.25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</row>
    <row r="5297" spans="1:15" ht="15" customHeight="1" x14ac:dyDescent="0.25">
      <c r="A5297" s="3"/>
      <c r="B5297" s="3"/>
      <c r="C5297" s="3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</row>
    <row r="5298" spans="1:15" ht="15" customHeight="1" x14ac:dyDescent="0.25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</row>
    <row r="5299" spans="1:15" ht="15" customHeight="1" x14ac:dyDescent="0.25">
      <c r="A5299" s="3"/>
      <c r="B5299" s="3"/>
      <c r="C5299" s="3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</row>
    <row r="5300" spans="1:15" ht="15" customHeight="1" x14ac:dyDescent="0.25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</row>
    <row r="5301" spans="1:15" ht="15" customHeight="1" x14ac:dyDescent="0.25">
      <c r="A5301" s="3"/>
      <c r="B5301" s="3"/>
      <c r="C5301" s="3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</row>
    <row r="5302" spans="1:15" ht="15" customHeight="1" x14ac:dyDescent="0.25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</row>
    <row r="5303" spans="1:15" ht="15" customHeight="1" x14ac:dyDescent="0.25">
      <c r="A5303" s="3"/>
      <c r="B5303" s="3"/>
      <c r="C5303" s="3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</row>
    <row r="5304" spans="1:15" ht="15" customHeight="1" x14ac:dyDescent="0.25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</row>
    <row r="5305" spans="1:15" ht="15" customHeight="1" x14ac:dyDescent="0.25">
      <c r="A5305" s="3"/>
      <c r="B5305" s="3"/>
      <c r="C5305" s="3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</row>
    <row r="5306" spans="1:15" ht="15" customHeight="1" x14ac:dyDescent="0.25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</row>
    <row r="5307" spans="1:15" ht="15" customHeight="1" x14ac:dyDescent="0.25">
      <c r="A5307" s="3"/>
      <c r="B5307" s="3"/>
      <c r="C5307" s="3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</row>
    <row r="5308" spans="1:15" ht="15" customHeight="1" x14ac:dyDescent="0.25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</row>
    <row r="5309" spans="1:15" ht="15" customHeight="1" x14ac:dyDescent="0.25">
      <c r="A5309" s="3"/>
      <c r="B5309" s="3"/>
      <c r="C5309" s="3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</row>
    <row r="5310" spans="1:15" ht="15" customHeight="1" x14ac:dyDescent="0.25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</row>
    <row r="5311" spans="1:15" ht="15" customHeight="1" x14ac:dyDescent="0.25">
      <c r="A5311" s="3"/>
      <c r="B5311" s="3"/>
      <c r="C5311" s="3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</row>
    <row r="5312" spans="1:15" ht="15" customHeight="1" x14ac:dyDescent="0.25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</row>
    <row r="5313" spans="1:15" ht="15" customHeight="1" x14ac:dyDescent="0.25">
      <c r="A5313" s="3"/>
      <c r="B5313" s="3"/>
      <c r="C5313" s="3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</row>
    <row r="5314" spans="1:15" ht="15" customHeight="1" x14ac:dyDescent="0.25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</row>
    <row r="5315" spans="1:15" ht="15" customHeight="1" x14ac:dyDescent="0.25">
      <c r="A5315" s="3"/>
      <c r="B5315" s="3"/>
      <c r="C5315" s="3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</row>
    <row r="5316" spans="1:15" ht="15" customHeight="1" x14ac:dyDescent="0.25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</row>
    <row r="5317" spans="1:15" ht="15" customHeight="1" x14ac:dyDescent="0.25">
      <c r="A5317" s="3"/>
      <c r="B5317" s="3"/>
      <c r="C5317" s="3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</row>
    <row r="5318" spans="1:15" ht="15" customHeight="1" x14ac:dyDescent="0.25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</row>
    <row r="5319" spans="1:15" ht="15" customHeight="1" x14ac:dyDescent="0.25">
      <c r="A5319" s="3"/>
      <c r="B5319" s="3"/>
      <c r="C5319" s="3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</row>
    <row r="5320" spans="1:15" ht="15" customHeight="1" x14ac:dyDescent="0.25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</row>
    <row r="5321" spans="1:15" ht="15" customHeight="1" x14ac:dyDescent="0.25">
      <c r="A5321" s="3"/>
      <c r="B5321" s="3"/>
      <c r="C5321" s="3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</row>
    <row r="5322" spans="1:15" ht="15" customHeight="1" x14ac:dyDescent="0.25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</row>
    <row r="5323" spans="1:15" ht="15" customHeight="1" x14ac:dyDescent="0.25">
      <c r="A5323" s="3"/>
      <c r="B5323" s="3"/>
      <c r="C5323" s="3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</row>
    <row r="5324" spans="1:15" ht="15" customHeight="1" x14ac:dyDescent="0.25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</row>
    <row r="5325" spans="1:15" ht="15" customHeight="1" x14ac:dyDescent="0.25">
      <c r="A5325" s="3"/>
      <c r="B5325" s="3"/>
      <c r="C5325" s="3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</row>
    <row r="5326" spans="1:15" ht="15" customHeight="1" x14ac:dyDescent="0.25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</row>
    <row r="5327" spans="1:15" ht="15" customHeight="1" x14ac:dyDescent="0.25">
      <c r="A5327" s="3"/>
      <c r="B5327" s="3"/>
      <c r="C5327" s="3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</row>
    <row r="5328" spans="1:15" ht="15" customHeight="1" x14ac:dyDescent="0.25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</row>
    <row r="5329" spans="1:15" ht="15" customHeight="1" x14ac:dyDescent="0.25">
      <c r="A5329" s="3"/>
      <c r="B5329" s="3"/>
      <c r="C5329" s="3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</row>
    <row r="5330" spans="1:15" ht="15" customHeight="1" x14ac:dyDescent="0.25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</row>
    <row r="5331" spans="1:15" ht="15" customHeight="1" x14ac:dyDescent="0.25">
      <c r="A5331" s="3"/>
      <c r="B5331" s="3"/>
      <c r="C5331" s="3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</row>
    <row r="5332" spans="1:15" ht="15" customHeight="1" x14ac:dyDescent="0.25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</row>
    <row r="5333" spans="1:15" ht="15" customHeight="1" x14ac:dyDescent="0.25">
      <c r="A5333" s="3"/>
      <c r="B5333" s="3"/>
      <c r="C5333" s="3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</row>
    <row r="5334" spans="1:15" ht="15" customHeight="1" x14ac:dyDescent="0.25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</row>
    <row r="5335" spans="1:15" ht="15" customHeight="1" x14ac:dyDescent="0.25">
      <c r="A5335" s="3"/>
      <c r="B5335" s="3"/>
      <c r="C5335" s="3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</row>
    <row r="5336" spans="1:15" ht="15" customHeight="1" x14ac:dyDescent="0.25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</row>
    <row r="5337" spans="1:15" ht="15" customHeight="1" x14ac:dyDescent="0.25">
      <c r="A5337" s="3"/>
      <c r="B5337" s="3"/>
      <c r="C5337" s="3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</row>
    <row r="5338" spans="1:15" ht="15" customHeight="1" x14ac:dyDescent="0.25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</row>
    <row r="5339" spans="1:15" ht="15" customHeight="1" x14ac:dyDescent="0.25">
      <c r="A5339" s="3"/>
      <c r="B5339" s="3"/>
      <c r="C5339" s="3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</row>
    <row r="5340" spans="1:15" ht="15" customHeight="1" x14ac:dyDescent="0.25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</row>
    <row r="5341" spans="1:15" ht="15" customHeight="1" x14ac:dyDescent="0.25">
      <c r="A5341" s="3"/>
      <c r="B5341" s="3"/>
      <c r="C5341" s="3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</row>
    <row r="5342" spans="1:15" ht="15" customHeight="1" x14ac:dyDescent="0.25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</row>
    <row r="5343" spans="1:15" ht="15" customHeight="1" x14ac:dyDescent="0.25">
      <c r="A5343" s="3"/>
      <c r="B5343" s="3"/>
      <c r="C5343" s="3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</row>
    <row r="5344" spans="1:15" ht="15" customHeight="1" x14ac:dyDescent="0.25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</row>
    <row r="5345" spans="1:15" ht="15" customHeight="1" x14ac:dyDescent="0.25">
      <c r="A5345" s="3"/>
      <c r="B5345" s="3"/>
      <c r="C5345" s="3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</row>
    <row r="5346" spans="1:15" ht="15" customHeight="1" x14ac:dyDescent="0.25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</row>
    <row r="5347" spans="1:15" ht="15" customHeight="1" x14ac:dyDescent="0.25">
      <c r="A5347" s="3"/>
      <c r="B5347" s="3"/>
      <c r="C5347" s="3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</row>
    <row r="5348" spans="1:15" ht="15" customHeight="1" x14ac:dyDescent="0.25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</row>
    <row r="5349" spans="1:15" ht="15" customHeight="1" x14ac:dyDescent="0.25">
      <c r="A5349" s="3"/>
      <c r="B5349" s="3"/>
      <c r="C5349" s="3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</row>
    <row r="5350" spans="1:15" ht="15" customHeight="1" x14ac:dyDescent="0.25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</row>
    <row r="5351" spans="1:15" ht="15" customHeight="1" x14ac:dyDescent="0.25">
      <c r="A5351" s="3"/>
      <c r="B5351" s="3"/>
      <c r="C5351" s="3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</row>
    <row r="5352" spans="1:15" ht="15" customHeight="1" x14ac:dyDescent="0.25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</row>
    <row r="5353" spans="1:15" ht="15" customHeight="1" x14ac:dyDescent="0.25">
      <c r="A5353" s="3"/>
      <c r="B5353" s="3"/>
      <c r="C5353" s="3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</row>
    <row r="5354" spans="1:15" ht="15" customHeight="1" x14ac:dyDescent="0.25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</row>
    <row r="5355" spans="1:15" ht="15" customHeight="1" x14ac:dyDescent="0.25">
      <c r="A5355" s="3"/>
      <c r="B5355" s="3"/>
      <c r="C5355" s="3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</row>
    <row r="5356" spans="1:15" ht="15" customHeight="1" x14ac:dyDescent="0.25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</row>
    <row r="5357" spans="1:15" ht="15" customHeight="1" x14ac:dyDescent="0.25">
      <c r="A5357" s="3"/>
      <c r="B5357" s="3"/>
      <c r="C5357" s="3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</row>
    <row r="5358" spans="1:15" ht="15" customHeight="1" x14ac:dyDescent="0.25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</row>
    <row r="5359" spans="1:15" ht="15" customHeight="1" x14ac:dyDescent="0.25">
      <c r="A5359" s="3"/>
      <c r="B5359" s="3"/>
      <c r="C5359" s="3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</row>
    <row r="5360" spans="1:15" ht="15" customHeight="1" x14ac:dyDescent="0.25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</row>
    <row r="5361" spans="1:15" ht="15" customHeight="1" x14ac:dyDescent="0.25">
      <c r="A5361" s="3"/>
      <c r="B5361" s="3"/>
      <c r="C5361" s="3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</row>
    <row r="5362" spans="1:15" ht="15" customHeight="1" x14ac:dyDescent="0.25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</row>
    <row r="5363" spans="1:15" ht="15" customHeight="1" x14ac:dyDescent="0.25">
      <c r="A5363" s="3"/>
      <c r="B5363" s="3"/>
      <c r="C5363" s="3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</row>
    <row r="5364" spans="1:15" ht="15" customHeight="1" x14ac:dyDescent="0.25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</row>
    <row r="5365" spans="1:15" ht="15" customHeight="1" x14ac:dyDescent="0.25">
      <c r="A5365" s="3"/>
      <c r="B5365" s="3"/>
      <c r="C5365" s="3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</row>
    <row r="5366" spans="1:15" ht="15" customHeight="1" x14ac:dyDescent="0.25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</row>
    <row r="5367" spans="1:15" ht="15" customHeight="1" x14ac:dyDescent="0.25">
      <c r="A5367" s="3"/>
      <c r="B5367" s="3"/>
      <c r="C5367" s="3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</row>
    <row r="5368" spans="1:15" ht="15" customHeight="1" x14ac:dyDescent="0.25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</row>
    <row r="5369" spans="1:15" ht="15" customHeight="1" x14ac:dyDescent="0.25">
      <c r="A5369" s="3"/>
      <c r="B5369" s="3"/>
      <c r="C5369" s="3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</row>
    <row r="5370" spans="1:15" ht="15" customHeight="1" x14ac:dyDescent="0.25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</row>
    <row r="5371" spans="1:15" ht="15" customHeight="1" x14ac:dyDescent="0.25">
      <c r="A5371" s="3"/>
      <c r="B5371" s="3"/>
      <c r="C5371" s="3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</row>
    <row r="5372" spans="1:15" ht="15" customHeight="1" x14ac:dyDescent="0.25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</row>
    <row r="5373" spans="1:15" ht="15" customHeight="1" x14ac:dyDescent="0.25">
      <c r="A5373" s="3"/>
      <c r="B5373" s="3"/>
      <c r="C5373" s="3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</row>
    <row r="5374" spans="1:15" ht="15" customHeight="1" x14ac:dyDescent="0.25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</row>
    <row r="5375" spans="1:15" ht="15" customHeight="1" x14ac:dyDescent="0.25">
      <c r="A5375" s="3"/>
      <c r="B5375" s="3"/>
      <c r="C5375" s="3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</row>
    <row r="5376" spans="1:15" ht="15" customHeight="1" x14ac:dyDescent="0.25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</row>
    <row r="5377" spans="1:15" ht="15" customHeight="1" x14ac:dyDescent="0.25">
      <c r="A5377" s="3"/>
      <c r="B5377" s="3"/>
      <c r="C5377" s="3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</row>
    <row r="5378" spans="1:15" ht="15" customHeight="1" x14ac:dyDescent="0.25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</row>
    <row r="5379" spans="1:15" ht="15" customHeight="1" x14ac:dyDescent="0.25">
      <c r="A5379" s="3"/>
      <c r="B5379" s="3"/>
      <c r="C5379" s="3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</row>
    <row r="5380" spans="1:15" ht="15" customHeight="1" x14ac:dyDescent="0.25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</row>
    <row r="5381" spans="1:15" ht="15" customHeight="1" x14ac:dyDescent="0.25">
      <c r="A5381" s="3"/>
      <c r="B5381" s="3"/>
      <c r="C5381" s="3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</row>
    <row r="5382" spans="1:15" ht="15" customHeight="1" x14ac:dyDescent="0.25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</row>
    <row r="5383" spans="1:15" ht="15" customHeight="1" x14ac:dyDescent="0.25">
      <c r="A5383" s="3"/>
      <c r="B5383" s="3"/>
      <c r="C5383" s="3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</row>
    <row r="5384" spans="1:15" ht="15" customHeight="1" x14ac:dyDescent="0.25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</row>
    <row r="5385" spans="1:15" ht="15" customHeight="1" x14ac:dyDescent="0.25">
      <c r="A5385" s="3"/>
      <c r="B5385" s="3"/>
      <c r="C5385" s="3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</row>
    <row r="5386" spans="1:15" ht="15" customHeight="1" x14ac:dyDescent="0.25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</row>
    <row r="5387" spans="1:15" ht="15" customHeight="1" x14ac:dyDescent="0.25">
      <c r="A5387" s="3"/>
      <c r="B5387" s="3"/>
      <c r="C5387" s="3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</row>
    <row r="5388" spans="1:15" ht="15" customHeight="1" x14ac:dyDescent="0.25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</row>
    <row r="5389" spans="1:15" ht="15" customHeight="1" x14ac:dyDescent="0.25">
      <c r="A5389" s="3"/>
      <c r="B5389" s="3"/>
      <c r="C5389" s="3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</row>
    <row r="5390" spans="1:15" ht="15" customHeight="1" x14ac:dyDescent="0.25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</row>
    <row r="5391" spans="1:15" ht="15" customHeight="1" x14ac:dyDescent="0.25">
      <c r="A5391" s="3"/>
      <c r="B5391" s="3"/>
      <c r="C5391" s="3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</row>
    <row r="5392" spans="1:15" ht="15" customHeight="1" x14ac:dyDescent="0.25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</row>
    <row r="5393" spans="1:15" ht="15" customHeight="1" x14ac:dyDescent="0.25">
      <c r="A5393" s="3"/>
      <c r="B5393" s="3"/>
      <c r="C5393" s="3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</row>
    <row r="5394" spans="1:15" ht="15" customHeight="1" x14ac:dyDescent="0.25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</row>
    <row r="5395" spans="1:15" ht="15" customHeight="1" x14ac:dyDescent="0.25">
      <c r="A5395" s="3"/>
      <c r="B5395" s="3"/>
      <c r="C5395" s="3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</row>
    <row r="5396" spans="1:15" ht="15" customHeight="1" x14ac:dyDescent="0.25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</row>
    <row r="5397" spans="1:15" ht="15" customHeight="1" x14ac:dyDescent="0.25">
      <c r="A5397" s="3"/>
      <c r="B5397" s="3"/>
      <c r="C5397" s="3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</row>
    <row r="5398" spans="1:15" ht="15" customHeight="1" x14ac:dyDescent="0.25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</row>
    <row r="5399" spans="1:15" ht="15" customHeight="1" x14ac:dyDescent="0.25">
      <c r="A5399" s="3"/>
      <c r="B5399" s="3"/>
      <c r="C5399" s="3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</row>
    <row r="5400" spans="1:15" ht="15" customHeight="1" x14ac:dyDescent="0.25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</row>
    <row r="5401" spans="1:15" ht="15" customHeight="1" x14ac:dyDescent="0.25">
      <c r="A5401" s="3"/>
      <c r="B5401" s="3"/>
      <c r="C5401" s="3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</row>
    <row r="5402" spans="1:15" ht="15" customHeight="1" x14ac:dyDescent="0.25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</row>
    <row r="5403" spans="1:15" ht="15" customHeight="1" x14ac:dyDescent="0.25">
      <c r="A5403" s="3"/>
      <c r="B5403" s="3"/>
      <c r="C5403" s="3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</row>
    <row r="5404" spans="1:15" ht="15" customHeight="1" x14ac:dyDescent="0.25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</row>
    <row r="5405" spans="1:15" ht="15" customHeight="1" x14ac:dyDescent="0.25">
      <c r="A5405" s="3"/>
      <c r="B5405" s="3"/>
      <c r="C5405" s="3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</row>
    <row r="5406" spans="1:15" ht="15" customHeight="1" x14ac:dyDescent="0.25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</row>
    <row r="5407" spans="1:15" ht="15" customHeight="1" x14ac:dyDescent="0.25">
      <c r="A5407" s="3"/>
      <c r="B5407" s="3"/>
      <c r="C5407" s="3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</row>
    <row r="5408" spans="1:15" ht="15" customHeight="1" x14ac:dyDescent="0.25">
      <c r="A5408" s="2"/>
      <c r="B5408" s="2"/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</row>
    <row r="5409" spans="1:15" ht="15" customHeight="1" x14ac:dyDescent="0.25">
      <c r="A5409" s="3"/>
      <c r="B5409" s="3"/>
      <c r="C5409" s="3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</row>
    <row r="5410" spans="1:15" ht="15" customHeight="1" x14ac:dyDescent="0.25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</row>
    <row r="5411" spans="1:15" ht="15" customHeight="1" x14ac:dyDescent="0.25">
      <c r="A5411" s="3"/>
      <c r="B5411" s="3"/>
      <c r="C5411" s="3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</row>
    <row r="5412" spans="1:15" ht="15" customHeight="1" x14ac:dyDescent="0.25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</row>
    <row r="5413" spans="1:15" ht="15" customHeight="1" x14ac:dyDescent="0.25">
      <c r="A5413" s="3"/>
      <c r="B5413" s="3"/>
      <c r="C5413" s="3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</row>
    <row r="5414" spans="1:15" ht="15" customHeight="1" x14ac:dyDescent="0.25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</row>
    <row r="5415" spans="1:15" ht="15" customHeight="1" x14ac:dyDescent="0.25">
      <c r="A5415" s="3"/>
      <c r="B5415" s="3"/>
      <c r="C5415" s="3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</row>
    <row r="5416" spans="1:15" ht="15" customHeight="1" x14ac:dyDescent="0.25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</row>
    <row r="5417" spans="1:15" ht="15" customHeight="1" x14ac:dyDescent="0.25">
      <c r="A5417" s="3"/>
      <c r="B5417" s="3"/>
      <c r="C5417" s="3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</row>
    <row r="5418" spans="1:15" ht="15" customHeight="1" x14ac:dyDescent="0.25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</row>
    <row r="5419" spans="1:15" ht="15" customHeight="1" x14ac:dyDescent="0.25">
      <c r="A5419" s="3"/>
      <c r="B5419" s="3"/>
      <c r="C5419" s="3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</row>
    <row r="5420" spans="1:15" ht="15" customHeight="1" x14ac:dyDescent="0.25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</row>
    <row r="5421" spans="1:15" ht="15" customHeight="1" x14ac:dyDescent="0.25">
      <c r="A5421" s="3"/>
      <c r="B5421" s="3"/>
      <c r="C5421" s="3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</row>
    <row r="5422" spans="1:15" ht="15" customHeight="1" x14ac:dyDescent="0.25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</row>
    <row r="5423" spans="1:15" ht="15" customHeight="1" x14ac:dyDescent="0.25">
      <c r="A5423" s="3"/>
      <c r="B5423" s="3"/>
      <c r="C5423" s="3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</row>
    <row r="5424" spans="1:15" ht="15" customHeight="1" x14ac:dyDescent="0.25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</row>
    <row r="5425" spans="1:15" ht="15" customHeight="1" x14ac:dyDescent="0.25">
      <c r="A5425" s="3"/>
      <c r="B5425" s="3"/>
      <c r="C5425" s="3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</row>
    <row r="5426" spans="1:15" ht="15" customHeight="1" x14ac:dyDescent="0.25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</row>
    <row r="5427" spans="1:15" ht="15" customHeight="1" x14ac:dyDescent="0.25">
      <c r="A5427" s="3"/>
      <c r="B5427" s="3"/>
      <c r="C5427" s="3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</row>
    <row r="5428" spans="1:15" ht="15" customHeight="1" x14ac:dyDescent="0.25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</row>
    <row r="5429" spans="1:15" ht="15" customHeight="1" x14ac:dyDescent="0.25">
      <c r="A5429" s="3"/>
      <c r="B5429" s="3"/>
      <c r="C5429" s="3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</row>
    <row r="5430" spans="1:15" ht="15" customHeight="1" x14ac:dyDescent="0.25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</row>
    <row r="5431" spans="1:15" ht="15" customHeight="1" x14ac:dyDescent="0.25">
      <c r="A5431" s="3"/>
      <c r="B5431" s="3"/>
      <c r="C5431" s="3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</row>
    <row r="5432" spans="1:15" ht="15" customHeight="1" x14ac:dyDescent="0.25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</row>
    <row r="5433" spans="1:15" ht="15" customHeight="1" x14ac:dyDescent="0.25">
      <c r="A5433" s="3"/>
      <c r="B5433" s="3"/>
      <c r="C5433" s="3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</row>
    <row r="5434" spans="1:15" ht="15" customHeight="1" x14ac:dyDescent="0.25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</row>
    <row r="5435" spans="1:15" ht="15" customHeight="1" x14ac:dyDescent="0.25">
      <c r="A5435" s="3"/>
      <c r="B5435" s="3"/>
      <c r="C5435" s="3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</row>
    <row r="5436" spans="1:15" ht="15" customHeight="1" x14ac:dyDescent="0.25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</row>
    <row r="5437" spans="1:15" ht="15" customHeight="1" x14ac:dyDescent="0.25">
      <c r="A5437" s="3"/>
      <c r="B5437" s="3"/>
      <c r="C5437" s="3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</row>
    <row r="5438" spans="1:15" ht="15" customHeight="1" x14ac:dyDescent="0.25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</row>
    <row r="5439" spans="1:15" ht="15" customHeight="1" x14ac:dyDescent="0.25">
      <c r="A5439" s="3"/>
      <c r="B5439" s="3"/>
      <c r="C5439" s="3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</row>
    <row r="5440" spans="1:15" ht="15" customHeight="1" x14ac:dyDescent="0.25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</row>
    <row r="5441" spans="1:15" ht="15" customHeight="1" x14ac:dyDescent="0.25">
      <c r="A5441" s="3"/>
      <c r="B5441" s="3"/>
      <c r="C5441" s="3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</row>
    <row r="5442" spans="1:15" ht="15" customHeight="1" x14ac:dyDescent="0.25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</row>
    <row r="5443" spans="1:15" ht="15" customHeight="1" x14ac:dyDescent="0.25">
      <c r="A5443" s="3"/>
      <c r="B5443" s="3"/>
      <c r="C5443" s="3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</row>
    <row r="5444" spans="1:15" ht="15" customHeight="1" x14ac:dyDescent="0.25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</row>
    <row r="5445" spans="1:15" ht="15" customHeight="1" x14ac:dyDescent="0.25">
      <c r="A5445" s="3"/>
      <c r="B5445" s="3"/>
      <c r="C5445" s="3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</row>
    <row r="5446" spans="1:15" ht="15" customHeight="1" x14ac:dyDescent="0.25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</row>
    <row r="5447" spans="1:15" ht="15" customHeight="1" x14ac:dyDescent="0.25">
      <c r="A5447" s="3"/>
      <c r="B5447" s="3"/>
      <c r="C5447" s="3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</row>
    <row r="5448" spans="1:15" ht="15" customHeight="1" x14ac:dyDescent="0.25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</row>
    <row r="5449" spans="1:15" ht="15" customHeight="1" x14ac:dyDescent="0.25">
      <c r="A5449" s="3"/>
      <c r="B5449" s="3"/>
      <c r="C5449" s="3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</row>
    <row r="5450" spans="1:15" ht="15" customHeight="1" x14ac:dyDescent="0.25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</row>
    <row r="5451" spans="1:15" ht="15" customHeight="1" x14ac:dyDescent="0.25">
      <c r="A5451" s="3"/>
      <c r="B5451" s="3"/>
      <c r="C5451" s="3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</row>
    <row r="5452" spans="1:15" ht="15" customHeight="1" x14ac:dyDescent="0.25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</row>
    <row r="5453" spans="1:15" ht="15" customHeight="1" x14ac:dyDescent="0.25">
      <c r="A5453" s="3"/>
      <c r="B5453" s="3"/>
      <c r="C5453" s="3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</row>
    <row r="5454" spans="1:15" ht="15" customHeight="1" x14ac:dyDescent="0.25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</row>
    <row r="5455" spans="1:15" ht="15" customHeight="1" x14ac:dyDescent="0.25">
      <c r="A5455" s="3"/>
      <c r="B5455" s="3"/>
      <c r="C5455" s="3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</row>
    <row r="5456" spans="1:15" ht="15" customHeight="1" x14ac:dyDescent="0.25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</row>
    <row r="5457" spans="1:15" ht="15" customHeight="1" x14ac:dyDescent="0.25">
      <c r="A5457" s="3"/>
      <c r="B5457" s="3"/>
      <c r="C5457" s="3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</row>
    <row r="5458" spans="1:15" ht="15" customHeight="1" x14ac:dyDescent="0.25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</row>
    <row r="5459" spans="1:15" ht="15" customHeight="1" x14ac:dyDescent="0.25">
      <c r="A5459" s="3"/>
      <c r="B5459" s="3"/>
      <c r="C5459" s="3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</row>
    <row r="5460" spans="1:15" ht="15" customHeight="1" x14ac:dyDescent="0.25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</row>
    <row r="5461" spans="1:15" ht="15" customHeight="1" x14ac:dyDescent="0.25">
      <c r="A5461" s="3"/>
      <c r="B5461" s="3"/>
      <c r="C5461" s="3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</row>
    <row r="5462" spans="1:15" ht="15" customHeight="1" x14ac:dyDescent="0.25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</row>
    <row r="5463" spans="1:15" ht="15" customHeight="1" x14ac:dyDescent="0.25">
      <c r="A5463" s="3"/>
      <c r="B5463" s="3"/>
      <c r="C5463" s="3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</row>
    <row r="5464" spans="1:15" ht="15" customHeight="1" x14ac:dyDescent="0.25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</row>
    <row r="5465" spans="1:15" ht="15" customHeight="1" x14ac:dyDescent="0.25">
      <c r="A5465" s="3"/>
      <c r="B5465" s="3"/>
      <c r="C5465" s="3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</row>
    <row r="5466" spans="1:15" ht="15" customHeight="1" x14ac:dyDescent="0.25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</row>
    <row r="5467" spans="1:15" ht="15" customHeight="1" x14ac:dyDescent="0.25">
      <c r="A5467" s="3"/>
      <c r="B5467" s="3"/>
      <c r="C5467" s="3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</row>
    <row r="5468" spans="1:15" ht="15" customHeight="1" x14ac:dyDescent="0.25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</row>
    <row r="5469" spans="1:15" ht="15" customHeight="1" x14ac:dyDescent="0.25">
      <c r="A5469" s="3"/>
      <c r="B5469" s="3"/>
      <c r="C5469" s="3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</row>
    <row r="5470" spans="1:15" ht="15" customHeight="1" x14ac:dyDescent="0.25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</row>
    <row r="5471" spans="1:15" ht="15" customHeight="1" x14ac:dyDescent="0.25">
      <c r="A5471" s="3"/>
      <c r="B5471" s="3"/>
      <c r="C5471" s="3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</row>
    <row r="5472" spans="1:15" ht="15" customHeight="1" x14ac:dyDescent="0.25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</row>
    <row r="5473" spans="1:15" ht="15" customHeight="1" x14ac:dyDescent="0.25">
      <c r="A5473" s="3"/>
      <c r="B5473" s="3"/>
      <c r="C5473" s="3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</row>
    <row r="5474" spans="1:15" ht="15" customHeight="1" x14ac:dyDescent="0.25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</row>
    <row r="5475" spans="1:15" ht="15" customHeight="1" x14ac:dyDescent="0.25">
      <c r="A5475" s="3"/>
      <c r="B5475" s="3"/>
      <c r="C5475" s="3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</row>
    <row r="5476" spans="1:15" ht="15" customHeight="1" x14ac:dyDescent="0.25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</row>
    <row r="5477" spans="1:15" ht="15" customHeight="1" x14ac:dyDescent="0.25">
      <c r="A5477" s="3"/>
      <c r="B5477" s="3"/>
      <c r="C5477" s="3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</row>
    <row r="5478" spans="1:15" ht="15" customHeight="1" x14ac:dyDescent="0.25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</row>
    <row r="5479" spans="1:15" ht="15" customHeight="1" x14ac:dyDescent="0.25">
      <c r="A5479" s="3"/>
      <c r="B5479" s="3"/>
      <c r="C5479" s="3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</row>
    <row r="5480" spans="1:15" ht="15" customHeight="1" x14ac:dyDescent="0.25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</row>
    <row r="5481" spans="1:15" ht="15" customHeight="1" x14ac:dyDescent="0.25">
      <c r="A5481" s="3"/>
      <c r="B5481" s="3"/>
      <c r="C5481" s="3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</row>
    <row r="5482" spans="1:15" ht="15" customHeight="1" x14ac:dyDescent="0.25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</row>
    <row r="5483" spans="1:15" ht="15" customHeight="1" x14ac:dyDescent="0.25">
      <c r="A5483" s="3"/>
      <c r="B5483" s="3"/>
      <c r="C5483" s="3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</row>
    <row r="5484" spans="1:15" ht="15" customHeight="1" x14ac:dyDescent="0.25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</row>
    <row r="5485" spans="1:15" ht="15" customHeight="1" x14ac:dyDescent="0.25">
      <c r="A5485" s="3"/>
      <c r="B5485" s="3"/>
      <c r="C5485" s="3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</row>
    <row r="5486" spans="1:15" ht="15" customHeight="1" x14ac:dyDescent="0.25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</row>
    <row r="5487" spans="1:15" ht="15" customHeight="1" x14ac:dyDescent="0.25">
      <c r="A5487" s="3"/>
      <c r="B5487" s="3"/>
      <c r="C5487" s="3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</row>
    <row r="5488" spans="1:15" ht="15" customHeight="1" x14ac:dyDescent="0.25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</row>
    <row r="5489" spans="1:15" ht="15" customHeight="1" x14ac:dyDescent="0.25">
      <c r="A5489" s="3"/>
      <c r="B5489" s="3"/>
      <c r="C5489" s="3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</row>
    <row r="5490" spans="1:15" ht="15" customHeight="1" x14ac:dyDescent="0.25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</row>
    <row r="5491" spans="1:15" ht="15" customHeight="1" x14ac:dyDescent="0.25">
      <c r="A5491" s="3"/>
      <c r="B5491" s="3"/>
      <c r="C5491" s="3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</row>
    <row r="5492" spans="1:15" ht="15" customHeight="1" x14ac:dyDescent="0.25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</row>
    <row r="5493" spans="1:15" ht="15" customHeight="1" x14ac:dyDescent="0.25">
      <c r="A5493" s="3"/>
      <c r="B5493" s="3"/>
      <c r="C5493" s="3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</row>
    <row r="5494" spans="1:15" ht="15" customHeight="1" x14ac:dyDescent="0.25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</row>
    <row r="5495" spans="1:15" ht="15" customHeight="1" x14ac:dyDescent="0.25">
      <c r="A5495" s="3"/>
      <c r="B5495" s="3"/>
      <c r="C5495" s="3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</row>
    <row r="5496" spans="1:15" ht="15" customHeight="1" x14ac:dyDescent="0.25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</row>
    <row r="5497" spans="1:15" ht="15" customHeight="1" x14ac:dyDescent="0.25">
      <c r="A5497" s="3"/>
      <c r="B5497" s="3"/>
      <c r="C5497" s="3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</row>
    <row r="5498" spans="1:15" ht="15" customHeight="1" x14ac:dyDescent="0.25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</row>
    <row r="5499" spans="1:15" ht="15" customHeight="1" x14ac:dyDescent="0.25">
      <c r="A5499" s="3"/>
      <c r="B5499" s="3"/>
      <c r="C5499" s="3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</row>
    <row r="5500" spans="1:15" ht="15" customHeight="1" x14ac:dyDescent="0.25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</row>
    <row r="5501" spans="1:15" ht="15" customHeight="1" x14ac:dyDescent="0.25">
      <c r="A5501" s="3"/>
      <c r="B5501" s="3"/>
      <c r="C5501" s="3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</row>
    <row r="5502" spans="1:15" ht="15" customHeight="1" x14ac:dyDescent="0.25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</row>
    <row r="5503" spans="1:15" ht="15" customHeight="1" x14ac:dyDescent="0.25">
      <c r="A5503" s="3"/>
      <c r="B5503" s="3"/>
      <c r="C5503" s="3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</row>
    <row r="5504" spans="1:15" ht="15" customHeight="1" x14ac:dyDescent="0.25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</row>
    <row r="5505" spans="1:15" ht="15" customHeight="1" x14ac:dyDescent="0.25">
      <c r="A5505" s="3"/>
      <c r="B5505" s="3"/>
      <c r="C5505" s="3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</row>
    <row r="5506" spans="1:15" ht="15" customHeight="1" x14ac:dyDescent="0.25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</row>
    <row r="5507" spans="1:15" ht="15" customHeight="1" x14ac:dyDescent="0.25">
      <c r="A5507" s="3"/>
      <c r="B5507" s="3"/>
      <c r="C5507" s="3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</row>
    <row r="5508" spans="1:15" ht="15" customHeight="1" x14ac:dyDescent="0.25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</row>
    <row r="5509" spans="1:15" ht="15" customHeight="1" x14ac:dyDescent="0.25">
      <c r="A5509" s="3"/>
      <c r="B5509" s="3"/>
      <c r="C5509" s="3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</row>
    <row r="5510" spans="1:15" ht="15" customHeight="1" x14ac:dyDescent="0.25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</row>
    <row r="5511" spans="1:15" ht="15" customHeight="1" x14ac:dyDescent="0.25">
      <c r="A5511" s="3"/>
      <c r="B5511" s="3"/>
      <c r="C5511" s="3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</row>
    <row r="5512" spans="1:15" ht="15" customHeight="1" x14ac:dyDescent="0.25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</row>
    <row r="5513" spans="1:15" ht="15" customHeight="1" x14ac:dyDescent="0.25">
      <c r="A5513" s="3"/>
      <c r="B5513" s="3"/>
      <c r="C5513" s="3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</row>
    <row r="5514" spans="1:15" ht="15" customHeight="1" x14ac:dyDescent="0.25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</row>
    <row r="5515" spans="1:15" ht="15" customHeight="1" x14ac:dyDescent="0.25">
      <c r="A5515" s="3"/>
      <c r="B5515" s="3"/>
      <c r="C5515" s="3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</row>
    <row r="5516" spans="1:15" ht="15" customHeight="1" x14ac:dyDescent="0.25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</row>
    <row r="5517" spans="1:15" ht="15" customHeight="1" x14ac:dyDescent="0.25">
      <c r="A5517" s="3"/>
      <c r="B5517" s="3"/>
      <c r="C5517" s="3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</row>
    <row r="5518" spans="1:15" ht="15" customHeight="1" x14ac:dyDescent="0.25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</row>
    <row r="5519" spans="1:15" ht="15" customHeight="1" x14ac:dyDescent="0.25">
      <c r="A5519" s="3"/>
      <c r="B5519" s="3"/>
      <c r="C5519" s="3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</row>
    <row r="5520" spans="1:15" ht="15" customHeight="1" x14ac:dyDescent="0.25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</row>
    <row r="5521" spans="1:15" ht="15" customHeight="1" x14ac:dyDescent="0.25">
      <c r="A5521" s="3"/>
      <c r="B5521" s="3"/>
      <c r="C5521" s="3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</row>
    <row r="5522" spans="1:15" ht="15" customHeight="1" x14ac:dyDescent="0.25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</row>
    <row r="5523" spans="1:15" ht="15" customHeight="1" x14ac:dyDescent="0.25">
      <c r="A5523" s="3"/>
      <c r="B5523" s="3"/>
      <c r="C5523" s="3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</row>
    <row r="5524" spans="1:15" ht="15" customHeight="1" x14ac:dyDescent="0.25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</row>
    <row r="5525" spans="1:15" ht="15" customHeight="1" x14ac:dyDescent="0.25">
      <c r="A5525" s="3"/>
      <c r="B5525" s="3"/>
      <c r="C5525" s="3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</row>
    <row r="5526" spans="1:15" ht="15" customHeight="1" x14ac:dyDescent="0.25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</row>
    <row r="5527" spans="1:15" ht="15" customHeight="1" x14ac:dyDescent="0.25">
      <c r="A5527" s="3"/>
      <c r="B5527" s="3"/>
      <c r="C5527" s="3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</row>
    <row r="5528" spans="1:15" ht="15" customHeight="1" x14ac:dyDescent="0.25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</row>
    <row r="5529" spans="1:15" ht="15" customHeight="1" x14ac:dyDescent="0.25">
      <c r="A5529" s="3"/>
      <c r="B5529" s="3"/>
      <c r="C5529" s="3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</row>
    <row r="5530" spans="1:15" ht="15" customHeight="1" x14ac:dyDescent="0.25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</row>
    <row r="5531" spans="1:15" ht="15" customHeight="1" x14ac:dyDescent="0.25">
      <c r="A5531" s="3"/>
      <c r="B5531" s="3"/>
      <c r="C5531" s="3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</row>
    <row r="5532" spans="1:15" ht="15" customHeight="1" x14ac:dyDescent="0.25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</row>
    <row r="5533" spans="1:15" ht="15" customHeight="1" x14ac:dyDescent="0.25">
      <c r="A5533" s="3"/>
      <c r="B5533" s="3"/>
      <c r="C5533" s="3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</row>
    <row r="5534" spans="1:15" ht="15" customHeight="1" x14ac:dyDescent="0.25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</row>
    <row r="5535" spans="1:15" ht="15" customHeight="1" x14ac:dyDescent="0.25">
      <c r="A5535" s="3"/>
      <c r="B5535" s="3"/>
      <c r="C5535" s="3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</row>
    <row r="5536" spans="1:15" ht="15" customHeight="1" x14ac:dyDescent="0.25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</row>
    <row r="5537" spans="1:15" ht="15" customHeight="1" x14ac:dyDescent="0.25">
      <c r="A5537" s="3"/>
      <c r="B5537" s="3"/>
      <c r="C5537" s="3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</row>
    <row r="5538" spans="1:15" ht="15" customHeight="1" x14ac:dyDescent="0.25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</row>
    <row r="5539" spans="1:15" ht="15" customHeight="1" x14ac:dyDescent="0.25">
      <c r="A5539" s="3"/>
      <c r="B5539" s="3"/>
      <c r="C5539" s="3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</row>
    <row r="5540" spans="1:15" ht="15" customHeight="1" x14ac:dyDescent="0.25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</row>
    <row r="5541" spans="1:15" ht="15" customHeight="1" x14ac:dyDescent="0.25">
      <c r="A5541" s="3"/>
      <c r="B5541" s="3"/>
      <c r="C5541" s="3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</row>
    <row r="5542" spans="1:15" ht="15" customHeight="1" x14ac:dyDescent="0.25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</row>
    <row r="5543" spans="1:15" ht="15" customHeight="1" x14ac:dyDescent="0.25">
      <c r="A5543" s="3"/>
      <c r="B5543" s="3"/>
      <c r="C5543" s="3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</row>
    <row r="5544" spans="1:15" ht="15" customHeight="1" x14ac:dyDescent="0.25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</row>
    <row r="5545" spans="1:15" ht="15" customHeight="1" x14ac:dyDescent="0.25">
      <c r="A5545" s="3"/>
      <c r="B5545" s="3"/>
      <c r="C5545" s="3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</row>
    <row r="5546" spans="1:15" ht="15" customHeight="1" x14ac:dyDescent="0.25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</row>
    <row r="5547" spans="1:15" ht="15" customHeight="1" x14ac:dyDescent="0.25">
      <c r="A5547" s="3"/>
      <c r="B5547" s="3"/>
      <c r="C5547" s="3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</row>
    <row r="5548" spans="1:15" ht="15" customHeight="1" x14ac:dyDescent="0.25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</row>
    <row r="5549" spans="1:15" ht="15" customHeight="1" x14ac:dyDescent="0.25">
      <c r="A5549" s="3"/>
      <c r="B5549" s="3"/>
      <c r="C5549" s="3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</row>
    <row r="5550" spans="1:15" ht="15" customHeight="1" x14ac:dyDescent="0.25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</row>
    <row r="5551" spans="1:15" ht="15" customHeight="1" x14ac:dyDescent="0.25">
      <c r="A5551" s="3"/>
      <c r="B5551" s="3"/>
      <c r="C5551" s="3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</row>
    <row r="5552" spans="1:15" ht="15" customHeight="1" x14ac:dyDescent="0.25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</row>
    <row r="5553" spans="1:15" ht="15" customHeight="1" x14ac:dyDescent="0.25">
      <c r="A5553" s="3"/>
      <c r="B5553" s="3"/>
      <c r="C5553" s="3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</row>
    <row r="5554" spans="1:15" ht="15" customHeight="1" x14ac:dyDescent="0.25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</row>
    <row r="5555" spans="1:15" ht="15" customHeight="1" x14ac:dyDescent="0.25">
      <c r="A5555" s="3"/>
      <c r="B5555" s="3"/>
      <c r="C5555" s="3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</row>
    <row r="5556" spans="1:15" ht="15" customHeight="1" x14ac:dyDescent="0.25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</row>
    <row r="5557" spans="1:15" ht="15" customHeight="1" x14ac:dyDescent="0.25">
      <c r="A5557" s="3"/>
      <c r="B5557" s="3"/>
      <c r="C5557" s="3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</row>
    <row r="5558" spans="1:15" ht="15" customHeight="1" x14ac:dyDescent="0.25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</row>
    <row r="5559" spans="1:15" ht="15" customHeight="1" x14ac:dyDescent="0.25">
      <c r="A5559" s="3"/>
      <c r="B5559" s="3"/>
      <c r="C5559" s="3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</row>
    <row r="5560" spans="1:15" ht="15" customHeight="1" x14ac:dyDescent="0.25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</row>
    <row r="5561" spans="1:15" ht="15" customHeight="1" x14ac:dyDescent="0.25">
      <c r="A5561" s="3"/>
      <c r="B5561" s="3"/>
      <c r="C5561" s="3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</row>
    <row r="5562" spans="1:15" ht="15" customHeight="1" x14ac:dyDescent="0.25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</row>
    <row r="5563" spans="1:15" ht="15" customHeight="1" x14ac:dyDescent="0.25">
      <c r="A5563" s="3"/>
      <c r="B5563" s="3"/>
      <c r="C5563" s="3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</row>
    <row r="5564" spans="1:15" ht="15" customHeight="1" x14ac:dyDescent="0.25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</row>
    <row r="5565" spans="1:15" ht="15" customHeight="1" x14ac:dyDescent="0.25">
      <c r="A5565" s="3"/>
      <c r="B5565" s="3"/>
      <c r="C5565" s="3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</row>
    <row r="5566" spans="1:15" ht="15" customHeight="1" x14ac:dyDescent="0.25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</row>
    <row r="5567" spans="1:15" ht="15" customHeight="1" x14ac:dyDescent="0.25">
      <c r="A5567" s="3"/>
      <c r="B5567" s="3"/>
      <c r="C5567" s="3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</row>
    <row r="5568" spans="1:15" ht="15" customHeight="1" x14ac:dyDescent="0.25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</row>
    <row r="5569" spans="1:15" ht="15" customHeight="1" x14ac:dyDescent="0.25">
      <c r="A5569" s="3"/>
      <c r="B5569" s="3"/>
      <c r="C5569" s="3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</row>
    <row r="5570" spans="1:15" ht="15" customHeight="1" x14ac:dyDescent="0.25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</row>
    <row r="5571" spans="1:15" ht="15" customHeight="1" x14ac:dyDescent="0.25">
      <c r="A5571" s="3"/>
      <c r="B5571" s="3"/>
      <c r="C5571" s="3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</row>
    <row r="5572" spans="1:15" ht="15" customHeight="1" x14ac:dyDescent="0.25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</row>
    <row r="5573" spans="1:15" ht="15" customHeight="1" x14ac:dyDescent="0.25">
      <c r="A5573" s="3"/>
      <c r="B5573" s="3"/>
      <c r="C5573" s="3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</row>
    <row r="5574" spans="1:15" ht="15" customHeight="1" x14ac:dyDescent="0.25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</row>
    <row r="5575" spans="1:15" ht="15" customHeight="1" x14ac:dyDescent="0.25">
      <c r="A5575" s="3"/>
      <c r="B5575" s="3"/>
      <c r="C5575" s="3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</row>
    <row r="5576" spans="1:15" ht="15" customHeight="1" x14ac:dyDescent="0.25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</row>
    <row r="5577" spans="1:15" ht="15" customHeight="1" x14ac:dyDescent="0.25">
      <c r="A5577" s="3"/>
      <c r="B5577" s="3"/>
      <c r="C5577" s="3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</row>
    <row r="5578" spans="1:15" ht="15" customHeight="1" x14ac:dyDescent="0.25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</row>
    <row r="5579" spans="1:15" ht="15" customHeight="1" x14ac:dyDescent="0.25">
      <c r="A5579" s="3"/>
      <c r="B5579" s="3"/>
      <c r="C5579" s="3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</row>
    <row r="5580" spans="1:15" ht="15" customHeight="1" x14ac:dyDescent="0.25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</row>
    <row r="5581" spans="1:15" ht="15" customHeight="1" x14ac:dyDescent="0.25">
      <c r="A5581" s="3"/>
      <c r="B5581" s="3"/>
      <c r="C5581" s="3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</row>
    <row r="5582" spans="1:15" ht="15" customHeight="1" x14ac:dyDescent="0.25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</row>
    <row r="5583" spans="1:15" ht="15" customHeight="1" x14ac:dyDescent="0.25">
      <c r="A5583" s="3"/>
      <c r="B5583" s="3"/>
      <c r="C5583" s="3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</row>
    <row r="5584" spans="1:15" ht="15" customHeight="1" x14ac:dyDescent="0.25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</row>
    <row r="5585" spans="1:15" ht="15" customHeight="1" x14ac:dyDescent="0.25">
      <c r="A5585" s="3"/>
      <c r="B5585" s="3"/>
      <c r="C5585" s="3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</row>
    <row r="5586" spans="1:15" ht="15" customHeight="1" x14ac:dyDescent="0.25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</row>
    <row r="5587" spans="1:15" ht="15" customHeight="1" x14ac:dyDescent="0.25">
      <c r="A5587" s="3"/>
      <c r="B5587" s="3"/>
      <c r="C5587" s="3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</row>
    <row r="5588" spans="1:15" ht="15" customHeight="1" x14ac:dyDescent="0.25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</row>
    <row r="5589" spans="1:15" ht="15" customHeight="1" x14ac:dyDescent="0.25">
      <c r="A5589" s="3"/>
      <c r="B5589" s="3"/>
      <c r="C5589" s="3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</row>
    <row r="5590" spans="1:15" ht="15" customHeight="1" x14ac:dyDescent="0.25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</row>
    <row r="5591" spans="1:15" ht="15" customHeight="1" x14ac:dyDescent="0.25">
      <c r="A5591" s="3"/>
      <c r="B5591" s="3"/>
      <c r="C5591" s="3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</row>
    <row r="5592" spans="1:15" ht="15" customHeight="1" x14ac:dyDescent="0.25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</row>
    <row r="5593" spans="1:15" ht="15" customHeight="1" x14ac:dyDescent="0.25">
      <c r="A5593" s="3"/>
      <c r="B5593" s="3"/>
      <c r="C5593" s="3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</row>
    <row r="5594" spans="1:15" ht="15" customHeight="1" x14ac:dyDescent="0.25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</row>
    <row r="5595" spans="1:15" ht="15" customHeight="1" x14ac:dyDescent="0.25">
      <c r="A5595" s="3"/>
      <c r="B5595" s="3"/>
      <c r="C5595" s="3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</row>
    <row r="5596" spans="1:15" ht="15" customHeight="1" x14ac:dyDescent="0.25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</row>
    <row r="5597" spans="1:15" ht="15" customHeight="1" x14ac:dyDescent="0.25">
      <c r="A5597" s="3"/>
      <c r="B5597" s="3"/>
      <c r="C5597" s="3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</row>
    <row r="5598" spans="1:15" ht="15" customHeight="1" x14ac:dyDescent="0.25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</row>
    <row r="5599" spans="1:15" ht="15" customHeight="1" x14ac:dyDescent="0.25">
      <c r="A5599" s="3"/>
      <c r="B5599" s="3"/>
      <c r="C5599" s="3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</row>
    <row r="5600" spans="1:15" ht="15" customHeight="1" x14ac:dyDescent="0.25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</row>
    <row r="5601" spans="1:15" ht="15" customHeight="1" x14ac:dyDescent="0.25">
      <c r="A5601" s="3"/>
      <c r="B5601" s="3"/>
      <c r="C5601" s="3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</row>
    <row r="5602" spans="1:15" ht="15" customHeight="1" x14ac:dyDescent="0.25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</row>
    <row r="5603" spans="1:15" ht="15" customHeight="1" x14ac:dyDescent="0.25">
      <c r="A5603" s="3"/>
      <c r="B5603" s="3"/>
      <c r="C5603" s="3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</row>
    <row r="5604" spans="1:15" ht="15" customHeight="1" x14ac:dyDescent="0.25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</row>
    <row r="5605" spans="1:15" ht="15" customHeight="1" x14ac:dyDescent="0.25">
      <c r="A5605" s="3"/>
      <c r="B5605" s="3"/>
      <c r="C5605" s="3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</row>
    <row r="5606" spans="1:15" ht="15" customHeight="1" x14ac:dyDescent="0.25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</row>
    <row r="5607" spans="1:15" ht="15" customHeight="1" x14ac:dyDescent="0.25">
      <c r="A5607" s="3"/>
      <c r="B5607" s="3"/>
      <c r="C5607" s="3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</row>
    <row r="5608" spans="1:15" ht="15" customHeight="1" x14ac:dyDescent="0.25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</row>
    <row r="5609" spans="1:15" ht="15" customHeight="1" x14ac:dyDescent="0.25">
      <c r="A5609" s="3"/>
      <c r="B5609" s="3"/>
      <c r="C5609" s="3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</row>
    <row r="5610" spans="1:15" ht="15" customHeight="1" x14ac:dyDescent="0.25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</row>
    <row r="5611" spans="1:15" ht="15" customHeight="1" x14ac:dyDescent="0.25">
      <c r="A5611" s="3"/>
      <c r="B5611" s="3"/>
      <c r="C5611" s="3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</row>
    <row r="5612" spans="1:15" ht="15" customHeight="1" x14ac:dyDescent="0.25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</row>
    <row r="5613" spans="1:15" ht="15" customHeight="1" x14ac:dyDescent="0.25">
      <c r="A5613" s="3"/>
      <c r="B5613" s="3"/>
      <c r="C5613" s="3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</row>
    <row r="5614" spans="1:15" ht="15" customHeight="1" x14ac:dyDescent="0.25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</row>
    <row r="5615" spans="1:15" ht="15" customHeight="1" x14ac:dyDescent="0.25">
      <c r="A5615" s="3"/>
      <c r="B5615" s="3"/>
      <c r="C5615" s="3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</row>
    <row r="5616" spans="1:15" ht="15" customHeight="1" x14ac:dyDescent="0.25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</row>
    <row r="5617" spans="1:15" ht="15" customHeight="1" x14ac:dyDescent="0.25">
      <c r="A5617" s="3"/>
      <c r="B5617" s="3"/>
      <c r="C5617" s="3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</row>
    <row r="5618" spans="1:15" ht="15" customHeight="1" x14ac:dyDescent="0.25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</row>
    <row r="5619" spans="1:15" ht="15" customHeight="1" x14ac:dyDescent="0.25">
      <c r="A5619" s="3"/>
      <c r="B5619" s="3"/>
      <c r="C5619" s="3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</row>
    <row r="5620" spans="1:15" ht="15" customHeight="1" x14ac:dyDescent="0.25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</row>
    <row r="5621" spans="1:15" ht="15" customHeight="1" x14ac:dyDescent="0.25">
      <c r="A5621" s="3"/>
      <c r="B5621" s="3"/>
      <c r="C5621" s="3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</row>
    <row r="5622" spans="1:15" ht="15" customHeight="1" x14ac:dyDescent="0.25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</row>
    <row r="5623" spans="1:15" ht="15" customHeight="1" x14ac:dyDescent="0.25">
      <c r="A5623" s="3"/>
      <c r="B5623" s="3"/>
      <c r="C5623" s="3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</row>
    <row r="5624" spans="1:15" ht="15" customHeight="1" x14ac:dyDescent="0.25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</row>
    <row r="5625" spans="1:15" ht="15" customHeight="1" x14ac:dyDescent="0.25">
      <c r="A5625" s="3"/>
      <c r="B5625" s="3"/>
      <c r="C5625" s="3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</row>
    <row r="5626" spans="1:15" ht="15" customHeight="1" x14ac:dyDescent="0.25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</row>
    <row r="5627" spans="1:15" ht="15" customHeight="1" x14ac:dyDescent="0.25">
      <c r="A5627" s="3"/>
      <c r="B5627" s="3"/>
      <c r="C5627" s="3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</row>
    <row r="5628" spans="1:15" ht="15" customHeight="1" x14ac:dyDescent="0.25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</row>
    <row r="5629" spans="1:15" ht="15" customHeight="1" x14ac:dyDescent="0.25">
      <c r="A5629" s="3"/>
      <c r="B5629" s="3"/>
      <c r="C5629" s="3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</row>
    <row r="5630" spans="1:15" ht="15" customHeight="1" x14ac:dyDescent="0.25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</row>
    <row r="5631" spans="1:15" ht="15" customHeight="1" x14ac:dyDescent="0.25">
      <c r="A5631" s="3"/>
      <c r="B5631" s="3"/>
      <c r="C5631" s="3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</row>
    <row r="5632" spans="1:15" ht="15" customHeight="1" x14ac:dyDescent="0.25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</row>
    <row r="5633" spans="1:15" ht="15" customHeight="1" x14ac:dyDescent="0.25">
      <c r="A5633" s="3"/>
      <c r="B5633" s="3"/>
      <c r="C5633" s="3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</row>
    <row r="5634" spans="1:15" ht="15" customHeight="1" x14ac:dyDescent="0.25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</row>
    <row r="5635" spans="1:15" ht="15" customHeight="1" x14ac:dyDescent="0.25">
      <c r="A5635" s="3"/>
      <c r="B5635" s="3"/>
      <c r="C5635" s="3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</row>
    <row r="5636" spans="1:15" ht="15" customHeight="1" x14ac:dyDescent="0.25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</row>
    <row r="5637" spans="1:15" ht="15" customHeight="1" x14ac:dyDescent="0.25">
      <c r="A5637" s="3"/>
      <c r="B5637" s="3"/>
      <c r="C5637" s="3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</row>
    <row r="5638" spans="1:15" ht="15" customHeight="1" x14ac:dyDescent="0.25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</row>
    <row r="5639" spans="1:15" ht="15" customHeight="1" x14ac:dyDescent="0.25">
      <c r="A5639" s="3"/>
      <c r="B5639" s="3"/>
      <c r="C5639" s="3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</row>
    <row r="5640" spans="1:15" ht="15" customHeight="1" x14ac:dyDescent="0.25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</row>
    <row r="5641" spans="1:15" ht="15" customHeight="1" x14ac:dyDescent="0.25">
      <c r="A5641" s="3"/>
      <c r="B5641" s="3"/>
      <c r="C5641" s="3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</row>
    <row r="5642" spans="1:15" ht="15" customHeight="1" x14ac:dyDescent="0.25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</row>
    <row r="5643" spans="1:15" ht="15" customHeight="1" x14ac:dyDescent="0.25">
      <c r="A5643" s="3"/>
      <c r="B5643" s="3"/>
      <c r="C5643" s="3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</row>
    <row r="5644" spans="1:15" ht="15" customHeight="1" x14ac:dyDescent="0.25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</row>
    <row r="5645" spans="1:15" ht="15" customHeight="1" x14ac:dyDescent="0.25">
      <c r="A5645" s="3"/>
      <c r="B5645" s="3"/>
      <c r="C5645" s="3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</row>
    <row r="5646" spans="1:15" ht="15" customHeight="1" x14ac:dyDescent="0.25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</row>
    <row r="5647" spans="1:15" ht="15" customHeight="1" x14ac:dyDescent="0.25">
      <c r="A5647" s="3"/>
      <c r="B5647" s="3"/>
      <c r="C5647" s="3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</row>
    <row r="5648" spans="1:15" ht="15" customHeight="1" x14ac:dyDescent="0.25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</row>
    <row r="5649" spans="1:15" ht="15" customHeight="1" x14ac:dyDescent="0.25">
      <c r="A5649" s="3"/>
      <c r="B5649" s="3"/>
      <c r="C5649" s="3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</row>
    <row r="5650" spans="1:15" ht="15" customHeight="1" x14ac:dyDescent="0.25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</row>
    <row r="5651" spans="1:15" ht="15" customHeight="1" x14ac:dyDescent="0.25">
      <c r="A5651" s="3"/>
      <c r="B5651" s="3"/>
      <c r="C5651" s="3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</row>
    <row r="5652" spans="1:15" ht="15" customHeight="1" x14ac:dyDescent="0.25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</row>
    <row r="5653" spans="1:15" ht="15" customHeight="1" x14ac:dyDescent="0.25">
      <c r="A5653" s="3"/>
      <c r="B5653" s="3"/>
      <c r="C5653" s="3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</row>
    <row r="5654" spans="1:15" ht="15" customHeight="1" x14ac:dyDescent="0.25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</row>
    <row r="5655" spans="1:15" ht="15" customHeight="1" x14ac:dyDescent="0.25">
      <c r="A5655" s="3"/>
      <c r="B5655" s="3"/>
      <c r="C5655" s="3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</row>
    <row r="5656" spans="1:15" ht="15" customHeight="1" x14ac:dyDescent="0.25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</row>
    <row r="5657" spans="1:15" ht="15" customHeight="1" x14ac:dyDescent="0.25">
      <c r="A5657" s="3"/>
      <c r="B5657" s="3"/>
      <c r="C5657" s="3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</row>
    <row r="5658" spans="1:15" ht="15" customHeight="1" x14ac:dyDescent="0.25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</row>
    <row r="5659" spans="1:15" ht="15" customHeight="1" x14ac:dyDescent="0.25">
      <c r="A5659" s="3"/>
      <c r="B5659" s="3"/>
      <c r="C5659" s="3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</row>
    <row r="5660" spans="1:15" ht="15" customHeight="1" x14ac:dyDescent="0.25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</row>
    <row r="5661" spans="1:15" ht="15" customHeight="1" x14ac:dyDescent="0.25">
      <c r="A5661" s="3"/>
      <c r="B5661" s="3"/>
      <c r="C5661" s="3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</row>
    <row r="5662" spans="1:15" ht="15" customHeight="1" x14ac:dyDescent="0.25">
      <c r="A5662" s="2"/>
      <c r="B5662" s="2"/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</row>
    <row r="5663" spans="1:15" ht="15" customHeight="1" x14ac:dyDescent="0.25">
      <c r="A5663" s="3"/>
      <c r="B5663" s="3"/>
      <c r="C5663" s="3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</row>
    <row r="5664" spans="1:15" ht="15" customHeight="1" x14ac:dyDescent="0.25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</row>
    <row r="5665" spans="1:15" ht="15" customHeight="1" x14ac:dyDescent="0.25">
      <c r="A5665" s="3"/>
      <c r="B5665" s="3"/>
      <c r="C5665" s="3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</row>
    <row r="5666" spans="1:15" ht="15" customHeight="1" x14ac:dyDescent="0.25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</row>
    <row r="5667" spans="1:15" ht="15" customHeight="1" x14ac:dyDescent="0.25">
      <c r="A5667" s="3"/>
      <c r="B5667" s="3"/>
      <c r="C5667" s="3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</row>
    <row r="5668" spans="1:15" ht="15" customHeight="1" x14ac:dyDescent="0.25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</row>
    <row r="5669" spans="1:15" ht="15" customHeight="1" x14ac:dyDescent="0.25">
      <c r="A5669" s="3"/>
      <c r="B5669" s="3"/>
      <c r="C5669" s="3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</row>
    <row r="5670" spans="1:15" ht="15" customHeight="1" x14ac:dyDescent="0.25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</row>
    <row r="5671" spans="1:15" ht="15" customHeight="1" x14ac:dyDescent="0.25">
      <c r="A5671" s="3"/>
      <c r="B5671" s="3"/>
      <c r="C5671" s="3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</row>
    <row r="5672" spans="1:15" ht="15" customHeight="1" x14ac:dyDescent="0.25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</row>
    <row r="5673" spans="1:15" ht="15" customHeight="1" x14ac:dyDescent="0.25">
      <c r="A5673" s="3"/>
      <c r="B5673" s="3"/>
      <c r="C5673" s="3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</row>
    <row r="5674" spans="1:15" ht="15" customHeight="1" x14ac:dyDescent="0.25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</row>
    <row r="5675" spans="1:15" ht="15" customHeight="1" x14ac:dyDescent="0.25">
      <c r="A5675" s="3"/>
      <c r="B5675" s="3"/>
      <c r="C5675" s="3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</row>
    <row r="5676" spans="1:15" ht="15" customHeight="1" x14ac:dyDescent="0.25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</row>
    <row r="5677" spans="1:15" ht="15" customHeight="1" x14ac:dyDescent="0.25">
      <c r="A5677" s="3"/>
      <c r="B5677" s="3"/>
      <c r="C5677" s="3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</row>
    <row r="5678" spans="1:15" ht="15" customHeight="1" x14ac:dyDescent="0.25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</row>
    <row r="5679" spans="1:15" ht="15" customHeight="1" x14ac:dyDescent="0.25">
      <c r="A5679" s="3"/>
      <c r="B5679" s="3"/>
      <c r="C5679" s="3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</row>
    <row r="5680" spans="1:15" ht="15" customHeight="1" x14ac:dyDescent="0.25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</row>
    <row r="5681" spans="1:15" ht="15" customHeight="1" x14ac:dyDescent="0.25">
      <c r="A5681" s="3"/>
      <c r="B5681" s="3"/>
      <c r="C5681" s="3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</row>
    <row r="5682" spans="1:15" ht="15" customHeight="1" x14ac:dyDescent="0.25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</row>
    <row r="5683" spans="1:15" ht="15" customHeight="1" x14ac:dyDescent="0.25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</row>
    <row r="5684" spans="1:15" ht="15" customHeight="1" x14ac:dyDescent="0.25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</row>
    <row r="5685" spans="1:15" ht="15" customHeight="1" x14ac:dyDescent="0.25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</row>
    <row r="5686" spans="1:15" ht="15" customHeight="1" x14ac:dyDescent="0.25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</row>
    <row r="5687" spans="1:15" ht="15" customHeight="1" x14ac:dyDescent="0.25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</row>
    <row r="5688" spans="1:15" ht="15" customHeight="1" x14ac:dyDescent="0.25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</row>
    <row r="5689" spans="1:15" ht="15" customHeight="1" x14ac:dyDescent="0.25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</row>
    <row r="5690" spans="1:15" ht="15" customHeight="1" x14ac:dyDescent="0.25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</row>
    <row r="5691" spans="1:15" ht="15" customHeight="1" x14ac:dyDescent="0.25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</row>
    <row r="5692" spans="1:15" ht="15" customHeight="1" x14ac:dyDescent="0.25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</row>
    <row r="5693" spans="1:15" ht="15" customHeight="1" x14ac:dyDescent="0.25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</row>
    <row r="5694" spans="1:15" ht="15" customHeight="1" x14ac:dyDescent="0.25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</row>
    <row r="5695" spans="1:15" ht="15" customHeight="1" x14ac:dyDescent="0.25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</row>
    <row r="5696" spans="1:15" ht="15" customHeight="1" x14ac:dyDescent="0.25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</row>
    <row r="5697" spans="1:15" ht="15" customHeight="1" x14ac:dyDescent="0.25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</row>
    <row r="5698" spans="1:15" ht="15" customHeight="1" x14ac:dyDescent="0.25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</row>
    <row r="5699" spans="1:15" ht="15" customHeight="1" x14ac:dyDescent="0.25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</row>
    <row r="5700" spans="1:15" ht="15" customHeight="1" x14ac:dyDescent="0.25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</row>
    <row r="5701" spans="1:15" ht="15" customHeight="1" x14ac:dyDescent="0.25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</row>
    <row r="5702" spans="1:15" ht="15" customHeight="1" x14ac:dyDescent="0.25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</row>
    <row r="5703" spans="1:15" ht="15" customHeight="1" x14ac:dyDescent="0.25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</row>
    <row r="5704" spans="1:15" ht="15" customHeight="1" x14ac:dyDescent="0.25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</row>
    <row r="5705" spans="1:15" ht="15" customHeight="1" x14ac:dyDescent="0.25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</row>
    <row r="5706" spans="1:15" ht="15" customHeight="1" x14ac:dyDescent="0.25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</row>
    <row r="5707" spans="1:15" ht="15" customHeight="1" x14ac:dyDescent="0.25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</row>
    <row r="5708" spans="1:15" ht="15" customHeight="1" x14ac:dyDescent="0.25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</row>
    <row r="5709" spans="1:15" ht="15" customHeight="1" x14ac:dyDescent="0.25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</row>
    <row r="5710" spans="1:15" ht="15" customHeight="1" x14ac:dyDescent="0.25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</row>
    <row r="5711" spans="1:15" ht="15" customHeight="1" x14ac:dyDescent="0.25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</row>
    <row r="5712" spans="1:15" ht="15" customHeight="1" x14ac:dyDescent="0.25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</row>
    <row r="5713" spans="1:15" ht="15" customHeight="1" x14ac:dyDescent="0.25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</row>
    <row r="5714" spans="1:15" ht="15" customHeight="1" x14ac:dyDescent="0.25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</row>
    <row r="5715" spans="1:15" ht="15" customHeight="1" x14ac:dyDescent="0.25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</row>
    <row r="5716" spans="1:15" ht="15" customHeight="1" x14ac:dyDescent="0.25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</row>
    <row r="5717" spans="1:15" ht="15" customHeight="1" x14ac:dyDescent="0.25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</row>
    <row r="5718" spans="1:15" ht="15" customHeight="1" x14ac:dyDescent="0.25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</row>
    <row r="5719" spans="1:15" ht="15" customHeight="1" x14ac:dyDescent="0.25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</row>
    <row r="5720" spans="1:15" ht="15" customHeight="1" x14ac:dyDescent="0.25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</row>
    <row r="5721" spans="1:15" ht="15" customHeight="1" x14ac:dyDescent="0.25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</row>
    <row r="5722" spans="1:15" ht="15" customHeight="1" x14ac:dyDescent="0.25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</row>
    <row r="5723" spans="1:15" ht="15" customHeight="1" x14ac:dyDescent="0.25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</row>
    <row r="5724" spans="1:15" ht="15" customHeight="1" x14ac:dyDescent="0.25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</row>
    <row r="5725" spans="1:15" ht="15" customHeight="1" x14ac:dyDescent="0.25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</row>
    <row r="5726" spans="1:15" ht="15" customHeight="1" x14ac:dyDescent="0.25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</row>
    <row r="5727" spans="1:15" ht="15" customHeight="1" x14ac:dyDescent="0.25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</row>
    <row r="5728" spans="1:15" ht="15" customHeight="1" x14ac:dyDescent="0.25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</row>
    <row r="5729" spans="1:15" ht="15" customHeight="1" x14ac:dyDescent="0.25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</row>
    <row r="5730" spans="1:15" ht="15" customHeight="1" x14ac:dyDescent="0.25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</row>
    <row r="5731" spans="1:15" ht="15" customHeight="1" x14ac:dyDescent="0.25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</row>
    <row r="5732" spans="1:15" ht="15" customHeight="1" x14ac:dyDescent="0.25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</row>
    <row r="5733" spans="1:15" ht="15" customHeight="1" x14ac:dyDescent="0.25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</row>
    <row r="5734" spans="1:15" ht="15" customHeight="1" x14ac:dyDescent="0.25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</row>
    <row r="5735" spans="1:15" ht="15" customHeight="1" x14ac:dyDescent="0.25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</row>
    <row r="5736" spans="1:15" ht="15" customHeight="1" x14ac:dyDescent="0.25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</row>
    <row r="5737" spans="1:15" ht="15" customHeight="1" x14ac:dyDescent="0.25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</row>
    <row r="5738" spans="1:15" ht="15" customHeight="1" x14ac:dyDescent="0.25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</row>
    <row r="5739" spans="1:15" ht="15" customHeight="1" x14ac:dyDescent="0.25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</row>
    <row r="5740" spans="1:15" ht="15" customHeight="1" x14ac:dyDescent="0.25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</row>
    <row r="5741" spans="1:15" ht="15" customHeight="1" x14ac:dyDescent="0.25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</row>
    <row r="5742" spans="1:15" ht="15" customHeight="1" x14ac:dyDescent="0.25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</row>
    <row r="5743" spans="1:15" ht="15" customHeight="1" x14ac:dyDescent="0.25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</row>
    <row r="5744" spans="1:15" ht="15" customHeight="1" x14ac:dyDescent="0.25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</row>
    <row r="5745" spans="1:15" ht="15" customHeight="1" x14ac:dyDescent="0.25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</row>
    <row r="5746" spans="1:15" ht="15" customHeight="1" x14ac:dyDescent="0.25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</row>
    <row r="5747" spans="1:15" ht="15" customHeight="1" x14ac:dyDescent="0.25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</row>
    <row r="5748" spans="1:15" ht="15" customHeight="1" x14ac:dyDescent="0.25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</row>
    <row r="5749" spans="1:15" ht="15" customHeight="1" x14ac:dyDescent="0.25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</row>
    <row r="5750" spans="1:15" ht="15" customHeight="1" x14ac:dyDescent="0.25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</row>
    <row r="5751" spans="1:15" ht="15" customHeight="1" x14ac:dyDescent="0.25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</row>
    <row r="5752" spans="1:15" ht="15" customHeight="1" x14ac:dyDescent="0.25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</row>
    <row r="5753" spans="1:15" ht="15" customHeight="1" x14ac:dyDescent="0.25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</row>
    <row r="5754" spans="1:15" ht="15" customHeight="1" x14ac:dyDescent="0.25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</row>
    <row r="5755" spans="1:15" ht="15" customHeight="1" x14ac:dyDescent="0.25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</row>
    <row r="5756" spans="1:15" ht="15" customHeight="1" x14ac:dyDescent="0.25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</row>
    <row r="5757" spans="1:15" ht="15" customHeight="1" x14ac:dyDescent="0.25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</row>
    <row r="5758" spans="1:15" ht="15" customHeight="1" x14ac:dyDescent="0.25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</row>
    <row r="5759" spans="1:15" ht="15" customHeight="1" x14ac:dyDescent="0.25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</row>
    <row r="5760" spans="1:15" ht="15" customHeight="1" x14ac:dyDescent="0.25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</row>
    <row r="5761" spans="1:15" ht="15" customHeight="1" x14ac:dyDescent="0.25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</row>
    <row r="5762" spans="1:15" ht="15" customHeight="1" x14ac:dyDescent="0.25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</row>
    <row r="5763" spans="1:15" ht="15" customHeight="1" x14ac:dyDescent="0.25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</row>
    <row r="5764" spans="1:15" ht="15" customHeight="1" x14ac:dyDescent="0.25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</row>
    <row r="5765" spans="1:15" ht="15" customHeight="1" x14ac:dyDescent="0.25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</row>
    <row r="5766" spans="1:15" ht="15" customHeight="1" x14ac:dyDescent="0.25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</row>
    <row r="5767" spans="1:15" ht="15" customHeight="1" x14ac:dyDescent="0.25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</row>
    <row r="5768" spans="1:15" ht="15" customHeight="1" x14ac:dyDescent="0.25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</row>
    <row r="5769" spans="1:15" ht="15" customHeight="1" x14ac:dyDescent="0.25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</row>
    <row r="5770" spans="1:15" ht="15" customHeight="1" x14ac:dyDescent="0.25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</row>
    <row r="5771" spans="1:15" ht="15" customHeight="1" x14ac:dyDescent="0.25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</row>
    <row r="5772" spans="1:15" ht="15" customHeight="1" x14ac:dyDescent="0.25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</row>
    <row r="5773" spans="1:15" ht="15" customHeight="1" x14ac:dyDescent="0.25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</row>
    <row r="5774" spans="1:15" ht="15" customHeight="1" x14ac:dyDescent="0.25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</row>
    <row r="5775" spans="1:15" ht="15" customHeight="1" x14ac:dyDescent="0.25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</row>
    <row r="5776" spans="1:15" ht="15" customHeight="1" x14ac:dyDescent="0.25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</row>
    <row r="5777" spans="1:15" ht="15" customHeight="1" x14ac:dyDescent="0.25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</row>
    <row r="5778" spans="1:15" ht="15" customHeight="1" x14ac:dyDescent="0.25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</row>
    <row r="5779" spans="1:15" ht="15" customHeight="1" x14ac:dyDescent="0.25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</row>
    <row r="5780" spans="1:15" ht="15" customHeight="1" x14ac:dyDescent="0.25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</row>
    <row r="5781" spans="1:15" ht="15" customHeight="1" x14ac:dyDescent="0.25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</row>
    <row r="5782" spans="1:15" ht="15" customHeight="1" x14ac:dyDescent="0.25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</row>
    <row r="5783" spans="1:15" ht="15" customHeight="1" x14ac:dyDescent="0.25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</row>
    <row r="5784" spans="1:15" ht="15" customHeight="1" x14ac:dyDescent="0.25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</row>
    <row r="5785" spans="1:15" ht="15" customHeight="1" x14ac:dyDescent="0.25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</row>
    <row r="5786" spans="1:15" ht="15" customHeight="1" x14ac:dyDescent="0.25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</row>
    <row r="5787" spans="1:15" ht="15" customHeight="1" x14ac:dyDescent="0.25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</row>
    <row r="5788" spans="1:15" ht="15" customHeight="1" x14ac:dyDescent="0.25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</row>
    <row r="5789" spans="1:15" ht="15" customHeight="1" x14ac:dyDescent="0.25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</row>
    <row r="5790" spans="1:15" ht="15" customHeight="1" x14ac:dyDescent="0.25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</row>
    <row r="5791" spans="1:15" ht="15" customHeight="1" x14ac:dyDescent="0.25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</row>
    <row r="5792" spans="1:15" ht="15" customHeight="1" x14ac:dyDescent="0.25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</row>
    <row r="5793" spans="1:15" ht="15" customHeight="1" x14ac:dyDescent="0.25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</row>
    <row r="5794" spans="1:15" ht="15" customHeight="1" x14ac:dyDescent="0.25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</row>
    <row r="5795" spans="1:15" ht="15" customHeight="1" x14ac:dyDescent="0.25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</row>
    <row r="5796" spans="1:15" ht="15" customHeight="1" x14ac:dyDescent="0.25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</row>
    <row r="5797" spans="1:15" ht="15" customHeight="1" x14ac:dyDescent="0.25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</row>
    <row r="5798" spans="1:15" ht="15" customHeight="1" x14ac:dyDescent="0.25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</row>
    <row r="5799" spans="1:15" ht="15" customHeight="1" x14ac:dyDescent="0.25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</row>
    <row r="5800" spans="1:15" ht="15" customHeight="1" x14ac:dyDescent="0.25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</row>
    <row r="5801" spans="1:15" ht="15" customHeight="1" x14ac:dyDescent="0.25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</row>
    <row r="5802" spans="1:15" ht="15" customHeight="1" x14ac:dyDescent="0.25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</row>
    <row r="5803" spans="1:15" ht="15" customHeight="1" x14ac:dyDescent="0.25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</row>
    <row r="5804" spans="1:15" ht="15" customHeight="1" x14ac:dyDescent="0.25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</row>
    <row r="5805" spans="1:15" ht="15" customHeight="1" x14ac:dyDescent="0.25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</row>
    <row r="5806" spans="1:15" ht="15" customHeight="1" x14ac:dyDescent="0.25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</row>
    <row r="5807" spans="1:15" ht="15" customHeight="1" x14ac:dyDescent="0.25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</row>
    <row r="5808" spans="1:15" ht="15" customHeight="1" x14ac:dyDescent="0.25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</row>
    <row r="5809" spans="1:15" ht="15" customHeight="1" x14ac:dyDescent="0.25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</row>
    <row r="5810" spans="1:15" ht="15" customHeight="1" x14ac:dyDescent="0.25">
      <c r="A5810" s="2"/>
      <c r="B5810" s="2"/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</row>
    <row r="5811" spans="1:15" ht="15" customHeight="1" x14ac:dyDescent="0.25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</row>
    <row r="5812" spans="1:15" ht="15" customHeight="1" x14ac:dyDescent="0.25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</row>
    <row r="5813" spans="1:15" ht="15" customHeight="1" x14ac:dyDescent="0.25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</row>
    <row r="5814" spans="1:15" ht="15" customHeight="1" x14ac:dyDescent="0.25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</row>
    <row r="5815" spans="1:15" ht="15" customHeight="1" x14ac:dyDescent="0.25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</row>
    <row r="5816" spans="1:15" ht="15" customHeight="1" x14ac:dyDescent="0.25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</row>
    <row r="5817" spans="1:15" ht="15" customHeight="1" x14ac:dyDescent="0.25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</row>
    <row r="5818" spans="1:15" ht="15" customHeight="1" x14ac:dyDescent="0.25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</row>
    <row r="5819" spans="1:15" ht="15" customHeight="1" x14ac:dyDescent="0.25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</row>
    <row r="5820" spans="1:15" ht="15" customHeight="1" x14ac:dyDescent="0.25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</row>
    <row r="5821" spans="1:15" ht="15" customHeight="1" x14ac:dyDescent="0.25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</row>
    <row r="5822" spans="1:15" ht="15" customHeight="1" x14ac:dyDescent="0.25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</row>
    <row r="5823" spans="1:15" ht="15" customHeight="1" x14ac:dyDescent="0.25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</row>
    <row r="5824" spans="1:15" ht="15" customHeight="1" x14ac:dyDescent="0.25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</row>
    <row r="5825" spans="1:15" ht="15" customHeight="1" x14ac:dyDescent="0.25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</row>
    <row r="5826" spans="1:15" ht="15" customHeight="1" x14ac:dyDescent="0.25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</row>
    <row r="5827" spans="1:15" ht="15" customHeight="1" x14ac:dyDescent="0.25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</row>
    <row r="5828" spans="1:15" ht="15" customHeight="1" x14ac:dyDescent="0.25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</row>
    <row r="5829" spans="1:15" ht="15" customHeight="1" x14ac:dyDescent="0.25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</row>
    <row r="5830" spans="1:15" ht="15" customHeight="1" x14ac:dyDescent="0.25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</row>
    <row r="5831" spans="1:15" ht="15" customHeight="1" x14ac:dyDescent="0.25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</row>
    <row r="5832" spans="1:15" ht="15" customHeight="1" x14ac:dyDescent="0.25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</row>
    <row r="5833" spans="1:15" ht="15" customHeight="1" x14ac:dyDescent="0.25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</row>
    <row r="5834" spans="1:15" ht="15" customHeight="1" x14ac:dyDescent="0.25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</row>
    <row r="5835" spans="1:15" ht="15" customHeight="1" x14ac:dyDescent="0.25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</row>
    <row r="5836" spans="1:15" ht="15" customHeight="1" x14ac:dyDescent="0.25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</row>
    <row r="5837" spans="1:15" ht="15" customHeight="1" x14ac:dyDescent="0.25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</row>
    <row r="5838" spans="1:15" ht="15" customHeight="1" x14ac:dyDescent="0.25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</row>
    <row r="5839" spans="1:15" ht="15" customHeight="1" x14ac:dyDescent="0.25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</row>
    <row r="5840" spans="1:15" ht="15" customHeight="1" x14ac:dyDescent="0.25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</row>
    <row r="5841" spans="1:15" ht="15" customHeight="1" x14ac:dyDescent="0.25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</row>
    <row r="5842" spans="1:15" ht="15" customHeight="1" x14ac:dyDescent="0.25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</row>
    <row r="5843" spans="1:15" ht="15" customHeight="1" x14ac:dyDescent="0.25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</row>
    <row r="5844" spans="1:15" ht="15" customHeight="1" x14ac:dyDescent="0.25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</row>
    <row r="5845" spans="1:15" ht="15" customHeight="1" x14ac:dyDescent="0.25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</row>
    <row r="5846" spans="1:15" ht="15" customHeight="1" x14ac:dyDescent="0.25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</row>
    <row r="5847" spans="1:15" ht="15" customHeight="1" x14ac:dyDescent="0.25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</row>
    <row r="5848" spans="1:15" ht="15" customHeight="1" x14ac:dyDescent="0.25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</row>
    <row r="5849" spans="1:15" ht="15" customHeight="1" x14ac:dyDescent="0.25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</row>
    <row r="5850" spans="1:15" ht="15" customHeight="1" x14ac:dyDescent="0.25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</row>
    <row r="5851" spans="1:15" ht="15" customHeight="1" x14ac:dyDescent="0.25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</row>
    <row r="5852" spans="1:15" ht="15" customHeight="1" x14ac:dyDescent="0.25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</row>
    <row r="5853" spans="1:15" ht="15" customHeight="1" x14ac:dyDescent="0.25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</row>
    <row r="5854" spans="1:15" ht="15" customHeight="1" x14ac:dyDescent="0.25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</row>
    <row r="5855" spans="1:15" ht="15" customHeight="1" x14ac:dyDescent="0.25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</row>
    <row r="5856" spans="1:15" ht="15" customHeight="1" x14ac:dyDescent="0.25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</row>
    <row r="5857" spans="1:15" ht="15" customHeight="1" x14ac:dyDescent="0.25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</row>
    <row r="5858" spans="1:15" ht="15" customHeight="1" x14ac:dyDescent="0.25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</row>
    <row r="5859" spans="1:15" ht="15" customHeight="1" x14ac:dyDescent="0.25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</row>
    <row r="5860" spans="1:15" ht="15" customHeight="1" x14ac:dyDescent="0.25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</row>
    <row r="5861" spans="1:15" ht="15" customHeight="1" x14ac:dyDescent="0.25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</row>
    <row r="5862" spans="1:15" ht="15" customHeight="1" x14ac:dyDescent="0.25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</row>
    <row r="5863" spans="1:15" ht="15" customHeight="1" x14ac:dyDescent="0.25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</row>
    <row r="5864" spans="1:15" ht="15" customHeight="1" x14ac:dyDescent="0.25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</row>
    <row r="5865" spans="1:15" ht="15" customHeight="1" x14ac:dyDescent="0.25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</row>
    <row r="5866" spans="1:15" ht="15" customHeight="1" x14ac:dyDescent="0.25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</row>
    <row r="5867" spans="1:15" ht="15" customHeight="1" x14ac:dyDescent="0.25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</row>
    <row r="5868" spans="1:15" ht="15" customHeight="1" x14ac:dyDescent="0.25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</row>
    <row r="5869" spans="1:15" ht="15" customHeight="1" x14ac:dyDescent="0.25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</row>
    <row r="5870" spans="1:15" ht="15" customHeight="1" x14ac:dyDescent="0.25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</row>
    <row r="5871" spans="1:15" ht="15" customHeight="1" x14ac:dyDescent="0.25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</row>
    <row r="5872" spans="1:15" ht="15" customHeight="1" x14ac:dyDescent="0.25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</row>
    <row r="5873" spans="1:15" ht="15" customHeight="1" x14ac:dyDescent="0.25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</row>
    <row r="5874" spans="1:15" ht="15" customHeight="1" x14ac:dyDescent="0.25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</row>
    <row r="5875" spans="1:15" ht="15" customHeight="1" x14ac:dyDescent="0.25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</row>
    <row r="5876" spans="1:15" ht="15" customHeight="1" x14ac:dyDescent="0.25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</row>
    <row r="5877" spans="1:15" ht="15" customHeight="1" x14ac:dyDescent="0.25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</row>
    <row r="5878" spans="1:15" ht="15" customHeight="1" x14ac:dyDescent="0.25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</row>
    <row r="5879" spans="1:15" ht="15" customHeight="1" x14ac:dyDescent="0.25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</row>
    <row r="5880" spans="1:15" ht="15" customHeight="1" x14ac:dyDescent="0.25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</row>
    <row r="5881" spans="1:15" ht="15" customHeight="1" x14ac:dyDescent="0.25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</row>
    <row r="5882" spans="1:15" ht="15" customHeight="1" x14ac:dyDescent="0.25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</row>
    <row r="5883" spans="1:15" ht="15" customHeight="1" x14ac:dyDescent="0.25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</row>
    <row r="5884" spans="1:15" ht="15" customHeight="1" x14ac:dyDescent="0.25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</row>
    <row r="5885" spans="1:15" ht="15" customHeight="1" x14ac:dyDescent="0.25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</row>
    <row r="5886" spans="1:15" ht="15" customHeight="1" x14ac:dyDescent="0.25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</row>
    <row r="5887" spans="1:15" ht="15" customHeight="1" x14ac:dyDescent="0.25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</row>
    <row r="5888" spans="1:15" ht="15" customHeight="1" x14ac:dyDescent="0.25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</row>
    <row r="5889" spans="1:15" ht="15" customHeight="1" x14ac:dyDescent="0.25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</row>
    <row r="5890" spans="1:15" ht="15" customHeight="1" x14ac:dyDescent="0.25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</row>
    <row r="5891" spans="1:15" ht="15" customHeight="1" x14ac:dyDescent="0.25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</row>
    <row r="5892" spans="1:15" ht="15" customHeight="1" x14ac:dyDescent="0.25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</row>
    <row r="5893" spans="1:15" ht="15" customHeight="1" x14ac:dyDescent="0.25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</row>
    <row r="5894" spans="1:15" ht="15" customHeight="1" x14ac:dyDescent="0.25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</row>
    <row r="5895" spans="1:15" ht="15" customHeight="1" x14ac:dyDescent="0.25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</row>
    <row r="5896" spans="1:15" ht="15" customHeight="1" x14ac:dyDescent="0.25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</row>
    <row r="5897" spans="1:15" ht="15" customHeight="1" x14ac:dyDescent="0.25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</row>
    <row r="5898" spans="1:15" ht="15" customHeight="1" x14ac:dyDescent="0.25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</row>
    <row r="5899" spans="1:15" ht="15" customHeight="1" x14ac:dyDescent="0.25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</row>
    <row r="5900" spans="1:15" ht="15" customHeight="1" x14ac:dyDescent="0.25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</row>
    <row r="5901" spans="1:15" ht="15" customHeight="1" x14ac:dyDescent="0.25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</row>
    <row r="5902" spans="1:15" ht="15" customHeight="1" x14ac:dyDescent="0.25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</row>
    <row r="5903" spans="1:15" ht="15" customHeight="1" x14ac:dyDescent="0.25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</row>
    <row r="5904" spans="1:15" ht="15" customHeight="1" x14ac:dyDescent="0.25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</row>
    <row r="5905" spans="1:15" ht="15" customHeight="1" x14ac:dyDescent="0.25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</row>
    <row r="5906" spans="1:15" ht="15" customHeight="1" x14ac:dyDescent="0.25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</row>
    <row r="5907" spans="1:15" ht="15" customHeight="1" x14ac:dyDescent="0.25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</row>
    <row r="5908" spans="1:15" ht="15" customHeight="1" x14ac:dyDescent="0.25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</row>
    <row r="5909" spans="1:15" ht="15" customHeight="1" x14ac:dyDescent="0.25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</row>
    <row r="5910" spans="1:15" ht="15" customHeight="1" x14ac:dyDescent="0.25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</row>
    <row r="5911" spans="1:15" ht="15" customHeight="1" x14ac:dyDescent="0.25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</row>
    <row r="5912" spans="1:15" ht="15" customHeight="1" x14ac:dyDescent="0.25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</row>
    <row r="5913" spans="1:15" ht="15" customHeight="1" x14ac:dyDescent="0.25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</row>
    <row r="5914" spans="1:15" ht="15" customHeight="1" x14ac:dyDescent="0.25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</row>
    <row r="5915" spans="1:15" ht="15" customHeight="1" x14ac:dyDescent="0.25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</row>
    <row r="5916" spans="1:15" ht="15" customHeight="1" x14ac:dyDescent="0.25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</row>
    <row r="5917" spans="1:15" ht="15" customHeight="1" x14ac:dyDescent="0.25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</row>
    <row r="5918" spans="1:15" ht="15" customHeight="1" x14ac:dyDescent="0.25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</row>
    <row r="5919" spans="1:15" ht="15" customHeight="1" x14ac:dyDescent="0.25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</row>
    <row r="5920" spans="1:15" ht="15" customHeight="1" x14ac:dyDescent="0.25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</row>
    <row r="5921" spans="1:15" ht="15" customHeight="1" x14ac:dyDescent="0.25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</row>
    <row r="5922" spans="1:15" ht="15" customHeight="1" x14ac:dyDescent="0.25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</row>
    <row r="5923" spans="1:15" ht="15" customHeight="1" x14ac:dyDescent="0.25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</row>
    <row r="5924" spans="1:15" ht="15" customHeight="1" x14ac:dyDescent="0.25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</row>
    <row r="5925" spans="1:15" ht="15" customHeight="1" x14ac:dyDescent="0.25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</row>
    <row r="5926" spans="1:15" ht="15" customHeight="1" x14ac:dyDescent="0.25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</row>
    <row r="5927" spans="1:15" ht="15" customHeight="1" x14ac:dyDescent="0.25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</row>
    <row r="5928" spans="1:15" ht="15" customHeight="1" x14ac:dyDescent="0.25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</row>
    <row r="5929" spans="1:15" ht="15" customHeight="1" x14ac:dyDescent="0.25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</row>
    <row r="5930" spans="1:15" ht="15" customHeight="1" x14ac:dyDescent="0.25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</row>
    <row r="5931" spans="1:15" ht="15" customHeight="1" x14ac:dyDescent="0.25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</row>
    <row r="5932" spans="1:15" ht="15" customHeight="1" x14ac:dyDescent="0.25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</row>
    <row r="5933" spans="1:15" ht="15" customHeight="1" x14ac:dyDescent="0.25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</row>
    <row r="5934" spans="1:15" ht="15" customHeight="1" x14ac:dyDescent="0.25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</row>
    <row r="5935" spans="1:15" ht="15" customHeight="1" x14ac:dyDescent="0.25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</row>
    <row r="5936" spans="1:15" ht="15" customHeight="1" x14ac:dyDescent="0.25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</row>
    <row r="5937" spans="1:15" ht="15" customHeight="1" x14ac:dyDescent="0.25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</row>
    <row r="5938" spans="1:15" ht="15" customHeight="1" x14ac:dyDescent="0.25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</row>
    <row r="5939" spans="1:15" ht="15" customHeight="1" x14ac:dyDescent="0.25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</row>
    <row r="5940" spans="1:15" ht="15" customHeight="1" x14ac:dyDescent="0.25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</row>
    <row r="5941" spans="1:15" ht="15" customHeight="1" x14ac:dyDescent="0.25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</row>
    <row r="5942" spans="1:15" ht="15" customHeight="1" x14ac:dyDescent="0.25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</row>
    <row r="5943" spans="1:15" ht="15" customHeight="1" x14ac:dyDescent="0.25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</row>
    <row r="5944" spans="1:15" ht="15" customHeight="1" x14ac:dyDescent="0.25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</row>
    <row r="5945" spans="1:15" ht="15" customHeight="1" x14ac:dyDescent="0.25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</row>
    <row r="5946" spans="1:15" ht="15" customHeight="1" x14ac:dyDescent="0.25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</row>
    <row r="5947" spans="1:15" ht="15" customHeight="1" x14ac:dyDescent="0.25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</row>
    <row r="5948" spans="1:15" ht="15" customHeight="1" x14ac:dyDescent="0.25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</row>
    <row r="5949" spans="1:15" ht="15" customHeight="1" x14ac:dyDescent="0.25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</row>
    <row r="5950" spans="1:15" ht="15" customHeight="1" x14ac:dyDescent="0.25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</row>
    <row r="5951" spans="1:15" ht="15" customHeight="1" x14ac:dyDescent="0.25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</row>
    <row r="5952" spans="1:15" ht="15" customHeight="1" x14ac:dyDescent="0.25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</row>
    <row r="5953" spans="1:15" ht="15" customHeight="1" x14ac:dyDescent="0.25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</row>
    <row r="5954" spans="1:15" ht="15" customHeight="1" x14ac:dyDescent="0.25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</row>
    <row r="5955" spans="1:15" ht="15" customHeight="1" x14ac:dyDescent="0.25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</row>
    <row r="5956" spans="1:15" ht="15" customHeight="1" x14ac:dyDescent="0.25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</row>
    <row r="5957" spans="1:15" ht="15" customHeight="1" x14ac:dyDescent="0.25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</row>
    <row r="5958" spans="1:15" ht="15" customHeight="1" x14ac:dyDescent="0.25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</row>
    <row r="5959" spans="1:15" ht="15" customHeight="1" x14ac:dyDescent="0.25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</row>
    <row r="5960" spans="1:15" ht="15" customHeight="1" x14ac:dyDescent="0.25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</row>
    <row r="5961" spans="1:15" ht="15" customHeight="1" x14ac:dyDescent="0.25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</row>
    <row r="5962" spans="1:15" ht="15" customHeight="1" x14ac:dyDescent="0.25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</row>
    <row r="5963" spans="1:15" ht="15" customHeight="1" x14ac:dyDescent="0.25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</row>
    <row r="5964" spans="1:15" ht="15" customHeight="1" x14ac:dyDescent="0.25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</row>
    <row r="5965" spans="1:15" ht="15" customHeight="1" x14ac:dyDescent="0.25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</row>
    <row r="5966" spans="1:15" ht="15" customHeight="1" x14ac:dyDescent="0.25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</row>
    <row r="5967" spans="1:15" ht="15" customHeight="1" x14ac:dyDescent="0.25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</row>
    <row r="5968" spans="1:15" ht="15" customHeight="1" x14ac:dyDescent="0.25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</row>
    <row r="5969" spans="1:15" ht="15" customHeight="1" x14ac:dyDescent="0.25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</row>
    <row r="5970" spans="1:15" ht="15" customHeight="1" x14ac:dyDescent="0.25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</row>
    <row r="5971" spans="1:15" ht="15" customHeight="1" x14ac:dyDescent="0.25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</row>
    <row r="5972" spans="1:15" ht="15" customHeight="1" x14ac:dyDescent="0.25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</row>
    <row r="5973" spans="1:15" ht="15" customHeight="1" x14ac:dyDescent="0.25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</row>
    <row r="5974" spans="1:15" ht="15" customHeight="1" x14ac:dyDescent="0.25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</row>
    <row r="5975" spans="1:15" ht="15" customHeight="1" x14ac:dyDescent="0.25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</row>
    <row r="5976" spans="1:15" ht="15" customHeight="1" x14ac:dyDescent="0.25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</row>
    <row r="5977" spans="1:15" ht="15" customHeight="1" x14ac:dyDescent="0.25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</row>
    <row r="5978" spans="1:15" ht="15" customHeight="1" x14ac:dyDescent="0.25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</row>
    <row r="5979" spans="1:15" ht="15" customHeight="1" x14ac:dyDescent="0.25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</row>
    <row r="5980" spans="1:15" ht="15" customHeight="1" x14ac:dyDescent="0.25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</row>
    <row r="5981" spans="1:15" ht="15" customHeight="1" x14ac:dyDescent="0.25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</row>
    <row r="5982" spans="1:15" ht="15" customHeight="1" x14ac:dyDescent="0.25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</row>
    <row r="5983" spans="1:15" ht="15" customHeight="1" x14ac:dyDescent="0.25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</row>
    <row r="5984" spans="1:15" ht="15" customHeight="1" x14ac:dyDescent="0.25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</row>
    <row r="5985" spans="1:15" ht="15" customHeight="1" x14ac:dyDescent="0.25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</row>
    <row r="5986" spans="1:15" ht="15" customHeight="1" x14ac:dyDescent="0.25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</row>
    <row r="5987" spans="1:15" ht="15" customHeight="1" x14ac:dyDescent="0.25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</row>
    <row r="5988" spans="1:15" ht="15" customHeight="1" x14ac:dyDescent="0.25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</row>
    <row r="5989" spans="1:15" ht="15" customHeight="1" x14ac:dyDescent="0.25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</row>
    <row r="5990" spans="1:15" ht="15" customHeight="1" x14ac:dyDescent="0.25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</row>
    <row r="5991" spans="1:15" ht="15" customHeight="1" x14ac:dyDescent="0.25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</row>
    <row r="5992" spans="1:15" ht="15" customHeight="1" x14ac:dyDescent="0.25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</row>
    <row r="5993" spans="1:15" ht="15" customHeight="1" x14ac:dyDescent="0.25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</row>
    <row r="5994" spans="1:15" ht="15" customHeight="1" x14ac:dyDescent="0.25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</row>
    <row r="5995" spans="1:15" ht="15" customHeight="1" x14ac:dyDescent="0.25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</row>
    <row r="5996" spans="1:15" ht="15" customHeight="1" x14ac:dyDescent="0.25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</row>
    <row r="5997" spans="1:15" ht="15" customHeight="1" x14ac:dyDescent="0.25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</row>
    <row r="5998" spans="1:15" ht="15" customHeight="1" x14ac:dyDescent="0.25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</row>
    <row r="5999" spans="1:15" ht="15" customHeight="1" x14ac:dyDescent="0.25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</row>
    <row r="6000" spans="1:15" ht="15" customHeight="1" x14ac:dyDescent="0.25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</row>
    <row r="6001" spans="1:15" ht="15" customHeight="1" x14ac:dyDescent="0.25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</row>
    <row r="6002" spans="1:15" ht="15" customHeight="1" x14ac:dyDescent="0.25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</row>
    <row r="6003" spans="1:15" ht="15" customHeight="1" x14ac:dyDescent="0.25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</row>
    <row r="6004" spans="1:15" ht="15" customHeight="1" x14ac:dyDescent="0.25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</row>
    <row r="6005" spans="1:15" ht="15" customHeight="1" x14ac:dyDescent="0.25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</row>
    <row r="6006" spans="1:15" ht="15" customHeight="1" x14ac:dyDescent="0.25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</row>
    <row r="6007" spans="1:15" ht="15" customHeight="1" x14ac:dyDescent="0.25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</row>
    <row r="6008" spans="1:15" ht="15" customHeight="1" x14ac:dyDescent="0.25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</row>
    <row r="6009" spans="1:15" ht="15" customHeight="1" x14ac:dyDescent="0.25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</row>
    <row r="6010" spans="1:15" ht="15" customHeight="1" x14ac:dyDescent="0.25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</row>
    <row r="6011" spans="1:15" ht="15" customHeight="1" x14ac:dyDescent="0.25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</row>
    <row r="6012" spans="1:15" ht="15" customHeight="1" x14ac:dyDescent="0.25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</row>
    <row r="6013" spans="1:15" ht="15" customHeight="1" x14ac:dyDescent="0.25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</row>
    <row r="6014" spans="1:15" ht="15" customHeight="1" x14ac:dyDescent="0.25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</row>
    <row r="6015" spans="1:15" ht="15" customHeight="1" x14ac:dyDescent="0.25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</row>
    <row r="6016" spans="1:15" ht="15" customHeight="1" x14ac:dyDescent="0.25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</row>
    <row r="6017" spans="1:15" ht="15" customHeight="1" x14ac:dyDescent="0.25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</row>
    <row r="6018" spans="1:15" ht="15" customHeight="1" x14ac:dyDescent="0.25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</row>
    <row r="6019" spans="1:15" ht="15" customHeight="1" x14ac:dyDescent="0.25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</row>
    <row r="6020" spans="1:15" ht="15" customHeight="1" x14ac:dyDescent="0.25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</row>
    <row r="6021" spans="1:15" ht="15" customHeight="1" x14ac:dyDescent="0.25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</row>
    <row r="6022" spans="1:15" ht="15" customHeight="1" x14ac:dyDescent="0.25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</row>
    <row r="6023" spans="1:15" ht="15" customHeight="1" x14ac:dyDescent="0.25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</row>
    <row r="6024" spans="1:15" ht="15" customHeight="1" x14ac:dyDescent="0.25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</row>
    <row r="6025" spans="1:15" ht="15" customHeight="1" x14ac:dyDescent="0.25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</row>
    <row r="6026" spans="1:15" ht="15" customHeight="1" x14ac:dyDescent="0.25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</row>
    <row r="6027" spans="1:15" ht="15" customHeight="1" x14ac:dyDescent="0.25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</row>
    <row r="6028" spans="1:15" ht="15" customHeight="1" x14ac:dyDescent="0.25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</row>
    <row r="6029" spans="1:15" ht="15" customHeight="1" x14ac:dyDescent="0.25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</row>
    <row r="6030" spans="1:15" ht="15" customHeight="1" x14ac:dyDescent="0.25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</row>
    <row r="6031" spans="1:15" ht="15" customHeight="1" x14ac:dyDescent="0.25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</row>
    <row r="6032" spans="1:15" ht="15" customHeight="1" x14ac:dyDescent="0.25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</row>
    <row r="6033" spans="1:15" ht="15" customHeight="1" x14ac:dyDescent="0.25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</row>
    <row r="6034" spans="1:15" ht="15" customHeight="1" x14ac:dyDescent="0.25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</row>
    <row r="6035" spans="1:15" ht="15" customHeight="1" x14ac:dyDescent="0.25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</row>
    <row r="6036" spans="1:15" ht="15" customHeight="1" x14ac:dyDescent="0.25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</row>
    <row r="6037" spans="1:15" ht="15" customHeight="1" x14ac:dyDescent="0.25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</row>
    <row r="6038" spans="1:15" ht="15" customHeight="1" x14ac:dyDescent="0.25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</row>
    <row r="6039" spans="1:15" ht="15" customHeight="1" x14ac:dyDescent="0.25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</row>
    <row r="6040" spans="1:15" ht="15" customHeight="1" x14ac:dyDescent="0.25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</row>
    <row r="6041" spans="1:15" ht="15" customHeight="1" x14ac:dyDescent="0.25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</row>
    <row r="6042" spans="1:15" ht="15" customHeight="1" x14ac:dyDescent="0.25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</row>
    <row r="6043" spans="1:15" ht="15" customHeight="1" x14ac:dyDescent="0.25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</row>
    <row r="6044" spans="1:15" ht="15" customHeight="1" x14ac:dyDescent="0.25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</row>
    <row r="6045" spans="1:15" ht="15" customHeight="1" x14ac:dyDescent="0.25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</row>
    <row r="6046" spans="1:15" ht="15" customHeight="1" x14ac:dyDescent="0.25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</row>
    <row r="6047" spans="1:15" ht="15" customHeight="1" x14ac:dyDescent="0.25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</row>
    <row r="6048" spans="1:15" ht="15" customHeight="1" x14ac:dyDescent="0.25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</row>
    <row r="6049" spans="1:15" ht="15" customHeight="1" x14ac:dyDescent="0.25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</row>
    <row r="6050" spans="1:15" ht="15" customHeight="1" x14ac:dyDescent="0.25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</row>
    <row r="6051" spans="1:15" ht="15" customHeight="1" x14ac:dyDescent="0.25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</row>
    <row r="6052" spans="1:15" ht="15" customHeight="1" x14ac:dyDescent="0.25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</row>
    <row r="6053" spans="1:15" ht="15" customHeight="1" x14ac:dyDescent="0.25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</row>
    <row r="6054" spans="1:15" ht="15" customHeight="1" x14ac:dyDescent="0.25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</row>
    <row r="6055" spans="1:15" ht="15" customHeight="1" x14ac:dyDescent="0.25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</row>
    <row r="6056" spans="1:15" ht="15" customHeight="1" x14ac:dyDescent="0.25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</row>
    <row r="6057" spans="1:15" ht="15" customHeight="1" x14ac:dyDescent="0.25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</row>
    <row r="6058" spans="1:15" ht="15" customHeight="1" x14ac:dyDescent="0.25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</row>
    <row r="6059" spans="1:15" ht="15" customHeight="1" x14ac:dyDescent="0.25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</row>
    <row r="6060" spans="1:15" ht="15" customHeight="1" x14ac:dyDescent="0.25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</row>
    <row r="6061" spans="1:15" ht="15" customHeight="1" x14ac:dyDescent="0.25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</row>
    <row r="6062" spans="1:15" ht="15" customHeight="1" x14ac:dyDescent="0.25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</row>
    <row r="6063" spans="1:15" ht="15" customHeight="1" x14ac:dyDescent="0.25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</row>
    <row r="6064" spans="1:15" ht="15" customHeight="1" x14ac:dyDescent="0.25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</row>
    <row r="6065" spans="1:15" ht="15" customHeight="1" x14ac:dyDescent="0.25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</row>
    <row r="6066" spans="1:15" ht="15" customHeight="1" x14ac:dyDescent="0.25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</row>
    <row r="6067" spans="1:15" ht="15" customHeight="1" x14ac:dyDescent="0.25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</row>
    <row r="6068" spans="1:15" ht="15" customHeight="1" x14ac:dyDescent="0.25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</row>
    <row r="6069" spans="1:15" ht="15" customHeight="1" x14ac:dyDescent="0.25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</row>
    <row r="6070" spans="1:15" ht="15" customHeight="1" x14ac:dyDescent="0.25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</row>
    <row r="6071" spans="1:15" ht="15" customHeight="1" x14ac:dyDescent="0.25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</row>
    <row r="6072" spans="1:15" ht="15" customHeight="1" x14ac:dyDescent="0.25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</row>
    <row r="6073" spans="1:15" ht="15" customHeight="1" x14ac:dyDescent="0.25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</row>
    <row r="6074" spans="1:15" ht="15" customHeight="1" x14ac:dyDescent="0.25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</row>
    <row r="6075" spans="1:15" ht="15" customHeight="1" x14ac:dyDescent="0.25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</row>
    <row r="6076" spans="1:15" ht="15" customHeight="1" x14ac:dyDescent="0.25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</row>
    <row r="6077" spans="1:15" ht="15" customHeight="1" x14ac:dyDescent="0.25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</row>
    <row r="6078" spans="1:15" ht="15" customHeight="1" x14ac:dyDescent="0.25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</row>
    <row r="6079" spans="1:15" ht="15" customHeight="1" x14ac:dyDescent="0.25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</row>
    <row r="6080" spans="1:15" ht="15" customHeight="1" x14ac:dyDescent="0.25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</row>
    <row r="6081" spans="1:15" ht="15" customHeight="1" x14ac:dyDescent="0.25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</row>
    <row r="6082" spans="1:15" ht="15" customHeight="1" x14ac:dyDescent="0.25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</row>
    <row r="6083" spans="1:15" ht="15" customHeight="1" x14ac:dyDescent="0.25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</row>
    <row r="6084" spans="1:15" ht="15" customHeight="1" x14ac:dyDescent="0.25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</row>
    <row r="6085" spans="1:15" ht="15" customHeight="1" x14ac:dyDescent="0.25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</row>
    <row r="6086" spans="1:15" ht="15" customHeight="1" x14ac:dyDescent="0.25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</row>
    <row r="6087" spans="1:15" ht="15" customHeight="1" x14ac:dyDescent="0.25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</row>
    <row r="6088" spans="1:15" ht="15" customHeight="1" x14ac:dyDescent="0.25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</row>
    <row r="6089" spans="1:15" ht="15" customHeight="1" x14ac:dyDescent="0.25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</row>
    <row r="6090" spans="1:15" ht="15" customHeight="1" x14ac:dyDescent="0.25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</row>
    <row r="6091" spans="1:15" ht="15" customHeight="1" x14ac:dyDescent="0.25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</row>
    <row r="6092" spans="1:15" ht="15" customHeight="1" x14ac:dyDescent="0.25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</row>
    <row r="6093" spans="1:15" ht="15" customHeight="1" x14ac:dyDescent="0.25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</row>
    <row r="6094" spans="1:15" ht="15" customHeight="1" x14ac:dyDescent="0.25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</row>
    <row r="6095" spans="1:15" ht="15" customHeight="1" x14ac:dyDescent="0.25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</row>
    <row r="6096" spans="1:15" ht="15" customHeight="1" x14ac:dyDescent="0.25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</row>
    <row r="6097" spans="1:15" ht="15" customHeight="1" x14ac:dyDescent="0.25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</row>
    <row r="6098" spans="1:15" ht="15" customHeight="1" x14ac:dyDescent="0.25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</row>
    <row r="6099" spans="1:15" ht="15" customHeight="1" x14ac:dyDescent="0.25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</row>
    <row r="6100" spans="1:15" ht="15" customHeight="1" x14ac:dyDescent="0.25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</row>
    <row r="6101" spans="1:15" ht="15" customHeight="1" x14ac:dyDescent="0.25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</row>
    <row r="6102" spans="1:15" ht="15" customHeight="1" x14ac:dyDescent="0.25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</row>
    <row r="6103" spans="1:15" ht="15" customHeight="1" x14ac:dyDescent="0.25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</row>
    <row r="6104" spans="1:15" ht="15" customHeight="1" x14ac:dyDescent="0.25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</row>
    <row r="6105" spans="1:15" ht="15" customHeight="1" x14ac:dyDescent="0.25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</row>
    <row r="6106" spans="1:15" ht="15" customHeight="1" x14ac:dyDescent="0.25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</row>
    <row r="6107" spans="1:15" ht="15" customHeight="1" x14ac:dyDescent="0.25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</row>
    <row r="6108" spans="1:15" ht="15" customHeight="1" x14ac:dyDescent="0.25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</row>
    <row r="6109" spans="1:15" ht="15" customHeight="1" x14ac:dyDescent="0.25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</row>
    <row r="6110" spans="1:15" ht="15" customHeight="1" x14ac:dyDescent="0.25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</row>
    <row r="6111" spans="1:15" ht="15" customHeight="1" x14ac:dyDescent="0.25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</row>
    <row r="6112" spans="1:15" ht="15" customHeight="1" x14ac:dyDescent="0.25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</row>
    <row r="6113" spans="1:15" ht="15" customHeight="1" x14ac:dyDescent="0.25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</row>
    <row r="6114" spans="1:15" ht="15" customHeight="1" x14ac:dyDescent="0.25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</row>
    <row r="6115" spans="1:15" ht="15" customHeight="1" x14ac:dyDescent="0.25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</row>
    <row r="6116" spans="1:15" ht="15" customHeight="1" x14ac:dyDescent="0.25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</row>
    <row r="6117" spans="1:15" ht="15" customHeight="1" x14ac:dyDescent="0.25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</row>
    <row r="6118" spans="1:15" ht="15" customHeight="1" x14ac:dyDescent="0.25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</row>
    <row r="6119" spans="1:15" ht="15" customHeight="1" x14ac:dyDescent="0.25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</row>
    <row r="6120" spans="1:15" ht="15" customHeight="1" x14ac:dyDescent="0.25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</row>
    <row r="6121" spans="1:15" ht="15" customHeight="1" x14ac:dyDescent="0.25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</row>
    <row r="6122" spans="1:15" ht="15" customHeight="1" x14ac:dyDescent="0.25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</row>
    <row r="6123" spans="1:15" ht="15" customHeight="1" x14ac:dyDescent="0.25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</row>
    <row r="6124" spans="1:15" ht="15" customHeight="1" x14ac:dyDescent="0.25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</row>
    <row r="6125" spans="1:15" ht="15" customHeight="1" x14ac:dyDescent="0.25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</row>
    <row r="6126" spans="1:15" ht="15" customHeight="1" x14ac:dyDescent="0.25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</row>
    <row r="6127" spans="1:15" ht="15" customHeight="1" x14ac:dyDescent="0.25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</row>
    <row r="6128" spans="1:15" ht="15" customHeight="1" x14ac:dyDescent="0.25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</row>
    <row r="6129" spans="1:15" ht="15" customHeight="1" x14ac:dyDescent="0.25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</row>
    <row r="6130" spans="1:15" ht="15" customHeight="1" x14ac:dyDescent="0.25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</row>
    <row r="6131" spans="1:15" ht="15" customHeight="1" x14ac:dyDescent="0.25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</row>
    <row r="6132" spans="1:15" ht="15" customHeight="1" x14ac:dyDescent="0.25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</row>
    <row r="6133" spans="1:15" ht="15" customHeight="1" x14ac:dyDescent="0.25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</row>
    <row r="6134" spans="1:15" ht="15" customHeight="1" x14ac:dyDescent="0.25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</row>
    <row r="6135" spans="1:15" ht="15" customHeight="1" x14ac:dyDescent="0.25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</row>
    <row r="6136" spans="1:15" ht="15" customHeight="1" x14ac:dyDescent="0.25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</row>
    <row r="6137" spans="1:15" ht="15" customHeight="1" x14ac:dyDescent="0.25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</row>
    <row r="6138" spans="1:15" ht="15" customHeight="1" x14ac:dyDescent="0.25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</row>
    <row r="6139" spans="1:15" ht="15" customHeight="1" x14ac:dyDescent="0.25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</row>
    <row r="6140" spans="1:15" ht="15" customHeight="1" x14ac:dyDescent="0.25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</row>
    <row r="6141" spans="1:15" ht="15" customHeight="1" x14ac:dyDescent="0.25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</row>
    <row r="6142" spans="1:15" ht="15" customHeight="1" x14ac:dyDescent="0.25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</row>
    <row r="6143" spans="1:15" ht="15" customHeight="1" x14ac:dyDescent="0.25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</row>
    <row r="6144" spans="1:15" ht="15" customHeight="1" x14ac:dyDescent="0.25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</row>
    <row r="6145" spans="1:15" ht="15" customHeight="1" x14ac:dyDescent="0.25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</row>
    <row r="6146" spans="1:15" ht="15" customHeight="1" x14ac:dyDescent="0.25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</row>
    <row r="6147" spans="1:15" ht="15" customHeight="1" x14ac:dyDescent="0.25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</row>
    <row r="6148" spans="1:15" ht="15" customHeight="1" x14ac:dyDescent="0.25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</row>
    <row r="6149" spans="1:15" ht="15" customHeight="1" x14ac:dyDescent="0.25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</row>
    <row r="6150" spans="1:15" ht="15" customHeight="1" x14ac:dyDescent="0.25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</row>
    <row r="6151" spans="1:15" ht="15" customHeight="1" x14ac:dyDescent="0.25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</row>
    <row r="6152" spans="1:15" ht="15" customHeight="1" x14ac:dyDescent="0.25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</row>
    <row r="6153" spans="1:15" ht="15" customHeight="1" x14ac:dyDescent="0.25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</row>
    <row r="6154" spans="1:15" ht="15" customHeight="1" x14ac:dyDescent="0.25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</row>
    <row r="6155" spans="1:15" ht="15" customHeight="1" x14ac:dyDescent="0.25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</row>
    <row r="6156" spans="1:15" ht="15" customHeight="1" x14ac:dyDescent="0.25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</row>
    <row r="6157" spans="1:15" ht="15" customHeight="1" x14ac:dyDescent="0.25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</row>
    <row r="6158" spans="1:15" ht="15" customHeight="1" x14ac:dyDescent="0.25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</row>
    <row r="6159" spans="1:15" ht="15" customHeight="1" x14ac:dyDescent="0.25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</row>
    <row r="6160" spans="1:15" ht="15" customHeight="1" x14ac:dyDescent="0.25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</row>
    <row r="6161" spans="1:15" ht="15" customHeight="1" x14ac:dyDescent="0.25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</row>
    <row r="6162" spans="1:15" ht="15" customHeight="1" x14ac:dyDescent="0.25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</row>
    <row r="6163" spans="1:15" ht="15" customHeight="1" x14ac:dyDescent="0.25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</row>
    <row r="6164" spans="1:15" ht="15" customHeight="1" x14ac:dyDescent="0.25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</row>
    <row r="6165" spans="1:15" ht="15" customHeight="1" x14ac:dyDescent="0.25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</row>
    <row r="6166" spans="1:15" ht="15" customHeight="1" x14ac:dyDescent="0.25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</row>
    <row r="6167" spans="1:15" ht="15" customHeight="1" x14ac:dyDescent="0.25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</row>
    <row r="6168" spans="1:15" ht="15" customHeight="1" x14ac:dyDescent="0.25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</row>
    <row r="6169" spans="1:15" ht="15" customHeight="1" x14ac:dyDescent="0.25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</row>
    <row r="6170" spans="1:15" ht="15" customHeight="1" x14ac:dyDescent="0.25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</row>
    <row r="6171" spans="1:15" ht="15" customHeight="1" x14ac:dyDescent="0.25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</row>
    <row r="6172" spans="1:15" ht="15" customHeight="1" x14ac:dyDescent="0.25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</row>
    <row r="6173" spans="1:15" ht="15" customHeight="1" x14ac:dyDescent="0.25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</row>
    <row r="6174" spans="1:15" ht="15" customHeight="1" x14ac:dyDescent="0.25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</row>
    <row r="6175" spans="1:15" ht="15" customHeight="1" x14ac:dyDescent="0.25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</row>
    <row r="6176" spans="1:15" ht="15" customHeight="1" x14ac:dyDescent="0.25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</row>
    <row r="6177" spans="1:15" ht="15" customHeight="1" x14ac:dyDescent="0.25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</row>
    <row r="6178" spans="1:15" ht="15" customHeight="1" x14ac:dyDescent="0.25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</row>
    <row r="6179" spans="1:15" ht="15" customHeight="1" x14ac:dyDescent="0.25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</row>
    <row r="6180" spans="1:15" ht="15" customHeight="1" x14ac:dyDescent="0.25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</row>
    <row r="6181" spans="1:15" ht="15" customHeight="1" x14ac:dyDescent="0.25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</row>
    <row r="6182" spans="1:15" ht="15" customHeight="1" x14ac:dyDescent="0.25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</row>
    <row r="6183" spans="1:15" ht="15" customHeight="1" x14ac:dyDescent="0.25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</row>
    <row r="6184" spans="1:15" ht="15" customHeight="1" x14ac:dyDescent="0.25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</row>
    <row r="6185" spans="1:15" ht="15" customHeight="1" x14ac:dyDescent="0.25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</row>
    <row r="6186" spans="1:15" ht="15" customHeight="1" x14ac:dyDescent="0.25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</row>
    <row r="6187" spans="1:15" ht="15" customHeight="1" x14ac:dyDescent="0.25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</row>
    <row r="6188" spans="1:15" ht="15" customHeight="1" x14ac:dyDescent="0.25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</row>
    <row r="6189" spans="1:15" ht="15" customHeight="1" x14ac:dyDescent="0.25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</row>
    <row r="6190" spans="1:15" ht="15" customHeight="1" x14ac:dyDescent="0.25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</row>
    <row r="6191" spans="1:15" ht="15" customHeight="1" x14ac:dyDescent="0.25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</row>
    <row r="6192" spans="1:15" ht="15" customHeight="1" x14ac:dyDescent="0.25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</row>
    <row r="6193" spans="1:15" ht="15" customHeight="1" x14ac:dyDescent="0.25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</row>
    <row r="6194" spans="1:15" ht="15" customHeight="1" x14ac:dyDescent="0.25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</row>
    <row r="6195" spans="1:15" ht="15" customHeight="1" x14ac:dyDescent="0.25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</row>
    <row r="6196" spans="1:15" ht="15" customHeight="1" x14ac:dyDescent="0.25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</row>
    <row r="6197" spans="1:15" ht="15" customHeight="1" x14ac:dyDescent="0.25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</row>
    <row r="6198" spans="1:15" ht="15" customHeight="1" x14ac:dyDescent="0.25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</row>
    <row r="6199" spans="1:15" ht="15" customHeight="1" x14ac:dyDescent="0.25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</row>
    <row r="6200" spans="1:15" ht="15" customHeight="1" x14ac:dyDescent="0.25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</row>
    <row r="6201" spans="1:15" ht="15" customHeight="1" x14ac:dyDescent="0.25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</row>
    <row r="6202" spans="1:15" ht="15" customHeight="1" x14ac:dyDescent="0.25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</row>
    <row r="6203" spans="1:15" ht="15" customHeight="1" x14ac:dyDescent="0.25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</row>
    <row r="6204" spans="1:15" ht="15" customHeight="1" x14ac:dyDescent="0.25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</row>
    <row r="6205" spans="1:15" ht="15" customHeight="1" x14ac:dyDescent="0.25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</row>
    <row r="6206" spans="1:15" ht="15" customHeight="1" x14ac:dyDescent="0.25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</row>
    <row r="6207" spans="1:15" ht="15" customHeight="1" x14ac:dyDescent="0.25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</row>
    <row r="6208" spans="1:15" ht="15" customHeight="1" x14ac:dyDescent="0.25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</row>
    <row r="6209" spans="1:15" ht="15" customHeight="1" x14ac:dyDescent="0.25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</row>
    <row r="6210" spans="1:15" ht="15" customHeight="1" x14ac:dyDescent="0.25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</row>
    <row r="6211" spans="1:15" ht="15" customHeight="1" x14ac:dyDescent="0.25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</row>
    <row r="6212" spans="1:15" ht="15" customHeight="1" x14ac:dyDescent="0.25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</row>
    <row r="6213" spans="1:15" ht="15" customHeight="1" x14ac:dyDescent="0.25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</row>
    <row r="6214" spans="1:15" ht="15" customHeight="1" x14ac:dyDescent="0.25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</row>
    <row r="6215" spans="1:15" ht="15" customHeight="1" x14ac:dyDescent="0.25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</row>
    <row r="6216" spans="1:15" ht="15" customHeight="1" x14ac:dyDescent="0.25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</row>
    <row r="6217" spans="1:15" ht="15" customHeight="1" x14ac:dyDescent="0.25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</row>
    <row r="6218" spans="1:15" ht="15" customHeight="1" x14ac:dyDescent="0.25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</row>
    <row r="6219" spans="1:15" ht="15" customHeight="1" x14ac:dyDescent="0.25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</row>
    <row r="6220" spans="1:15" ht="15" customHeight="1" x14ac:dyDescent="0.25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</row>
    <row r="6221" spans="1:15" ht="15" customHeight="1" x14ac:dyDescent="0.25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</row>
    <row r="6222" spans="1:15" ht="15" customHeight="1" x14ac:dyDescent="0.25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</row>
    <row r="6223" spans="1:15" ht="15" customHeight="1" x14ac:dyDescent="0.25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</row>
    <row r="6224" spans="1:15" ht="15" customHeight="1" x14ac:dyDescent="0.25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</row>
    <row r="6225" spans="1:15" ht="15" customHeight="1" x14ac:dyDescent="0.25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</row>
    <row r="6226" spans="1:15" ht="15" customHeight="1" x14ac:dyDescent="0.25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</row>
    <row r="6227" spans="1:15" ht="15" customHeight="1" x14ac:dyDescent="0.25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</row>
    <row r="6228" spans="1:15" ht="15" customHeight="1" x14ac:dyDescent="0.25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</row>
    <row r="6229" spans="1:15" ht="15" customHeight="1" x14ac:dyDescent="0.25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</row>
    <row r="6230" spans="1:15" ht="15" customHeight="1" x14ac:dyDescent="0.25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</row>
    <row r="6231" spans="1:15" ht="15" customHeight="1" x14ac:dyDescent="0.25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</row>
    <row r="6232" spans="1:15" ht="15" customHeight="1" x14ac:dyDescent="0.25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</row>
    <row r="6233" spans="1:15" ht="15" customHeight="1" x14ac:dyDescent="0.25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</row>
    <row r="6234" spans="1:15" ht="15" customHeight="1" x14ac:dyDescent="0.25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</row>
    <row r="6235" spans="1:15" ht="15" customHeight="1" x14ac:dyDescent="0.25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</row>
    <row r="6236" spans="1:15" ht="15" customHeight="1" x14ac:dyDescent="0.25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</row>
    <row r="6237" spans="1:15" ht="15" customHeight="1" x14ac:dyDescent="0.25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</row>
    <row r="6238" spans="1:15" ht="15" customHeight="1" x14ac:dyDescent="0.25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</row>
    <row r="6239" spans="1:15" ht="15" customHeight="1" x14ac:dyDescent="0.25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</row>
    <row r="6240" spans="1:15" ht="15" customHeight="1" x14ac:dyDescent="0.25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</row>
    <row r="6241" spans="1:15" ht="15" customHeight="1" x14ac:dyDescent="0.25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</row>
    <row r="6242" spans="1:15" ht="15" customHeight="1" x14ac:dyDescent="0.25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</row>
    <row r="6243" spans="1:15" ht="15" customHeight="1" x14ac:dyDescent="0.25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</row>
    <row r="6244" spans="1:15" ht="15" customHeight="1" x14ac:dyDescent="0.25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</row>
    <row r="6245" spans="1:15" ht="15" customHeight="1" x14ac:dyDescent="0.25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</row>
    <row r="6246" spans="1:15" ht="15" customHeight="1" x14ac:dyDescent="0.25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</row>
    <row r="6247" spans="1:15" ht="15" customHeight="1" x14ac:dyDescent="0.25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</row>
    <row r="6248" spans="1:15" ht="15" customHeight="1" x14ac:dyDescent="0.25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</row>
    <row r="6249" spans="1:15" ht="15" customHeight="1" x14ac:dyDescent="0.25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</row>
    <row r="6250" spans="1:15" ht="15" customHeight="1" x14ac:dyDescent="0.25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</row>
    <row r="6251" spans="1:15" ht="15" customHeight="1" x14ac:dyDescent="0.25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</row>
    <row r="6252" spans="1:15" ht="15" customHeight="1" x14ac:dyDescent="0.25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</row>
    <row r="6253" spans="1:15" ht="15" customHeight="1" x14ac:dyDescent="0.25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</row>
    <row r="6254" spans="1:15" ht="15" customHeight="1" x14ac:dyDescent="0.25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</row>
    <row r="6255" spans="1:15" ht="15" customHeight="1" x14ac:dyDescent="0.25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</row>
    <row r="6256" spans="1:15" ht="15" customHeight="1" x14ac:dyDescent="0.25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</row>
    <row r="6257" spans="1:15" ht="15" customHeight="1" x14ac:dyDescent="0.25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</row>
    <row r="6258" spans="1:15" ht="15" customHeight="1" x14ac:dyDescent="0.25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</row>
    <row r="6259" spans="1:15" ht="15" customHeight="1" x14ac:dyDescent="0.25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</row>
    <row r="6260" spans="1:15" ht="15" customHeight="1" x14ac:dyDescent="0.25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</row>
    <row r="6261" spans="1:15" ht="15" customHeight="1" x14ac:dyDescent="0.25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</row>
    <row r="6262" spans="1:15" ht="15" customHeight="1" x14ac:dyDescent="0.25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</row>
    <row r="6263" spans="1:15" ht="15" customHeight="1" x14ac:dyDescent="0.25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</row>
    <row r="6264" spans="1:15" ht="15" customHeight="1" x14ac:dyDescent="0.25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</row>
    <row r="6265" spans="1:15" ht="15" customHeight="1" x14ac:dyDescent="0.25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</row>
    <row r="6266" spans="1:15" ht="15" customHeight="1" x14ac:dyDescent="0.25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</row>
    <row r="6267" spans="1:15" ht="15" customHeight="1" x14ac:dyDescent="0.25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</row>
    <row r="6268" spans="1:15" ht="15" customHeight="1" x14ac:dyDescent="0.25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</row>
    <row r="6269" spans="1:15" ht="15" customHeight="1" x14ac:dyDescent="0.25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</row>
    <row r="6270" spans="1:15" ht="15" customHeight="1" x14ac:dyDescent="0.25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</row>
    <row r="6271" spans="1:15" ht="15" customHeight="1" x14ac:dyDescent="0.25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</row>
    <row r="6272" spans="1:15" ht="15" customHeight="1" x14ac:dyDescent="0.25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</row>
    <row r="6273" spans="1:15" ht="15" customHeight="1" x14ac:dyDescent="0.25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</row>
    <row r="6274" spans="1:15" ht="15" customHeight="1" x14ac:dyDescent="0.25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</row>
    <row r="6275" spans="1:15" ht="15" customHeight="1" x14ac:dyDescent="0.25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</row>
    <row r="6276" spans="1:15" ht="15" customHeight="1" x14ac:dyDescent="0.25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</row>
    <row r="6277" spans="1:15" ht="15" customHeight="1" x14ac:dyDescent="0.25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</row>
    <row r="6278" spans="1:15" ht="15" customHeight="1" x14ac:dyDescent="0.25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</row>
    <row r="6279" spans="1:15" ht="15" customHeight="1" x14ac:dyDescent="0.25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</row>
    <row r="6280" spans="1:15" ht="15" customHeight="1" x14ac:dyDescent="0.25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</row>
    <row r="6281" spans="1:15" ht="15" customHeight="1" x14ac:dyDescent="0.25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</row>
    <row r="6282" spans="1:15" ht="15" customHeight="1" x14ac:dyDescent="0.25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</row>
    <row r="6283" spans="1:15" ht="15" customHeight="1" x14ac:dyDescent="0.25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</row>
    <row r="6284" spans="1:15" ht="15" customHeight="1" x14ac:dyDescent="0.25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</row>
    <row r="6285" spans="1:15" ht="15" customHeight="1" x14ac:dyDescent="0.25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</row>
    <row r="6286" spans="1:15" ht="15" customHeight="1" x14ac:dyDescent="0.25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</row>
    <row r="6287" spans="1:15" ht="15" customHeight="1" x14ac:dyDescent="0.25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</row>
    <row r="6288" spans="1:15" ht="15" customHeight="1" x14ac:dyDescent="0.25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</row>
    <row r="6289" spans="1:15" ht="15" customHeight="1" x14ac:dyDescent="0.25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</row>
    <row r="6290" spans="1:15" ht="15" customHeight="1" x14ac:dyDescent="0.25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</row>
    <row r="6291" spans="1:15" ht="15" customHeight="1" x14ac:dyDescent="0.25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</row>
    <row r="6292" spans="1:15" ht="15" customHeight="1" x14ac:dyDescent="0.25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</row>
    <row r="6293" spans="1:15" ht="15" customHeight="1" x14ac:dyDescent="0.25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</row>
    <row r="6294" spans="1:15" ht="15" customHeight="1" x14ac:dyDescent="0.25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</row>
    <row r="6295" spans="1:15" ht="15" customHeight="1" x14ac:dyDescent="0.25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</row>
    <row r="6296" spans="1:15" ht="15" customHeight="1" x14ac:dyDescent="0.25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</row>
    <row r="6297" spans="1:15" ht="15" customHeight="1" x14ac:dyDescent="0.25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</row>
    <row r="6298" spans="1:15" ht="15" customHeight="1" x14ac:dyDescent="0.25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</row>
    <row r="6299" spans="1:15" ht="15" customHeight="1" x14ac:dyDescent="0.25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</row>
    <row r="6300" spans="1:15" ht="15" customHeight="1" x14ac:dyDescent="0.25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</row>
    <row r="6301" spans="1:15" ht="15" customHeight="1" x14ac:dyDescent="0.25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</row>
    <row r="6302" spans="1:15" ht="15" customHeight="1" x14ac:dyDescent="0.25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</row>
    <row r="6303" spans="1:15" ht="15" customHeight="1" x14ac:dyDescent="0.25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</row>
    <row r="6304" spans="1:15" ht="15" customHeight="1" x14ac:dyDescent="0.25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</row>
    <row r="6305" spans="1:15" ht="15" customHeight="1" x14ac:dyDescent="0.25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</row>
    <row r="6306" spans="1:15" ht="15" customHeight="1" x14ac:dyDescent="0.25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</row>
    <row r="6307" spans="1:15" ht="15" customHeight="1" x14ac:dyDescent="0.25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</row>
    <row r="6308" spans="1:15" ht="15" customHeight="1" x14ac:dyDescent="0.25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</row>
    <row r="6309" spans="1:15" ht="15" customHeight="1" x14ac:dyDescent="0.25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</row>
    <row r="6310" spans="1:15" ht="15" customHeight="1" x14ac:dyDescent="0.25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</row>
    <row r="6311" spans="1:15" ht="15" customHeight="1" x14ac:dyDescent="0.25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</row>
    <row r="6312" spans="1:15" ht="15" customHeight="1" x14ac:dyDescent="0.25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</row>
    <row r="6313" spans="1:15" ht="15" customHeight="1" x14ac:dyDescent="0.25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</row>
    <row r="6314" spans="1:15" ht="15" customHeight="1" x14ac:dyDescent="0.25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</row>
    <row r="6315" spans="1:15" ht="15" customHeight="1" x14ac:dyDescent="0.25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</row>
    <row r="6316" spans="1:15" ht="15" customHeight="1" x14ac:dyDescent="0.25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</row>
    <row r="6317" spans="1:15" ht="15" customHeight="1" x14ac:dyDescent="0.25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</row>
    <row r="6318" spans="1:15" ht="15" customHeight="1" x14ac:dyDescent="0.25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</row>
    <row r="6319" spans="1:15" ht="15" customHeight="1" x14ac:dyDescent="0.25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</row>
    <row r="6320" spans="1:15" ht="15" customHeight="1" x14ac:dyDescent="0.25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</row>
    <row r="6321" spans="1:15" ht="15" customHeight="1" x14ac:dyDescent="0.25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</row>
    <row r="6322" spans="1:15" ht="15" customHeight="1" x14ac:dyDescent="0.25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</row>
    <row r="6323" spans="1:15" ht="15" customHeight="1" x14ac:dyDescent="0.25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</row>
    <row r="6324" spans="1:15" ht="15" customHeight="1" x14ac:dyDescent="0.25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</row>
    <row r="6325" spans="1:15" ht="15" customHeight="1" x14ac:dyDescent="0.25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</row>
    <row r="6326" spans="1:15" ht="15" customHeight="1" x14ac:dyDescent="0.25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</row>
    <row r="6327" spans="1:15" ht="15" customHeight="1" x14ac:dyDescent="0.25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</row>
    <row r="6328" spans="1:15" ht="15" customHeight="1" x14ac:dyDescent="0.25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</row>
    <row r="6329" spans="1:15" ht="15" customHeight="1" x14ac:dyDescent="0.25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</row>
    <row r="6330" spans="1:15" ht="15" customHeight="1" x14ac:dyDescent="0.25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</row>
    <row r="6331" spans="1:15" ht="15" customHeight="1" x14ac:dyDescent="0.25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</row>
    <row r="6332" spans="1:15" ht="15" customHeight="1" x14ac:dyDescent="0.25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</row>
    <row r="6333" spans="1:15" ht="15" customHeight="1" x14ac:dyDescent="0.25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</row>
    <row r="6334" spans="1:15" ht="15" customHeight="1" x14ac:dyDescent="0.25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</row>
    <row r="6335" spans="1:15" ht="15" customHeight="1" x14ac:dyDescent="0.25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</row>
    <row r="6336" spans="1:15" ht="15" customHeight="1" x14ac:dyDescent="0.25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</row>
    <row r="6337" spans="1:15" ht="15" customHeight="1" x14ac:dyDescent="0.25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</row>
    <row r="6338" spans="1:15" ht="15" customHeight="1" x14ac:dyDescent="0.25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</row>
    <row r="6339" spans="1:15" ht="15" customHeight="1" x14ac:dyDescent="0.25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</row>
    <row r="6340" spans="1:15" ht="15" customHeight="1" x14ac:dyDescent="0.25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</row>
    <row r="6341" spans="1:15" ht="15" customHeight="1" x14ac:dyDescent="0.25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</row>
    <row r="6342" spans="1:15" ht="15" customHeight="1" x14ac:dyDescent="0.25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</row>
    <row r="6343" spans="1:15" ht="15" customHeight="1" x14ac:dyDescent="0.25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</row>
    <row r="6344" spans="1:15" ht="15" customHeight="1" x14ac:dyDescent="0.25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</row>
    <row r="6345" spans="1:15" ht="15" customHeight="1" x14ac:dyDescent="0.25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</row>
    <row r="6346" spans="1:15" ht="15" customHeight="1" x14ac:dyDescent="0.25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</row>
    <row r="6347" spans="1:15" ht="15" customHeight="1" x14ac:dyDescent="0.25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</row>
    <row r="6348" spans="1:15" ht="15" customHeight="1" x14ac:dyDescent="0.25">
      <c r="A6348" s="2"/>
      <c r="B6348" s="2"/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</row>
    <row r="6349" spans="1:15" ht="15" customHeight="1" x14ac:dyDescent="0.25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</row>
    <row r="6350" spans="1:15" ht="15" customHeight="1" x14ac:dyDescent="0.25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</row>
    <row r="6351" spans="1:15" ht="15" customHeight="1" x14ac:dyDescent="0.25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</row>
    <row r="6352" spans="1:15" ht="15" customHeight="1" x14ac:dyDescent="0.25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</row>
    <row r="6353" spans="1:15" ht="15" customHeight="1" x14ac:dyDescent="0.25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</row>
    <row r="6354" spans="1:15" ht="15" customHeight="1" x14ac:dyDescent="0.25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</row>
    <row r="6355" spans="1:15" ht="15" customHeight="1" x14ac:dyDescent="0.25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</row>
    <row r="6356" spans="1:15" ht="15" customHeight="1" x14ac:dyDescent="0.25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</row>
    <row r="6357" spans="1:15" ht="15" customHeight="1" x14ac:dyDescent="0.25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</row>
    <row r="6358" spans="1:15" ht="15" customHeight="1" x14ac:dyDescent="0.25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</row>
    <row r="6359" spans="1:15" ht="15" customHeight="1" x14ac:dyDescent="0.25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</row>
    <row r="6360" spans="1:15" ht="15" customHeight="1" x14ac:dyDescent="0.25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</row>
    <row r="6361" spans="1:15" ht="15" customHeight="1" x14ac:dyDescent="0.25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</row>
    <row r="6362" spans="1:15" ht="15" customHeight="1" x14ac:dyDescent="0.25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</row>
    <row r="6363" spans="1:15" ht="15" customHeight="1" x14ac:dyDescent="0.25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</row>
    <row r="6364" spans="1:15" ht="15" customHeight="1" x14ac:dyDescent="0.25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</row>
    <row r="6365" spans="1:15" ht="15" customHeight="1" x14ac:dyDescent="0.25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</row>
    <row r="6366" spans="1:15" ht="15" customHeight="1" x14ac:dyDescent="0.25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</row>
    <row r="6367" spans="1:15" ht="15" customHeight="1" x14ac:dyDescent="0.25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</row>
    <row r="6368" spans="1:15" ht="15" customHeight="1" x14ac:dyDescent="0.25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</row>
    <row r="6369" spans="1:15" ht="15" customHeight="1" x14ac:dyDescent="0.25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</row>
    <row r="6370" spans="1:15" ht="15" customHeight="1" x14ac:dyDescent="0.25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</row>
    <row r="6371" spans="1:15" ht="15" customHeight="1" x14ac:dyDescent="0.25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</row>
    <row r="6372" spans="1:15" ht="15" customHeight="1" x14ac:dyDescent="0.25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</row>
    <row r="6373" spans="1:15" ht="15" customHeight="1" x14ac:dyDescent="0.25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</row>
    <row r="6374" spans="1:15" ht="15" customHeight="1" x14ac:dyDescent="0.25">
      <c r="A6374" s="2"/>
      <c r="B6374" s="2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</row>
    <row r="6375" spans="1:15" ht="15" customHeight="1" x14ac:dyDescent="0.25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</row>
    <row r="6376" spans="1:15" ht="15" customHeight="1" x14ac:dyDescent="0.25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</row>
    <row r="6377" spans="1:15" ht="15" customHeight="1" x14ac:dyDescent="0.25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</row>
    <row r="6378" spans="1:15" ht="15" customHeight="1" x14ac:dyDescent="0.25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</row>
    <row r="6379" spans="1:15" ht="15" customHeight="1" x14ac:dyDescent="0.25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</row>
    <row r="6380" spans="1:15" ht="15" customHeight="1" x14ac:dyDescent="0.25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</row>
    <row r="6381" spans="1:15" ht="15" customHeight="1" x14ac:dyDescent="0.25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</row>
    <row r="6382" spans="1:15" ht="15" customHeight="1" x14ac:dyDescent="0.25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</row>
    <row r="6383" spans="1:15" ht="15" customHeight="1" x14ac:dyDescent="0.25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</row>
    <row r="6384" spans="1:15" ht="15" customHeight="1" x14ac:dyDescent="0.25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</row>
    <row r="6385" spans="1:15" ht="15" customHeight="1" x14ac:dyDescent="0.25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</row>
    <row r="6386" spans="1:15" ht="15" customHeight="1" x14ac:dyDescent="0.25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</row>
    <row r="6387" spans="1:15" ht="15" customHeight="1" x14ac:dyDescent="0.25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</row>
    <row r="6388" spans="1:15" ht="15" customHeight="1" x14ac:dyDescent="0.25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</row>
    <row r="6389" spans="1:15" ht="15" customHeight="1" x14ac:dyDescent="0.25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</row>
    <row r="6390" spans="1:15" ht="15" customHeight="1" x14ac:dyDescent="0.25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</row>
    <row r="6391" spans="1:15" ht="15" customHeight="1" x14ac:dyDescent="0.25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</row>
    <row r="6392" spans="1:15" ht="15" customHeight="1" x14ac:dyDescent="0.25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</row>
    <row r="6393" spans="1:15" ht="15" customHeight="1" x14ac:dyDescent="0.25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</row>
    <row r="6394" spans="1:15" ht="15" customHeight="1" x14ac:dyDescent="0.25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</row>
    <row r="6395" spans="1:15" ht="15" customHeight="1" x14ac:dyDescent="0.25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</row>
    <row r="6396" spans="1:15" ht="15" customHeight="1" x14ac:dyDescent="0.25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</row>
    <row r="6397" spans="1:15" ht="15" customHeight="1" x14ac:dyDescent="0.25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</row>
    <row r="6398" spans="1:15" ht="15" customHeight="1" x14ac:dyDescent="0.25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</row>
    <row r="6399" spans="1:15" ht="15" customHeight="1" x14ac:dyDescent="0.25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</row>
    <row r="6400" spans="1:15" ht="15" customHeight="1" x14ac:dyDescent="0.25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</row>
    <row r="6401" spans="1:15" ht="15" customHeight="1" x14ac:dyDescent="0.25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</row>
    <row r="6402" spans="1:15" ht="15" customHeight="1" x14ac:dyDescent="0.25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</row>
    <row r="6403" spans="1:15" ht="15" customHeight="1" x14ac:dyDescent="0.25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</row>
    <row r="6404" spans="1:15" ht="15" customHeight="1" x14ac:dyDescent="0.25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</row>
    <row r="6405" spans="1:15" ht="15" customHeight="1" x14ac:dyDescent="0.25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</row>
    <row r="6406" spans="1:15" ht="15" customHeight="1" x14ac:dyDescent="0.25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</row>
    <row r="6407" spans="1:15" ht="15" customHeight="1" x14ac:dyDescent="0.25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</row>
    <row r="6408" spans="1:15" ht="15" customHeight="1" x14ac:dyDescent="0.25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</row>
    <row r="6409" spans="1:15" ht="15" customHeight="1" x14ac:dyDescent="0.25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</row>
    <row r="6410" spans="1:15" ht="15" customHeight="1" x14ac:dyDescent="0.25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</row>
    <row r="6411" spans="1:15" ht="15" customHeight="1" x14ac:dyDescent="0.25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</row>
    <row r="6412" spans="1:15" ht="15" customHeight="1" x14ac:dyDescent="0.25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</row>
    <row r="6413" spans="1:15" ht="15" customHeight="1" x14ac:dyDescent="0.25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</row>
    <row r="6414" spans="1:15" ht="15" customHeight="1" x14ac:dyDescent="0.25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</row>
    <row r="6415" spans="1:15" ht="15" customHeight="1" x14ac:dyDescent="0.25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</row>
    <row r="6416" spans="1:15" ht="15" customHeight="1" x14ac:dyDescent="0.25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</row>
    <row r="6417" spans="1:15" ht="15" customHeight="1" x14ac:dyDescent="0.25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</row>
    <row r="6418" spans="1:15" ht="15" customHeight="1" x14ac:dyDescent="0.25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</row>
    <row r="6419" spans="1:15" ht="15" customHeight="1" x14ac:dyDescent="0.25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</row>
    <row r="6420" spans="1:15" ht="15" customHeight="1" x14ac:dyDescent="0.25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</row>
    <row r="6421" spans="1:15" ht="15" customHeight="1" x14ac:dyDescent="0.25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</row>
    <row r="6422" spans="1:15" ht="15" customHeight="1" x14ac:dyDescent="0.25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</row>
    <row r="6423" spans="1:15" ht="15" customHeight="1" x14ac:dyDescent="0.25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</row>
    <row r="6424" spans="1:15" ht="15" customHeight="1" x14ac:dyDescent="0.25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</row>
    <row r="6425" spans="1:15" ht="15" customHeight="1" x14ac:dyDescent="0.25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</row>
    <row r="6426" spans="1:15" ht="15" customHeight="1" x14ac:dyDescent="0.25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</row>
    <row r="6427" spans="1:15" ht="15" customHeight="1" x14ac:dyDescent="0.25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</row>
    <row r="6428" spans="1:15" ht="15" customHeight="1" x14ac:dyDescent="0.25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</row>
    <row r="6429" spans="1:15" ht="15" customHeight="1" x14ac:dyDescent="0.25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</row>
    <row r="6430" spans="1:15" ht="15" customHeight="1" x14ac:dyDescent="0.25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</row>
    <row r="6431" spans="1:15" ht="15" customHeight="1" x14ac:dyDescent="0.25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</row>
    <row r="6432" spans="1:15" ht="15" customHeight="1" x14ac:dyDescent="0.25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</row>
    <row r="6433" spans="1:15" ht="15" customHeight="1" x14ac:dyDescent="0.25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</row>
    <row r="6434" spans="1:15" ht="15" customHeight="1" x14ac:dyDescent="0.25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</row>
    <row r="6435" spans="1:15" ht="15" customHeight="1" x14ac:dyDescent="0.25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</row>
    <row r="6436" spans="1:15" ht="15" customHeight="1" x14ac:dyDescent="0.25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</row>
    <row r="6437" spans="1:15" ht="15" customHeight="1" x14ac:dyDescent="0.25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</row>
    <row r="6438" spans="1:15" ht="15" customHeight="1" x14ac:dyDescent="0.25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</row>
    <row r="6439" spans="1:15" ht="15" customHeight="1" x14ac:dyDescent="0.25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</row>
    <row r="6440" spans="1:15" ht="15" customHeight="1" x14ac:dyDescent="0.25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</row>
    <row r="6441" spans="1:15" ht="15" customHeight="1" x14ac:dyDescent="0.25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</row>
    <row r="6442" spans="1:15" ht="15" customHeight="1" x14ac:dyDescent="0.25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</row>
    <row r="6443" spans="1:15" ht="15" customHeight="1" x14ac:dyDescent="0.25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</row>
    <row r="6444" spans="1:15" ht="15" customHeight="1" x14ac:dyDescent="0.25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</row>
    <row r="6445" spans="1:15" ht="15" customHeight="1" x14ac:dyDescent="0.25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</row>
    <row r="6446" spans="1:15" ht="15" customHeight="1" x14ac:dyDescent="0.25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</row>
    <row r="6447" spans="1:15" ht="15" customHeight="1" x14ac:dyDescent="0.25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</row>
    <row r="6448" spans="1:15" ht="15" customHeight="1" x14ac:dyDescent="0.25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</row>
    <row r="6449" spans="1:15" ht="15" customHeight="1" x14ac:dyDescent="0.25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</row>
    <row r="6450" spans="1:15" ht="15" customHeight="1" x14ac:dyDescent="0.25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</row>
    <row r="6451" spans="1:15" ht="15" customHeight="1" x14ac:dyDescent="0.25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</row>
    <row r="6452" spans="1:15" ht="15" customHeight="1" x14ac:dyDescent="0.25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</row>
    <row r="6453" spans="1:15" ht="15" customHeight="1" x14ac:dyDescent="0.25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</row>
    <row r="6454" spans="1:15" ht="15" customHeight="1" x14ac:dyDescent="0.25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</row>
    <row r="6455" spans="1:15" ht="15" customHeight="1" x14ac:dyDescent="0.25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</row>
    <row r="6456" spans="1:15" ht="15" customHeight="1" x14ac:dyDescent="0.25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</row>
    <row r="6457" spans="1:15" ht="15" customHeight="1" x14ac:dyDescent="0.25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</row>
    <row r="6458" spans="1:15" ht="15" customHeight="1" x14ac:dyDescent="0.25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</row>
    <row r="6459" spans="1:15" ht="15" customHeight="1" x14ac:dyDescent="0.25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</row>
    <row r="6460" spans="1:15" ht="15" customHeight="1" x14ac:dyDescent="0.25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</row>
    <row r="6461" spans="1:15" ht="15" customHeight="1" x14ac:dyDescent="0.25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</row>
    <row r="6462" spans="1:15" ht="15" customHeight="1" x14ac:dyDescent="0.25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</row>
    <row r="6463" spans="1:15" ht="15" customHeight="1" x14ac:dyDescent="0.25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</row>
    <row r="6464" spans="1:15" ht="15" customHeight="1" x14ac:dyDescent="0.25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</row>
    <row r="6465" spans="1:15" ht="15" customHeight="1" x14ac:dyDescent="0.25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</row>
    <row r="6466" spans="1:15" ht="15" customHeight="1" x14ac:dyDescent="0.25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</row>
    <row r="6467" spans="1:15" ht="15" customHeight="1" x14ac:dyDescent="0.25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</row>
    <row r="6468" spans="1:15" ht="15" customHeight="1" x14ac:dyDescent="0.25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</row>
    <row r="6469" spans="1:15" ht="15" customHeight="1" x14ac:dyDescent="0.25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</row>
    <row r="6470" spans="1:15" ht="15" customHeight="1" x14ac:dyDescent="0.25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</row>
    <row r="6471" spans="1:15" ht="15" customHeight="1" x14ac:dyDescent="0.25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</row>
    <row r="6472" spans="1:15" ht="15" customHeight="1" x14ac:dyDescent="0.25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</row>
    <row r="6473" spans="1:15" ht="15" customHeight="1" x14ac:dyDescent="0.25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</row>
    <row r="6474" spans="1:15" ht="15" customHeight="1" x14ac:dyDescent="0.25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</row>
    <row r="6475" spans="1:15" ht="15" customHeight="1" x14ac:dyDescent="0.25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</row>
    <row r="6476" spans="1:15" ht="15" customHeight="1" x14ac:dyDescent="0.25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</row>
    <row r="6477" spans="1:15" ht="15" customHeight="1" x14ac:dyDescent="0.25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</row>
    <row r="6478" spans="1:15" ht="15" customHeight="1" x14ac:dyDescent="0.25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</row>
    <row r="6479" spans="1:15" ht="15" customHeight="1" x14ac:dyDescent="0.25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</row>
    <row r="6480" spans="1:15" ht="15" customHeight="1" x14ac:dyDescent="0.25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</row>
    <row r="6481" spans="1:15" ht="15" customHeight="1" x14ac:dyDescent="0.25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</row>
    <row r="6482" spans="1:15" ht="15" customHeight="1" x14ac:dyDescent="0.25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</row>
    <row r="6483" spans="1:15" ht="15" customHeight="1" x14ac:dyDescent="0.25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</row>
    <row r="6484" spans="1:15" ht="15" customHeight="1" x14ac:dyDescent="0.25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</row>
    <row r="6485" spans="1:15" ht="15" customHeight="1" x14ac:dyDescent="0.25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</row>
    <row r="6486" spans="1:15" ht="15" customHeight="1" x14ac:dyDescent="0.25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</row>
    <row r="6487" spans="1:15" ht="15" customHeight="1" x14ac:dyDescent="0.25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</row>
    <row r="6488" spans="1:15" ht="15" customHeight="1" x14ac:dyDescent="0.25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</row>
    <row r="6489" spans="1:15" ht="15" customHeight="1" x14ac:dyDescent="0.25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</row>
    <row r="6490" spans="1:15" ht="15" customHeight="1" x14ac:dyDescent="0.25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</row>
    <row r="6491" spans="1:15" ht="15" customHeight="1" x14ac:dyDescent="0.25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</row>
    <row r="6492" spans="1:15" ht="15" customHeight="1" x14ac:dyDescent="0.25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</row>
    <row r="6493" spans="1:15" ht="15" customHeight="1" x14ac:dyDescent="0.25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</row>
    <row r="6494" spans="1:15" ht="15" customHeight="1" x14ac:dyDescent="0.25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</row>
    <row r="6495" spans="1:15" ht="15" customHeight="1" x14ac:dyDescent="0.25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</row>
    <row r="6496" spans="1:15" ht="15" customHeight="1" x14ac:dyDescent="0.25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</row>
    <row r="6497" spans="1:15" ht="15" customHeight="1" x14ac:dyDescent="0.25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</row>
    <row r="6498" spans="1:15" ht="15" customHeight="1" x14ac:dyDescent="0.25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</row>
    <row r="6499" spans="1:15" ht="15" customHeight="1" x14ac:dyDescent="0.25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</row>
    <row r="6500" spans="1:15" ht="15" customHeight="1" x14ac:dyDescent="0.25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</row>
    <row r="6501" spans="1:15" ht="15" customHeight="1" x14ac:dyDescent="0.25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</row>
    <row r="6502" spans="1:15" ht="15" customHeight="1" x14ac:dyDescent="0.25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</row>
    <row r="6503" spans="1:15" ht="15" customHeight="1" x14ac:dyDescent="0.25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</row>
    <row r="6504" spans="1:15" ht="15" customHeight="1" x14ac:dyDescent="0.25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</row>
    <row r="6505" spans="1:15" ht="15" customHeight="1" x14ac:dyDescent="0.25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</row>
    <row r="6506" spans="1:15" ht="15" customHeight="1" x14ac:dyDescent="0.25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</row>
    <row r="6507" spans="1:15" ht="15" customHeight="1" x14ac:dyDescent="0.25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</row>
    <row r="6508" spans="1:15" ht="15" customHeight="1" x14ac:dyDescent="0.25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</row>
    <row r="6509" spans="1:15" ht="15" customHeight="1" x14ac:dyDescent="0.25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</row>
    <row r="6510" spans="1:15" ht="15" customHeight="1" x14ac:dyDescent="0.25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</row>
    <row r="6511" spans="1:15" ht="15" customHeight="1" x14ac:dyDescent="0.25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</row>
    <row r="6512" spans="1:15" ht="15" customHeight="1" x14ac:dyDescent="0.25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</row>
    <row r="6513" spans="1:15" ht="15" customHeight="1" x14ac:dyDescent="0.25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</row>
    <row r="6514" spans="1:15" ht="15" customHeight="1" x14ac:dyDescent="0.25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</row>
    <row r="6515" spans="1:15" ht="15" customHeight="1" x14ac:dyDescent="0.25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</row>
    <row r="6516" spans="1:15" ht="15" customHeight="1" x14ac:dyDescent="0.25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</row>
    <row r="6517" spans="1:15" ht="15" customHeight="1" x14ac:dyDescent="0.25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</row>
    <row r="6518" spans="1:15" ht="15" customHeight="1" x14ac:dyDescent="0.25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</row>
    <row r="6519" spans="1:15" ht="15" customHeight="1" x14ac:dyDescent="0.25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</row>
    <row r="6520" spans="1:15" ht="15" customHeight="1" x14ac:dyDescent="0.25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</row>
    <row r="6521" spans="1:15" ht="15" customHeight="1" x14ac:dyDescent="0.25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</row>
    <row r="6522" spans="1:15" ht="15" customHeight="1" x14ac:dyDescent="0.25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</row>
    <row r="6523" spans="1:15" ht="15" customHeight="1" x14ac:dyDescent="0.25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</row>
    <row r="6524" spans="1:15" ht="15" customHeight="1" x14ac:dyDescent="0.25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</row>
    <row r="6525" spans="1:15" ht="15" customHeight="1" x14ac:dyDescent="0.25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</row>
    <row r="6526" spans="1:15" ht="15" customHeight="1" x14ac:dyDescent="0.25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</row>
    <row r="6527" spans="1:15" ht="15" customHeight="1" x14ac:dyDescent="0.25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</row>
    <row r="6528" spans="1:15" ht="15" customHeight="1" x14ac:dyDescent="0.25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</row>
    <row r="6529" spans="1:15" ht="15" customHeight="1" x14ac:dyDescent="0.25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</row>
    <row r="6530" spans="1:15" ht="15" customHeight="1" x14ac:dyDescent="0.25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</row>
    <row r="6531" spans="1:15" ht="15" customHeight="1" x14ac:dyDescent="0.25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</row>
    <row r="6532" spans="1:15" ht="15" customHeight="1" x14ac:dyDescent="0.25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</row>
    <row r="6533" spans="1:15" ht="15" customHeight="1" x14ac:dyDescent="0.25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</row>
    <row r="6534" spans="1:15" ht="15" customHeight="1" x14ac:dyDescent="0.25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</row>
    <row r="6535" spans="1:15" ht="15" customHeight="1" x14ac:dyDescent="0.25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</row>
    <row r="6536" spans="1:15" ht="15" customHeight="1" x14ac:dyDescent="0.25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</row>
    <row r="6537" spans="1:15" ht="15" customHeight="1" x14ac:dyDescent="0.25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</row>
    <row r="6538" spans="1:15" ht="15" customHeight="1" x14ac:dyDescent="0.25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</row>
    <row r="6539" spans="1:15" ht="15" customHeight="1" x14ac:dyDescent="0.25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</row>
    <row r="6540" spans="1:15" ht="15" customHeight="1" x14ac:dyDescent="0.25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</row>
    <row r="6541" spans="1:15" ht="15" customHeight="1" x14ac:dyDescent="0.25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</row>
    <row r="6542" spans="1:15" ht="15" customHeight="1" x14ac:dyDescent="0.25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</row>
    <row r="6543" spans="1:15" ht="15" customHeight="1" x14ac:dyDescent="0.25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</row>
    <row r="6544" spans="1:15" ht="15" customHeight="1" x14ac:dyDescent="0.25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</row>
    <row r="6545" spans="1:15" ht="15" customHeight="1" x14ac:dyDescent="0.25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</row>
    <row r="6546" spans="1:15" ht="15" customHeight="1" x14ac:dyDescent="0.25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</row>
    <row r="6547" spans="1:15" ht="15" customHeight="1" x14ac:dyDescent="0.25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</row>
    <row r="6548" spans="1:15" ht="15" customHeight="1" x14ac:dyDescent="0.25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</row>
    <row r="6549" spans="1:15" ht="15" customHeight="1" x14ac:dyDescent="0.25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</row>
    <row r="6550" spans="1:15" ht="15" customHeight="1" x14ac:dyDescent="0.25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</row>
    <row r="6551" spans="1:15" ht="15" customHeight="1" x14ac:dyDescent="0.25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</row>
    <row r="6552" spans="1:15" ht="15" customHeight="1" x14ac:dyDescent="0.25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</row>
    <row r="6553" spans="1:15" ht="15" customHeight="1" x14ac:dyDescent="0.25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</row>
    <row r="6554" spans="1:15" ht="15" customHeight="1" x14ac:dyDescent="0.25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</row>
    <row r="6555" spans="1:15" ht="15" customHeight="1" x14ac:dyDescent="0.25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</row>
    <row r="6556" spans="1:15" ht="15" customHeight="1" x14ac:dyDescent="0.25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</row>
    <row r="6557" spans="1:15" ht="15" customHeight="1" x14ac:dyDescent="0.25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</row>
    <row r="6558" spans="1:15" ht="15" customHeight="1" x14ac:dyDescent="0.25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</row>
    <row r="6559" spans="1:15" ht="15" customHeight="1" x14ac:dyDescent="0.25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</row>
    <row r="6560" spans="1:15" ht="15" customHeight="1" x14ac:dyDescent="0.25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</row>
    <row r="6561" spans="1:15" ht="15" customHeight="1" x14ac:dyDescent="0.25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</row>
    <row r="6562" spans="1:15" ht="15" customHeight="1" x14ac:dyDescent="0.25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</row>
    <row r="6563" spans="1:15" ht="15" customHeight="1" x14ac:dyDescent="0.25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</row>
    <row r="6564" spans="1:15" ht="15" customHeight="1" x14ac:dyDescent="0.25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</row>
    <row r="6565" spans="1:15" ht="15" customHeight="1" x14ac:dyDescent="0.25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</row>
    <row r="6566" spans="1:15" ht="15" customHeight="1" x14ac:dyDescent="0.25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</row>
    <row r="6567" spans="1:15" ht="15" customHeight="1" x14ac:dyDescent="0.25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</row>
    <row r="6568" spans="1:15" ht="15" customHeight="1" x14ac:dyDescent="0.25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</row>
    <row r="6569" spans="1:15" ht="15" customHeight="1" x14ac:dyDescent="0.25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</row>
    <row r="6570" spans="1:15" ht="15" customHeight="1" x14ac:dyDescent="0.25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</row>
    <row r="6571" spans="1:15" ht="15" customHeight="1" x14ac:dyDescent="0.25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</row>
    <row r="6572" spans="1:15" ht="15" customHeight="1" x14ac:dyDescent="0.25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</row>
    <row r="6573" spans="1:15" ht="15" customHeight="1" x14ac:dyDescent="0.25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</row>
    <row r="6574" spans="1:15" ht="15" customHeight="1" x14ac:dyDescent="0.25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</row>
    <row r="6575" spans="1:15" ht="15" customHeight="1" x14ac:dyDescent="0.25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</row>
    <row r="6576" spans="1:15" ht="15" customHeight="1" x14ac:dyDescent="0.25">
      <c r="A6576" s="2"/>
      <c r="B6576" s="2"/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</row>
    <row r="6577" spans="1:15" ht="15" customHeight="1" x14ac:dyDescent="0.25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</row>
    <row r="6578" spans="1:15" ht="15" customHeight="1" x14ac:dyDescent="0.25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</row>
    <row r="6579" spans="1:15" ht="15" customHeight="1" x14ac:dyDescent="0.25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</row>
    <row r="6580" spans="1:15" ht="15" customHeight="1" x14ac:dyDescent="0.25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</row>
    <row r="6581" spans="1:15" ht="15" customHeight="1" x14ac:dyDescent="0.25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</row>
    <row r="6582" spans="1:15" ht="15" customHeight="1" x14ac:dyDescent="0.25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</row>
    <row r="6583" spans="1:15" ht="15" customHeight="1" x14ac:dyDescent="0.25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</row>
    <row r="6584" spans="1:15" ht="15" customHeight="1" x14ac:dyDescent="0.25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</row>
    <row r="6585" spans="1:15" ht="15" customHeight="1" x14ac:dyDescent="0.25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</row>
    <row r="6586" spans="1:15" ht="15" customHeight="1" x14ac:dyDescent="0.25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</row>
    <row r="6587" spans="1:15" ht="15" customHeight="1" x14ac:dyDescent="0.25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</row>
    <row r="6588" spans="1:15" ht="15" customHeight="1" x14ac:dyDescent="0.25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</row>
    <row r="6589" spans="1:15" ht="15" customHeight="1" x14ac:dyDescent="0.25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</row>
    <row r="6590" spans="1:15" ht="15" customHeight="1" x14ac:dyDescent="0.25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</row>
    <row r="6591" spans="1:15" ht="15" customHeight="1" x14ac:dyDescent="0.25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</row>
    <row r="6592" spans="1:15" ht="15" customHeight="1" x14ac:dyDescent="0.25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</row>
    <row r="6593" spans="1:15" ht="15" customHeight="1" x14ac:dyDescent="0.25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</row>
    <row r="6594" spans="1:15" ht="15" customHeight="1" x14ac:dyDescent="0.25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</row>
    <row r="6595" spans="1:15" ht="15" customHeight="1" x14ac:dyDescent="0.25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</row>
    <row r="6596" spans="1:15" ht="15" customHeight="1" x14ac:dyDescent="0.25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</row>
    <row r="6597" spans="1:15" ht="15" customHeight="1" x14ac:dyDescent="0.25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</row>
    <row r="6598" spans="1:15" ht="15" customHeight="1" x14ac:dyDescent="0.25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</row>
    <row r="6599" spans="1:15" ht="15" customHeight="1" x14ac:dyDescent="0.25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</row>
    <row r="6600" spans="1:15" ht="15" customHeight="1" x14ac:dyDescent="0.25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</row>
    <row r="6601" spans="1:15" ht="15" customHeight="1" x14ac:dyDescent="0.25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</row>
    <row r="6602" spans="1:15" ht="15" customHeight="1" x14ac:dyDescent="0.25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</row>
    <row r="6603" spans="1:15" ht="15" customHeight="1" x14ac:dyDescent="0.25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</row>
    <row r="6604" spans="1:15" ht="15" customHeight="1" x14ac:dyDescent="0.25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</row>
    <row r="6605" spans="1:15" ht="15" customHeight="1" x14ac:dyDescent="0.25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</row>
    <row r="6606" spans="1:15" ht="15" customHeight="1" x14ac:dyDescent="0.25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</row>
    <row r="6607" spans="1:15" ht="15" customHeight="1" x14ac:dyDescent="0.25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</row>
    <row r="6608" spans="1:15" ht="15" customHeight="1" x14ac:dyDescent="0.25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</row>
    <row r="6609" spans="1:15" ht="15" customHeight="1" x14ac:dyDescent="0.25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</row>
    <row r="6610" spans="1:15" ht="15" customHeight="1" x14ac:dyDescent="0.25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</row>
    <row r="6611" spans="1:15" ht="15" customHeight="1" x14ac:dyDescent="0.25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</row>
    <row r="6612" spans="1:15" ht="15" customHeight="1" x14ac:dyDescent="0.25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</row>
    <row r="6613" spans="1:15" ht="15" customHeight="1" x14ac:dyDescent="0.25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</row>
    <row r="6614" spans="1:15" ht="15" customHeight="1" x14ac:dyDescent="0.25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</row>
    <row r="6615" spans="1:15" ht="15" customHeight="1" x14ac:dyDescent="0.25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</row>
    <row r="6616" spans="1:15" ht="15" customHeight="1" x14ac:dyDescent="0.25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</row>
    <row r="6617" spans="1:15" ht="15" customHeight="1" x14ac:dyDescent="0.25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</row>
    <row r="6618" spans="1:15" ht="15" customHeight="1" x14ac:dyDescent="0.25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</row>
    <row r="6619" spans="1:15" ht="15" customHeight="1" x14ac:dyDescent="0.25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</row>
    <row r="6620" spans="1:15" ht="15" customHeight="1" x14ac:dyDescent="0.25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</row>
    <row r="6621" spans="1:15" ht="15" customHeight="1" x14ac:dyDescent="0.25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</row>
    <row r="6622" spans="1:15" ht="15" customHeight="1" x14ac:dyDescent="0.25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</row>
    <row r="6623" spans="1:15" ht="15" customHeight="1" x14ac:dyDescent="0.25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</row>
    <row r="6624" spans="1:15" ht="15" customHeight="1" x14ac:dyDescent="0.25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</row>
    <row r="6625" spans="1:15" ht="15" customHeight="1" x14ac:dyDescent="0.25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</row>
    <row r="6626" spans="1:15" ht="15" customHeight="1" x14ac:dyDescent="0.25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</row>
    <row r="6627" spans="1:15" ht="15" customHeight="1" x14ac:dyDescent="0.25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</row>
    <row r="6628" spans="1:15" ht="15" customHeight="1" x14ac:dyDescent="0.25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</row>
    <row r="6629" spans="1:15" ht="15" customHeight="1" x14ac:dyDescent="0.25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</row>
    <row r="6630" spans="1:15" ht="15" customHeight="1" x14ac:dyDescent="0.25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</row>
    <row r="6631" spans="1:15" ht="15" customHeight="1" x14ac:dyDescent="0.25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</row>
    <row r="6632" spans="1:15" ht="15" customHeight="1" x14ac:dyDescent="0.25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</row>
    <row r="6633" spans="1:15" ht="15" customHeight="1" x14ac:dyDescent="0.25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</row>
    <row r="6634" spans="1:15" ht="15" customHeight="1" x14ac:dyDescent="0.25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</row>
    <row r="6635" spans="1:15" ht="15" customHeight="1" x14ac:dyDescent="0.25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</row>
    <row r="6636" spans="1:15" ht="15" customHeight="1" x14ac:dyDescent="0.25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</row>
    <row r="6637" spans="1:15" ht="15" customHeight="1" x14ac:dyDescent="0.25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</row>
    <row r="6638" spans="1:15" ht="15" customHeight="1" x14ac:dyDescent="0.25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</row>
    <row r="6639" spans="1:15" ht="15" customHeight="1" x14ac:dyDescent="0.25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</row>
    <row r="6640" spans="1:15" ht="15" customHeight="1" x14ac:dyDescent="0.25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</row>
    <row r="6641" spans="1:15" ht="15" customHeight="1" x14ac:dyDescent="0.25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</row>
    <row r="6642" spans="1:15" ht="15" customHeight="1" x14ac:dyDescent="0.25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</row>
    <row r="6643" spans="1:15" ht="15" customHeight="1" x14ac:dyDescent="0.25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</row>
    <row r="6644" spans="1:15" ht="15" customHeight="1" x14ac:dyDescent="0.25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</row>
    <row r="6645" spans="1:15" ht="15" customHeight="1" x14ac:dyDescent="0.25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</row>
    <row r="6646" spans="1:15" ht="15" customHeight="1" x14ac:dyDescent="0.25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</row>
    <row r="6647" spans="1:15" ht="15" customHeight="1" x14ac:dyDescent="0.25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</row>
    <row r="6648" spans="1:15" ht="15" customHeight="1" x14ac:dyDescent="0.25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</row>
    <row r="6649" spans="1:15" ht="15" customHeight="1" x14ac:dyDescent="0.25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</row>
    <row r="6650" spans="1:15" ht="15" customHeight="1" x14ac:dyDescent="0.25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</row>
    <row r="6651" spans="1:15" ht="15" customHeight="1" x14ac:dyDescent="0.25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</row>
    <row r="6652" spans="1:15" ht="15" customHeight="1" x14ac:dyDescent="0.25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</row>
    <row r="6653" spans="1:15" ht="15" customHeight="1" x14ac:dyDescent="0.25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</row>
    <row r="6654" spans="1:15" ht="15" customHeight="1" x14ac:dyDescent="0.25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</row>
    <row r="6655" spans="1:15" ht="15" customHeight="1" x14ac:dyDescent="0.25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</row>
    <row r="6656" spans="1:15" ht="15" customHeight="1" x14ac:dyDescent="0.25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</row>
    <row r="6657" spans="1:15" ht="15" customHeight="1" x14ac:dyDescent="0.25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</row>
    <row r="6658" spans="1:15" ht="15" customHeight="1" x14ac:dyDescent="0.25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</row>
    <row r="6659" spans="1:15" ht="15" customHeight="1" x14ac:dyDescent="0.25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</row>
    <row r="6660" spans="1:15" ht="15" customHeight="1" x14ac:dyDescent="0.25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</row>
    <row r="6661" spans="1:15" ht="15" customHeight="1" x14ac:dyDescent="0.25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</row>
    <row r="6662" spans="1:15" ht="15" customHeight="1" x14ac:dyDescent="0.25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</row>
    <row r="6663" spans="1:15" ht="15" customHeight="1" x14ac:dyDescent="0.25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</row>
    <row r="6664" spans="1:15" ht="15" customHeight="1" x14ac:dyDescent="0.25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</row>
    <row r="6665" spans="1:15" ht="15" customHeight="1" x14ac:dyDescent="0.25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</row>
    <row r="6666" spans="1:15" ht="15" customHeight="1" x14ac:dyDescent="0.25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</row>
    <row r="6667" spans="1:15" ht="15" customHeight="1" x14ac:dyDescent="0.25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</row>
    <row r="6668" spans="1:15" ht="15" customHeight="1" x14ac:dyDescent="0.25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</row>
    <row r="6669" spans="1:15" ht="15" customHeight="1" x14ac:dyDescent="0.25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</row>
    <row r="6670" spans="1:15" ht="15" customHeight="1" x14ac:dyDescent="0.25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</row>
    <row r="6671" spans="1:15" ht="15" customHeight="1" x14ac:dyDescent="0.25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</row>
    <row r="6672" spans="1:15" ht="15" customHeight="1" x14ac:dyDescent="0.25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</row>
    <row r="6673" spans="1:15" ht="15" customHeight="1" x14ac:dyDescent="0.25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</row>
    <row r="6674" spans="1:15" ht="15" customHeight="1" x14ac:dyDescent="0.25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</row>
    <row r="6675" spans="1:15" ht="15" customHeight="1" x14ac:dyDescent="0.25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</row>
    <row r="6676" spans="1:15" ht="15" customHeight="1" x14ac:dyDescent="0.25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</row>
    <row r="6677" spans="1:15" ht="15" customHeight="1" x14ac:dyDescent="0.25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</row>
    <row r="6678" spans="1:15" ht="15" customHeight="1" x14ac:dyDescent="0.25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</row>
    <row r="6679" spans="1:15" ht="15" customHeight="1" x14ac:dyDescent="0.25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</row>
    <row r="6680" spans="1:15" ht="15" customHeight="1" x14ac:dyDescent="0.25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</row>
    <row r="6681" spans="1:15" ht="15" customHeight="1" x14ac:dyDescent="0.25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</row>
    <row r="6682" spans="1:15" ht="15" customHeight="1" x14ac:dyDescent="0.25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</row>
    <row r="6683" spans="1:15" ht="15" customHeight="1" x14ac:dyDescent="0.25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</row>
    <row r="6684" spans="1:15" ht="15" customHeight="1" x14ac:dyDescent="0.25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</row>
    <row r="6685" spans="1:15" ht="15" customHeight="1" x14ac:dyDescent="0.25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</row>
    <row r="6686" spans="1:15" ht="15" customHeight="1" x14ac:dyDescent="0.25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</row>
    <row r="6687" spans="1:15" ht="15" customHeight="1" x14ac:dyDescent="0.25">
      <c r="A6687" s="3"/>
      <c r="B6687" s="3"/>
      <c r="C6687" s="3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</row>
    <row r="6688" spans="1:15" ht="15" customHeight="1" x14ac:dyDescent="0.25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</row>
    <row r="6689" spans="1:15" ht="15" customHeight="1" x14ac:dyDescent="0.25">
      <c r="A6689" s="3"/>
      <c r="B6689" s="3"/>
      <c r="C6689" s="3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</row>
    <row r="6690" spans="1:15" ht="15" customHeight="1" x14ac:dyDescent="0.25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</row>
    <row r="6691" spans="1:15" ht="15" customHeight="1" x14ac:dyDescent="0.25">
      <c r="A6691" s="3"/>
      <c r="B6691" s="3"/>
      <c r="C6691" s="3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</row>
    <row r="6692" spans="1:15" ht="15" customHeight="1" x14ac:dyDescent="0.25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</row>
    <row r="6693" spans="1:15" ht="15" customHeight="1" x14ac:dyDescent="0.25">
      <c r="A6693" s="3"/>
      <c r="B6693" s="3"/>
      <c r="C6693" s="3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</row>
    <row r="6694" spans="1:15" ht="15" customHeight="1" x14ac:dyDescent="0.25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</row>
    <row r="6695" spans="1:15" ht="15" customHeight="1" x14ac:dyDescent="0.25">
      <c r="A6695" s="3"/>
      <c r="B6695" s="3"/>
      <c r="C6695" s="3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</row>
    <row r="6696" spans="1:15" ht="15" customHeight="1" x14ac:dyDescent="0.25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</row>
    <row r="6697" spans="1:15" ht="15" customHeight="1" x14ac:dyDescent="0.25">
      <c r="A6697" s="3"/>
      <c r="B6697" s="3"/>
      <c r="C6697" s="3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</row>
    <row r="6698" spans="1:15" ht="15" customHeight="1" x14ac:dyDescent="0.25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</row>
    <row r="6699" spans="1:15" ht="15" customHeight="1" x14ac:dyDescent="0.25">
      <c r="A6699" s="3"/>
      <c r="B6699" s="3"/>
      <c r="C6699" s="3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</row>
    <row r="6700" spans="1:15" ht="15" customHeight="1" x14ac:dyDescent="0.25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</row>
    <row r="6701" spans="1:15" ht="15" customHeight="1" x14ac:dyDescent="0.25">
      <c r="A6701" s="3"/>
      <c r="B6701" s="3"/>
      <c r="C6701" s="3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</row>
    <row r="6702" spans="1:15" ht="15" customHeight="1" x14ac:dyDescent="0.25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</row>
    <row r="6703" spans="1:15" ht="15" customHeight="1" x14ac:dyDescent="0.25">
      <c r="A6703" s="3"/>
      <c r="B6703" s="3"/>
      <c r="C6703" s="3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</row>
    <row r="6704" spans="1:15" ht="15" customHeight="1" x14ac:dyDescent="0.25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</row>
    <row r="6705" spans="1:15" ht="15" customHeight="1" x14ac:dyDescent="0.25">
      <c r="A6705" s="3"/>
      <c r="B6705" s="3"/>
      <c r="C6705" s="3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</row>
    <row r="6706" spans="1:15" ht="15" customHeight="1" x14ac:dyDescent="0.25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</row>
    <row r="6707" spans="1:15" ht="15" customHeight="1" x14ac:dyDescent="0.25">
      <c r="A6707" s="3"/>
      <c r="B6707" s="3"/>
      <c r="C6707" s="3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</row>
    <row r="6708" spans="1:15" ht="15" customHeight="1" x14ac:dyDescent="0.25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</row>
    <row r="6709" spans="1:15" ht="15" customHeight="1" x14ac:dyDescent="0.25">
      <c r="A6709" s="3"/>
      <c r="B6709" s="3"/>
      <c r="C6709" s="3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</row>
    <row r="6710" spans="1:15" ht="15" customHeight="1" x14ac:dyDescent="0.25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</row>
    <row r="6711" spans="1:15" ht="15" customHeight="1" x14ac:dyDescent="0.25">
      <c r="A6711" s="3"/>
      <c r="B6711" s="3"/>
      <c r="C6711" s="3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</row>
    <row r="6712" spans="1:15" ht="15" customHeight="1" x14ac:dyDescent="0.25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</row>
    <row r="6713" spans="1:15" ht="15" customHeight="1" x14ac:dyDescent="0.25">
      <c r="A6713" s="3"/>
      <c r="B6713" s="3"/>
      <c r="C6713" s="3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</row>
    <row r="6714" spans="1:15" ht="15" customHeight="1" x14ac:dyDescent="0.25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</row>
    <row r="6715" spans="1:15" ht="15" customHeight="1" x14ac:dyDescent="0.25">
      <c r="A6715" s="3"/>
      <c r="B6715" s="3"/>
      <c r="C6715" s="3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</row>
    <row r="6716" spans="1:15" ht="15" customHeight="1" x14ac:dyDescent="0.25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</row>
    <row r="6717" spans="1:15" ht="15" customHeight="1" x14ac:dyDescent="0.25">
      <c r="A6717" s="3"/>
      <c r="B6717" s="3"/>
      <c r="C6717" s="3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</row>
    <row r="6718" spans="1:15" ht="15" customHeight="1" x14ac:dyDescent="0.25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</row>
    <row r="6719" spans="1:15" ht="15" customHeight="1" x14ac:dyDescent="0.25">
      <c r="A6719" s="3"/>
      <c r="B6719" s="3"/>
      <c r="C6719" s="3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</row>
    <row r="6720" spans="1:15" ht="15" customHeight="1" x14ac:dyDescent="0.25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</row>
    <row r="6721" spans="1:15" ht="15" customHeight="1" x14ac:dyDescent="0.25">
      <c r="A6721" s="3"/>
      <c r="B6721" s="3"/>
      <c r="C6721" s="3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</row>
    <row r="6722" spans="1:15" ht="15" customHeight="1" x14ac:dyDescent="0.25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</row>
    <row r="6723" spans="1:15" ht="15" customHeight="1" x14ac:dyDescent="0.25">
      <c r="A6723" s="3"/>
      <c r="B6723" s="3"/>
      <c r="C6723" s="3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</row>
    <row r="6724" spans="1:15" ht="15" customHeight="1" x14ac:dyDescent="0.25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</row>
    <row r="6725" spans="1:15" ht="15" customHeight="1" x14ac:dyDescent="0.25">
      <c r="A6725" s="3"/>
      <c r="B6725" s="3"/>
      <c r="C6725" s="3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</row>
    <row r="6726" spans="1:15" ht="15" customHeight="1" x14ac:dyDescent="0.25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</row>
    <row r="6727" spans="1:15" ht="15" customHeight="1" x14ac:dyDescent="0.25">
      <c r="A6727" s="3"/>
      <c r="B6727" s="3"/>
      <c r="C6727" s="3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</row>
    <row r="6728" spans="1:15" ht="15" customHeight="1" x14ac:dyDescent="0.25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</row>
    <row r="6729" spans="1:15" ht="15" customHeight="1" x14ac:dyDescent="0.25">
      <c r="A6729" s="3"/>
      <c r="B6729" s="3"/>
      <c r="C6729" s="3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</row>
    <row r="6730" spans="1:15" ht="15" customHeight="1" x14ac:dyDescent="0.25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</row>
    <row r="6731" spans="1:15" ht="15" customHeight="1" x14ac:dyDescent="0.25">
      <c r="A6731" s="3"/>
      <c r="B6731" s="3"/>
      <c r="C6731" s="3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</row>
    <row r="6732" spans="1:15" ht="15" customHeight="1" x14ac:dyDescent="0.25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</row>
    <row r="6733" spans="1:15" ht="15" customHeight="1" x14ac:dyDescent="0.25">
      <c r="A6733" s="3"/>
      <c r="B6733" s="3"/>
      <c r="C6733" s="3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</row>
    <row r="6734" spans="1:15" ht="15" customHeight="1" x14ac:dyDescent="0.25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</row>
    <row r="6735" spans="1:15" ht="15" customHeight="1" x14ac:dyDescent="0.25">
      <c r="A6735" s="3"/>
      <c r="B6735" s="3"/>
      <c r="C6735" s="3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</row>
    <row r="6736" spans="1:15" ht="15" customHeight="1" x14ac:dyDescent="0.25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</row>
    <row r="6737" spans="1:15" ht="15" customHeight="1" x14ac:dyDescent="0.25">
      <c r="A6737" s="3"/>
      <c r="B6737" s="3"/>
      <c r="C6737" s="3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</row>
    <row r="6738" spans="1:15" ht="15" customHeight="1" x14ac:dyDescent="0.25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</row>
    <row r="6739" spans="1:15" ht="15" customHeight="1" x14ac:dyDescent="0.25">
      <c r="A6739" s="3"/>
      <c r="B6739" s="3"/>
      <c r="C6739" s="3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</row>
    <row r="6740" spans="1:15" ht="15" customHeight="1" x14ac:dyDescent="0.25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</row>
    <row r="6741" spans="1:15" ht="15" customHeight="1" x14ac:dyDescent="0.25">
      <c r="A6741" s="3"/>
      <c r="B6741" s="3"/>
      <c r="C6741" s="3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</row>
    <row r="6742" spans="1:15" ht="15" customHeight="1" x14ac:dyDescent="0.25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</row>
    <row r="6743" spans="1:15" ht="15" customHeight="1" x14ac:dyDescent="0.25">
      <c r="A6743" s="3"/>
      <c r="B6743" s="3"/>
      <c r="C6743" s="3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</row>
    <row r="6744" spans="1:15" ht="15" customHeight="1" x14ac:dyDescent="0.25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</row>
    <row r="6745" spans="1:15" ht="15" customHeight="1" x14ac:dyDescent="0.25">
      <c r="A6745" s="3"/>
      <c r="B6745" s="3"/>
      <c r="C6745" s="3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</row>
    <row r="6746" spans="1:15" ht="15" customHeight="1" x14ac:dyDescent="0.25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</row>
    <row r="6747" spans="1:15" ht="15" customHeight="1" x14ac:dyDescent="0.25">
      <c r="A6747" s="3"/>
      <c r="B6747" s="3"/>
      <c r="C6747" s="3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</row>
    <row r="6748" spans="1:15" ht="15" customHeight="1" x14ac:dyDescent="0.25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</row>
    <row r="6749" spans="1:15" ht="15" customHeight="1" x14ac:dyDescent="0.25">
      <c r="A6749" s="3"/>
      <c r="B6749" s="3"/>
      <c r="C6749" s="3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</row>
    <row r="6750" spans="1:15" ht="15" customHeight="1" x14ac:dyDescent="0.25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</row>
    <row r="6751" spans="1:15" ht="15" customHeight="1" x14ac:dyDescent="0.25">
      <c r="A6751" s="3"/>
      <c r="B6751" s="3"/>
      <c r="C6751" s="3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</row>
    <row r="6752" spans="1:15" ht="15" customHeight="1" x14ac:dyDescent="0.25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</row>
    <row r="6753" spans="1:15" ht="15" customHeight="1" x14ac:dyDescent="0.25">
      <c r="A6753" s="3"/>
      <c r="B6753" s="3"/>
      <c r="C6753" s="3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</row>
    <row r="6754" spans="1:15" ht="15" customHeight="1" x14ac:dyDescent="0.25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</row>
    <row r="6755" spans="1:15" ht="15" customHeight="1" x14ac:dyDescent="0.25">
      <c r="A6755" s="3"/>
      <c r="B6755" s="3"/>
      <c r="C6755" s="3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</row>
    <row r="6756" spans="1:15" ht="15" customHeight="1" x14ac:dyDescent="0.25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</row>
    <row r="6757" spans="1:15" ht="15" customHeight="1" x14ac:dyDescent="0.25">
      <c r="A6757" s="3"/>
      <c r="B6757" s="3"/>
      <c r="C6757" s="3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</row>
    <row r="6758" spans="1:15" ht="15" customHeight="1" x14ac:dyDescent="0.25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</row>
    <row r="6759" spans="1:15" ht="15" customHeight="1" x14ac:dyDescent="0.25">
      <c r="A6759" s="3"/>
      <c r="B6759" s="3"/>
      <c r="C6759" s="3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</row>
    <row r="6760" spans="1:15" ht="15" customHeight="1" x14ac:dyDescent="0.25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</row>
    <row r="6761" spans="1:15" ht="15" customHeight="1" x14ac:dyDescent="0.25">
      <c r="A6761" s="3"/>
      <c r="B6761" s="3"/>
      <c r="C6761" s="3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</row>
    <row r="6762" spans="1:15" ht="15" customHeight="1" x14ac:dyDescent="0.25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</row>
    <row r="6763" spans="1:15" ht="15" customHeight="1" x14ac:dyDescent="0.25">
      <c r="A6763" s="3"/>
      <c r="B6763" s="3"/>
      <c r="C6763" s="3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</row>
    <row r="6764" spans="1:15" ht="15" customHeight="1" x14ac:dyDescent="0.25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</row>
    <row r="6765" spans="1:15" ht="15" customHeight="1" x14ac:dyDescent="0.25">
      <c r="A6765" s="3"/>
      <c r="B6765" s="3"/>
      <c r="C6765" s="3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</row>
    <row r="6766" spans="1:15" ht="15" customHeight="1" x14ac:dyDescent="0.25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</row>
    <row r="6767" spans="1:15" ht="15" customHeight="1" x14ac:dyDescent="0.25">
      <c r="A6767" s="3"/>
      <c r="B6767" s="3"/>
      <c r="C6767" s="3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</row>
    <row r="6768" spans="1:15" ht="15" customHeight="1" x14ac:dyDescent="0.25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</row>
    <row r="6769" spans="1:15" ht="15" customHeight="1" x14ac:dyDescent="0.25">
      <c r="A6769" s="3"/>
      <c r="B6769" s="3"/>
      <c r="C6769" s="3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</row>
    <row r="6770" spans="1:15" ht="15" customHeight="1" x14ac:dyDescent="0.25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</row>
    <row r="6771" spans="1:15" ht="15" customHeight="1" x14ac:dyDescent="0.25">
      <c r="A6771" s="3"/>
      <c r="B6771" s="3"/>
      <c r="C6771" s="3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</row>
    <row r="6772" spans="1:15" ht="15" customHeight="1" x14ac:dyDescent="0.25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</row>
    <row r="6773" spans="1:15" ht="15" customHeight="1" x14ac:dyDescent="0.25">
      <c r="A6773" s="3"/>
      <c r="B6773" s="3"/>
      <c r="C6773" s="3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</row>
    <row r="6774" spans="1:15" ht="15" customHeight="1" x14ac:dyDescent="0.25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</row>
    <row r="6775" spans="1:15" ht="15" customHeight="1" x14ac:dyDescent="0.25">
      <c r="A6775" s="3"/>
      <c r="B6775" s="3"/>
      <c r="C6775" s="3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</row>
    <row r="6776" spans="1:15" ht="15" customHeight="1" x14ac:dyDescent="0.25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</row>
    <row r="6777" spans="1:15" ht="15" customHeight="1" x14ac:dyDescent="0.25">
      <c r="A6777" s="3"/>
      <c r="B6777" s="3"/>
      <c r="C6777" s="3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</row>
    <row r="6778" spans="1:15" ht="15" customHeight="1" x14ac:dyDescent="0.25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</row>
    <row r="6779" spans="1:15" ht="15" customHeight="1" x14ac:dyDescent="0.25">
      <c r="A6779" s="3"/>
      <c r="B6779" s="3"/>
      <c r="C6779" s="3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</row>
    <row r="6780" spans="1:15" ht="15" customHeight="1" x14ac:dyDescent="0.25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</row>
    <row r="6781" spans="1:15" ht="15" customHeight="1" x14ac:dyDescent="0.25">
      <c r="A6781" s="3"/>
      <c r="B6781" s="3"/>
      <c r="C6781" s="3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</row>
    <row r="6782" spans="1:15" ht="15" customHeight="1" x14ac:dyDescent="0.25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</row>
    <row r="6783" spans="1:15" ht="15" customHeight="1" x14ac:dyDescent="0.25">
      <c r="A6783" s="3"/>
      <c r="B6783" s="3"/>
      <c r="C6783" s="3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</row>
    <row r="6784" spans="1:15" ht="15" customHeight="1" x14ac:dyDescent="0.25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</row>
    <row r="6785" spans="1:15" ht="15" customHeight="1" x14ac:dyDescent="0.25">
      <c r="A6785" s="3"/>
      <c r="B6785" s="3"/>
      <c r="C6785" s="3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</row>
    <row r="6786" spans="1:15" ht="15" customHeight="1" x14ac:dyDescent="0.25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</row>
    <row r="6787" spans="1:15" ht="15" customHeight="1" x14ac:dyDescent="0.25">
      <c r="A6787" s="3"/>
      <c r="B6787" s="3"/>
      <c r="C6787" s="3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</row>
    <row r="6788" spans="1:15" ht="15" customHeight="1" x14ac:dyDescent="0.25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</row>
    <row r="6789" spans="1:15" ht="15" customHeight="1" x14ac:dyDescent="0.25">
      <c r="A6789" s="3"/>
      <c r="B6789" s="3"/>
      <c r="C6789" s="3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</row>
    <row r="6790" spans="1:15" ht="15" customHeight="1" x14ac:dyDescent="0.25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</row>
    <row r="6791" spans="1:15" ht="15" customHeight="1" x14ac:dyDescent="0.25">
      <c r="A6791" s="3"/>
      <c r="B6791" s="3"/>
      <c r="C6791" s="3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</row>
    <row r="6792" spans="1:15" ht="15" customHeight="1" x14ac:dyDescent="0.25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</row>
    <row r="6793" spans="1:15" ht="15" customHeight="1" x14ac:dyDescent="0.25">
      <c r="A6793" s="3"/>
      <c r="B6793" s="3"/>
      <c r="C6793" s="3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</row>
    <row r="6794" spans="1:15" ht="15" customHeight="1" x14ac:dyDescent="0.25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</row>
    <row r="6795" spans="1:15" ht="15" customHeight="1" x14ac:dyDescent="0.25">
      <c r="A6795" s="3"/>
      <c r="B6795" s="3"/>
      <c r="C6795" s="3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</row>
    <row r="6796" spans="1:15" ht="15" customHeight="1" x14ac:dyDescent="0.25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</row>
    <row r="6797" spans="1:15" ht="15" customHeight="1" x14ac:dyDescent="0.25">
      <c r="A6797" s="3"/>
      <c r="B6797" s="3"/>
      <c r="C6797" s="3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</row>
    <row r="6798" spans="1:15" ht="15" customHeight="1" x14ac:dyDescent="0.25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</row>
    <row r="6799" spans="1:15" ht="15" customHeight="1" x14ac:dyDescent="0.25">
      <c r="A6799" s="3"/>
      <c r="B6799" s="3"/>
      <c r="C6799" s="3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</row>
    <row r="6800" spans="1:15" ht="15" customHeight="1" x14ac:dyDescent="0.25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</row>
    <row r="6801" spans="1:15" ht="15" customHeight="1" x14ac:dyDescent="0.25">
      <c r="A6801" s="3"/>
      <c r="B6801" s="3"/>
      <c r="C6801" s="3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</row>
    <row r="6802" spans="1:15" ht="15" customHeight="1" x14ac:dyDescent="0.25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</row>
    <row r="6803" spans="1:15" ht="15" customHeight="1" x14ac:dyDescent="0.25">
      <c r="A6803" s="3"/>
      <c r="B6803" s="3"/>
      <c r="C6803" s="3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</row>
    <row r="6804" spans="1:15" ht="15" customHeight="1" x14ac:dyDescent="0.25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</row>
    <row r="6805" spans="1:15" ht="15" customHeight="1" x14ac:dyDescent="0.25">
      <c r="A6805" s="3"/>
      <c r="B6805" s="3"/>
      <c r="C6805" s="3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</row>
    <row r="6806" spans="1:15" ht="15" customHeight="1" x14ac:dyDescent="0.25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</row>
    <row r="6807" spans="1:15" ht="15" customHeight="1" x14ac:dyDescent="0.25">
      <c r="A6807" s="3"/>
      <c r="B6807" s="3"/>
      <c r="C6807" s="3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</row>
    <row r="6808" spans="1:15" ht="15" customHeight="1" x14ac:dyDescent="0.25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</row>
    <row r="6809" spans="1:15" ht="15" customHeight="1" x14ac:dyDescent="0.25">
      <c r="A6809" s="3"/>
      <c r="B6809" s="3"/>
      <c r="C6809" s="3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</row>
    <row r="6810" spans="1:15" ht="15" customHeight="1" x14ac:dyDescent="0.25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</row>
    <row r="6811" spans="1:15" ht="15" customHeight="1" x14ac:dyDescent="0.25">
      <c r="A6811" s="3"/>
      <c r="B6811" s="3"/>
      <c r="C6811" s="3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</row>
    <row r="6812" spans="1:15" ht="15" customHeight="1" x14ac:dyDescent="0.25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</row>
    <row r="6813" spans="1:15" ht="15" customHeight="1" x14ac:dyDescent="0.25">
      <c r="A6813" s="3"/>
      <c r="B6813" s="3"/>
      <c r="C6813" s="3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</row>
    <row r="6814" spans="1:15" ht="15" customHeight="1" x14ac:dyDescent="0.25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</row>
    <row r="6815" spans="1:15" ht="15" customHeight="1" x14ac:dyDescent="0.25">
      <c r="A6815" s="3"/>
      <c r="B6815" s="3"/>
      <c r="C6815" s="3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</row>
    <row r="6816" spans="1:15" ht="15" customHeight="1" x14ac:dyDescent="0.25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</row>
    <row r="6817" spans="1:15" ht="15" customHeight="1" x14ac:dyDescent="0.25">
      <c r="A6817" s="3"/>
      <c r="B6817" s="3"/>
      <c r="C6817" s="3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</row>
    <row r="6818" spans="1:15" ht="15" customHeight="1" x14ac:dyDescent="0.25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</row>
    <row r="6819" spans="1:15" ht="15" customHeight="1" x14ac:dyDescent="0.25">
      <c r="A6819" s="3"/>
      <c r="B6819" s="3"/>
      <c r="C6819" s="3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</row>
    <row r="6820" spans="1:15" ht="15" customHeight="1" x14ac:dyDescent="0.25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</row>
    <row r="6821" spans="1:15" ht="15" customHeight="1" x14ac:dyDescent="0.25">
      <c r="A6821" s="3"/>
      <c r="B6821" s="3"/>
      <c r="C6821" s="3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</row>
    <row r="6822" spans="1:15" ht="15" customHeight="1" x14ac:dyDescent="0.25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</row>
    <row r="6823" spans="1:15" ht="15" customHeight="1" x14ac:dyDescent="0.25">
      <c r="A6823" s="3"/>
      <c r="B6823" s="3"/>
      <c r="C6823" s="3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</row>
    <row r="6824" spans="1:15" ht="15" customHeight="1" x14ac:dyDescent="0.25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</row>
    <row r="6825" spans="1:15" ht="15" customHeight="1" x14ac:dyDescent="0.25">
      <c r="A6825" s="3"/>
      <c r="B6825" s="3"/>
      <c r="C6825" s="3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</row>
    <row r="6826" spans="1:15" ht="15" customHeight="1" x14ac:dyDescent="0.25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</row>
    <row r="6827" spans="1:15" ht="15" customHeight="1" x14ac:dyDescent="0.25">
      <c r="A6827" s="3"/>
      <c r="B6827" s="3"/>
      <c r="C6827" s="3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</row>
    <row r="6828" spans="1:15" ht="15" customHeight="1" x14ac:dyDescent="0.25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</row>
    <row r="6829" spans="1:15" ht="15" customHeight="1" x14ac:dyDescent="0.25">
      <c r="A6829" s="3"/>
      <c r="B6829" s="3"/>
      <c r="C6829" s="3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</row>
    <row r="6830" spans="1:15" ht="15" customHeight="1" x14ac:dyDescent="0.25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</row>
    <row r="6831" spans="1:15" ht="15" customHeight="1" x14ac:dyDescent="0.25">
      <c r="A6831" s="3"/>
      <c r="B6831" s="3"/>
      <c r="C6831" s="3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</row>
    <row r="6832" spans="1:15" ht="15" customHeight="1" x14ac:dyDescent="0.25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</row>
    <row r="6833" spans="1:15" ht="15" customHeight="1" x14ac:dyDescent="0.25">
      <c r="A6833" s="3"/>
      <c r="B6833" s="3"/>
      <c r="C6833" s="3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</row>
    <row r="6834" spans="1:15" ht="15" customHeight="1" x14ac:dyDescent="0.25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</row>
    <row r="6835" spans="1:15" ht="15" customHeight="1" x14ac:dyDescent="0.25">
      <c r="A6835" s="3"/>
      <c r="B6835" s="3"/>
      <c r="C6835" s="3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</row>
    <row r="6836" spans="1:15" ht="15" customHeight="1" x14ac:dyDescent="0.25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</row>
    <row r="6837" spans="1:15" ht="15" customHeight="1" x14ac:dyDescent="0.25">
      <c r="A6837" s="3"/>
      <c r="B6837" s="3"/>
      <c r="C6837" s="3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</row>
    <row r="6838" spans="1:15" ht="15" customHeight="1" x14ac:dyDescent="0.25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</row>
    <row r="6839" spans="1:15" ht="15" customHeight="1" x14ac:dyDescent="0.25">
      <c r="A6839" s="3"/>
      <c r="B6839" s="3"/>
      <c r="C6839" s="3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</row>
    <row r="6840" spans="1:15" ht="15" customHeight="1" x14ac:dyDescent="0.25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</row>
    <row r="6841" spans="1:15" ht="15" customHeight="1" x14ac:dyDescent="0.25">
      <c r="A6841" s="3"/>
      <c r="B6841" s="3"/>
      <c r="C6841" s="3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</row>
    <row r="6842" spans="1:15" ht="15" customHeight="1" x14ac:dyDescent="0.25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</row>
    <row r="6843" spans="1:15" ht="15" customHeight="1" x14ac:dyDescent="0.25">
      <c r="A6843" s="3"/>
      <c r="B6843" s="3"/>
      <c r="C6843" s="3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</row>
    <row r="6844" spans="1:15" ht="15" customHeight="1" x14ac:dyDescent="0.25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</row>
    <row r="6845" spans="1:15" ht="15" customHeight="1" x14ac:dyDescent="0.25">
      <c r="A6845" s="3"/>
      <c r="B6845" s="3"/>
      <c r="C6845" s="3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</row>
    <row r="6846" spans="1:15" ht="15" customHeight="1" x14ac:dyDescent="0.25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</row>
    <row r="6847" spans="1:15" ht="15" customHeight="1" x14ac:dyDescent="0.25">
      <c r="A6847" s="3"/>
      <c r="B6847" s="3"/>
      <c r="C6847" s="3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</row>
    <row r="6848" spans="1:15" ht="15" customHeight="1" x14ac:dyDescent="0.25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</row>
    <row r="6849" spans="1:15" ht="15" customHeight="1" x14ac:dyDescent="0.25">
      <c r="A6849" s="3"/>
      <c r="B6849" s="3"/>
      <c r="C6849" s="3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</row>
    <row r="6850" spans="1:15" ht="15" customHeight="1" x14ac:dyDescent="0.25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</row>
    <row r="6851" spans="1:15" ht="15" customHeight="1" x14ac:dyDescent="0.25">
      <c r="A6851" s="3"/>
      <c r="B6851" s="3"/>
      <c r="C6851" s="3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</row>
    <row r="6852" spans="1:15" ht="15" customHeight="1" x14ac:dyDescent="0.25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</row>
    <row r="6853" spans="1:15" ht="15" customHeight="1" x14ac:dyDescent="0.25">
      <c r="A6853" s="3"/>
      <c r="B6853" s="3"/>
      <c r="C6853" s="3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</row>
    <row r="6854" spans="1:15" ht="15" customHeight="1" x14ac:dyDescent="0.25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</row>
    <row r="6855" spans="1:15" ht="15" customHeight="1" x14ac:dyDescent="0.25">
      <c r="A6855" s="3"/>
      <c r="B6855" s="3"/>
      <c r="C6855" s="3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</row>
    <row r="6856" spans="1:15" ht="15" customHeight="1" x14ac:dyDescent="0.25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</row>
    <row r="6857" spans="1:15" ht="15" customHeight="1" x14ac:dyDescent="0.25">
      <c r="A6857" s="3"/>
      <c r="B6857" s="3"/>
      <c r="C6857" s="3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</row>
    <row r="6858" spans="1:15" ht="15" customHeight="1" x14ac:dyDescent="0.25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</row>
    <row r="6859" spans="1:15" ht="15" customHeight="1" x14ac:dyDescent="0.25">
      <c r="A6859" s="3"/>
      <c r="B6859" s="3"/>
      <c r="C6859" s="3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</row>
    <row r="6860" spans="1:15" ht="15" customHeight="1" x14ac:dyDescent="0.25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</row>
    <row r="6861" spans="1:15" ht="15" customHeight="1" x14ac:dyDescent="0.25">
      <c r="A6861" s="3"/>
      <c r="B6861" s="3"/>
      <c r="C6861" s="3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</row>
    <row r="6862" spans="1:15" ht="15" customHeight="1" x14ac:dyDescent="0.25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</row>
    <row r="6863" spans="1:15" ht="15" customHeight="1" x14ac:dyDescent="0.25">
      <c r="A6863" s="3"/>
      <c r="B6863" s="3"/>
      <c r="C6863" s="3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</row>
    <row r="6864" spans="1:15" ht="15" customHeight="1" x14ac:dyDescent="0.25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</row>
    <row r="6865" spans="1:15" ht="15" customHeight="1" x14ac:dyDescent="0.25">
      <c r="A6865" s="3"/>
      <c r="B6865" s="3"/>
      <c r="C6865" s="3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</row>
    <row r="6866" spans="1:15" ht="15" customHeight="1" x14ac:dyDescent="0.25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</row>
    <row r="6867" spans="1:15" ht="15" customHeight="1" x14ac:dyDescent="0.25">
      <c r="A6867" s="3"/>
      <c r="B6867" s="3"/>
      <c r="C6867" s="3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</row>
    <row r="6868" spans="1:15" ht="15" customHeight="1" x14ac:dyDescent="0.25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</row>
    <row r="6869" spans="1:15" ht="15" customHeight="1" x14ac:dyDescent="0.25">
      <c r="A6869" s="3"/>
      <c r="B6869" s="3"/>
      <c r="C6869" s="3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</row>
    <row r="6870" spans="1:15" ht="15" customHeight="1" x14ac:dyDescent="0.25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</row>
    <row r="6871" spans="1:15" ht="15" customHeight="1" x14ac:dyDescent="0.25">
      <c r="A6871" s="3"/>
      <c r="B6871" s="3"/>
      <c r="C6871" s="3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</row>
    <row r="6872" spans="1:15" ht="15" customHeight="1" x14ac:dyDescent="0.25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</row>
    <row r="6873" spans="1:15" ht="15" customHeight="1" x14ac:dyDescent="0.25">
      <c r="A6873" s="3"/>
      <c r="B6873" s="3"/>
      <c r="C6873" s="3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</row>
    <row r="6874" spans="1:15" ht="15" customHeight="1" x14ac:dyDescent="0.25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</row>
    <row r="6875" spans="1:15" ht="15" customHeight="1" x14ac:dyDescent="0.25">
      <c r="A6875" s="3"/>
      <c r="B6875" s="3"/>
      <c r="C6875" s="3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</row>
    <row r="6876" spans="1:15" ht="15" customHeight="1" x14ac:dyDescent="0.25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</row>
    <row r="6877" spans="1:15" ht="15" customHeight="1" x14ac:dyDescent="0.25">
      <c r="A6877" s="3"/>
      <c r="B6877" s="3"/>
      <c r="C6877" s="3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</row>
    <row r="6878" spans="1:15" ht="15" customHeight="1" x14ac:dyDescent="0.25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</row>
    <row r="6879" spans="1:15" ht="15" customHeight="1" x14ac:dyDescent="0.25">
      <c r="A6879" s="3"/>
      <c r="B6879" s="3"/>
      <c r="C6879" s="3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</row>
    <row r="6880" spans="1:15" ht="15" customHeight="1" x14ac:dyDescent="0.25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</row>
    <row r="6881" spans="1:15" ht="15" customHeight="1" x14ac:dyDescent="0.25">
      <c r="A6881" s="3"/>
      <c r="B6881" s="3"/>
      <c r="C6881" s="3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</row>
    <row r="6882" spans="1:15" ht="15" customHeight="1" x14ac:dyDescent="0.25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</row>
    <row r="6883" spans="1:15" ht="15" customHeight="1" x14ac:dyDescent="0.25">
      <c r="A6883" s="3"/>
      <c r="B6883" s="3"/>
      <c r="C6883" s="3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</row>
    <row r="6884" spans="1:15" ht="15" customHeight="1" x14ac:dyDescent="0.25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</row>
    <row r="6885" spans="1:15" ht="15" customHeight="1" x14ac:dyDescent="0.25">
      <c r="A6885" s="3"/>
      <c r="B6885" s="3"/>
      <c r="C6885" s="3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</row>
    <row r="6886" spans="1:15" ht="15" customHeight="1" x14ac:dyDescent="0.25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</row>
    <row r="6887" spans="1:15" ht="15" customHeight="1" x14ac:dyDescent="0.25">
      <c r="A6887" s="3"/>
      <c r="B6887" s="3"/>
      <c r="C6887" s="3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</row>
    <row r="6888" spans="1:15" ht="15" customHeight="1" x14ac:dyDescent="0.25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</row>
    <row r="6889" spans="1:15" ht="15" customHeight="1" x14ac:dyDescent="0.25">
      <c r="A6889" s="3"/>
      <c r="B6889" s="3"/>
      <c r="C6889" s="3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</row>
    <row r="6890" spans="1:15" ht="15" customHeight="1" x14ac:dyDescent="0.25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</row>
    <row r="6891" spans="1:15" ht="15" customHeight="1" x14ac:dyDescent="0.25">
      <c r="A6891" s="3"/>
      <c r="B6891" s="3"/>
      <c r="C6891" s="3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</row>
    <row r="6892" spans="1:15" ht="15" customHeight="1" x14ac:dyDescent="0.25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</row>
    <row r="6893" spans="1:15" ht="15" customHeight="1" x14ac:dyDescent="0.25">
      <c r="A6893" s="3"/>
      <c r="B6893" s="3"/>
      <c r="C6893" s="3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</row>
    <row r="6894" spans="1:15" ht="15" customHeight="1" x14ac:dyDescent="0.25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</row>
    <row r="6895" spans="1:15" ht="15" customHeight="1" x14ac:dyDescent="0.25">
      <c r="A6895" s="3"/>
      <c r="B6895" s="3"/>
      <c r="C6895" s="3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</row>
    <row r="6896" spans="1:15" ht="15" customHeight="1" x14ac:dyDescent="0.25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</row>
    <row r="6897" spans="1:15" ht="15" customHeight="1" x14ac:dyDescent="0.25">
      <c r="A6897" s="3"/>
      <c r="B6897" s="3"/>
      <c r="C6897" s="3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</row>
    <row r="6898" spans="1:15" ht="15" customHeight="1" x14ac:dyDescent="0.25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</row>
    <row r="6899" spans="1:15" ht="15" customHeight="1" x14ac:dyDescent="0.25">
      <c r="A6899" s="3"/>
      <c r="B6899" s="3"/>
      <c r="C6899" s="3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</row>
    <row r="6900" spans="1:15" ht="15" customHeight="1" x14ac:dyDescent="0.25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</row>
    <row r="6901" spans="1:15" ht="15" customHeight="1" x14ac:dyDescent="0.25">
      <c r="A6901" s="3"/>
      <c r="B6901" s="3"/>
      <c r="C6901" s="3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</row>
    <row r="6902" spans="1:15" ht="15" customHeight="1" x14ac:dyDescent="0.25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</row>
    <row r="6903" spans="1:15" ht="15" customHeight="1" x14ac:dyDescent="0.25">
      <c r="A6903" s="3"/>
      <c r="B6903" s="3"/>
      <c r="C6903" s="3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</row>
    <row r="6904" spans="1:15" ht="15" customHeight="1" x14ac:dyDescent="0.25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</row>
    <row r="6905" spans="1:15" ht="15" customHeight="1" x14ac:dyDescent="0.25">
      <c r="A6905" s="3"/>
      <c r="B6905" s="3"/>
      <c r="C6905" s="3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</row>
    <row r="6906" spans="1:15" ht="15" customHeight="1" x14ac:dyDescent="0.25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</row>
    <row r="6907" spans="1:15" ht="15" customHeight="1" x14ac:dyDescent="0.25">
      <c r="A6907" s="3"/>
      <c r="B6907" s="3"/>
      <c r="C6907" s="3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</row>
    <row r="6908" spans="1:15" ht="15" customHeight="1" x14ac:dyDescent="0.25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</row>
    <row r="6909" spans="1:15" ht="15" customHeight="1" x14ac:dyDescent="0.25">
      <c r="A6909" s="3"/>
      <c r="B6909" s="3"/>
      <c r="C6909" s="3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</row>
    <row r="6910" spans="1:15" ht="15" customHeight="1" x14ac:dyDescent="0.25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</row>
    <row r="6911" spans="1:15" ht="15" customHeight="1" x14ac:dyDescent="0.25">
      <c r="A6911" s="3"/>
      <c r="B6911" s="3"/>
      <c r="C6911" s="3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</row>
    <row r="6912" spans="1:15" ht="15" customHeight="1" x14ac:dyDescent="0.25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</row>
    <row r="6913" spans="1:15" ht="15" customHeight="1" x14ac:dyDescent="0.25">
      <c r="A6913" s="3"/>
      <c r="B6913" s="3"/>
      <c r="C6913" s="3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</row>
    <row r="6914" spans="1:15" ht="15" customHeight="1" x14ac:dyDescent="0.25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</row>
    <row r="6915" spans="1:15" ht="15" customHeight="1" x14ac:dyDescent="0.25">
      <c r="A6915" s="3"/>
      <c r="B6915" s="3"/>
      <c r="C6915" s="3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</row>
    <row r="6916" spans="1:15" ht="15" customHeight="1" x14ac:dyDescent="0.25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</row>
    <row r="6917" spans="1:15" ht="15" customHeight="1" x14ac:dyDescent="0.25">
      <c r="A6917" s="3"/>
      <c r="B6917" s="3"/>
      <c r="C6917" s="3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</row>
    <row r="6918" spans="1:15" ht="15" customHeight="1" x14ac:dyDescent="0.25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</row>
    <row r="6919" spans="1:15" ht="15" customHeight="1" x14ac:dyDescent="0.25">
      <c r="A6919" s="3"/>
      <c r="B6919" s="3"/>
      <c r="C6919" s="3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</row>
    <row r="6920" spans="1:15" ht="15" customHeight="1" x14ac:dyDescent="0.25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</row>
    <row r="6921" spans="1:15" ht="15" customHeight="1" x14ac:dyDescent="0.25">
      <c r="A6921" s="3"/>
      <c r="B6921" s="3"/>
      <c r="C6921" s="3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</row>
    <row r="6922" spans="1:15" ht="15" customHeight="1" x14ac:dyDescent="0.25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</row>
    <row r="6923" spans="1:15" ht="15" customHeight="1" x14ac:dyDescent="0.25">
      <c r="A6923" s="3"/>
      <c r="B6923" s="3"/>
      <c r="C6923" s="3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</row>
    <row r="6924" spans="1:15" ht="15" customHeight="1" x14ac:dyDescent="0.25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</row>
    <row r="6925" spans="1:15" ht="15" customHeight="1" x14ac:dyDescent="0.25">
      <c r="A6925" s="3"/>
      <c r="B6925" s="3"/>
      <c r="C6925" s="3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</row>
    <row r="6926" spans="1:15" ht="15" customHeight="1" x14ac:dyDescent="0.25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</row>
    <row r="6927" spans="1:15" ht="15" customHeight="1" x14ac:dyDescent="0.25">
      <c r="A6927" s="3"/>
      <c r="B6927" s="3"/>
      <c r="C6927" s="3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</row>
    <row r="6928" spans="1:15" ht="15" customHeight="1" x14ac:dyDescent="0.25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</row>
    <row r="6929" spans="1:15" ht="15" customHeight="1" x14ac:dyDescent="0.25">
      <c r="A6929" s="3"/>
      <c r="B6929" s="3"/>
      <c r="C6929" s="3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</row>
    <row r="6930" spans="1:15" ht="15" customHeight="1" x14ac:dyDescent="0.25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</row>
    <row r="6931" spans="1:15" ht="15" customHeight="1" x14ac:dyDescent="0.25">
      <c r="A6931" s="3"/>
      <c r="B6931" s="3"/>
      <c r="C6931" s="3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</row>
    <row r="6932" spans="1:15" ht="15" customHeight="1" x14ac:dyDescent="0.25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</row>
    <row r="6933" spans="1:15" ht="15" customHeight="1" x14ac:dyDescent="0.25">
      <c r="A6933" s="3"/>
      <c r="B6933" s="3"/>
      <c r="C6933" s="3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</row>
    <row r="6934" spans="1:15" ht="15" customHeight="1" x14ac:dyDescent="0.25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</row>
    <row r="6935" spans="1:15" ht="15" customHeight="1" x14ac:dyDescent="0.25">
      <c r="A6935" s="3"/>
      <c r="B6935" s="3"/>
      <c r="C6935" s="3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</row>
    <row r="6936" spans="1:15" ht="15" customHeight="1" x14ac:dyDescent="0.25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</row>
    <row r="6937" spans="1:15" ht="15" customHeight="1" x14ac:dyDescent="0.25">
      <c r="A6937" s="3"/>
      <c r="B6937" s="3"/>
      <c r="C6937" s="3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</row>
    <row r="6938" spans="1:15" ht="15" customHeight="1" x14ac:dyDescent="0.25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</row>
    <row r="6939" spans="1:15" ht="15" customHeight="1" x14ac:dyDescent="0.25">
      <c r="A6939" s="3"/>
      <c r="B6939" s="3"/>
      <c r="C6939" s="3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</row>
    <row r="6940" spans="1:15" ht="15" customHeight="1" x14ac:dyDescent="0.25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</row>
    <row r="6941" spans="1:15" ht="15" customHeight="1" x14ac:dyDescent="0.25">
      <c r="A6941" s="3"/>
      <c r="B6941" s="3"/>
      <c r="C6941" s="3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</row>
    <row r="6942" spans="1:15" ht="15" customHeight="1" x14ac:dyDescent="0.25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</row>
    <row r="6943" spans="1:15" ht="15" customHeight="1" x14ac:dyDescent="0.25">
      <c r="A6943" s="3"/>
      <c r="B6943" s="3"/>
      <c r="C6943" s="3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</row>
    <row r="6944" spans="1:15" ht="15" customHeight="1" x14ac:dyDescent="0.25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</row>
    <row r="6945" spans="1:15" ht="15" customHeight="1" x14ac:dyDescent="0.25">
      <c r="A6945" s="3"/>
      <c r="B6945" s="3"/>
      <c r="C6945" s="3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</row>
    <row r="6946" spans="1:15" ht="15" customHeight="1" x14ac:dyDescent="0.25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</row>
    <row r="6947" spans="1:15" ht="15" customHeight="1" x14ac:dyDescent="0.25">
      <c r="A6947" s="3"/>
      <c r="B6947" s="3"/>
      <c r="C6947" s="3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</row>
    <row r="6948" spans="1:15" ht="15" customHeight="1" x14ac:dyDescent="0.25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</row>
    <row r="6949" spans="1:15" ht="15" customHeight="1" x14ac:dyDescent="0.25">
      <c r="A6949" s="3"/>
      <c r="B6949" s="3"/>
      <c r="C6949" s="3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</row>
    <row r="6950" spans="1:15" ht="15" customHeight="1" x14ac:dyDescent="0.25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</row>
    <row r="6951" spans="1:15" ht="15" customHeight="1" x14ac:dyDescent="0.25">
      <c r="A6951" s="3"/>
      <c r="B6951" s="3"/>
      <c r="C6951" s="3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</row>
    <row r="6952" spans="1:15" ht="15" customHeight="1" x14ac:dyDescent="0.25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</row>
    <row r="6953" spans="1:15" ht="15" customHeight="1" x14ac:dyDescent="0.25">
      <c r="A6953" s="3"/>
      <c r="B6953" s="3"/>
      <c r="C6953" s="3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</row>
    <row r="6954" spans="1:15" ht="15" customHeight="1" x14ac:dyDescent="0.25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</row>
    <row r="6955" spans="1:15" ht="15" customHeight="1" x14ac:dyDescent="0.25">
      <c r="A6955" s="3"/>
      <c r="B6955" s="3"/>
      <c r="C6955" s="3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</row>
    <row r="6956" spans="1:15" ht="15" customHeight="1" x14ac:dyDescent="0.25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</row>
    <row r="6957" spans="1:15" ht="15" customHeight="1" x14ac:dyDescent="0.25">
      <c r="A6957" s="3"/>
      <c r="B6957" s="3"/>
      <c r="C6957" s="3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</row>
    <row r="6958" spans="1:15" ht="15" customHeight="1" x14ac:dyDescent="0.25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</row>
    <row r="6959" spans="1:15" ht="15" customHeight="1" x14ac:dyDescent="0.25">
      <c r="A6959" s="3"/>
      <c r="B6959" s="3"/>
      <c r="C6959" s="3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</row>
    <row r="6960" spans="1:15" ht="15" customHeight="1" x14ac:dyDescent="0.25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</row>
    <row r="6961" spans="1:15" ht="15" customHeight="1" x14ac:dyDescent="0.25">
      <c r="A6961" s="3"/>
      <c r="B6961" s="3"/>
      <c r="C6961" s="3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</row>
    <row r="6962" spans="1:15" ht="15" customHeight="1" x14ac:dyDescent="0.25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</row>
    <row r="6963" spans="1:15" ht="15" customHeight="1" x14ac:dyDescent="0.25">
      <c r="A6963" s="3"/>
      <c r="B6963" s="3"/>
      <c r="C6963" s="3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</row>
    <row r="6964" spans="1:15" ht="15" customHeight="1" x14ac:dyDescent="0.25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</row>
    <row r="6965" spans="1:15" ht="15" customHeight="1" x14ac:dyDescent="0.25">
      <c r="A6965" s="3"/>
      <c r="B6965" s="3"/>
      <c r="C6965" s="3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</row>
    <row r="6966" spans="1:15" ht="15" customHeight="1" x14ac:dyDescent="0.25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</row>
    <row r="6967" spans="1:15" ht="15" customHeight="1" x14ac:dyDescent="0.25">
      <c r="A6967" s="3"/>
      <c r="B6967" s="3"/>
      <c r="C6967" s="3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</row>
    <row r="6968" spans="1:15" ht="15" customHeight="1" x14ac:dyDescent="0.25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</row>
    <row r="6969" spans="1:15" ht="15" customHeight="1" x14ac:dyDescent="0.25">
      <c r="A6969" s="3"/>
      <c r="B6969" s="3"/>
      <c r="C6969" s="3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</row>
    <row r="6970" spans="1:15" ht="15" customHeight="1" x14ac:dyDescent="0.25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</row>
    <row r="6971" spans="1:15" ht="15" customHeight="1" x14ac:dyDescent="0.25">
      <c r="A6971" s="3"/>
      <c r="B6971" s="3"/>
      <c r="C6971" s="3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</row>
    <row r="6972" spans="1:15" ht="15" customHeight="1" x14ac:dyDescent="0.25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</row>
    <row r="6973" spans="1:15" ht="15" customHeight="1" x14ac:dyDescent="0.25">
      <c r="A6973" s="3"/>
      <c r="B6973" s="3"/>
      <c r="C6973" s="3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</row>
    <row r="6974" spans="1:15" ht="15" customHeight="1" x14ac:dyDescent="0.25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</row>
    <row r="6975" spans="1:15" ht="15" customHeight="1" x14ac:dyDescent="0.25">
      <c r="A6975" s="3"/>
      <c r="B6975" s="3"/>
      <c r="C6975" s="3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</row>
    <row r="6976" spans="1:15" ht="15" customHeight="1" x14ac:dyDescent="0.25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</row>
    <row r="6977" spans="1:15" ht="15" customHeight="1" x14ac:dyDescent="0.25">
      <c r="A6977" s="3"/>
      <c r="B6977" s="3"/>
      <c r="C6977" s="3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</row>
    <row r="6978" spans="1:15" ht="15" customHeight="1" x14ac:dyDescent="0.25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</row>
    <row r="6979" spans="1:15" ht="15" customHeight="1" x14ac:dyDescent="0.25">
      <c r="A6979" s="3"/>
      <c r="B6979" s="3"/>
      <c r="C6979" s="3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</row>
    <row r="6980" spans="1:15" ht="15" customHeight="1" x14ac:dyDescent="0.25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</row>
    <row r="6981" spans="1:15" ht="15" customHeight="1" x14ac:dyDescent="0.25">
      <c r="A6981" s="3"/>
      <c r="B6981" s="3"/>
      <c r="C6981" s="3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</row>
    <row r="6982" spans="1:15" ht="15" customHeight="1" x14ac:dyDescent="0.25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</row>
    <row r="6983" spans="1:15" ht="15" customHeight="1" x14ac:dyDescent="0.25">
      <c r="A6983" s="3"/>
      <c r="B6983" s="3"/>
      <c r="C6983" s="3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</row>
    <row r="6984" spans="1:15" ht="15" customHeight="1" x14ac:dyDescent="0.25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</row>
    <row r="6985" spans="1:15" ht="15" customHeight="1" x14ac:dyDescent="0.25">
      <c r="A6985" s="3"/>
      <c r="B6985" s="3"/>
      <c r="C6985" s="3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</row>
    <row r="6986" spans="1:15" ht="15" customHeight="1" x14ac:dyDescent="0.25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</row>
    <row r="6987" spans="1:15" ht="15" customHeight="1" x14ac:dyDescent="0.25">
      <c r="A6987" s="3"/>
      <c r="B6987" s="3"/>
      <c r="C6987" s="3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</row>
    <row r="6988" spans="1:15" ht="15" customHeight="1" x14ac:dyDescent="0.25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</row>
    <row r="6989" spans="1:15" ht="15" customHeight="1" x14ac:dyDescent="0.25">
      <c r="A6989" s="3"/>
      <c r="B6989" s="3"/>
      <c r="C6989" s="3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</row>
    <row r="6990" spans="1:15" ht="15" customHeight="1" x14ac:dyDescent="0.25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</row>
    <row r="6991" spans="1:15" ht="15" customHeight="1" x14ac:dyDescent="0.25">
      <c r="A6991" s="3"/>
      <c r="B6991" s="3"/>
      <c r="C6991" s="3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</row>
    <row r="6992" spans="1:15" ht="15" customHeight="1" x14ac:dyDescent="0.25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</row>
    <row r="6993" spans="1:15" ht="15" customHeight="1" x14ac:dyDescent="0.25">
      <c r="A6993" s="3"/>
      <c r="B6993" s="3"/>
      <c r="C6993" s="3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</row>
    <row r="6994" spans="1:15" ht="15" customHeight="1" x14ac:dyDescent="0.25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</row>
    <row r="6995" spans="1:15" ht="15" customHeight="1" x14ac:dyDescent="0.25">
      <c r="A6995" s="3"/>
      <c r="B6995" s="3"/>
      <c r="C6995" s="3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</row>
    <row r="6996" spans="1:15" ht="15" customHeight="1" x14ac:dyDescent="0.25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</row>
    <row r="6997" spans="1:15" ht="15" customHeight="1" x14ac:dyDescent="0.25">
      <c r="A6997" s="3"/>
      <c r="B6997" s="3"/>
      <c r="C6997" s="3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</row>
    <row r="6998" spans="1:15" ht="15" customHeight="1" x14ac:dyDescent="0.25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</row>
    <row r="6999" spans="1:15" ht="15" customHeight="1" x14ac:dyDescent="0.25">
      <c r="A6999" s="3"/>
      <c r="B6999" s="3"/>
      <c r="C6999" s="3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</row>
    <row r="7000" spans="1:15" ht="15" customHeight="1" x14ac:dyDescent="0.25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</row>
    <row r="7001" spans="1:15" ht="15" customHeight="1" x14ac:dyDescent="0.25">
      <c r="A7001" s="3"/>
      <c r="B7001" s="3"/>
      <c r="C7001" s="3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</row>
    <row r="7002" spans="1:15" ht="15" customHeight="1" x14ac:dyDescent="0.25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</row>
    <row r="7003" spans="1:15" ht="15" customHeight="1" x14ac:dyDescent="0.25">
      <c r="A7003" s="3"/>
      <c r="B7003" s="3"/>
      <c r="C7003" s="3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</row>
    <row r="7004" spans="1:15" ht="15" customHeight="1" x14ac:dyDescent="0.25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</row>
    <row r="7005" spans="1:15" ht="15" customHeight="1" x14ac:dyDescent="0.25">
      <c r="A7005" s="3"/>
      <c r="B7005" s="3"/>
      <c r="C7005" s="3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</row>
    <row r="7006" spans="1:15" ht="15" customHeight="1" x14ac:dyDescent="0.25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</row>
    <row r="7007" spans="1:15" ht="15" customHeight="1" x14ac:dyDescent="0.25">
      <c r="A7007" s="3"/>
      <c r="B7007" s="3"/>
      <c r="C7007" s="3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</row>
    <row r="7008" spans="1:15" ht="15" customHeight="1" x14ac:dyDescent="0.25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</row>
    <row r="7009" spans="1:15" ht="15" customHeight="1" x14ac:dyDescent="0.25">
      <c r="A7009" s="3"/>
      <c r="B7009" s="3"/>
      <c r="C7009" s="3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</row>
    <row r="7010" spans="1:15" ht="15" customHeight="1" x14ac:dyDescent="0.25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</row>
    <row r="7011" spans="1:15" ht="15" customHeight="1" x14ac:dyDescent="0.25">
      <c r="A7011" s="3"/>
      <c r="B7011" s="3"/>
      <c r="C7011" s="3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</row>
    <row r="7012" spans="1:15" ht="15" customHeight="1" x14ac:dyDescent="0.25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</row>
    <row r="7013" spans="1:15" ht="15" customHeight="1" x14ac:dyDescent="0.25">
      <c r="A7013" s="3"/>
      <c r="B7013" s="3"/>
      <c r="C7013" s="3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</row>
    <row r="7014" spans="1:15" ht="15" customHeight="1" x14ac:dyDescent="0.25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</row>
    <row r="7015" spans="1:15" ht="15" customHeight="1" x14ac:dyDescent="0.25">
      <c r="A7015" s="3"/>
      <c r="B7015" s="3"/>
      <c r="C7015" s="3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</row>
    <row r="7016" spans="1:15" ht="15" customHeight="1" x14ac:dyDescent="0.25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</row>
    <row r="7017" spans="1:15" ht="15" customHeight="1" x14ac:dyDescent="0.25">
      <c r="A7017" s="3"/>
      <c r="B7017" s="3"/>
      <c r="C7017" s="3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</row>
    <row r="7018" spans="1:15" ht="15" customHeight="1" x14ac:dyDescent="0.25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</row>
    <row r="7019" spans="1:15" ht="15" customHeight="1" x14ac:dyDescent="0.25">
      <c r="A7019" s="3"/>
      <c r="B7019" s="3"/>
      <c r="C7019" s="3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</row>
    <row r="7020" spans="1:15" ht="15" customHeight="1" x14ac:dyDescent="0.25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</row>
    <row r="7021" spans="1:15" ht="15" customHeight="1" x14ac:dyDescent="0.25">
      <c r="A7021" s="3"/>
      <c r="B7021" s="3"/>
      <c r="C7021" s="3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</row>
    <row r="7022" spans="1:15" ht="15" customHeight="1" x14ac:dyDescent="0.25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</row>
    <row r="7023" spans="1:15" ht="15" customHeight="1" x14ac:dyDescent="0.25">
      <c r="A7023" s="3"/>
      <c r="B7023" s="3"/>
      <c r="C7023" s="3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</row>
    <row r="7024" spans="1:15" ht="15" customHeight="1" x14ac:dyDescent="0.25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</row>
    <row r="7025" spans="1:15" ht="15" customHeight="1" x14ac:dyDescent="0.25">
      <c r="A7025" s="3"/>
      <c r="B7025" s="3"/>
      <c r="C7025" s="3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</row>
    <row r="7026" spans="1:15" ht="15" customHeight="1" x14ac:dyDescent="0.25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</row>
    <row r="7027" spans="1:15" ht="15" customHeight="1" x14ac:dyDescent="0.25">
      <c r="A7027" s="3"/>
      <c r="B7027" s="3"/>
      <c r="C7027" s="3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</row>
    <row r="7028" spans="1:15" ht="15" customHeight="1" x14ac:dyDescent="0.25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</row>
    <row r="7029" spans="1:15" ht="15" customHeight="1" x14ac:dyDescent="0.25">
      <c r="A7029" s="3"/>
      <c r="B7029" s="3"/>
      <c r="C7029" s="3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</row>
    <row r="7030" spans="1:15" ht="15" customHeight="1" x14ac:dyDescent="0.25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</row>
    <row r="7031" spans="1:15" ht="15" customHeight="1" x14ac:dyDescent="0.25">
      <c r="A7031" s="3"/>
      <c r="B7031" s="3"/>
      <c r="C7031" s="3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</row>
    <row r="7032" spans="1:15" ht="15" customHeight="1" x14ac:dyDescent="0.25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</row>
    <row r="7033" spans="1:15" ht="15" customHeight="1" x14ac:dyDescent="0.25">
      <c r="A7033" s="3"/>
      <c r="B7033" s="3"/>
      <c r="C7033" s="3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</row>
    <row r="7034" spans="1:15" ht="15" customHeight="1" x14ac:dyDescent="0.25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</row>
    <row r="7035" spans="1:15" ht="15" customHeight="1" x14ac:dyDescent="0.25">
      <c r="A7035" s="3"/>
      <c r="B7035" s="3"/>
      <c r="C7035" s="3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</row>
    <row r="7036" spans="1:15" ht="15" customHeight="1" x14ac:dyDescent="0.25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</row>
    <row r="7037" spans="1:15" ht="15" customHeight="1" x14ac:dyDescent="0.25">
      <c r="A7037" s="3"/>
      <c r="B7037" s="3"/>
      <c r="C7037" s="3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</row>
    <row r="7038" spans="1:15" ht="15" customHeight="1" x14ac:dyDescent="0.25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</row>
    <row r="7039" spans="1:15" ht="15" customHeight="1" x14ac:dyDescent="0.25">
      <c r="A7039" s="3"/>
      <c r="B7039" s="3"/>
      <c r="C7039" s="3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</row>
    <row r="7040" spans="1:15" ht="15" customHeight="1" x14ac:dyDescent="0.25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</row>
    <row r="7041" spans="1:15" ht="15" customHeight="1" x14ac:dyDescent="0.25">
      <c r="A7041" s="3"/>
      <c r="B7041" s="3"/>
      <c r="C7041" s="3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</row>
    <row r="7042" spans="1:15" ht="15" customHeight="1" x14ac:dyDescent="0.25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</row>
    <row r="7043" spans="1:15" ht="15" customHeight="1" x14ac:dyDescent="0.25">
      <c r="A7043" s="3"/>
      <c r="B7043" s="3"/>
      <c r="C7043" s="3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</row>
    <row r="7044" spans="1:15" ht="15" customHeight="1" x14ac:dyDescent="0.25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</row>
    <row r="7045" spans="1:15" ht="15" customHeight="1" x14ac:dyDescent="0.25">
      <c r="A7045" s="3"/>
      <c r="B7045" s="3"/>
      <c r="C7045" s="3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</row>
    <row r="7046" spans="1:15" ht="15" customHeight="1" x14ac:dyDescent="0.25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</row>
    <row r="7047" spans="1:15" ht="15" customHeight="1" x14ac:dyDescent="0.25">
      <c r="A7047" s="3"/>
      <c r="B7047" s="3"/>
      <c r="C7047" s="3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</row>
    <row r="7048" spans="1:15" ht="15" customHeight="1" x14ac:dyDescent="0.25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</row>
    <row r="7049" spans="1:15" ht="15" customHeight="1" x14ac:dyDescent="0.25">
      <c r="A7049" s="3"/>
      <c r="B7049" s="3"/>
      <c r="C7049" s="3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</row>
    <row r="7050" spans="1:15" ht="15" customHeight="1" x14ac:dyDescent="0.25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</row>
    <row r="7051" spans="1:15" ht="15" customHeight="1" x14ac:dyDescent="0.25">
      <c r="A7051" s="3"/>
      <c r="B7051" s="3"/>
      <c r="C7051" s="3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</row>
    <row r="7052" spans="1:15" ht="15" customHeight="1" x14ac:dyDescent="0.25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</row>
    <row r="7053" spans="1:15" ht="15" customHeight="1" x14ac:dyDescent="0.25">
      <c r="A7053" s="3"/>
      <c r="B7053" s="3"/>
      <c r="C7053" s="3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</row>
    <row r="7054" spans="1:15" ht="15" customHeight="1" x14ac:dyDescent="0.25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</row>
    <row r="7055" spans="1:15" ht="15" customHeight="1" x14ac:dyDescent="0.25">
      <c r="A7055" s="3"/>
      <c r="B7055" s="3"/>
      <c r="C7055" s="3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</row>
    <row r="7056" spans="1:15" ht="15" customHeight="1" x14ac:dyDescent="0.25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</row>
    <row r="7057" spans="1:15" ht="15" customHeight="1" x14ac:dyDescent="0.25">
      <c r="A7057" s="3"/>
      <c r="B7057" s="3"/>
      <c r="C7057" s="3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</row>
    <row r="7058" spans="1:15" ht="15" customHeight="1" x14ac:dyDescent="0.25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</row>
    <row r="7059" spans="1:15" ht="15" customHeight="1" x14ac:dyDescent="0.25">
      <c r="A7059" s="3"/>
      <c r="B7059" s="3"/>
      <c r="C7059" s="3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</row>
    <row r="7060" spans="1:15" ht="15" customHeight="1" x14ac:dyDescent="0.25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</row>
    <row r="7061" spans="1:15" ht="15" customHeight="1" x14ac:dyDescent="0.25">
      <c r="A7061" s="3"/>
      <c r="B7061" s="3"/>
      <c r="C7061" s="3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</row>
    <row r="7062" spans="1:15" ht="15" customHeight="1" x14ac:dyDescent="0.25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</row>
    <row r="7063" spans="1:15" ht="15" customHeight="1" x14ac:dyDescent="0.25">
      <c r="A7063" s="3"/>
      <c r="B7063" s="3"/>
      <c r="C7063" s="3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</row>
    <row r="7064" spans="1:15" ht="15" customHeight="1" x14ac:dyDescent="0.25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</row>
    <row r="7065" spans="1:15" ht="15" customHeight="1" x14ac:dyDescent="0.25">
      <c r="A7065" s="3"/>
      <c r="B7065" s="3"/>
      <c r="C7065" s="3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</row>
    <row r="7066" spans="1:15" ht="15" customHeight="1" x14ac:dyDescent="0.25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</row>
    <row r="7067" spans="1:15" ht="15" customHeight="1" x14ac:dyDescent="0.25">
      <c r="A7067" s="3"/>
      <c r="B7067" s="3"/>
      <c r="C7067" s="3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</row>
    <row r="7068" spans="1:15" ht="15" customHeight="1" x14ac:dyDescent="0.25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</row>
    <row r="7069" spans="1:15" ht="15" customHeight="1" x14ac:dyDescent="0.25">
      <c r="A7069" s="3"/>
      <c r="B7069" s="3"/>
      <c r="C7069" s="3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</row>
    <row r="7070" spans="1:15" ht="15" customHeight="1" x14ac:dyDescent="0.25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</row>
    <row r="7071" spans="1:15" ht="15" customHeight="1" x14ac:dyDescent="0.25">
      <c r="A7071" s="3"/>
      <c r="B7071" s="3"/>
      <c r="C7071" s="3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</row>
    <row r="7072" spans="1:15" ht="15" customHeight="1" x14ac:dyDescent="0.25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</row>
    <row r="7073" spans="1:15" ht="15" customHeight="1" x14ac:dyDescent="0.25">
      <c r="A7073" s="3"/>
      <c r="B7073" s="3"/>
      <c r="C7073" s="3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</row>
    <row r="7074" spans="1:15" ht="15" customHeight="1" x14ac:dyDescent="0.25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</row>
    <row r="7075" spans="1:15" ht="15" customHeight="1" x14ac:dyDescent="0.25">
      <c r="A7075" s="3"/>
      <c r="B7075" s="3"/>
      <c r="C7075" s="3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</row>
    <row r="7076" spans="1:15" ht="15" customHeight="1" x14ac:dyDescent="0.25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</row>
    <row r="7077" spans="1:15" ht="15" customHeight="1" x14ac:dyDescent="0.25">
      <c r="A7077" s="3"/>
      <c r="B7077" s="3"/>
      <c r="C7077" s="3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</row>
    <row r="7078" spans="1:15" ht="15" customHeight="1" x14ac:dyDescent="0.25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</row>
    <row r="7079" spans="1:15" ht="15" customHeight="1" x14ac:dyDescent="0.25">
      <c r="A7079" s="3"/>
      <c r="B7079" s="3"/>
      <c r="C7079" s="3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</row>
    <row r="7080" spans="1:15" ht="15" customHeight="1" x14ac:dyDescent="0.25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</row>
    <row r="7081" spans="1:15" ht="15" customHeight="1" x14ac:dyDescent="0.25">
      <c r="A7081" s="3"/>
      <c r="B7081" s="3"/>
      <c r="C7081" s="3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</row>
    <row r="7082" spans="1:15" ht="15" customHeight="1" x14ac:dyDescent="0.25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</row>
    <row r="7083" spans="1:15" ht="15" customHeight="1" x14ac:dyDescent="0.25">
      <c r="A7083" s="3"/>
      <c r="B7083" s="3"/>
      <c r="C7083" s="3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</row>
    <row r="7084" spans="1:15" ht="15" customHeight="1" x14ac:dyDescent="0.25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</row>
    <row r="7085" spans="1:15" ht="15" customHeight="1" x14ac:dyDescent="0.25">
      <c r="A7085" s="3"/>
      <c r="B7085" s="3"/>
      <c r="C7085" s="3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</row>
    <row r="7086" spans="1:15" ht="15" customHeight="1" x14ac:dyDescent="0.25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</row>
    <row r="7087" spans="1:15" ht="15" customHeight="1" x14ac:dyDescent="0.25">
      <c r="A7087" s="3"/>
      <c r="B7087" s="3"/>
      <c r="C7087" s="3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</row>
    <row r="7088" spans="1:15" ht="15" customHeight="1" x14ac:dyDescent="0.25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</row>
    <row r="7089" spans="1:15" ht="15" customHeight="1" x14ac:dyDescent="0.25">
      <c r="A7089" s="3"/>
      <c r="B7089" s="3"/>
      <c r="C7089" s="3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</row>
    <row r="7090" spans="1:15" ht="15" customHeight="1" x14ac:dyDescent="0.25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</row>
    <row r="7091" spans="1:15" ht="15" customHeight="1" x14ac:dyDescent="0.25">
      <c r="A7091" s="3"/>
      <c r="B7091" s="3"/>
      <c r="C7091" s="3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</row>
    <row r="7092" spans="1:15" ht="15" customHeight="1" x14ac:dyDescent="0.25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</row>
    <row r="7093" spans="1:15" ht="15" customHeight="1" x14ac:dyDescent="0.25">
      <c r="A7093" s="3"/>
      <c r="B7093" s="3"/>
      <c r="C7093" s="3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</row>
    <row r="7094" spans="1:15" ht="15" customHeight="1" x14ac:dyDescent="0.25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</row>
    <row r="7095" spans="1:15" ht="15" customHeight="1" x14ac:dyDescent="0.25">
      <c r="A7095" s="3"/>
      <c r="B7095" s="3"/>
      <c r="C7095" s="3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</row>
    <row r="7096" spans="1:15" ht="15" customHeight="1" x14ac:dyDescent="0.25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</row>
    <row r="7097" spans="1:15" ht="15" customHeight="1" x14ac:dyDescent="0.25">
      <c r="A7097" s="3"/>
      <c r="B7097" s="3"/>
      <c r="C7097" s="3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</row>
    <row r="7098" spans="1:15" ht="15" customHeight="1" x14ac:dyDescent="0.25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</row>
    <row r="7099" spans="1:15" ht="15" customHeight="1" x14ac:dyDescent="0.25">
      <c r="A7099" s="3"/>
      <c r="B7099" s="3"/>
      <c r="C7099" s="3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</row>
    <row r="7100" spans="1:15" ht="15" customHeight="1" x14ac:dyDescent="0.25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</row>
    <row r="7101" spans="1:15" ht="15" customHeight="1" x14ac:dyDescent="0.25">
      <c r="A7101" s="3"/>
      <c r="B7101" s="3"/>
      <c r="C7101" s="3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</row>
    <row r="7102" spans="1:15" ht="15" customHeight="1" x14ac:dyDescent="0.25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</row>
    <row r="7103" spans="1:15" ht="15" customHeight="1" x14ac:dyDescent="0.25">
      <c r="A7103" s="3"/>
      <c r="B7103" s="3"/>
      <c r="C7103" s="3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</row>
    <row r="7104" spans="1:15" ht="15" customHeight="1" x14ac:dyDescent="0.25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</row>
    <row r="7105" spans="1:15" ht="15" customHeight="1" x14ac:dyDescent="0.25">
      <c r="A7105" s="3"/>
      <c r="B7105" s="3"/>
      <c r="C7105" s="3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</row>
    <row r="7106" spans="1:15" ht="15" customHeight="1" x14ac:dyDescent="0.25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</row>
    <row r="7107" spans="1:15" ht="15" customHeight="1" x14ac:dyDescent="0.25">
      <c r="A7107" s="3"/>
      <c r="B7107" s="3"/>
      <c r="C7107" s="3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</row>
    <row r="7108" spans="1:15" ht="15" customHeight="1" x14ac:dyDescent="0.25">
      <c r="A7108" s="2"/>
      <c r="B7108" s="2"/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</row>
    <row r="7109" spans="1:15" ht="15" customHeight="1" x14ac:dyDescent="0.25">
      <c r="A7109" s="3"/>
      <c r="B7109" s="3"/>
      <c r="C7109" s="3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</row>
    <row r="7110" spans="1:15" ht="15" customHeight="1" x14ac:dyDescent="0.25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</row>
    <row r="7111" spans="1:15" ht="15" customHeight="1" x14ac:dyDescent="0.25">
      <c r="A7111" s="3"/>
      <c r="B7111" s="3"/>
      <c r="C7111" s="3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</row>
    <row r="7112" spans="1:15" ht="15" customHeight="1" x14ac:dyDescent="0.25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</row>
    <row r="7113" spans="1:15" ht="15" customHeight="1" x14ac:dyDescent="0.25">
      <c r="A7113" s="3"/>
      <c r="B7113" s="3"/>
      <c r="C7113" s="3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</row>
    <row r="7114" spans="1:15" ht="15" customHeight="1" x14ac:dyDescent="0.25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</row>
    <row r="7115" spans="1:15" ht="15" customHeight="1" x14ac:dyDescent="0.25">
      <c r="A7115" s="3"/>
      <c r="B7115" s="3"/>
      <c r="C7115" s="3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</row>
    <row r="7116" spans="1:15" ht="15" customHeight="1" x14ac:dyDescent="0.25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</row>
    <row r="7117" spans="1:15" ht="15" customHeight="1" x14ac:dyDescent="0.25">
      <c r="A7117" s="3"/>
      <c r="B7117" s="3"/>
      <c r="C7117" s="3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</row>
    <row r="7118" spans="1:15" ht="15" customHeight="1" x14ac:dyDescent="0.25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</row>
    <row r="7119" spans="1:15" ht="15" customHeight="1" x14ac:dyDescent="0.25">
      <c r="A7119" s="3"/>
      <c r="B7119" s="3"/>
      <c r="C7119" s="3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</row>
    <row r="7120" spans="1:15" ht="15" customHeight="1" x14ac:dyDescent="0.25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</row>
    <row r="7121" spans="1:15" ht="15" customHeight="1" x14ac:dyDescent="0.25">
      <c r="A7121" s="3"/>
      <c r="B7121" s="3"/>
      <c r="C7121" s="3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</row>
    <row r="7122" spans="1:15" ht="15" customHeight="1" x14ac:dyDescent="0.25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</row>
    <row r="7123" spans="1:15" ht="15" customHeight="1" x14ac:dyDescent="0.25">
      <c r="A7123" s="3"/>
      <c r="B7123" s="3"/>
      <c r="C7123" s="3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</row>
    <row r="7124" spans="1:15" ht="15" customHeight="1" x14ac:dyDescent="0.25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</row>
    <row r="7125" spans="1:15" ht="15" customHeight="1" x14ac:dyDescent="0.25">
      <c r="A7125" s="3"/>
      <c r="B7125" s="3"/>
      <c r="C7125" s="3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</row>
    <row r="7126" spans="1:15" ht="15" customHeight="1" x14ac:dyDescent="0.25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</row>
    <row r="7127" spans="1:15" ht="15" customHeight="1" x14ac:dyDescent="0.25">
      <c r="A7127" s="3"/>
      <c r="B7127" s="3"/>
      <c r="C7127" s="3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</row>
    <row r="7128" spans="1:15" ht="15" customHeight="1" x14ac:dyDescent="0.25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</row>
    <row r="7129" spans="1:15" ht="15" customHeight="1" x14ac:dyDescent="0.25">
      <c r="A7129" s="3"/>
      <c r="B7129" s="3"/>
      <c r="C7129" s="3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</row>
    <row r="7130" spans="1:15" ht="15" customHeight="1" x14ac:dyDescent="0.25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</row>
    <row r="7131" spans="1:15" ht="15" customHeight="1" x14ac:dyDescent="0.25">
      <c r="A7131" s="3"/>
      <c r="B7131" s="3"/>
      <c r="C7131" s="3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</row>
    <row r="7132" spans="1:15" ht="15" customHeight="1" x14ac:dyDescent="0.25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</row>
    <row r="7133" spans="1:15" ht="15" customHeight="1" x14ac:dyDescent="0.25">
      <c r="A7133" s="3"/>
      <c r="B7133" s="3"/>
      <c r="C7133" s="3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</row>
    <row r="7134" spans="1:15" ht="15" customHeight="1" x14ac:dyDescent="0.25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</row>
    <row r="7135" spans="1:15" ht="15" customHeight="1" x14ac:dyDescent="0.25">
      <c r="A7135" s="3"/>
      <c r="B7135" s="3"/>
      <c r="C7135" s="3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</row>
    <row r="7136" spans="1:15" ht="15" customHeight="1" x14ac:dyDescent="0.25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</row>
    <row r="7137" spans="1:15" ht="15" customHeight="1" x14ac:dyDescent="0.25">
      <c r="A7137" s="3"/>
      <c r="B7137" s="3"/>
      <c r="C7137" s="3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</row>
    <row r="7138" spans="1:15" ht="15" customHeight="1" x14ac:dyDescent="0.25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</row>
    <row r="7139" spans="1:15" ht="15" customHeight="1" x14ac:dyDescent="0.25">
      <c r="A7139" s="3"/>
      <c r="B7139" s="3"/>
      <c r="C7139" s="3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</row>
    <row r="7140" spans="1:15" ht="15" customHeight="1" x14ac:dyDescent="0.25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</row>
    <row r="7141" spans="1:15" ht="15" customHeight="1" x14ac:dyDescent="0.25">
      <c r="A7141" s="3"/>
      <c r="B7141" s="3"/>
      <c r="C7141" s="3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</row>
    <row r="7142" spans="1:15" ht="15" customHeight="1" x14ac:dyDescent="0.25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</row>
    <row r="7143" spans="1:15" ht="15" customHeight="1" x14ac:dyDescent="0.25">
      <c r="A7143" s="3"/>
      <c r="B7143" s="3"/>
      <c r="C7143" s="3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</row>
    <row r="7144" spans="1:15" ht="15" customHeight="1" x14ac:dyDescent="0.25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</row>
    <row r="7145" spans="1:15" ht="15" customHeight="1" x14ac:dyDescent="0.25">
      <c r="A7145" s="3"/>
      <c r="B7145" s="3"/>
      <c r="C7145" s="3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</row>
    <row r="7146" spans="1:15" ht="15" customHeight="1" x14ac:dyDescent="0.25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</row>
    <row r="7147" spans="1:15" ht="15" customHeight="1" x14ac:dyDescent="0.25">
      <c r="A7147" s="3"/>
      <c r="B7147" s="3"/>
      <c r="C7147" s="3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</row>
    <row r="7148" spans="1:15" ht="15" customHeight="1" x14ac:dyDescent="0.25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</row>
    <row r="7149" spans="1:15" ht="15" customHeight="1" x14ac:dyDescent="0.25">
      <c r="A7149" s="3"/>
      <c r="B7149" s="3"/>
      <c r="C7149" s="3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</row>
    <row r="7150" spans="1:15" ht="15" customHeight="1" x14ac:dyDescent="0.25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</row>
    <row r="7151" spans="1:15" ht="15" customHeight="1" x14ac:dyDescent="0.25">
      <c r="A7151" s="3"/>
      <c r="B7151" s="3"/>
      <c r="C7151" s="3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</row>
    <row r="7152" spans="1:15" ht="15" customHeight="1" x14ac:dyDescent="0.25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</row>
    <row r="7153" spans="1:15" ht="15" customHeight="1" x14ac:dyDescent="0.25">
      <c r="A7153" s="3"/>
      <c r="B7153" s="3"/>
      <c r="C7153" s="3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</row>
    <row r="7154" spans="1:15" ht="15" customHeight="1" x14ac:dyDescent="0.25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</row>
    <row r="7155" spans="1:15" ht="15" customHeight="1" x14ac:dyDescent="0.25">
      <c r="A7155" s="3"/>
      <c r="B7155" s="3"/>
      <c r="C7155" s="3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</row>
    <row r="7156" spans="1:15" ht="15" customHeight="1" x14ac:dyDescent="0.25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</row>
    <row r="7157" spans="1:15" ht="15" customHeight="1" x14ac:dyDescent="0.25">
      <c r="A7157" s="3"/>
      <c r="B7157" s="3"/>
      <c r="C7157" s="3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</row>
    <row r="7158" spans="1:15" ht="15" customHeight="1" x14ac:dyDescent="0.25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</row>
    <row r="7159" spans="1:15" ht="15" customHeight="1" x14ac:dyDescent="0.25">
      <c r="A7159" s="3"/>
      <c r="B7159" s="3"/>
      <c r="C7159" s="3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</row>
    <row r="7160" spans="1:15" ht="15" customHeight="1" x14ac:dyDescent="0.25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</row>
    <row r="7161" spans="1:15" ht="15" customHeight="1" x14ac:dyDescent="0.25">
      <c r="A7161" s="3"/>
      <c r="B7161" s="3"/>
      <c r="C7161" s="3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</row>
    <row r="7162" spans="1:15" ht="15" customHeight="1" x14ac:dyDescent="0.25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</row>
    <row r="7163" spans="1:15" ht="15" customHeight="1" x14ac:dyDescent="0.25">
      <c r="A7163" s="3"/>
      <c r="B7163" s="3"/>
      <c r="C7163" s="3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</row>
    <row r="7164" spans="1:15" ht="15" customHeight="1" x14ac:dyDescent="0.25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</row>
    <row r="7165" spans="1:15" ht="15" customHeight="1" x14ac:dyDescent="0.25">
      <c r="A7165" s="3"/>
      <c r="B7165" s="3"/>
      <c r="C7165" s="3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</row>
    <row r="7166" spans="1:15" ht="15" customHeight="1" x14ac:dyDescent="0.25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</row>
    <row r="7167" spans="1:15" ht="15" customHeight="1" x14ac:dyDescent="0.25">
      <c r="A7167" s="3"/>
      <c r="B7167" s="3"/>
      <c r="C7167" s="3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</row>
    <row r="7168" spans="1:15" ht="15" customHeight="1" x14ac:dyDescent="0.25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</row>
    <row r="7169" spans="1:15" ht="15" customHeight="1" x14ac:dyDescent="0.25">
      <c r="A7169" s="3"/>
      <c r="B7169" s="3"/>
      <c r="C7169" s="3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</row>
    <row r="7170" spans="1:15" ht="15" customHeight="1" x14ac:dyDescent="0.25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</row>
    <row r="7171" spans="1:15" ht="15" customHeight="1" x14ac:dyDescent="0.25">
      <c r="A7171" s="3"/>
      <c r="B7171" s="3"/>
      <c r="C7171" s="3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</row>
    <row r="7172" spans="1:15" ht="15" customHeight="1" x14ac:dyDescent="0.25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</row>
    <row r="7173" spans="1:15" ht="15" customHeight="1" x14ac:dyDescent="0.25">
      <c r="A7173" s="3"/>
      <c r="B7173" s="3"/>
      <c r="C7173" s="3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</row>
    <row r="7174" spans="1:15" ht="15" customHeight="1" x14ac:dyDescent="0.25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</row>
    <row r="7175" spans="1:15" ht="15" customHeight="1" x14ac:dyDescent="0.25">
      <c r="A7175" s="3"/>
      <c r="B7175" s="3"/>
      <c r="C7175" s="3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</row>
    <row r="7176" spans="1:15" ht="15" customHeight="1" x14ac:dyDescent="0.25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</row>
    <row r="7177" spans="1:15" ht="15" customHeight="1" x14ac:dyDescent="0.25">
      <c r="A7177" s="3"/>
      <c r="B7177" s="3"/>
      <c r="C7177" s="3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</row>
    <row r="7178" spans="1:15" ht="15" customHeight="1" x14ac:dyDescent="0.25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</row>
    <row r="7179" spans="1:15" ht="15" customHeight="1" x14ac:dyDescent="0.25">
      <c r="A7179" s="3"/>
      <c r="B7179" s="3"/>
      <c r="C7179" s="3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</row>
    <row r="7180" spans="1:15" ht="15" customHeight="1" x14ac:dyDescent="0.25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</row>
    <row r="7181" spans="1:15" ht="15" customHeight="1" x14ac:dyDescent="0.25">
      <c r="A7181" s="3"/>
      <c r="B7181" s="3"/>
      <c r="C7181" s="3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</row>
    <row r="7182" spans="1:15" ht="15" customHeight="1" x14ac:dyDescent="0.25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</row>
    <row r="7183" spans="1:15" ht="15" customHeight="1" x14ac:dyDescent="0.25">
      <c r="A7183" s="3"/>
      <c r="B7183" s="3"/>
      <c r="C7183" s="3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</row>
    <row r="7184" spans="1:15" ht="15" customHeight="1" x14ac:dyDescent="0.25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</row>
    <row r="7185" spans="1:15" ht="15" customHeight="1" x14ac:dyDescent="0.25">
      <c r="A7185" s="3"/>
      <c r="B7185" s="3"/>
      <c r="C7185" s="3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</row>
    <row r="7186" spans="1:15" ht="15" customHeight="1" x14ac:dyDescent="0.25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</row>
    <row r="7187" spans="1:15" ht="15" customHeight="1" x14ac:dyDescent="0.25">
      <c r="A7187" s="3"/>
      <c r="B7187" s="3"/>
      <c r="C7187" s="3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</row>
    <row r="7188" spans="1:15" ht="15" customHeight="1" x14ac:dyDescent="0.25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</row>
    <row r="7189" spans="1:15" ht="15" customHeight="1" x14ac:dyDescent="0.25">
      <c r="A7189" s="3"/>
      <c r="B7189" s="3"/>
      <c r="C7189" s="3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</row>
    <row r="7190" spans="1:15" ht="15" customHeight="1" x14ac:dyDescent="0.25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</row>
    <row r="7191" spans="1:15" ht="15" customHeight="1" x14ac:dyDescent="0.25">
      <c r="A7191" s="3"/>
      <c r="B7191" s="3"/>
      <c r="C7191" s="3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</row>
    <row r="7192" spans="1:15" ht="15" customHeight="1" x14ac:dyDescent="0.25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</row>
    <row r="7193" spans="1:15" ht="15" customHeight="1" x14ac:dyDescent="0.25">
      <c r="A7193" s="3"/>
      <c r="B7193" s="3"/>
      <c r="C7193" s="3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</row>
    <row r="7194" spans="1:15" ht="15" customHeight="1" x14ac:dyDescent="0.25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</row>
    <row r="7195" spans="1:15" ht="15" customHeight="1" x14ac:dyDescent="0.25">
      <c r="A7195" s="3"/>
      <c r="B7195" s="3"/>
      <c r="C7195" s="3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</row>
    <row r="7196" spans="1:15" ht="15" customHeight="1" x14ac:dyDescent="0.25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</row>
    <row r="7197" spans="1:15" ht="15" customHeight="1" x14ac:dyDescent="0.25">
      <c r="A7197" s="3"/>
      <c r="B7197" s="3"/>
      <c r="C7197" s="3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</row>
    <row r="7198" spans="1:15" ht="15" customHeight="1" x14ac:dyDescent="0.25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</row>
    <row r="7199" spans="1:15" ht="15" customHeight="1" x14ac:dyDescent="0.25">
      <c r="A7199" s="3"/>
      <c r="B7199" s="3"/>
      <c r="C7199" s="3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</row>
    <row r="7200" spans="1:15" ht="15" customHeight="1" x14ac:dyDescent="0.25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</row>
    <row r="7201" spans="1:15" ht="15" customHeight="1" x14ac:dyDescent="0.25">
      <c r="A7201" s="3"/>
      <c r="B7201" s="3"/>
      <c r="C7201" s="3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</row>
    <row r="7202" spans="1:15" ht="15" customHeight="1" x14ac:dyDescent="0.25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</row>
    <row r="7203" spans="1:15" ht="15" customHeight="1" x14ac:dyDescent="0.25">
      <c r="A7203" s="3"/>
      <c r="B7203" s="3"/>
      <c r="C7203" s="3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</row>
    <row r="7204" spans="1:15" ht="15" customHeight="1" x14ac:dyDescent="0.25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</row>
    <row r="7205" spans="1:15" ht="15" customHeight="1" x14ac:dyDescent="0.25">
      <c r="A7205" s="3"/>
      <c r="B7205" s="3"/>
      <c r="C7205" s="3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</row>
    <row r="7206" spans="1:15" ht="15" customHeight="1" x14ac:dyDescent="0.25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</row>
    <row r="7207" spans="1:15" ht="15" customHeight="1" x14ac:dyDescent="0.25">
      <c r="A7207" s="3"/>
      <c r="B7207" s="3"/>
      <c r="C7207" s="3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</row>
    <row r="7208" spans="1:15" ht="15" customHeight="1" x14ac:dyDescent="0.25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</row>
    <row r="7209" spans="1:15" ht="15" customHeight="1" x14ac:dyDescent="0.25">
      <c r="A7209" s="3"/>
      <c r="B7209" s="3"/>
      <c r="C7209" s="3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</row>
    <row r="7210" spans="1:15" ht="15" customHeight="1" x14ac:dyDescent="0.25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</row>
    <row r="7211" spans="1:15" ht="15" customHeight="1" x14ac:dyDescent="0.25">
      <c r="A7211" s="3"/>
      <c r="B7211" s="3"/>
      <c r="C7211" s="3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</row>
    <row r="7212" spans="1:15" ht="15" customHeight="1" x14ac:dyDescent="0.25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</row>
    <row r="7213" spans="1:15" ht="15" customHeight="1" x14ac:dyDescent="0.25">
      <c r="A7213" s="3"/>
      <c r="B7213" s="3"/>
      <c r="C7213" s="3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</row>
    <row r="7214" spans="1:15" ht="15" customHeight="1" x14ac:dyDescent="0.25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</row>
    <row r="7215" spans="1:15" ht="15" customHeight="1" x14ac:dyDescent="0.25">
      <c r="A7215" s="3"/>
      <c r="B7215" s="3"/>
      <c r="C7215" s="3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</row>
    <row r="7216" spans="1:15" ht="15" customHeight="1" x14ac:dyDescent="0.25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</row>
    <row r="7217" spans="1:15" ht="15" customHeight="1" x14ac:dyDescent="0.25">
      <c r="A7217" s="3"/>
      <c r="B7217" s="3"/>
      <c r="C7217" s="3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</row>
    <row r="7218" spans="1:15" ht="15" customHeight="1" x14ac:dyDescent="0.25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</row>
    <row r="7219" spans="1:15" ht="15" customHeight="1" x14ac:dyDescent="0.25">
      <c r="A7219" s="3"/>
      <c r="B7219" s="3"/>
      <c r="C7219" s="3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</row>
    <row r="7220" spans="1:15" ht="15" customHeight="1" x14ac:dyDescent="0.25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</row>
    <row r="7221" spans="1:15" ht="15" customHeight="1" x14ac:dyDescent="0.25">
      <c r="A7221" s="3"/>
      <c r="B7221" s="3"/>
      <c r="C7221" s="3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</row>
    <row r="7222" spans="1:15" ht="15" customHeight="1" x14ac:dyDescent="0.25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</row>
    <row r="7223" spans="1:15" ht="15" customHeight="1" x14ac:dyDescent="0.25">
      <c r="A7223" s="3"/>
      <c r="B7223" s="3"/>
      <c r="C7223" s="3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</row>
    <row r="7224" spans="1:15" ht="15" customHeight="1" x14ac:dyDescent="0.25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</row>
    <row r="7225" spans="1:15" ht="15" customHeight="1" x14ac:dyDescent="0.25">
      <c r="A7225" s="3"/>
      <c r="B7225" s="3"/>
      <c r="C7225" s="3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</row>
    <row r="7226" spans="1:15" ht="15" customHeight="1" x14ac:dyDescent="0.25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</row>
    <row r="7227" spans="1:15" ht="15" customHeight="1" x14ac:dyDescent="0.25">
      <c r="A7227" s="3"/>
      <c r="B7227" s="3"/>
      <c r="C7227" s="3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</row>
    <row r="7228" spans="1:15" ht="15" customHeight="1" x14ac:dyDescent="0.25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</row>
    <row r="7229" spans="1:15" ht="15" customHeight="1" x14ac:dyDescent="0.25">
      <c r="A7229" s="3"/>
      <c r="B7229" s="3"/>
      <c r="C7229" s="3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</row>
    <row r="7230" spans="1:15" ht="15" customHeight="1" x14ac:dyDescent="0.25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</row>
    <row r="7231" spans="1:15" ht="15" customHeight="1" x14ac:dyDescent="0.25">
      <c r="A7231" s="3"/>
      <c r="B7231" s="3"/>
      <c r="C7231" s="3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</row>
    <row r="7232" spans="1:15" ht="15" customHeight="1" x14ac:dyDescent="0.25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</row>
    <row r="7233" spans="1:15" ht="15" customHeight="1" x14ac:dyDescent="0.25">
      <c r="A7233" s="3"/>
      <c r="B7233" s="3"/>
      <c r="C7233" s="3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</row>
    <row r="7234" spans="1:15" ht="15" customHeight="1" x14ac:dyDescent="0.25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</row>
    <row r="7235" spans="1:15" ht="15" customHeight="1" x14ac:dyDescent="0.25">
      <c r="A7235" s="3"/>
      <c r="B7235" s="3"/>
      <c r="C7235" s="3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</row>
    <row r="7236" spans="1:15" ht="15" customHeight="1" x14ac:dyDescent="0.25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</row>
    <row r="7237" spans="1:15" ht="15" customHeight="1" x14ac:dyDescent="0.25">
      <c r="A7237" s="3"/>
      <c r="B7237" s="3"/>
      <c r="C7237" s="3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</row>
    <row r="7238" spans="1:15" ht="15" customHeight="1" x14ac:dyDescent="0.25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</row>
    <row r="7239" spans="1:15" ht="15" customHeight="1" x14ac:dyDescent="0.25">
      <c r="A7239" s="3"/>
      <c r="B7239" s="3"/>
      <c r="C7239" s="3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</row>
    <row r="7240" spans="1:15" ht="15" customHeight="1" x14ac:dyDescent="0.25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</row>
    <row r="7241" spans="1:15" ht="15" customHeight="1" x14ac:dyDescent="0.25">
      <c r="A7241" s="3"/>
      <c r="B7241" s="3"/>
      <c r="C7241" s="3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</row>
    <row r="7242" spans="1:15" ht="15" customHeight="1" x14ac:dyDescent="0.25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</row>
    <row r="7243" spans="1:15" ht="15" customHeight="1" x14ac:dyDescent="0.25">
      <c r="A7243" s="3"/>
      <c r="B7243" s="3"/>
      <c r="C7243" s="3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</row>
    <row r="7244" spans="1:15" ht="15" customHeight="1" x14ac:dyDescent="0.25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</row>
    <row r="7245" spans="1:15" ht="15" customHeight="1" x14ac:dyDescent="0.25">
      <c r="A7245" s="3"/>
      <c r="B7245" s="3"/>
      <c r="C7245" s="3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</row>
    <row r="7246" spans="1:15" ht="15" customHeight="1" x14ac:dyDescent="0.25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</row>
    <row r="7247" spans="1:15" ht="15" customHeight="1" x14ac:dyDescent="0.25">
      <c r="A7247" s="3"/>
      <c r="B7247" s="3"/>
      <c r="C7247" s="3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</row>
    <row r="7248" spans="1:15" ht="15" customHeight="1" x14ac:dyDescent="0.25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</row>
    <row r="7249" spans="1:15" ht="15" customHeight="1" x14ac:dyDescent="0.25">
      <c r="A7249" s="3"/>
      <c r="B7249" s="3"/>
      <c r="C7249" s="3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</row>
    <row r="7250" spans="1:15" ht="15" customHeight="1" x14ac:dyDescent="0.25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</row>
    <row r="7251" spans="1:15" ht="15" customHeight="1" x14ac:dyDescent="0.25">
      <c r="A7251" s="3"/>
      <c r="B7251" s="3"/>
      <c r="C7251" s="3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</row>
    <row r="7252" spans="1:15" ht="15" customHeight="1" x14ac:dyDescent="0.25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</row>
    <row r="7253" spans="1:15" ht="15" customHeight="1" x14ac:dyDescent="0.25">
      <c r="A7253" s="3"/>
      <c r="B7253" s="3"/>
      <c r="C7253" s="3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</row>
    <row r="7254" spans="1:15" ht="15" customHeight="1" x14ac:dyDescent="0.25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</row>
    <row r="7255" spans="1:15" ht="15" customHeight="1" x14ac:dyDescent="0.25">
      <c r="A7255" s="3"/>
      <c r="B7255" s="3"/>
      <c r="C7255" s="3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</row>
    <row r="7256" spans="1:15" ht="15" customHeight="1" x14ac:dyDescent="0.25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</row>
    <row r="7257" spans="1:15" ht="15" customHeight="1" x14ac:dyDescent="0.25">
      <c r="A7257" s="3"/>
      <c r="B7257" s="3"/>
      <c r="C7257" s="3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</row>
    <row r="7258" spans="1:15" ht="15" customHeight="1" x14ac:dyDescent="0.25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</row>
    <row r="7259" spans="1:15" ht="15" customHeight="1" x14ac:dyDescent="0.25">
      <c r="A7259" s="3"/>
      <c r="B7259" s="3"/>
      <c r="C7259" s="3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</row>
    <row r="7260" spans="1:15" ht="15" customHeight="1" x14ac:dyDescent="0.25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</row>
    <row r="7261" spans="1:15" ht="15" customHeight="1" x14ac:dyDescent="0.25">
      <c r="A7261" s="3"/>
      <c r="B7261" s="3"/>
      <c r="C7261" s="3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</row>
    <row r="7262" spans="1:15" ht="15" customHeight="1" x14ac:dyDescent="0.25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</row>
    <row r="7263" spans="1:15" ht="15" customHeight="1" x14ac:dyDescent="0.25">
      <c r="A7263" s="3"/>
      <c r="B7263" s="3"/>
      <c r="C7263" s="3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</row>
    <row r="7264" spans="1:15" ht="15" customHeight="1" x14ac:dyDescent="0.25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</row>
    <row r="7265" spans="1:15" ht="15" customHeight="1" x14ac:dyDescent="0.25">
      <c r="A7265" s="3"/>
      <c r="B7265" s="3"/>
      <c r="C7265" s="3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</row>
    <row r="7266" spans="1:15" ht="15" customHeight="1" x14ac:dyDescent="0.25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</row>
    <row r="7267" spans="1:15" ht="15" customHeight="1" x14ac:dyDescent="0.25">
      <c r="A7267" s="3"/>
      <c r="B7267" s="3"/>
      <c r="C7267" s="3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</row>
    <row r="7268" spans="1:15" ht="15" customHeight="1" x14ac:dyDescent="0.25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</row>
    <row r="7269" spans="1:15" ht="15" customHeight="1" x14ac:dyDescent="0.25">
      <c r="A7269" s="3"/>
      <c r="B7269" s="3"/>
      <c r="C7269" s="3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</row>
    <row r="7270" spans="1:15" ht="15" customHeight="1" x14ac:dyDescent="0.25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</row>
    <row r="7271" spans="1:15" ht="15" customHeight="1" x14ac:dyDescent="0.25">
      <c r="A7271" s="3"/>
      <c r="B7271" s="3"/>
      <c r="C7271" s="3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</row>
    <row r="7272" spans="1:15" ht="15" customHeight="1" x14ac:dyDescent="0.25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</row>
    <row r="7273" spans="1:15" ht="15" customHeight="1" x14ac:dyDescent="0.25">
      <c r="A7273" s="3"/>
      <c r="B7273" s="3"/>
      <c r="C7273" s="3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</row>
    <row r="7274" spans="1:15" ht="15" customHeight="1" x14ac:dyDescent="0.25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</row>
    <row r="7275" spans="1:15" ht="15" customHeight="1" x14ac:dyDescent="0.25">
      <c r="A7275" s="3"/>
      <c r="B7275" s="3"/>
      <c r="C7275" s="3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</row>
    <row r="7276" spans="1:15" ht="15" customHeight="1" x14ac:dyDescent="0.25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</row>
    <row r="7277" spans="1:15" ht="15" customHeight="1" x14ac:dyDescent="0.25">
      <c r="A7277" s="3"/>
      <c r="B7277" s="3"/>
      <c r="C7277" s="3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</row>
    <row r="7278" spans="1:15" ht="15" customHeight="1" x14ac:dyDescent="0.25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</row>
    <row r="7279" spans="1:15" ht="15" customHeight="1" x14ac:dyDescent="0.25">
      <c r="A7279" s="3"/>
      <c r="B7279" s="3"/>
      <c r="C7279" s="3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</row>
    <row r="7280" spans="1:15" ht="15" customHeight="1" x14ac:dyDescent="0.25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</row>
    <row r="7281" spans="1:15" ht="15" customHeight="1" x14ac:dyDescent="0.25">
      <c r="A7281" s="3"/>
      <c r="B7281" s="3"/>
      <c r="C7281" s="3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</row>
    <row r="7282" spans="1:15" ht="15" customHeight="1" x14ac:dyDescent="0.25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</row>
    <row r="7283" spans="1:15" ht="15" customHeight="1" x14ac:dyDescent="0.25">
      <c r="A7283" s="3"/>
      <c r="B7283" s="3"/>
      <c r="C7283" s="3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</row>
    <row r="7284" spans="1:15" ht="15" customHeight="1" x14ac:dyDescent="0.25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</row>
    <row r="7285" spans="1:15" ht="15" customHeight="1" x14ac:dyDescent="0.25">
      <c r="A7285" s="3"/>
      <c r="B7285" s="3"/>
      <c r="C7285" s="3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</row>
    <row r="7286" spans="1:15" ht="15" customHeight="1" x14ac:dyDescent="0.25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</row>
    <row r="7287" spans="1:15" ht="15" customHeight="1" x14ac:dyDescent="0.25">
      <c r="A7287" s="3"/>
      <c r="B7287" s="3"/>
      <c r="C7287" s="3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</row>
    <row r="7288" spans="1:15" ht="15" customHeight="1" x14ac:dyDescent="0.25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</row>
    <row r="7289" spans="1:15" ht="15" customHeight="1" x14ac:dyDescent="0.25">
      <c r="A7289" s="3"/>
      <c r="B7289" s="3"/>
      <c r="C7289" s="3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</row>
    <row r="7290" spans="1:15" ht="15" customHeight="1" x14ac:dyDescent="0.25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</row>
    <row r="7291" spans="1:15" ht="15" customHeight="1" x14ac:dyDescent="0.25">
      <c r="A7291" s="3"/>
      <c r="B7291" s="3"/>
      <c r="C7291" s="3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</row>
    <row r="7292" spans="1:15" ht="15" customHeight="1" x14ac:dyDescent="0.25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</row>
    <row r="7293" spans="1:15" ht="15" customHeight="1" x14ac:dyDescent="0.25">
      <c r="A7293" s="3"/>
      <c r="B7293" s="3"/>
      <c r="C7293" s="3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</row>
    <row r="7294" spans="1:15" ht="15" customHeight="1" x14ac:dyDescent="0.25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</row>
    <row r="7295" spans="1:15" ht="15" customHeight="1" x14ac:dyDescent="0.25">
      <c r="A7295" s="3"/>
      <c r="B7295" s="3"/>
      <c r="C7295" s="3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</row>
    <row r="7296" spans="1:15" ht="15" customHeight="1" x14ac:dyDescent="0.25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</row>
    <row r="7297" spans="1:15" ht="15" customHeight="1" x14ac:dyDescent="0.25">
      <c r="A7297" s="3"/>
      <c r="B7297" s="3"/>
      <c r="C7297" s="3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</row>
    <row r="7298" spans="1:15" ht="15" customHeight="1" x14ac:dyDescent="0.25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</row>
    <row r="7299" spans="1:15" ht="15" customHeight="1" x14ac:dyDescent="0.25">
      <c r="A7299" s="3"/>
      <c r="B7299" s="3"/>
      <c r="C7299" s="3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</row>
    <row r="7300" spans="1:15" ht="15" customHeight="1" x14ac:dyDescent="0.25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</row>
    <row r="7301" spans="1:15" ht="15" customHeight="1" x14ac:dyDescent="0.25">
      <c r="A7301" s="3"/>
      <c r="B7301" s="3"/>
      <c r="C7301" s="3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</row>
    <row r="7302" spans="1:15" ht="15" customHeight="1" x14ac:dyDescent="0.25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</row>
    <row r="7303" spans="1:15" ht="15" customHeight="1" x14ac:dyDescent="0.25">
      <c r="A7303" s="3"/>
      <c r="B7303" s="3"/>
      <c r="C7303" s="3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</row>
    <row r="7304" spans="1:15" ht="15" customHeight="1" x14ac:dyDescent="0.25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</row>
    <row r="7305" spans="1:15" ht="15" customHeight="1" x14ac:dyDescent="0.25">
      <c r="A7305" s="3"/>
      <c r="B7305" s="3"/>
      <c r="C7305" s="3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</row>
    <row r="7306" spans="1:15" ht="15" customHeight="1" x14ac:dyDescent="0.25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</row>
    <row r="7307" spans="1:15" ht="15" customHeight="1" x14ac:dyDescent="0.25">
      <c r="A7307" s="3"/>
      <c r="B7307" s="3"/>
      <c r="C7307" s="3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</row>
    <row r="7308" spans="1:15" ht="15" customHeight="1" x14ac:dyDescent="0.25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</row>
    <row r="7309" spans="1:15" ht="15" customHeight="1" x14ac:dyDescent="0.25">
      <c r="A7309" s="3"/>
      <c r="B7309" s="3"/>
      <c r="C7309" s="3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</row>
    <row r="7310" spans="1:15" ht="15" customHeight="1" x14ac:dyDescent="0.25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</row>
    <row r="7311" spans="1:15" ht="15" customHeight="1" x14ac:dyDescent="0.25">
      <c r="A7311" s="3"/>
      <c r="B7311" s="3"/>
      <c r="C7311" s="3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</row>
    <row r="7312" spans="1:15" ht="15" customHeight="1" x14ac:dyDescent="0.25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</row>
    <row r="7313" spans="1:15" ht="15" customHeight="1" x14ac:dyDescent="0.25">
      <c r="A7313" s="3"/>
      <c r="B7313" s="3"/>
      <c r="C7313" s="3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</row>
    <row r="7314" spans="1:15" ht="15" customHeight="1" x14ac:dyDescent="0.25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</row>
    <row r="7315" spans="1:15" ht="15" customHeight="1" x14ac:dyDescent="0.25">
      <c r="A7315" s="3"/>
      <c r="B7315" s="3"/>
      <c r="C7315" s="3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</row>
    <row r="7316" spans="1:15" ht="15" customHeight="1" x14ac:dyDescent="0.25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</row>
    <row r="7317" spans="1:15" ht="15" customHeight="1" x14ac:dyDescent="0.25">
      <c r="A7317" s="3"/>
      <c r="B7317" s="3"/>
      <c r="C7317" s="3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</row>
    <row r="7318" spans="1:15" ht="15" customHeight="1" x14ac:dyDescent="0.25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</row>
    <row r="7319" spans="1:15" ht="15" customHeight="1" x14ac:dyDescent="0.25">
      <c r="A7319" s="3"/>
      <c r="B7319" s="3"/>
      <c r="C7319" s="3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</row>
    <row r="7320" spans="1:15" ht="15" customHeight="1" x14ac:dyDescent="0.25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</row>
    <row r="7321" spans="1:15" ht="15" customHeight="1" x14ac:dyDescent="0.25">
      <c r="A7321" s="3"/>
      <c r="B7321" s="3"/>
      <c r="C7321" s="3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</row>
    <row r="7322" spans="1:15" ht="15" customHeight="1" x14ac:dyDescent="0.25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</row>
    <row r="7323" spans="1:15" ht="15" customHeight="1" x14ac:dyDescent="0.25">
      <c r="A7323" s="3"/>
      <c r="B7323" s="3"/>
      <c r="C7323" s="3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</row>
    <row r="7324" spans="1:15" ht="15" customHeight="1" x14ac:dyDescent="0.25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</row>
    <row r="7325" spans="1:15" ht="15" customHeight="1" x14ac:dyDescent="0.25">
      <c r="A7325" s="3"/>
      <c r="B7325" s="3"/>
      <c r="C7325" s="3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</row>
    <row r="7326" spans="1:15" ht="15" customHeight="1" x14ac:dyDescent="0.25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</row>
    <row r="7327" spans="1:15" ht="15" customHeight="1" x14ac:dyDescent="0.25">
      <c r="A7327" s="3"/>
      <c r="B7327" s="3"/>
      <c r="C7327" s="3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</row>
    <row r="7328" spans="1:15" ht="15" customHeight="1" x14ac:dyDescent="0.25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</row>
    <row r="7329" spans="1:15" ht="15" customHeight="1" x14ac:dyDescent="0.25">
      <c r="A7329" s="3"/>
      <c r="B7329" s="3"/>
      <c r="C7329" s="3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</row>
    <row r="7330" spans="1:15" ht="15" customHeight="1" x14ac:dyDescent="0.25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</row>
    <row r="7331" spans="1:15" ht="15" customHeight="1" x14ac:dyDescent="0.25">
      <c r="A7331" s="3"/>
      <c r="B7331" s="3"/>
      <c r="C7331" s="3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</row>
    <row r="7332" spans="1:15" ht="15" customHeight="1" x14ac:dyDescent="0.25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</row>
    <row r="7333" spans="1:15" ht="15" customHeight="1" x14ac:dyDescent="0.25">
      <c r="A7333" s="3"/>
      <c r="B7333" s="3"/>
      <c r="C7333" s="3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</row>
    <row r="7334" spans="1:15" ht="15" customHeight="1" x14ac:dyDescent="0.25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</row>
    <row r="7335" spans="1:15" ht="15" customHeight="1" x14ac:dyDescent="0.25">
      <c r="A7335" s="3"/>
      <c r="B7335" s="3"/>
      <c r="C7335" s="3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</row>
    <row r="7336" spans="1:15" ht="15" customHeight="1" x14ac:dyDescent="0.25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</row>
    <row r="7337" spans="1:15" ht="15" customHeight="1" x14ac:dyDescent="0.25">
      <c r="A7337" s="3"/>
      <c r="B7337" s="3"/>
      <c r="C7337" s="3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</row>
    <row r="7338" spans="1:15" ht="15" customHeight="1" x14ac:dyDescent="0.25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</row>
    <row r="7339" spans="1:15" ht="15" customHeight="1" x14ac:dyDescent="0.25">
      <c r="A7339" s="3"/>
      <c r="B7339" s="3"/>
      <c r="C7339" s="3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</row>
    <row r="7340" spans="1:15" ht="15" customHeight="1" x14ac:dyDescent="0.25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</row>
    <row r="7341" spans="1:15" ht="15" customHeight="1" x14ac:dyDescent="0.25">
      <c r="A7341" s="3"/>
      <c r="B7341" s="3"/>
      <c r="C7341" s="3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</row>
    <row r="7342" spans="1:15" ht="15" customHeight="1" x14ac:dyDescent="0.25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</row>
    <row r="7343" spans="1:15" ht="15" customHeight="1" x14ac:dyDescent="0.25">
      <c r="A7343" s="3"/>
      <c r="B7343" s="3"/>
      <c r="C7343" s="3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</row>
    <row r="7344" spans="1:15" ht="15" customHeight="1" x14ac:dyDescent="0.25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</row>
    <row r="7345" spans="1:15" ht="15" customHeight="1" x14ac:dyDescent="0.25">
      <c r="A7345" s="3"/>
      <c r="B7345" s="3"/>
      <c r="C7345" s="3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</row>
    <row r="7346" spans="1:15" ht="15" customHeight="1" x14ac:dyDescent="0.25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</row>
    <row r="7347" spans="1:15" ht="15" customHeight="1" x14ac:dyDescent="0.25">
      <c r="A7347" s="3"/>
      <c r="B7347" s="3"/>
      <c r="C7347" s="3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</row>
    <row r="7348" spans="1:15" ht="15" customHeight="1" x14ac:dyDescent="0.25">
      <c r="A7348" s="2"/>
      <c r="B7348" s="2"/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</row>
    <row r="7349" spans="1:15" ht="15" customHeight="1" x14ac:dyDescent="0.25">
      <c r="A7349" s="3"/>
      <c r="B7349" s="3"/>
      <c r="C7349" s="3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</row>
    <row r="7350" spans="1:15" ht="15" customHeight="1" x14ac:dyDescent="0.25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</row>
    <row r="7351" spans="1:15" ht="15" customHeight="1" x14ac:dyDescent="0.25">
      <c r="A7351" s="3"/>
      <c r="B7351" s="3"/>
      <c r="C7351" s="3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</row>
    <row r="7352" spans="1:15" ht="15" customHeight="1" x14ac:dyDescent="0.25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</row>
    <row r="7353" spans="1:15" ht="15" customHeight="1" x14ac:dyDescent="0.25">
      <c r="A7353" s="3"/>
      <c r="B7353" s="3"/>
      <c r="C7353" s="3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</row>
    <row r="7354" spans="1:15" ht="15" customHeight="1" x14ac:dyDescent="0.25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</row>
    <row r="7355" spans="1:15" ht="15" customHeight="1" x14ac:dyDescent="0.25">
      <c r="A7355" s="3"/>
      <c r="B7355" s="3"/>
      <c r="C7355" s="3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</row>
    <row r="7356" spans="1:15" ht="15" customHeight="1" x14ac:dyDescent="0.25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</row>
    <row r="7357" spans="1:15" ht="15" customHeight="1" x14ac:dyDescent="0.25">
      <c r="A7357" s="3"/>
      <c r="B7357" s="3"/>
      <c r="C7357" s="3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</row>
    <row r="7358" spans="1:15" ht="15" customHeight="1" x14ac:dyDescent="0.25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</row>
    <row r="7359" spans="1:15" ht="15" customHeight="1" x14ac:dyDescent="0.25">
      <c r="A7359" s="3"/>
      <c r="B7359" s="3"/>
      <c r="C7359" s="3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</row>
    <row r="7360" spans="1:15" ht="15" customHeight="1" x14ac:dyDescent="0.25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</row>
    <row r="7361" spans="1:15" ht="15" customHeight="1" x14ac:dyDescent="0.25">
      <c r="A7361" s="3"/>
      <c r="B7361" s="3"/>
      <c r="C7361" s="3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</row>
    <row r="7362" spans="1:15" ht="15" customHeight="1" x14ac:dyDescent="0.25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</row>
    <row r="7363" spans="1:15" ht="15" customHeight="1" x14ac:dyDescent="0.25">
      <c r="A7363" s="3"/>
      <c r="B7363" s="3"/>
      <c r="C7363" s="3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</row>
    <row r="7364" spans="1:15" ht="15" customHeight="1" x14ac:dyDescent="0.25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</row>
    <row r="7365" spans="1:15" ht="15" customHeight="1" x14ac:dyDescent="0.25">
      <c r="A7365" s="3"/>
      <c r="B7365" s="3"/>
      <c r="C7365" s="3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</row>
    <row r="7366" spans="1:15" ht="15" customHeight="1" x14ac:dyDescent="0.25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</row>
    <row r="7367" spans="1:15" ht="15" customHeight="1" x14ac:dyDescent="0.25">
      <c r="A7367" s="3"/>
      <c r="B7367" s="3"/>
      <c r="C7367" s="3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</row>
    <row r="7368" spans="1:15" ht="15" customHeight="1" x14ac:dyDescent="0.25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</row>
    <row r="7369" spans="1:15" ht="15" customHeight="1" x14ac:dyDescent="0.25">
      <c r="A7369" s="3"/>
      <c r="B7369" s="3"/>
      <c r="C7369" s="3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</row>
    <row r="7370" spans="1:15" ht="15" customHeight="1" x14ac:dyDescent="0.25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</row>
    <row r="7371" spans="1:15" ht="15" customHeight="1" x14ac:dyDescent="0.25">
      <c r="A7371" s="3"/>
      <c r="B7371" s="3"/>
      <c r="C7371" s="3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</row>
    <row r="7372" spans="1:15" ht="15" customHeight="1" x14ac:dyDescent="0.25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</row>
    <row r="7373" spans="1:15" ht="15" customHeight="1" x14ac:dyDescent="0.25">
      <c r="A7373" s="3"/>
      <c r="B7373" s="3"/>
      <c r="C7373" s="3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</row>
    <row r="7374" spans="1:15" ht="15" customHeight="1" x14ac:dyDescent="0.25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</row>
    <row r="7375" spans="1:15" ht="15" customHeight="1" x14ac:dyDescent="0.25">
      <c r="A7375" s="3"/>
      <c r="B7375" s="3"/>
      <c r="C7375" s="3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</row>
    <row r="7376" spans="1:15" ht="15" customHeight="1" x14ac:dyDescent="0.25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</row>
    <row r="7377" spans="1:15" ht="15" customHeight="1" x14ac:dyDescent="0.25">
      <c r="A7377" s="3"/>
      <c r="B7377" s="3"/>
      <c r="C7377" s="3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</row>
    <row r="7378" spans="1:15" ht="15" customHeight="1" x14ac:dyDescent="0.25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</row>
    <row r="7379" spans="1:15" ht="15" customHeight="1" x14ac:dyDescent="0.25">
      <c r="A7379" s="3"/>
      <c r="B7379" s="3"/>
      <c r="C7379" s="3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</row>
    <row r="7380" spans="1:15" ht="15" customHeight="1" x14ac:dyDescent="0.25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</row>
    <row r="7381" spans="1:15" ht="15" customHeight="1" x14ac:dyDescent="0.25">
      <c r="A7381" s="3"/>
      <c r="B7381" s="3"/>
      <c r="C7381" s="3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</row>
    <row r="7382" spans="1:15" ht="15" customHeight="1" x14ac:dyDescent="0.25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</row>
    <row r="7383" spans="1:15" ht="15" customHeight="1" x14ac:dyDescent="0.25">
      <c r="A7383" s="3"/>
      <c r="B7383" s="3"/>
      <c r="C7383" s="3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</row>
    <row r="7384" spans="1:15" ht="15" customHeight="1" x14ac:dyDescent="0.25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</row>
    <row r="7385" spans="1:15" ht="15" customHeight="1" x14ac:dyDescent="0.25">
      <c r="A7385" s="3"/>
      <c r="B7385" s="3"/>
      <c r="C7385" s="3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</row>
    <row r="7386" spans="1:15" ht="15" customHeight="1" x14ac:dyDescent="0.25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</row>
    <row r="7387" spans="1:15" ht="15" customHeight="1" x14ac:dyDescent="0.25">
      <c r="A7387" s="3"/>
      <c r="B7387" s="3"/>
      <c r="C7387" s="3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</row>
    <row r="7388" spans="1:15" ht="15" customHeight="1" x14ac:dyDescent="0.25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</row>
    <row r="7389" spans="1:15" ht="15" customHeight="1" x14ac:dyDescent="0.25">
      <c r="A7389" s="3"/>
      <c r="B7389" s="3"/>
      <c r="C7389" s="3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</row>
    <row r="7390" spans="1:15" ht="15" customHeight="1" x14ac:dyDescent="0.25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</row>
    <row r="7391" spans="1:15" ht="15" customHeight="1" x14ac:dyDescent="0.25">
      <c r="A7391" s="3"/>
      <c r="B7391" s="3"/>
      <c r="C7391" s="3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</row>
    <row r="7392" spans="1:15" ht="15" customHeight="1" x14ac:dyDescent="0.25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</row>
    <row r="7393" spans="1:15" ht="15" customHeight="1" x14ac:dyDescent="0.25">
      <c r="A7393" s="3"/>
      <c r="B7393" s="3"/>
      <c r="C7393" s="3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</row>
    <row r="7394" spans="1:15" ht="15" customHeight="1" x14ac:dyDescent="0.25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</row>
    <row r="7395" spans="1:15" ht="15" customHeight="1" x14ac:dyDescent="0.25">
      <c r="A7395" s="3"/>
      <c r="B7395" s="3"/>
      <c r="C7395" s="3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</row>
    <row r="7396" spans="1:15" ht="15" customHeight="1" x14ac:dyDescent="0.25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</row>
    <row r="7397" spans="1:15" ht="15" customHeight="1" x14ac:dyDescent="0.25">
      <c r="A7397" s="3"/>
      <c r="B7397" s="3"/>
      <c r="C7397" s="3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</row>
    <row r="7398" spans="1:15" ht="15" customHeight="1" x14ac:dyDescent="0.25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</row>
    <row r="7399" spans="1:15" ht="15" customHeight="1" x14ac:dyDescent="0.25">
      <c r="A7399" s="3"/>
      <c r="B7399" s="3"/>
      <c r="C7399" s="3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</row>
    <row r="7400" spans="1:15" ht="15" customHeight="1" x14ac:dyDescent="0.25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</row>
    <row r="7401" spans="1:15" ht="15" customHeight="1" x14ac:dyDescent="0.25">
      <c r="A7401" s="3"/>
      <c r="B7401" s="3"/>
      <c r="C7401" s="3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</row>
    <row r="7402" spans="1:15" ht="15" customHeight="1" x14ac:dyDescent="0.25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</row>
    <row r="7403" spans="1:15" ht="15" customHeight="1" x14ac:dyDescent="0.25">
      <c r="A7403" s="3"/>
      <c r="B7403" s="3"/>
      <c r="C7403" s="3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</row>
    <row r="7404" spans="1:15" ht="15" customHeight="1" x14ac:dyDescent="0.25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</row>
    <row r="7405" spans="1:15" ht="15" customHeight="1" x14ac:dyDescent="0.25">
      <c r="A7405" s="3"/>
      <c r="B7405" s="3"/>
      <c r="C7405" s="3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</row>
    <row r="7406" spans="1:15" ht="15" customHeight="1" x14ac:dyDescent="0.25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</row>
    <row r="7407" spans="1:15" ht="15" customHeight="1" x14ac:dyDescent="0.25">
      <c r="A7407" s="3"/>
      <c r="B7407" s="3"/>
      <c r="C7407" s="3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</row>
    <row r="7408" spans="1:15" ht="15" customHeight="1" x14ac:dyDescent="0.25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</row>
    <row r="7409" spans="1:15" ht="15" customHeight="1" x14ac:dyDescent="0.25">
      <c r="A7409" s="3"/>
      <c r="B7409" s="3"/>
      <c r="C7409" s="3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</row>
    <row r="7410" spans="1:15" ht="15" customHeight="1" x14ac:dyDescent="0.25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</row>
    <row r="7411" spans="1:15" ht="15" customHeight="1" x14ac:dyDescent="0.25">
      <c r="A7411" s="3"/>
      <c r="B7411" s="3"/>
      <c r="C7411" s="3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</row>
    <row r="7412" spans="1:15" ht="15" customHeight="1" x14ac:dyDescent="0.25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</row>
    <row r="7413" spans="1:15" ht="15" customHeight="1" x14ac:dyDescent="0.25">
      <c r="A7413" s="3"/>
      <c r="B7413" s="3"/>
      <c r="C7413" s="3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</row>
    <row r="7414" spans="1:15" ht="15" customHeight="1" x14ac:dyDescent="0.25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</row>
    <row r="7415" spans="1:15" ht="15" customHeight="1" x14ac:dyDescent="0.25">
      <c r="A7415" s="3"/>
      <c r="B7415" s="3"/>
      <c r="C7415" s="3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</row>
    <row r="7416" spans="1:15" ht="15" customHeight="1" x14ac:dyDescent="0.25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</row>
    <row r="7417" spans="1:15" ht="15" customHeight="1" x14ac:dyDescent="0.25">
      <c r="A7417" s="3"/>
      <c r="B7417" s="3"/>
      <c r="C7417" s="3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</row>
    <row r="7418" spans="1:15" ht="15" customHeight="1" x14ac:dyDescent="0.25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</row>
    <row r="7419" spans="1:15" ht="15" customHeight="1" x14ac:dyDescent="0.25">
      <c r="A7419" s="3"/>
      <c r="B7419" s="3"/>
      <c r="C7419" s="3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</row>
    <row r="7420" spans="1:15" ht="15" customHeight="1" x14ac:dyDescent="0.25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</row>
    <row r="7421" spans="1:15" ht="15" customHeight="1" x14ac:dyDescent="0.25">
      <c r="A7421" s="3"/>
      <c r="B7421" s="3"/>
      <c r="C7421" s="3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</row>
    <row r="7422" spans="1:15" ht="15" customHeight="1" x14ac:dyDescent="0.25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</row>
    <row r="7423" spans="1:15" ht="15" customHeight="1" x14ac:dyDescent="0.25">
      <c r="A7423" s="3"/>
      <c r="B7423" s="3"/>
      <c r="C7423" s="3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</row>
    <row r="7424" spans="1:15" ht="15" customHeight="1" x14ac:dyDescent="0.25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</row>
    <row r="7425" spans="1:15" ht="15" customHeight="1" x14ac:dyDescent="0.25">
      <c r="A7425" s="3"/>
      <c r="B7425" s="3"/>
      <c r="C7425" s="3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</row>
    <row r="7426" spans="1:15" ht="15" customHeight="1" x14ac:dyDescent="0.25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</row>
    <row r="7427" spans="1:15" ht="15" customHeight="1" x14ac:dyDescent="0.25">
      <c r="A7427" s="3"/>
      <c r="B7427" s="3"/>
      <c r="C7427" s="3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</row>
    <row r="7428" spans="1:15" ht="15" customHeight="1" x14ac:dyDescent="0.25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</row>
    <row r="7429" spans="1:15" ht="15" customHeight="1" x14ac:dyDescent="0.25">
      <c r="A7429" s="3"/>
      <c r="B7429" s="3"/>
      <c r="C7429" s="3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</row>
    <row r="7430" spans="1:15" ht="15" customHeight="1" x14ac:dyDescent="0.25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</row>
    <row r="7431" spans="1:15" ht="15" customHeight="1" x14ac:dyDescent="0.25">
      <c r="A7431" s="3"/>
      <c r="B7431" s="3"/>
      <c r="C7431" s="3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</row>
    <row r="7432" spans="1:15" ht="15" customHeight="1" x14ac:dyDescent="0.25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</row>
    <row r="7433" spans="1:15" ht="15" customHeight="1" x14ac:dyDescent="0.25">
      <c r="A7433" s="3"/>
      <c r="B7433" s="3"/>
      <c r="C7433" s="3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</row>
    <row r="7434" spans="1:15" ht="15" customHeight="1" x14ac:dyDescent="0.25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</row>
    <row r="7435" spans="1:15" ht="15" customHeight="1" x14ac:dyDescent="0.25">
      <c r="A7435" s="3"/>
      <c r="B7435" s="3"/>
      <c r="C7435" s="3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</row>
    <row r="7436" spans="1:15" ht="15" customHeight="1" x14ac:dyDescent="0.25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</row>
    <row r="7437" spans="1:15" ht="15" customHeight="1" x14ac:dyDescent="0.25">
      <c r="A7437" s="3"/>
      <c r="B7437" s="3"/>
      <c r="C7437" s="3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</row>
    <row r="7438" spans="1:15" ht="15" customHeight="1" x14ac:dyDescent="0.25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</row>
    <row r="7439" spans="1:15" ht="15" customHeight="1" x14ac:dyDescent="0.25">
      <c r="A7439" s="3"/>
      <c r="B7439" s="3"/>
      <c r="C7439" s="3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</row>
    <row r="7440" spans="1:15" ht="15" customHeight="1" x14ac:dyDescent="0.25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</row>
    <row r="7441" spans="1:15" ht="15" customHeight="1" x14ac:dyDescent="0.25">
      <c r="A7441" s="3"/>
      <c r="B7441" s="3"/>
      <c r="C7441" s="3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</row>
    <row r="7442" spans="1:15" ht="15" customHeight="1" x14ac:dyDescent="0.25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</row>
    <row r="7443" spans="1:15" ht="15" customHeight="1" x14ac:dyDescent="0.25">
      <c r="A7443" s="3"/>
      <c r="B7443" s="3"/>
      <c r="C7443" s="3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</row>
    <row r="7444" spans="1:15" ht="15" customHeight="1" x14ac:dyDescent="0.25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</row>
    <row r="7445" spans="1:15" ht="15" customHeight="1" x14ac:dyDescent="0.25">
      <c r="A7445" s="3"/>
      <c r="B7445" s="3"/>
      <c r="C7445" s="3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</row>
    <row r="7446" spans="1:15" ht="15" customHeight="1" x14ac:dyDescent="0.25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</row>
    <row r="7447" spans="1:15" ht="15" customHeight="1" x14ac:dyDescent="0.25">
      <c r="A7447" s="3"/>
      <c r="B7447" s="3"/>
      <c r="C7447" s="3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</row>
    <row r="7448" spans="1:15" ht="15" customHeight="1" x14ac:dyDescent="0.25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</row>
    <row r="7449" spans="1:15" ht="15" customHeight="1" x14ac:dyDescent="0.25">
      <c r="A7449" s="3"/>
      <c r="B7449" s="3"/>
      <c r="C7449" s="3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</row>
    <row r="7450" spans="1:15" ht="15" customHeight="1" x14ac:dyDescent="0.25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</row>
    <row r="7451" spans="1:15" ht="15" customHeight="1" x14ac:dyDescent="0.25">
      <c r="A7451" s="3"/>
      <c r="B7451" s="3"/>
      <c r="C7451" s="3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</row>
    <row r="7452" spans="1:15" ht="15" customHeight="1" x14ac:dyDescent="0.25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</row>
    <row r="7453" spans="1:15" ht="15" customHeight="1" x14ac:dyDescent="0.25">
      <c r="A7453" s="3"/>
      <c r="B7453" s="3"/>
      <c r="C7453" s="3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</row>
    <row r="7454" spans="1:15" ht="15" customHeight="1" x14ac:dyDescent="0.25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</row>
    <row r="7455" spans="1:15" ht="15" customHeight="1" x14ac:dyDescent="0.25">
      <c r="A7455" s="3"/>
      <c r="B7455" s="3"/>
      <c r="C7455" s="3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</row>
    <row r="7456" spans="1:15" ht="15" customHeight="1" x14ac:dyDescent="0.25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</row>
    <row r="7457" spans="1:15" ht="15" customHeight="1" x14ac:dyDescent="0.25">
      <c r="A7457" s="3"/>
      <c r="B7457" s="3"/>
      <c r="C7457" s="3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</row>
    <row r="7458" spans="1:15" ht="15" customHeight="1" x14ac:dyDescent="0.25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</row>
    <row r="7459" spans="1:15" ht="15" customHeight="1" x14ac:dyDescent="0.25">
      <c r="A7459" s="3"/>
      <c r="B7459" s="3"/>
      <c r="C7459" s="3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</row>
    <row r="7460" spans="1:15" ht="15" customHeight="1" x14ac:dyDescent="0.25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</row>
    <row r="7461" spans="1:15" ht="15" customHeight="1" x14ac:dyDescent="0.25">
      <c r="A7461" s="3"/>
      <c r="B7461" s="3"/>
      <c r="C7461" s="3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</row>
    <row r="7462" spans="1:15" ht="15" customHeight="1" x14ac:dyDescent="0.25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</row>
    <row r="7463" spans="1:15" ht="15" customHeight="1" x14ac:dyDescent="0.25">
      <c r="A7463" s="3"/>
      <c r="B7463" s="3"/>
      <c r="C7463" s="3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</row>
    <row r="7464" spans="1:15" ht="15" customHeight="1" x14ac:dyDescent="0.25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</row>
    <row r="7465" spans="1:15" ht="15" customHeight="1" x14ac:dyDescent="0.25">
      <c r="A7465" s="3"/>
      <c r="B7465" s="3"/>
      <c r="C7465" s="3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</row>
    <row r="7466" spans="1:15" ht="15" customHeight="1" x14ac:dyDescent="0.25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</row>
    <row r="7467" spans="1:15" ht="15" customHeight="1" x14ac:dyDescent="0.25">
      <c r="A7467" s="3"/>
      <c r="B7467" s="3"/>
      <c r="C7467" s="3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</row>
    <row r="7468" spans="1:15" ht="15" customHeight="1" x14ac:dyDescent="0.25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</row>
    <row r="7469" spans="1:15" ht="15" customHeight="1" x14ac:dyDescent="0.25">
      <c r="A7469" s="3"/>
      <c r="B7469" s="3"/>
      <c r="C7469" s="3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</row>
    <row r="7470" spans="1:15" ht="15" customHeight="1" x14ac:dyDescent="0.25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</row>
    <row r="7471" spans="1:15" ht="15" customHeight="1" x14ac:dyDescent="0.25">
      <c r="A7471" s="3"/>
      <c r="B7471" s="3"/>
      <c r="C7471" s="3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</row>
    <row r="7472" spans="1:15" ht="15" customHeight="1" x14ac:dyDescent="0.25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</row>
    <row r="7473" spans="1:15" ht="15" customHeight="1" x14ac:dyDescent="0.25">
      <c r="A7473" s="3"/>
      <c r="B7473" s="3"/>
      <c r="C7473" s="3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</row>
    <row r="7474" spans="1:15" ht="15" customHeight="1" x14ac:dyDescent="0.25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</row>
    <row r="7475" spans="1:15" ht="15" customHeight="1" x14ac:dyDescent="0.25">
      <c r="A7475" s="3"/>
      <c r="B7475" s="3"/>
      <c r="C7475" s="3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</row>
    <row r="7476" spans="1:15" ht="15" customHeight="1" x14ac:dyDescent="0.25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</row>
    <row r="7477" spans="1:15" ht="15" customHeight="1" x14ac:dyDescent="0.25">
      <c r="A7477" s="3"/>
      <c r="B7477" s="3"/>
      <c r="C7477" s="3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</row>
    <row r="7478" spans="1:15" ht="15" customHeight="1" x14ac:dyDescent="0.25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</row>
    <row r="7479" spans="1:15" ht="15" customHeight="1" x14ac:dyDescent="0.25">
      <c r="A7479" s="3"/>
      <c r="B7479" s="3"/>
      <c r="C7479" s="3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</row>
    <row r="7480" spans="1:15" ht="15" customHeight="1" x14ac:dyDescent="0.25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</row>
    <row r="7481" spans="1:15" ht="15" customHeight="1" x14ac:dyDescent="0.25">
      <c r="A7481" s="3"/>
      <c r="B7481" s="3"/>
      <c r="C7481" s="3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</row>
    <row r="7482" spans="1:15" ht="15" customHeight="1" x14ac:dyDescent="0.25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</row>
    <row r="7483" spans="1:15" ht="15" customHeight="1" x14ac:dyDescent="0.25">
      <c r="A7483" s="3"/>
      <c r="B7483" s="3"/>
      <c r="C7483" s="3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</row>
    <row r="7484" spans="1:15" ht="15" customHeight="1" x14ac:dyDescent="0.25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</row>
    <row r="7485" spans="1:15" ht="15" customHeight="1" x14ac:dyDescent="0.25">
      <c r="A7485" s="3"/>
      <c r="B7485" s="3"/>
      <c r="C7485" s="3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</row>
    <row r="7486" spans="1:15" ht="15" customHeight="1" x14ac:dyDescent="0.25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</row>
    <row r="7487" spans="1:15" ht="15" customHeight="1" x14ac:dyDescent="0.25">
      <c r="A7487" s="3"/>
      <c r="B7487" s="3"/>
      <c r="C7487" s="3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</row>
    <row r="7488" spans="1:15" ht="15" customHeight="1" x14ac:dyDescent="0.25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</row>
    <row r="7489" spans="1:15" ht="15" customHeight="1" x14ac:dyDescent="0.25">
      <c r="A7489" s="3"/>
      <c r="B7489" s="3"/>
      <c r="C7489" s="3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</row>
    <row r="7490" spans="1:15" ht="15" customHeight="1" x14ac:dyDescent="0.25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</row>
    <row r="7491" spans="1:15" ht="15" customHeight="1" x14ac:dyDescent="0.25">
      <c r="A7491" s="3"/>
      <c r="B7491" s="3"/>
      <c r="C7491" s="3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</row>
    <row r="7492" spans="1:15" ht="15" customHeight="1" x14ac:dyDescent="0.25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</row>
    <row r="7493" spans="1:15" ht="15" customHeight="1" x14ac:dyDescent="0.25">
      <c r="A7493" s="3"/>
      <c r="B7493" s="3"/>
      <c r="C7493" s="3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</row>
    <row r="7494" spans="1:15" ht="15" customHeight="1" x14ac:dyDescent="0.25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</row>
    <row r="7495" spans="1:15" ht="15" customHeight="1" x14ac:dyDescent="0.25">
      <c r="A7495" s="3"/>
      <c r="B7495" s="3"/>
      <c r="C7495" s="3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</row>
    <row r="7496" spans="1:15" ht="15" customHeight="1" x14ac:dyDescent="0.25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</row>
    <row r="7497" spans="1:15" ht="15" customHeight="1" x14ac:dyDescent="0.25">
      <c r="A7497" s="3"/>
      <c r="B7497" s="3"/>
      <c r="C7497" s="3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</row>
    <row r="7498" spans="1:15" ht="15" customHeight="1" x14ac:dyDescent="0.25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</row>
    <row r="7499" spans="1:15" ht="15" customHeight="1" x14ac:dyDescent="0.25">
      <c r="A7499" s="3"/>
      <c r="B7499" s="3"/>
      <c r="C7499" s="3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</row>
    <row r="7500" spans="1:15" ht="15" customHeight="1" x14ac:dyDescent="0.25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</row>
    <row r="7501" spans="1:15" ht="15" customHeight="1" x14ac:dyDescent="0.25">
      <c r="A7501" s="3"/>
      <c r="B7501" s="3"/>
      <c r="C7501" s="3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</row>
    <row r="7502" spans="1:15" ht="15" customHeight="1" x14ac:dyDescent="0.25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</row>
    <row r="7503" spans="1:15" ht="15" customHeight="1" x14ac:dyDescent="0.25">
      <c r="A7503" s="3"/>
      <c r="B7503" s="3"/>
      <c r="C7503" s="3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</row>
    <row r="7504" spans="1:15" ht="15" customHeight="1" x14ac:dyDescent="0.25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</row>
    <row r="7505" spans="1:15" ht="15" customHeight="1" x14ac:dyDescent="0.25">
      <c r="A7505" s="3"/>
      <c r="B7505" s="3"/>
      <c r="C7505" s="3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</row>
    <row r="7506" spans="1:15" ht="15" customHeight="1" x14ac:dyDescent="0.25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</row>
    <row r="7507" spans="1:15" ht="15" customHeight="1" x14ac:dyDescent="0.25">
      <c r="A7507" s="3"/>
      <c r="B7507" s="3"/>
      <c r="C7507" s="3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</row>
    <row r="7508" spans="1:15" ht="15" customHeight="1" x14ac:dyDescent="0.25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</row>
    <row r="7509" spans="1:15" ht="15" customHeight="1" x14ac:dyDescent="0.25">
      <c r="A7509" s="3"/>
      <c r="B7509" s="3"/>
      <c r="C7509" s="3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</row>
    <row r="7510" spans="1:15" ht="15" customHeight="1" x14ac:dyDescent="0.25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</row>
    <row r="7511" spans="1:15" ht="15" customHeight="1" x14ac:dyDescent="0.25">
      <c r="A7511" s="3"/>
      <c r="B7511" s="3"/>
      <c r="C7511" s="3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</row>
    <row r="7512" spans="1:15" ht="15" customHeight="1" x14ac:dyDescent="0.25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</row>
    <row r="7513" spans="1:15" ht="15" customHeight="1" x14ac:dyDescent="0.25">
      <c r="A7513" s="3"/>
      <c r="B7513" s="3"/>
      <c r="C7513" s="3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</row>
    <row r="7514" spans="1:15" ht="15" customHeight="1" x14ac:dyDescent="0.25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</row>
    <row r="7515" spans="1:15" ht="15" customHeight="1" x14ac:dyDescent="0.25">
      <c r="A7515" s="3"/>
      <c r="B7515" s="3"/>
      <c r="C7515" s="3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</row>
    <row r="7516" spans="1:15" ht="15" customHeight="1" x14ac:dyDescent="0.25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</row>
    <row r="7517" spans="1:15" ht="15" customHeight="1" x14ac:dyDescent="0.25">
      <c r="A7517" s="3"/>
      <c r="B7517" s="3"/>
      <c r="C7517" s="3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</row>
    <row r="7518" spans="1:15" ht="15" customHeight="1" x14ac:dyDescent="0.25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</row>
    <row r="7519" spans="1:15" ht="15" customHeight="1" x14ac:dyDescent="0.25">
      <c r="A7519" s="3"/>
      <c r="B7519" s="3"/>
      <c r="C7519" s="3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</row>
    <row r="7520" spans="1:15" ht="15" customHeight="1" x14ac:dyDescent="0.25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</row>
    <row r="7521" spans="1:15" ht="15" customHeight="1" x14ac:dyDescent="0.25">
      <c r="A7521" s="3"/>
      <c r="B7521" s="3"/>
      <c r="C7521" s="3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</row>
    <row r="7522" spans="1:15" ht="15" customHeight="1" x14ac:dyDescent="0.25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</row>
    <row r="7523" spans="1:15" ht="15" customHeight="1" x14ac:dyDescent="0.25">
      <c r="A7523" s="3"/>
      <c r="B7523" s="3"/>
      <c r="C7523" s="3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</row>
    <row r="7524" spans="1:15" ht="15" customHeight="1" x14ac:dyDescent="0.25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</row>
    <row r="7525" spans="1:15" ht="15" customHeight="1" x14ac:dyDescent="0.25">
      <c r="A7525" s="3"/>
      <c r="B7525" s="3"/>
      <c r="C7525" s="3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</row>
    <row r="7526" spans="1:15" ht="15" customHeight="1" x14ac:dyDescent="0.25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</row>
    <row r="7527" spans="1:15" ht="15" customHeight="1" x14ac:dyDescent="0.25">
      <c r="A7527" s="3"/>
      <c r="B7527" s="3"/>
      <c r="C7527" s="3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</row>
    <row r="7528" spans="1:15" ht="15" customHeight="1" x14ac:dyDescent="0.25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</row>
    <row r="7529" spans="1:15" ht="15" customHeight="1" x14ac:dyDescent="0.25">
      <c r="A7529" s="3"/>
      <c r="B7529" s="3"/>
      <c r="C7529" s="3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</row>
    <row r="7530" spans="1:15" ht="15" customHeight="1" x14ac:dyDescent="0.25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</row>
    <row r="7531" spans="1:15" ht="15" customHeight="1" x14ac:dyDescent="0.25">
      <c r="A7531" s="3"/>
      <c r="B7531" s="3"/>
      <c r="C7531" s="3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</row>
    <row r="7532" spans="1:15" ht="15" customHeight="1" x14ac:dyDescent="0.25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</row>
    <row r="7533" spans="1:15" ht="15" customHeight="1" x14ac:dyDescent="0.25">
      <c r="A7533" s="3"/>
      <c r="B7533" s="3"/>
      <c r="C7533" s="3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</row>
    <row r="7534" spans="1:15" ht="15" customHeight="1" x14ac:dyDescent="0.25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</row>
    <row r="7535" spans="1:15" ht="15" customHeight="1" x14ac:dyDescent="0.25">
      <c r="A7535" s="3"/>
      <c r="B7535" s="3"/>
      <c r="C7535" s="3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</row>
    <row r="7536" spans="1:15" ht="15" customHeight="1" x14ac:dyDescent="0.25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</row>
    <row r="7537" spans="1:15" ht="15" customHeight="1" x14ac:dyDescent="0.25">
      <c r="A7537" s="3"/>
      <c r="B7537" s="3"/>
      <c r="C7537" s="3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</row>
    <row r="7538" spans="1:15" ht="15" customHeight="1" x14ac:dyDescent="0.25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</row>
    <row r="7539" spans="1:15" ht="15" customHeight="1" x14ac:dyDescent="0.25">
      <c r="A7539" s="3"/>
      <c r="B7539" s="3"/>
      <c r="C7539" s="3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</row>
    <row r="7540" spans="1:15" ht="15" customHeight="1" x14ac:dyDescent="0.25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</row>
    <row r="7541" spans="1:15" ht="15" customHeight="1" x14ac:dyDescent="0.25">
      <c r="A7541" s="3"/>
      <c r="B7541" s="3"/>
      <c r="C7541" s="3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</row>
    <row r="7542" spans="1:15" ht="15" customHeight="1" x14ac:dyDescent="0.25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</row>
    <row r="7543" spans="1:15" ht="15" customHeight="1" x14ac:dyDescent="0.25">
      <c r="A7543" s="3"/>
      <c r="B7543" s="3"/>
      <c r="C7543" s="3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</row>
    <row r="7544" spans="1:15" ht="15" customHeight="1" x14ac:dyDescent="0.25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</row>
    <row r="7545" spans="1:15" ht="15" customHeight="1" x14ac:dyDescent="0.25">
      <c r="A7545" s="3"/>
      <c r="B7545" s="3"/>
      <c r="C7545" s="3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</row>
    <row r="7546" spans="1:15" ht="15" customHeight="1" x14ac:dyDescent="0.25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</row>
    <row r="7547" spans="1:15" ht="15" customHeight="1" x14ac:dyDescent="0.25">
      <c r="A7547" s="3"/>
      <c r="B7547" s="3"/>
      <c r="C7547" s="3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</row>
    <row r="7548" spans="1:15" ht="15" customHeight="1" x14ac:dyDescent="0.25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</row>
    <row r="7549" spans="1:15" ht="15" customHeight="1" x14ac:dyDescent="0.25">
      <c r="A7549" s="3"/>
      <c r="B7549" s="3"/>
      <c r="C7549" s="3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</row>
    <row r="7550" spans="1:15" ht="15" customHeight="1" x14ac:dyDescent="0.25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</row>
    <row r="7551" spans="1:15" ht="15" customHeight="1" x14ac:dyDescent="0.25">
      <c r="A7551" s="3"/>
      <c r="B7551" s="3"/>
      <c r="C7551" s="3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</row>
    <row r="7552" spans="1:15" ht="15" customHeight="1" x14ac:dyDescent="0.25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</row>
    <row r="7553" spans="1:15" ht="15" customHeight="1" x14ac:dyDescent="0.25">
      <c r="A7553" s="3"/>
      <c r="B7553" s="3"/>
      <c r="C7553" s="3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</row>
    <row r="7554" spans="1:15" ht="15" customHeight="1" x14ac:dyDescent="0.25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</row>
    <row r="7555" spans="1:15" ht="15" customHeight="1" x14ac:dyDescent="0.25">
      <c r="A7555" s="3"/>
      <c r="B7555" s="3"/>
      <c r="C7555" s="3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</row>
    <row r="7556" spans="1:15" ht="15" customHeight="1" x14ac:dyDescent="0.25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</row>
    <row r="7557" spans="1:15" ht="15" customHeight="1" x14ac:dyDescent="0.25">
      <c r="A7557" s="3"/>
      <c r="B7557" s="3"/>
      <c r="C7557" s="3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</row>
    <row r="7558" spans="1:15" ht="15" customHeight="1" x14ac:dyDescent="0.25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</row>
    <row r="7559" spans="1:15" ht="15" customHeight="1" x14ac:dyDescent="0.25">
      <c r="A7559" s="3"/>
      <c r="B7559" s="3"/>
      <c r="C7559" s="3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</row>
    <row r="7560" spans="1:15" ht="15" customHeight="1" x14ac:dyDescent="0.25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</row>
    <row r="7561" spans="1:15" ht="15" customHeight="1" x14ac:dyDescent="0.25">
      <c r="A7561" s="3"/>
      <c r="B7561" s="3"/>
      <c r="C7561" s="3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</row>
    <row r="7562" spans="1:15" ht="15" customHeight="1" x14ac:dyDescent="0.25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</row>
    <row r="7563" spans="1:15" ht="15" customHeight="1" x14ac:dyDescent="0.25">
      <c r="A7563" s="3"/>
      <c r="B7563" s="3"/>
      <c r="C7563" s="3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</row>
    <row r="7564" spans="1:15" ht="15" customHeight="1" x14ac:dyDescent="0.25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</row>
    <row r="7565" spans="1:15" ht="15" customHeight="1" x14ac:dyDescent="0.25">
      <c r="A7565" s="3"/>
      <c r="B7565" s="3"/>
      <c r="C7565" s="3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</row>
    <row r="7566" spans="1:15" ht="15" customHeight="1" x14ac:dyDescent="0.25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</row>
    <row r="7567" spans="1:15" ht="15" customHeight="1" x14ac:dyDescent="0.25">
      <c r="A7567" s="3"/>
      <c r="B7567" s="3"/>
      <c r="C7567" s="3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</row>
    <row r="7568" spans="1:15" ht="15" customHeight="1" x14ac:dyDescent="0.25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</row>
    <row r="7569" spans="1:15" ht="15" customHeight="1" x14ac:dyDescent="0.25">
      <c r="A7569" s="3"/>
      <c r="B7569" s="3"/>
      <c r="C7569" s="3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</row>
    <row r="7570" spans="1:15" ht="15" customHeight="1" x14ac:dyDescent="0.25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</row>
    <row r="7571" spans="1:15" ht="15" customHeight="1" x14ac:dyDescent="0.25">
      <c r="A7571" s="3"/>
      <c r="B7571" s="3"/>
      <c r="C7571" s="3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</row>
    <row r="7572" spans="1:15" ht="15" customHeight="1" x14ac:dyDescent="0.25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</row>
    <row r="7573" spans="1:15" ht="15" customHeight="1" x14ac:dyDescent="0.25">
      <c r="A7573" s="3"/>
      <c r="B7573" s="3"/>
      <c r="C7573" s="3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</row>
    <row r="7574" spans="1:15" ht="15" customHeight="1" x14ac:dyDescent="0.25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</row>
    <row r="7575" spans="1:15" ht="15" customHeight="1" x14ac:dyDescent="0.25">
      <c r="A7575" s="3"/>
      <c r="B7575" s="3"/>
      <c r="C7575" s="3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</row>
    <row r="7576" spans="1:15" ht="15" customHeight="1" x14ac:dyDescent="0.25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</row>
    <row r="7577" spans="1:15" ht="15" customHeight="1" x14ac:dyDescent="0.25">
      <c r="A7577" s="3"/>
      <c r="B7577" s="3"/>
      <c r="C7577" s="3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</row>
    <row r="7578" spans="1:15" ht="15" customHeight="1" x14ac:dyDescent="0.25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</row>
    <row r="7579" spans="1:15" ht="15" customHeight="1" x14ac:dyDescent="0.25">
      <c r="A7579" s="3"/>
      <c r="B7579" s="3"/>
      <c r="C7579" s="3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</row>
    <row r="7580" spans="1:15" ht="15" customHeight="1" x14ac:dyDescent="0.25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</row>
    <row r="7581" spans="1:15" ht="15" customHeight="1" x14ac:dyDescent="0.25">
      <c r="A7581" s="3"/>
      <c r="B7581" s="3"/>
      <c r="C7581" s="3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</row>
    <row r="7582" spans="1:15" ht="15" customHeight="1" x14ac:dyDescent="0.25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</row>
    <row r="7583" spans="1:15" ht="15" customHeight="1" x14ac:dyDescent="0.25">
      <c r="A7583" s="3"/>
      <c r="B7583" s="3"/>
      <c r="C7583" s="3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</row>
    <row r="7584" spans="1:15" ht="15" customHeight="1" x14ac:dyDescent="0.25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</row>
    <row r="7585" spans="1:15" ht="15" customHeight="1" x14ac:dyDescent="0.25">
      <c r="A7585" s="3"/>
      <c r="B7585" s="3"/>
      <c r="C7585" s="3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</row>
    <row r="7586" spans="1:15" ht="15" customHeight="1" x14ac:dyDescent="0.25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</row>
    <row r="7587" spans="1:15" ht="15" customHeight="1" x14ac:dyDescent="0.25">
      <c r="A7587" s="3"/>
      <c r="B7587" s="3"/>
      <c r="C7587" s="3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</row>
    <row r="7588" spans="1:15" ht="15" customHeight="1" x14ac:dyDescent="0.25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</row>
    <row r="7589" spans="1:15" ht="15" customHeight="1" x14ac:dyDescent="0.25">
      <c r="A7589" s="3"/>
      <c r="B7589" s="3"/>
      <c r="C7589" s="3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</row>
    <row r="7590" spans="1:15" ht="15" customHeight="1" x14ac:dyDescent="0.25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</row>
    <row r="7591" spans="1:15" ht="15" customHeight="1" x14ac:dyDescent="0.25">
      <c r="A7591" s="3"/>
      <c r="B7591" s="3"/>
      <c r="C7591" s="3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</row>
    <row r="7592" spans="1:15" ht="15" customHeight="1" x14ac:dyDescent="0.25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</row>
    <row r="7593" spans="1:15" ht="15" customHeight="1" x14ac:dyDescent="0.25">
      <c r="A7593" s="3"/>
      <c r="B7593" s="3"/>
      <c r="C7593" s="3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</row>
    <row r="7594" spans="1:15" ht="15" customHeight="1" x14ac:dyDescent="0.25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</row>
    <row r="7595" spans="1:15" ht="15" customHeight="1" x14ac:dyDescent="0.25">
      <c r="A7595" s="3"/>
      <c r="B7595" s="3"/>
      <c r="C7595" s="3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</row>
    <row r="7596" spans="1:15" ht="15" customHeight="1" x14ac:dyDescent="0.25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</row>
    <row r="7597" spans="1:15" ht="15" customHeight="1" x14ac:dyDescent="0.25">
      <c r="A7597" s="3"/>
      <c r="B7597" s="3"/>
      <c r="C7597" s="3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</row>
    <row r="7598" spans="1:15" ht="15" customHeight="1" x14ac:dyDescent="0.25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</row>
    <row r="7599" spans="1:15" ht="15" customHeight="1" x14ac:dyDescent="0.25">
      <c r="A7599" s="3"/>
      <c r="B7599" s="3"/>
      <c r="C7599" s="3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</row>
    <row r="7600" spans="1:15" ht="15" customHeight="1" x14ac:dyDescent="0.25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</row>
    <row r="7601" spans="1:15" ht="15" customHeight="1" x14ac:dyDescent="0.25">
      <c r="A7601" s="3"/>
      <c r="B7601" s="3"/>
      <c r="C7601" s="3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</row>
    <row r="7602" spans="1:15" ht="15" customHeight="1" x14ac:dyDescent="0.25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</row>
    <row r="7603" spans="1:15" ht="15" customHeight="1" x14ac:dyDescent="0.25">
      <c r="A7603" s="3"/>
      <c r="B7603" s="3"/>
      <c r="C7603" s="3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</row>
    <row r="7604" spans="1:15" ht="15" customHeight="1" x14ac:dyDescent="0.25">
      <c r="A7604" s="2"/>
      <c r="B7604" s="2"/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</row>
    <row r="7605" spans="1:15" ht="15" customHeight="1" x14ac:dyDescent="0.25">
      <c r="A7605" s="3"/>
      <c r="B7605" s="3"/>
      <c r="C7605" s="3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</row>
    <row r="7606" spans="1:15" ht="15" customHeight="1" x14ac:dyDescent="0.25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</row>
    <row r="7607" spans="1:15" ht="15" customHeight="1" x14ac:dyDescent="0.25">
      <c r="A7607" s="3"/>
      <c r="B7607" s="3"/>
      <c r="C7607" s="3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</row>
    <row r="7608" spans="1:15" ht="15" customHeight="1" x14ac:dyDescent="0.25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</row>
    <row r="7609" spans="1:15" ht="15" customHeight="1" x14ac:dyDescent="0.25">
      <c r="A7609" s="3"/>
      <c r="B7609" s="3"/>
      <c r="C7609" s="3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</row>
    <row r="7610" spans="1:15" ht="15" customHeight="1" x14ac:dyDescent="0.25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</row>
    <row r="7611" spans="1:15" ht="15" customHeight="1" x14ac:dyDescent="0.25">
      <c r="A7611" s="3"/>
      <c r="B7611" s="3"/>
      <c r="C7611" s="3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</row>
    <row r="7612" spans="1:15" ht="15" customHeight="1" x14ac:dyDescent="0.25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</row>
    <row r="7613" spans="1:15" ht="15" customHeight="1" x14ac:dyDescent="0.25">
      <c r="A7613" s="3"/>
      <c r="B7613" s="3"/>
      <c r="C7613" s="3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</row>
    <row r="7614" spans="1:15" ht="15" customHeight="1" x14ac:dyDescent="0.25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</row>
    <row r="7615" spans="1:15" ht="15" customHeight="1" x14ac:dyDescent="0.25">
      <c r="A7615" s="3"/>
      <c r="B7615" s="3"/>
      <c r="C7615" s="3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</row>
    <row r="7616" spans="1:15" ht="15" customHeight="1" x14ac:dyDescent="0.25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</row>
    <row r="7617" spans="1:15" ht="15" customHeight="1" x14ac:dyDescent="0.25">
      <c r="A7617" s="3"/>
      <c r="B7617" s="3"/>
      <c r="C7617" s="3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</row>
    <row r="7618" spans="1:15" ht="15" customHeight="1" x14ac:dyDescent="0.25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</row>
    <row r="7619" spans="1:15" ht="15" customHeight="1" x14ac:dyDescent="0.25">
      <c r="A7619" s="3"/>
      <c r="B7619" s="3"/>
      <c r="C7619" s="3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</row>
    <row r="7620" spans="1:15" ht="15" customHeight="1" x14ac:dyDescent="0.25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</row>
    <row r="7621" spans="1:15" ht="15" customHeight="1" x14ac:dyDescent="0.25">
      <c r="A7621" s="3"/>
      <c r="B7621" s="3"/>
      <c r="C7621" s="3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</row>
    <row r="7622" spans="1:15" ht="15" customHeight="1" x14ac:dyDescent="0.25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</row>
    <row r="7623" spans="1:15" ht="15" customHeight="1" x14ac:dyDescent="0.25">
      <c r="A7623" s="3"/>
      <c r="B7623" s="3"/>
      <c r="C7623" s="3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</row>
    <row r="7624" spans="1:15" ht="15" customHeight="1" x14ac:dyDescent="0.25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</row>
    <row r="7625" spans="1:15" ht="15" customHeight="1" x14ac:dyDescent="0.25">
      <c r="A7625" s="3"/>
      <c r="B7625" s="3"/>
      <c r="C7625" s="3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</row>
    <row r="7626" spans="1:15" ht="15" customHeight="1" x14ac:dyDescent="0.25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</row>
    <row r="7627" spans="1:15" ht="15" customHeight="1" x14ac:dyDescent="0.25">
      <c r="A7627" s="3"/>
      <c r="B7627" s="3"/>
      <c r="C7627" s="3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</row>
    <row r="7628" spans="1:15" ht="15" customHeight="1" x14ac:dyDescent="0.25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</row>
    <row r="7629" spans="1:15" ht="15" customHeight="1" x14ac:dyDescent="0.25">
      <c r="A7629" s="3"/>
      <c r="B7629" s="3"/>
      <c r="C7629" s="3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</row>
    <row r="7630" spans="1:15" ht="15" customHeight="1" x14ac:dyDescent="0.25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</row>
    <row r="7631" spans="1:15" ht="15" customHeight="1" x14ac:dyDescent="0.25">
      <c r="A7631" s="3"/>
      <c r="B7631" s="3"/>
      <c r="C7631" s="3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</row>
    <row r="7632" spans="1:15" ht="15" customHeight="1" x14ac:dyDescent="0.25">
      <c r="A7632" s="2"/>
      <c r="B7632" s="2"/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</row>
    <row r="7633" spans="1:15" ht="15" customHeight="1" x14ac:dyDescent="0.25">
      <c r="A7633" s="3"/>
      <c r="B7633" s="3"/>
      <c r="C7633" s="3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</row>
    <row r="7634" spans="1:15" ht="15" customHeight="1" x14ac:dyDescent="0.25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</row>
    <row r="7635" spans="1:15" ht="15" customHeight="1" x14ac:dyDescent="0.25">
      <c r="A7635" s="3"/>
      <c r="B7635" s="3"/>
      <c r="C7635" s="3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</row>
    <row r="7636" spans="1:15" ht="15" customHeight="1" x14ac:dyDescent="0.25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</row>
    <row r="7637" spans="1:15" ht="15" customHeight="1" x14ac:dyDescent="0.25">
      <c r="A7637" s="3"/>
      <c r="B7637" s="3"/>
      <c r="C7637" s="3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</row>
    <row r="7638" spans="1:15" ht="15" customHeight="1" x14ac:dyDescent="0.25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</row>
    <row r="7639" spans="1:15" ht="15" customHeight="1" x14ac:dyDescent="0.25">
      <c r="A7639" s="3"/>
      <c r="B7639" s="3"/>
      <c r="C7639" s="3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</row>
    <row r="7640" spans="1:15" ht="15" customHeight="1" x14ac:dyDescent="0.25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</row>
    <row r="7641" spans="1:15" ht="15" customHeight="1" x14ac:dyDescent="0.25">
      <c r="A7641" s="3"/>
      <c r="B7641" s="3"/>
      <c r="C7641" s="3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</row>
    <row r="7642" spans="1:15" ht="15" customHeight="1" x14ac:dyDescent="0.25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</row>
    <row r="7643" spans="1:15" ht="15" customHeight="1" x14ac:dyDescent="0.25">
      <c r="A7643" s="3"/>
      <c r="B7643" s="3"/>
      <c r="C7643" s="3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</row>
    <row r="7644" spans="1:15" ht="15" customHeight="1" x14ac:dyDescent="0.25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</row>
    <row r="7645" spans="1:15" ht="15" customHeight="1" x14ac:dyDescent="0.25">
      <c r="A7645" s="3"/>
      <c r="B7645" s="3"/>
      <c r="C7645" s="3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</row>
    <row r="7646" spans="1:15" ht="15" customHeight="1" x14ac:dyDescent="0.25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</row>
    <row r="7647" spans="1:15" ht="15" customHeight="1" x14ac:dyDescent="0.25">
      <c r="A7647" s="3"/>
      <c r="B7647" s="3"/>
      <c r="C7647" s="3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</row>
    <row r="7648" spans="1:15" ht="15" customHeight="1" x14ac:dyDescent="0.25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</row>
    <row r="7649" spans="1:15" ht="15" customHeight="1" x14ac:dyDescent="0.25">
      <c r="A7649" s="3"/>
      <c r="B7649" s="3"/>
      <c r="C7649" s="3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</row>
    <row r="7650" spans="1:15" ht="15" customHeight="1" x14ac:dyDescent="0.25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</row>
    <row r="7651" spans="1:15" ht="15" customHeight="1" x14ac:dyDescent="0.25">
      <c r="A7651" s="3"/>
      <c r="B7651" s="3"/>
      <c r="C7651" s="3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</row>
    <row r="7652" spans="1:15" ht="15" customHeight="1" x14ac:dyDescent="0.25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</row>
    <row r="7653" spans="1:15" ht="15" customHeight="1" x14ac:dyDescent="0.25">
      <c r="A7653" s="3"/>
      <c r="B7653" s="3"/>
      <c r="C7653" s="3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</row>
    <row r="7654" spans="1:15" ht="15" customHeight="1" x14ac:dyDescent="0.25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</row>
    <row r="7655" spans="1:15" ht="15" customHeight="1" x14ac:dyDescent="0.25">
      <c r="A7655" s="3"/>
      <c r="B7655" s="3"/>
      <c r="C7655" s="3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</row>
    <row r="7656" spans="1:15" ht="15" customHeight="1" x14ac:dyDescent="0.25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</row>
    <row r="7657" spans="1:15" ht="15" customHeight="1" x14ac:dyDescent="0.25">
      <c r="A7657" s="3"/>
      <c r="B7657" s="3"/>
      <c r="C7657" s="3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</row>
    <row r="7658" spans="1:15" ht="15" customHeight="1" x14ac:dyDescent="0.25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</row>
    <row r="7659" spans="1:15" ht="15" customHeight="1" x14ac:dyDescent="0.25">
      <c r="A7659" s="3"/>
      <c r="B7659" s="3"/>
      <c r="C7659" s="3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</row>
    <row r="7660" spans="1:15" ht="15" customHeight="1" x14ac:dyDescent="0.25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</row>
    <row r="7661" spans="1:15" ht="15" customHeight="1" x14ac:dyDescent="0.25">
      <c r="A7661" s="3"/>
      <c r="B7661" s="3"/>
      <c r="C7661" s="3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</row>
    <row r="7662" spans="1:15" ht="15" customHeight="1" x14ac:dyDescent="0.25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</row>
    <row r="7663" spans="1:15" ht="15" customHeight="1" x14ac:dyDescent="0.25">
      <c r="A7663" s="3"/>
      <c r="B7663" s="3"/>
      <c r="C7663" s="3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</row>
    <row r="7664" spans="1:15" ht="15" customHeight="1" x14ac:dyDescent="0.25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</row>
    <row r="7665" spans="1:15" ht="15" customHeight="1" x14ac:dyDescent="0.25">
      <c r="A7665" s="3"/>
      <c r="B7665" s="3"/>
      <c r="C7665" s="3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</row>
    <row r="7666" spans="1:15" ht="15" customHeight="1" x14ac:dyDescent="0.25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</row>
    <row r="7667" spans="1:15" ht="15" customHeight="1" x14ac:dyDescent="0.25">
      <c r="A7667" s="3"/>
      <c r="B7667" s="3"/>
      <c r="C7667" s="3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</row>
    <row r="7668" spans="1:15" ht="15" customHeight="1" x14ac:dyDescent="0.25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</row>
    <row r="7669" spans="1:15" ht="15" customHeight="1" x14ac:dyDescent="0.25">
      <c r="A7669" s="3"/>
      <c r="B7669" s="3"/>
      <c r="C7669" s="3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</row>
    <row r="7670" spans="1:15" ht="15" customHeight="1" x14ac:dyDescent="0.25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</row>
    <row r="7671" spans="1:15" ht="15" customHeight="1" x14ac:dyDescent="0.25">
      <c r="A7671" s="3"/>
      <c r="B7671" s="3"/>
      <c r="C7671" s="3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</row>
    <row r="7672" spans="1:15" ht="15" customHeight="1" x14ac:dyDescent="0.25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</row>
    <row r="7673" spans="1:15" ht="15" customHeight="1" x14ac:dyDescent="0.25">
      <c r="A7673" s="3"/>
      <c r="B7673" s="3"/>
      <c r="C7673" s="3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</row>
    <row r="7674" spans="1:15" ht="15" customHeight="1" x14ac:dyDescent="0.25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</row>
    <row r="7675" spans="1:15" ht="15" customHeight="1" x14ac:dyDescent="0.25">
      <c r="A7675" s="3"/>
      <c r="B7675" s="3"/>
      <c r="C7675" s="3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</row>
    <row r="7676" spans="1:15" ht="15" customHeight="1" x14ac:dyDescent="0.25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</row>
    <row r="7677" spans="1:15" ht="15" customHeight="1" x14ac:dyDescent="0.25">
      <c r="A7677" s="3"/>
      <c r="B7677" s="3"/>
      <c r="C7677" s="3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</row>
    <row r="7678" spans="1:15" ht="15" customHeight="1" x14ac:dyDescent="0.25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</row>
    <row r="7679" spans="1:15" ht="15" customHeight="1" x14ac:dyDescent="0.25">
      <c r="A7679" s="3"/>
      <c r="B7679" s="3"/>
      <c r="C7679" s="3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</row>
    <row r="7680" spans="1:15" ht="15" customHeight="1" x14ac:dyDescent="0.25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</row>
    <row r="7681" spans="1:15" ht="15" customHeight="1" x14ac:dyDescent="0.25">
      <c r="A7681" s="3"/>
      <c r="B7681" s="3"/>
      <c r="C7681" s="3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</row>
    <row r="7682" spans="1:15" ht="15" customHeight="1" x14ac:dyDescent="0.25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</row>
    <row r="7683" spans="1:15" ht="15" customHeight="1" x14ac:dyDescent="0.25">
      <c r="A7683" s="3"/>
      <c r="B7683" s="3"/>
      <c r="C7683" s="3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</row>
    <row r="7684" spans="1:15" ht="15" customHeight="1" x14ac:dyDescent="0.25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</row>
    <row r="7685" spans="1:15" ht="15" customHeight="1" x14ac:dyDescent="0.25">
      <c r="A7685" s="3"/>
      <c r="B7685" s="3"/>
      <c r="C7685" s="3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</row>
    <row r="7686" spans="1:15" ht="15" customHeight="1" x14ac:dyDescent="0.25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</row>
    <row r="7687" spans="1:15" ht="15" customHeight="1" x14ac:dyDescent="0.25">
      <c r="A7687" s="3"/>
      <c r="B7687" s="3"/>
      <c r="C7687" s="3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</row>
    <row r="7688" spans="1:15" ht="15" customHeight="1" x14ac:dyDescent="0.25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</row>
    <row r="7689" spans="1:15" ht="15" customHeight="1" x14ac:dyDescent="0.25">
      <c r="A7689" s="3"/>
      <c r="B7689" s="3"/>
      <c r="C7689" s="3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</row>
    <row r="7690" spans="1:15" ht="15" customHeight="1" x14ac:dyDescent="0.25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</row>
    <row r="7691" spans="1:15" ht="15" customHeight="1" x14ac:dyDescent="0.25">
      <c r="A7691" s="3"/>
      <c r="B7691" s="3"/>
      <c r="C7691" s="3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</row>
    <row r="7692" spans="1:15" ht="15" customHeight="1" x14ac:dyDescent="0.25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</row>
    <row r="7693" spans="1:15" ht="15" customHeight="1" x14ac:dyDescent="0.25">
      <c r="A7693" s="3"/>
      <c r="B7693" s="3"/>
      <c r="C7693" s="3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</row>
    <row r="7694" spans="1:15" ht="15" customHeight="1" x14ac:dyDescent="0.25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</row>
    <row r="7695" spans="1:15" ht="15" customHeight="1" x14ac:dyDescent="0.25">
      <c r="A7695" s="3"/>
      <c r="B7695" s="3"/>
      <c r="C7695" s="3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</row>
    <row r="7696" spans="1:15" ht="15" customHeight="1" x14ac:dyDescent="0.25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</row>
    <row r="7697" spans="1:15" ht="15" customHeight="1" x14ac:dyDescent="0.25">
      <c r="A7697" s="3"/>
      <c r="B7697" s="3"/>
      <c r="C7697" s="3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</row>
    <row r="7698" spans="1:15" ht="15" customHeight="1" x14ac:dyDescent="0.25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</row>
    <row r="7699" spans="1:15" ht="15" customHeight="1" x14ac:dyDescent="0.25">
      <c r="A7699" s="3"/>
      <c r="B7699" s="3"/>
      <c r="C7699" s="3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</row>
    <row r="7700" spans="1:15" ht="15" customHeight="1" x14ac:dyDescent="0.25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</row>
    <row r="7701" spans="1:15" ht="15" customHeight="1" x14ac:dyDescent="0.25">
      <c r="A7701" s="3"/>
      <c r="B7701" s="3"/>
      <c r="C7701" s="3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</row>
    <row r="7702" spans="1:15" ht="15" customHeight="1" x14ac:dyDescent="0.25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</row>
    <row r="7703" spans="1:15" ht="15" customHeight="1" x14ac:dyDescent="0.25">
      <c r="A7703" s="3"/>
      <c r="B7703" s="3"/>
      <c r="C7703" s="3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</row>
    <row r="7704" spans="1:15" ht="15" customHeight="1" x14ac:dyDescent="0.25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</row>
    <row r="7705" spans="1:15" ht="15" customHeight="1" x14ac:dyDescent="0.25">
      <c r="A7705" s="3"/>
      <c r="B7705" s="3"/>
      <c r="C7705" s="3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</row>
    <row r="7706" spans="1:15" ht="15" customHeight="1" x14ac:dyDescent="0.25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</row>
    <row r="7707" spans="1:15" ht="15" customHeight="1" x14ac:dyDescent="0.25">
      <c r="A7707" s="3"/>
      <c r="B7707" s="3"/>
      <c r="C7707" s="3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</row>
    <row r="7708" spans="1:15" ht="15" customHeight="1" x14ac:dyDescent="0.25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</row>
    <row r="7709" spans="1:15" ht="15" customHeight="1" x14ac:dyDescent="0.25">
      <c r="A7709" s="3"/>
      <c r="B7709" s="3"/>
      <c r="C7709" s="3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</row>
    <row r="7710" spans="1:15" ht="15" customHeight="1" x14ac:dyDescent="0.25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</row>
    <row r="7711" spans="1:15" ht="15" customHeight="1" x14ac:dyDescent="0.25">
      <c r="A7711" s="3"/>
      <c r="B7711" s="3"/>
      <c r="C7711" s="3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</row>
    <row r="7712" spans="1:15" ht="15" customHeight="1" x14ac:dyDescent="0.25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</row>
    <row r="7713" spans="1:15" ht="15" customHeight="1" x14ac:dyDescent="0.25">
      <c r="A7713" s="3"/>
      <c r="B7713" s="3"/>
      <c r="C7713" s="3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</row>
    <row r="7714" spans="1:15" ht="15" customHeight="1" x14ac:dyDescent="0.25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</row>
    <row r="7715" spans="1:15" ht="15" customHeight="1" x14ac:dyDescent="0.25">
      <c r="A7715" s="3"/>
      <c r="B7715" s="3"/>
      <c r="C7715" s="3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</row>
    <row r="7716" spans="1:15" ht="15" customHeight="1" x14ac:dyDescent="0.25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</row>
    <row r="7717" spans="1:15" ht="15" customHeight="1" x14ac:dyDescent="0.25">
      <c r="A7717" s="3"/>
      <c r="B7717" s="3"/>
      <c r="C7717" s="3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</row>
    <row r="7718" spans="1:15" ht="15" customHeight="1" x14ac:dyDescent="0.25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</row>
    <row r="7719" spans="1:15" ht="15" customHeight="1" x14ac:dyDescent="0.25">
      <c r="A7719" s="3"/>
      <c r="B7719" s="3"/>
      <c r="C7719" s="3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</row>
    <row r="7720" spans="1:15" ht="15" customHeight="1" x14ac:dyDescent="0.25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</row>
    <row r="7721" spans="1:15" ht="15" customHeight="1" x14ac:dyDescent="0.25">
      <c r="A7721" s="3"/>
      <c r="B7721" s="3"/>
      <c r="C7721" s="3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</row>
    <row r="7722" spans="1:15" ht="15" customHeight="1" x14ac:dyDescent="0.25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</row>
    <row r="7723" spans="1:15" ht="15" customHeight="1" x14ac:dyDescent="0.25">
      <c r="A7723" s="3"/>
      <c r="B7723" s="3"/>
      <c r="C7723" s="3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</row>
    <row r="7724" spans="1:15" ht="15" customHeight="1" x14ac:dyDescent="0.25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</row>
    <row r="7725" spans="1:15" ht="15" customHeight="1" x14ac:dyDescent="0.25">
      <c r="A7725" s="3"/>
      <c r="B7725" s="3"/>
      <c r="C7725" s="3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</row>
    <row r="7726" spans="1:15" ht="15" customHeight="1" x14ac:dyDescent="0.25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</row>
    <row r="7727" spans="1:15" ht="15" customHeight="1" x14ac:dyDescent="0.25">
      <c r="A7727" s="3"/>
      <c r="B7727" s="3"/>
      <c r="C7727" s="3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</row>
    <row r="7728" spans="1:15" ht="15" customHeight="1" x14ac:dyDescent="0.25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</row>
    <row r="7729" spans="1:15" ht="15" customHeight="1" x14ac:dyDescent="0.25">
      <c r="A7729" s="3"/>
      <c r="B7729" s="3"/>
      <c r="C7729" s="3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</row>
    <row r="7730" spans="1:15" ht="15" customHeight="1" x14ac:dyDescent="0.25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</row>
    <row r="7731" spans="1:15" ht="15" customHeight="1" x14ac:dyDescent="0.25">
      <c r="A7731" s="3"/>
      <c r="B7731" s="3"/>
      <c r="C7731" s="3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</row>
    <row r="7732" spans="1:15" ht="15" customHeight="1" x14ac:dyDescent="0.25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</row>
    <row r="7733" spans="1:15" ht="15" customHeight="1" x14ac:dyDescent="0.25">
      <c r="A7733" s="3"/>
      <c r="B7733" s="3"/>
      <c r="C7733" s="3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</row>
    <row r="7734" spans="1:15" ht="15" customHeight="1" x14ac:dyDescent="0.25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</row>
    <row r="7735" spans="1:15" ht="15" customHeight="1" x14ac:dyDescent="0.25">
      <c r="A7735" s="3"/>
      <c r="B7735" s="3"/>
      <c r="C7735" s="3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</row>
    <row r="7736" spans="1:15" ht="15" customHeight="1" x14ac:dyDescent="0.25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</row>
    <row r="7737" spans="1:15" ht="15" customHeight="1" x14ac:dyDescent="0.25">
      <c r="A7737" s="3"/>
      <c r="B7737" s="3"/>
      <c r="C7737" s="3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</row>
    <row r="7738" spans="1:15" ht="15" customHeight="1" x14ac:dyDescent="0.25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</row>
    <row r="7739" spans="1:15" ht="15" customHeight="1" x14ac:dyDescent="0.25">
      <c r="A7739" s="3"/>
      <c r="B7739" s="3"/>
      <c r="C7739" s="3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</row>
    <row r="7740" spans="1:15" ht="15" customHeight="1" x14ac:dyDescent="0.25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</row>
    <row r="7741" spans="1:15" ht="15" customHeight="1" x14ac:dyDescent="0.25">
      <c r="A7741" s="3"/>
      <c r="B7741" s="3"/>
      <c r="C7741" s="3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</row>
    <row r="7742" spans="1:15" ht="15" customHeight="1" x14ac:dyDescent="0.25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</row>
    <row r="7743" spans="1:15" ht="15" customHeight="1" x14ac:dyDescent="0.25">
      <c r="A7743" s="3"/>
      <c r="B7743" s="3"/>
      <c r="C7743" s="3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</row>
    <row r="7744" spans="1:15" ht="15" customHeight="1" x14ac:dyDescent="0.25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</row>
    <row r="7745" spans="1:15" ht="15" customHeight="1" x14ac:dyDescent="0.25">
      <c r="A7745" s="3"/>
      <c r="B7745" s="3"/>
      <c r="C7745" s="3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</row>
    <row r="7746" spans="1:15" ht="15" customHeight="1" x14ac:dyDescent="0.25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</row>
    <row r="7747" spans="1:15" ht="15" customHeight="1" x14ac:dyDescent="0.25">
      <c r="A7747" s="3"/>
      <c r="B7747" s="3"/>
      <c r="C7747" s="3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</row>
    <row r="7748" spans="1:15" ht="15" customHeight="1" x14ac:dyDescent="0.25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</row>
    <row r="7749" spans="1:15" ht="15" customHeight="1" x14ac:dyDescent="0.25">
      <c r="A7749" s="3"/>
      <c r="B7749" s="3"/>
      <c r="C7749" s="3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</row>
    <row r="7750" spans="1:15" ht="15" customHeight="1" x14ac:dyDescent="0.25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</row>
    <row r="7751" spans="1:15" ht="15" customHeight="1" x14ac:dyDescent="0.25">
      <c r="A7751" s="3"/>
      <c r="B7751" s="3"/>
      <c r="C7751" s="3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</row>
    <row r="7752" spans="1:15" ht="15" customHeight="1" x14ac:dyDescent="0.25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</row>
    <row r="7753" spans="1:15" ht="15" customHeight="1" x14ac:dyDescent="0.25">
      <c r="A7753" s="3"/>
      <c r="B7753" s="3"/>
      <c r="C7753" s="3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</row>
    <row r="7754" spans="1:15" ht="15" customHeight="1" x14ac:dyDescent="0.25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</row>
    <row r="7755" spans="1:15" ht="15" customHeight="1" x14ac:dyDescent="0.25">
      <c r="A7755" s="3"/>
      <c r="B7755" s="3"/>
      <c r="C7755" s="3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</row>
    <row r="7756" spans="1:15" ht="15" customHeight="1" x14ac:dyDescent="0.25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</row>
    <row r="7757" spans="1:15" ht="15" customHeight="1" x14ac:dyDescent="0.25">
      <c r="A7757" s="3"/>
      <c r="B7757" s="3"/>
      <c r="C7757" s="3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</row>
    <row r="7758" spans="1:15" ht="15" customHeight="1" x14ac:dyDescent="0.25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</row>
    <row r="7759" spans="1:15" ht="15" customHeight="1" x14ac:dyDescent="0.25">
      <c r="A7759" s="3"/>
      <c r="B7759" s="3"/>
      <c r="C7759" s="3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</row>
    <row r="7760" spans="1:15" ht="15" customHeight="1" x14ac:dyDescent="0.25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</row>
    <row r="7761" spans="1:15" ht="15" customHeight="1" x14ac:dyDescent="0.25">
      <c r="A7761" s="3"/>
      <c r="B7761" s="3"/>
      <c r="C7761" s="3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</row>
    <row r="7762" spans="1:15" ht="15" customHeight="1" x14ac:dyDescent="0.25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</row>
    <row r="7763" spans="1:15" ht="15" customHeight="1" x14ac:dyDescent="0.25">
      <c r="A7763" s="3"/>
      <c r="B7763" s="3"/>
      <c r="C7763" s="3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</row>
    <row r="7764" spans="1:15" ht="15" customHeight="1" x14ac:dyDescent="0.25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</row>
    <row r="7765" spans="1:15" ht="15" customHeight="1" x14ac:dyDescent="0.25">
      <c r="A7765" s="3"/>
      <c r="B7765" s="3"/>
      <c r="C7765" s="3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</row>
    <row r="7766" spans="1:15" ht="15" customHeight="1" x14ac:dyDescent="0.25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</row>
    <row r="7767" spans="1:15" ht="15" customHeight="1" x14ac:dyDescent="0.25">
      <c r="A7767" s="3"/>
      <c r="B7767" s="3"/>
      <c r="C7767" s="3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</row>
    <row r="7768" spans="1:15" ht="15" customHeight="1" x14ac:dyDescent="0.25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</row>
    <row r="7769" spans="1:15" ht="15" customHeight="1" x14ac:dyDescent="0.25">
      <c r="A7769" s="3"/>
      <c r="B7769" s="3"/>
      <c r="C7769" s="3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</row>
    <row r="7770" spans="1:15" ht="15" customHeight="1" x14ac:dyDescent="0.25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</row>
    <row r="7771" spans="1:15" ht="15" customHeight="1" x14ac:dyDescent="0.25">
      <c r="A7771" s="3"/>
      <c r="B7771" s="3"/>
      <c r="C7771" s="3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</row>
    <row r="7772" spans="1:15" ht="15" customHeight="1" x14ac:dyDescent="0.25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</row>
    <row r="7773" spans="1:15" ht="15" customHeight="1" x14ac:dyDescent="0.25">
      <c r="A7773" s="3"/>
      <c r="B7773" s="3"/>
      <c r="C7773" s="3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</row>
    <row r="7774" spans="1:15" ht="15" customHeight="1" x14ac:dyDescent="0.25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</row>
    <row r="7775" spans="1:15" ht="15" customHeight="1" x14ac:dyDescent="0.25">
      <c r="A7775" s="3"/>
      <c r="B7775" s="3"/>
      <c r="C7775" s="3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</row>
    <row r="7776" spans="1:15" ht="15" customHeight="1" x14ac:dyDescent="0.25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</row>
    <row r="7777" spans="1:15" ht="15" customHeight="1" x14ac:dyDescent="0.25">
      <c r="A7777" s="3"/>
      <c r="B7777" s="3"/>
      <c r="C7777" s="3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</row>
    <row r="7778" spans="1:15" ht="15" customHeight="1" x14ac:dyDescent="0.25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</row>
    <row r="7779" spans="1:15" ht="15" customHeight="1" x14ac:dyDescent="0.25">
      <c r="A7779" s="3"/>
      <c r="B7779" s="3"/>
      <c r="C7779" s="3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</row>
    <row r="7780" spans="1:15" ht="15" customHeight="1" x14ac:dyDescent="0.25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</row>
    <row r="7781" spans="1:15" ht="15" customHeight="1" x14ac:dyDescent="0.25">
      <c r="A7781" s="3"/>
      <c r="B7781" s="3"/>
      <c r="C7781" s="3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</row>
    <row r="7782" spans="1:15" ht="15" customHeight="1" x14ac:dyDescent="0.25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</row>
    <row r="7783" spans="1:15" ht="15" customHeight="1" x14ac:dyDescent="0.25">
      <c r="A7783" s="3"/>
      <c r="B7783" s="3"/>
      <c r="C7783" s="3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</row>
    <row r="7784" spans="1:15" ht="15" customHeight="1" x14ac:dyDescent="0.25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</row>
    <row r="7785" spans="1:15" ht="15" customHeight="1" x14ac:dyDescent="0.25">
      <c r="A7785" s="3"/>
      <c r="B7785" s="3"/>
      <c r="C7785" s="3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</row>
    <row r="7786" spans="1:15" ht="15" customHeight="1" x14ac:dyDescent="0.25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</row>
    <row r="7787" spans="1:15" ht="15" customHeight="1" x14ac:dyDescent="0.25">
      <c r="A7787" s="3"/>
      <c r="B7787" s="3"/>
      <c r="C7787" s="3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</row>
    <row r="7788" spans="1:15" ht="15" customHeight="1" x14ac:dyDescent="0.25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</row>
    <row r="7789" spans="1:15" ht="15" customHeight="1" x14ac:dyDescent="0.25">
      <c r="A7789" s="3"/>
      <c r="B7789" s="3"/>
      <c r="C7789" s="3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</row>
    <row r="7790" spans="1:15" ht="15" customHeight="1" x14ac:dyDescent="0.25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</row>
    <row r="7791" spans="1:15" ht="15" customHeight="1" x14ac:dyDescent="0.25">
      <c r="A7791" s="3"/>
      <c r="B7791" s="3"/>
      <c r="C7791" s="3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</row>
    <row r="7792" spans="1:15" ht="15" customHeight="1" x14ac:dyDescent="0.25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</row>
    <row r="7793" spans="1:15" ht="15" customHeight="1" x14ac:dyDescent="0.25">
      <c r="A7793" s="3"/>
      <c r="B7793" s="3"/>
      <c r="C7793" s="3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</row>
    <row r="7794" spans="1:15" ht="15" customHeight="1" x14ac:dyDescent="0.25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</row>
    <row r="7795" spans="1:15" ht="15" customHeight="1" x14ac:dyDescent="0.25">
      <c r="A7795" s="3"/>
      <c r="B7795" s="3"/>
      <c r="C7795" s="3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</row>
    <row r="7796" spans="1:15" ht="15" customHeight="1" x14ac:dyDescent="0.25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</row>
    <row r="7797" spans="1:15" ht="15" customHeight="1" x14ac:dyDescent="0.25">
      <c r="A7797" s="3"/>
      <c r="B7797" s="3"/>
      <c r="C7797" s="3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</row>
    <row r="7798" spans="1:15" ht="15" customHeight="1" x14ac:dyDescent="0.25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</row>
    <row r="7799" spans="1:15" ht="15" customHeight="1" x14ac:dyDescent="0.25">
      <c r="A7799" s="3"/>
      <c r="B7799" s="3"/>
      <c r="C7799" s="3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</row>
    <row r="7800" spans="1:15" ht="15" customHeight="1" x14ac:dyDescent="0.25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</row>
    <row r="7801" spans="1:15" ht="15" customHeight="1" x14ac:dyDescent="0.25">
      <c r="A7801" s="3"/>
      <c r="B7801" s="3"/>
      <c r="C7801" s="3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</row>
    <row r="7802" spans="1:15" ht="15" customHeight="1" x14ac:dyDescent="0.25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</row>
    <row r="7803" spans="1:15" ht="15" customHeight="1" x14ac:dyDescent="0.25">
      <c r="A7803" s="3"/>
      <c r="B7803" s="3"/>
      <c r="C7803" s="3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</row>
    <row r="7804" spans="1:15" ht="15" customHeight="1" x14ac:dyDescent="0.25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</row>
    <row r="7805" spans="1:15" ht="15" customHeight="1" x14ac:dyDescent="0.25">
      <c r="A7805" s="3"/>
      <c r="B7805" s="3"/>
      <c r="C7805" s="3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</row>
    <row r="7806" spans="1:15" ht="15" customHeight="1" x14ac:dyDescent="0.25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</row>
    <row r="7807" spans="1:15" ht="15" customHeight="1" x14ac:dyDescent="0.25">
      <c r="A7807" s="3"/>
      <c r="B7807" s="3"/>
      <c r="C7807" s="3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</row>
    <row r="7808" spans="1:15" ht="15" customHeight="1" x14ac:dyDescent="0.25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</row>
    <row r="7809" spans="1:15" ht="15" customHeight="1" x14ac:dyDescent="0.25">
      <c r="A7809" s="3"/>
      <c r="B7809" s="3"/>
      <c r="C7809" s="3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</row>
    <row r="7810" spans="1:15" ht="15" customHeight="1" x14ac:dyDescent="0.25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</row>
    <row r="7811" spans="1:15" ht="15" customHeight="1" x14ac:dyDescent="0.25">
      <c r="A7811" s="3"/>
      <c r="B7811" s="3"/>
      <c r="C7811" s="3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</row>
    <row r="7812" spans="1:15" ht="15" customHeight="1" x14ac:dyDescent="0.25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</row>
    <row r="7813" spans="1:15" ht="15" customHeight="1" x14ac:dyDescent="0.25">
      <c r="A7813" s="3"/>
      <c r="B7813" s="3"/>
      <c r="C7813" s="3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</row>
    <row r="7814" spans="1:15" ht="15" customHeight="1" x14ac:dyDescent="0.25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</row>
    <row r="7815" spans="1:15" ht="15" customHeight="1" x14ac:dyDescent="0.25">
      <c r="A7815" s="3"/>
      <c r="B7815" s="3"/>
      <c r="C7815" s="3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</row>
    <row r="7816" spans="1:15" ht="15" customHeight="1" x14ac:dyDescent="0.25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</row>
    <row r="7817" spans="1:15" ht="15" customHeight="1" x14ac:dyDescent="0.25">
      <c r="A7817" s="3"/>
      <c r="B7817" s="3"/>
      <c r="C7817" s="3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</row>
    <row r="7818" spans="1:15" ht="15" customHeight="1" x14ac:dyDescent="0.25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</row>
    <row r="7819" spans="1:15" ht="15" customHeight="1" x14ac:dyDescent="0.25">
      <c r="A7819" s="3"/>
      <c r="B7819" s="3"/>
      <c r="C7819" s="3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</row>
    <row r="7820" spans="1:15" ht="15" customHeight="1" x14ac:dyDescent="0.25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</row>
    <row r="7821" spans="1:15" ht="15" customHeight="1" x14ac:dyDescent="0.25">
      <c r="A7821" s="3"/>
      <c r="B7821" s="3"/>
      <c r="C7821" s="3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</row>
    <row r="7822" spans="1:15" ht="15" customHeight="1" x14ac:dyDescent="0.25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</row>
    <row r="7823" spans="1:15" ht="15" customHeight="1" x14ac:dyDescent="0.25">
      <c r="A7823" s="3"/>
      <c r="B7823" s="3"/>
      <c r="C7823" s="3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</row>
    <row r="7824" spans="1:15" ht="15" customHeight="1" x14ac:dyDescent="0.25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</row>
    <row r="7825" spans="1:15" ht="15" customHeight="1" x14ac:dyDescent="0.25">
      <c r="A7825" s="3"/>
      <c r="B7825" s="3"/>
      <c r="C7825" s="3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</row>
    <row r="7826" spans="1:15" ht="15" customHeight="1" x14ac:dyDescent="0.25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</row>
    <row r="7827" spans="1:15" ht="15" customHeight="1" x14ac:dyDescent="0.25">
      <c r="A7827" s="3"/>
      <c r="B7827" s="3"/>
      <c r="C7827" s="3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</row>
    <row r="7828" spans="1:15" ht="15" customHeight="1" x14ac:dyDescent="0.25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</row>
    <row r="7829" spans="1:15" ht="15" customHeight="1" x14ac:dyDescent="0.25">
      <c r="A7829" s="3"/>
      <c r="B7829" s="3"/>
      <c r="C7829" s="3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</row>
    <row r="7830" spans="1:15" ht="15" customHeight="1" x14ac:dyDescent="0.25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</row>
    <row r="7831" spans="1:15" ht="15" customHeight="1" x14ac:dyDescent="0.25">
      <c r="A7831" s="3"/>
      <c r="B7831" s="3"/>
      <c r="C7831" s="3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</row>
    <row r="7832" spans="1:15" ht="15" customHeight="1" x14ac:dyDescent="0.25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</row>
    <row r="7833" spans="1:15" ht="15" customHeight="1" x14ac:dyDescent="0.25">
      <c r="A7833" s="3"/>
      <c r="B7833" s="3"/>
      <c r="C7833" s="3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</row>
    <row r="7834" spans="1:15" ht="15" customHeight="1" x14ac:dyDescent="0.25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</row>
    <row r="7835" spans="1:15" ht="15" customHeight="1" x14ac:dyDescent="0.25">
      <c r="A7835" s="3"/>
      <c r="B7835" s="3"/>
      <c r="C7835" s="3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</row>
    <row r="7836" spans="1:15" ht="15" customHeight="1" x14ac:dyDescent="0.25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</row>
    <row r="7837" spans="1:15" ht="15" customHeight="1" x14ac:dyDescent="0.25">
      <c r="A7837" s="3"/>
      <c r="B7837" s="3"/>
      <c r="C7837" s="3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</row>
    <row r="7838" spans="1:15" ht="15" customHeight="1" x14ac:dyDescent="0.25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</row>
    <row r="7839" spans="1:15" ht="15" customHeight="1" x14ac:dyDescent="0.25">
      <c r="A7839" s="3"/>
      <c r="B7839" s="3"/>
      <c r="C7839" s="3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</row>
    <row r="7840" spans="1:15" ht="15" customHeight="1" x14ac:dyDescent="0.25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</row>
    <row r="7841" spans="1:15" ht="15" customHeight="1" x14ac:dyDescent="0.25">
      <c r="A7841" s="3"/>
      <c r="B7841" s="3"/>
      <c r="C7841" s="3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</row>
    <row r="7842" spans="1:15" ht="15" customHeight="1" x14ac:dyDescent="0.25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</row>
    <row r="7843" spans="1:15" ht="15" customHeight="1" x14ac:dyDescent="0.25">
      <c r="A7843" s="3"/>
      <c r="B7843" s="3"/>
      <c r="C7843" s="3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</row>
    <row r="7844" spans="1:15" ht="15" customHeight="1" x14ac:dyDescent="0.25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</row>
    <row r="7845" spans="1:15" ht="15" customHeight="1" x14ac:dyDescent="0.25">
      <c r="A7845" s="3"/>
      <c r="B7845" s="3"/>
      <c r="C7845" s="3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</row>
    <row r="7846" spans="1:15" ht="15" customHeight="1" x14ac:dyDescent="0.25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</row>
    <row r="7847" spans="1:15" ht="15" customHeight="1" x14ac:dyDescent="0.25">
      <c r="A7847" s="3"/>
      <c r="B7847" s="3"/>
      <c r="C7847" s="3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</row>
    <row r="7848" spans="1:15" ht="15" customHeight="1" x14ac:dyDescent="0.25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</row>
    <row r="7849" spans="1:15" ht="15" customHeight="1" x14ac:dyDescent="0.25">
      <c r="A7849" s="3"/>
      <c r="B7849" s="3"/>
      <c r="C7849" s="3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</row>
    <row r="7850" spans="1:15" ht="15" customHeight="1" x14ac:dyDescent="0.25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</row>
    <row r="7851" spans="1:15" ht="15" customHeight="1" x14ac:dyDescent="0.25">
      <c r="A7851" s="3"/>
      <c r="B7851" s="3"/>
      <c r="C7851" s="3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</row>
    <row r="7852" spans="1:15" ht="15" customHeight="1" x14ac:dyDescent="0.25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</row>
    <row r="7853" spans="1:15" ht="15" customHeight="1" x14ac:dyDescent="0.25">
      <c r="A7853" s="3"/>
      <c r="B7853" s="3"/>
      <c r="C7853" s="3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</row>
    <row r="7854" spans="1:15" ht="15" customHeight="1" x14ac:dyDescent="0.25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</row>
    <row r="7855" spans="1:15" ht="15" customHeight="1" x14ac:dyDescent="0.25">
      <c r="A7855" s="3"/>
      <c r="B7855" s="3"/>
      <c r="C7855" s="3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</row>
    <row r="7856" spans="1:15" ht="15" customHeight="1" x14ac:dyDescent="0.25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</row>
    <row r="7857" spans="1:15" ht="15" customHeight="1" x14ac:dyDescent="0.25">
      <c r="A7857" s="3"/>
      <c r="B7857" s="3"/>
      <c r="C7857" s="3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</row>
    <row r="7858" spans="1:15" ht="15" customHeight="1" x14ac:dyDescent="0.25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</row>
    <row r="7859" spans="1:15" ht="15" customHeight="1" x14ac:dyDescent="0.25">
      <c r="A7859" s="3"/>
      <c r="B7859" s="3"/>
      <c r="C7859" s="3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</row>
    <row r="7860" spans="1:15" ht="15" customHeight="1" x14ac:dyDescent="0.25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</row>
    <row r="7861" spans="1:15" ht="15" customHeight="1" x14ac:dyDescent="0.25">
      <c r="A7861" s="3"/>
      <c r="B7861" s="3"/>
      <c r="C7861" s="3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</row>
    <row r="7862" spans="1:15" ht="15" customHeight="1" x14ac:dyDescent="0.25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</row>
    <row r="7863" spans="1:15" ht="15" customHeight="1" x14ac:dyDescent="0.25">
      <c r="A7863" s="3"/>
      <c r="B7863" s="3"/>
      <c r="C7863" s="3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</row>
    <row r="7864" spans="1:15" ht="15" customHeight="1" x14ac:dyDescent="0.25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</row>
    <row r="7865" spans="1:15" ht="15" customHeight="1" x14ac:dyDescent="0.25">
      <c r="A7865" s="3"/>
      <c r="B7865" s="3"/>
      <c r="C7865" s="3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</row>
    <row r="7866" spans="1:15" ht="15" customHeight="1" x14ac:dyDescent="0.25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</row>
    <row r="7867" spans="1:15" ht="15" customHeight="1" x14ac:dyDescent="0.25">
      <c r="A7867" s="3"/>
      <c r="B7867" s="3"/>
      <c r="C7867" s="3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</row>
    <row r="7868" spans="1:15" ht="15" customHeight="1" x14ac:dyDescent="0.25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</row>
    <row r="7869" spans="1:15" ht="15" customHeight="1" x14ac:dyDescent="0.25">
      <c r="A7869" s="3"/>
      <c r="B7869" s="3"/>
      <c r="C7869" s="3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</row>
    <row r="7870" spans="1:15" ht="15" customHeight="1" x14ac:dyDescent="0.25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</row>
    <row r="7871" spans="1:15" ht="15" customHeight="1" x14ac:dyDescent="0.25">
      <c r="A7871" s="3"/>
      <c r="B7871" s="3"/>
      <c r="C7871" s="3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</row>
    <row r="7872" spans="1:15" ht="15" customHeight="1" x14ac:dyDescent="0.25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</row>
    <row r="7873" spans="1:15" ht="15" customHeight="1" x14ac:dyDescent="0.25">
      <c r="A7873" s="3"/>
      <c r="B7873" s="3"/>
      <c r="C7873" s="3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</row>
    <row r="7874" spans="1:15" ht="15" customHeight="1" x14ac:dyDescent="0.25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</row>
    <row r="7875" spans="1:15" ht="15" customHeight="1" x14ac:dyDescent="0.25">
      <c r="A7875" s="3"/>
      <c r="B7875" s="3"/>
      <c r="C7875" s="3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</row>
    <row r="7876" spans="1:15" ht="15" customHeight="1" x14ac:dyDescent="0.25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</row>
    <row r="7877" spans="1:15" ht="15" customHeight="1" x14ac:dyDescent="0.25">
      <c r="A7877" s="3"/>
      <c r="B7877" s="3"/>
      <c r="C7877" s="3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</row>
    <row r="7878" spans="1:15" ht="15" customHeight="1" x14ac:dyDescent="0.25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</row>
    <row r="7879" spans="1:15" ht="15" customHeight="1" x14ac:dyDescent="0.25">
      <c r="A7879" s="3"/>
      <c r="B7879" s="3"/>
      <c r="C7879" s="3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</row>
    <row r="7880" spans="1:15" ht="15" customHeight="1" x14ac:dyDescent="0.25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</row>
    <row r="7881" spans="1:15" ht="15" customHeight="1" x14ac:dyDescent="0.25">
      <c r="A7881" s="3"/>
      <c r="B7881" s="3"/>
      <c r="C7881" s="3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</row>
    <row r="7882" spans="1:15" ht="15" customHeight="1" x14ac:dyDescent="0.25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</row>
    <row r="7883" spans="1:15" ht="15" customHeight="1" x14ac:dyDescent="0.25">
      <c r="A7883" s="3"/>
      <c r="B7883" s="3"/>
      <c r="C7883" s="3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</row>
    <row r="7884" spans="1:15" ht="15" customHeight="1" x14ac:dyDescent="0.25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</row>
    <row r="7885" spans="1:15" ht="15" customHeight="1" x14ac:dyDescent="0.25">
      <c r="A7885" s="3"/>
      <c r="B7885" s="3"/>
      <c r="C7885" s="3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</row>
    <row r="7886" spans="1:15" ht="15" customHeight="1" x14ac:dyDescent="0.25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</row>
    <row r="7887" spans="1:15" ht="15" customHeight="1" x14ac:dyDescent="0.25">
      <c r="A7887" s="3"/>
      <c r="B7887" s="3"/>
      <c r="C7887" s="3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</row>
    <row r="7888" spans="1:15" ht="15" customHeight="1" x14ac:dyDescent="0.25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</row>
    <row r="7889" spans="1:15" ht="15" customHeight="1" x14ac:dyDescent="0.25">
      <c r="A7889" s="3"/>
      <c r="B7889" s="3"/>
      <c r="C7889" s="3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</row>
    <row r="7890" spans="1:15" ht="15" customHeight="1" x14ac:dyDescent="0.25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</row>
    <row r="7891" spans="1:15" ht="15" customHeight="1" x14ac:dyDescent="0.25">
      <c r="A7891" s="3"/>
      <c r="B7891" s="3"/>
      <c r="C7891" s="3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</row>
    <row r="7892" spans="1:15" ht="15" customHeight="1" x14ac:dyDescent="0.25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</row>
    <row r="7893" spans="1:15" ht="15" customHeight="1" x14ac:dyDescent="0.25">
      <c r="A7893" s="3"/>
      <c r="B7893" s="3"/>
      <c r="C7893" s="3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</row>
    <row r="7894" spans="1:15" ht="15" customHeight="1" x14ac:dyDescent="0.25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</row>
    <row r="7895" spans="1:15" ht="15" customHeight="1" x14ac:dyDescent="0.25">
      <c r="A7895" s="3"/>
      <c r="B7895" s="3"/>
      <c r="C7895" s="3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</row>
    <row r="7896" spans="1:15" ht="15" customHeight="1" x14ac:dyDescent="0.25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</row>
    <row r="7897" spans="1:15" ht="15" customHeight="1" x14ac:dyDescent="0.25">
      <c r="A7897" s="3"/>
      <c r="B7897" s="3"/>
      <c r="C7897" s="3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</row>
    <row r="7898" spans="1:15" ht="15" customHeight="1" x14ac:dyDescent="0.25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</row>
    <row r="7899" spans="1:15" ht="15" customHeight="1" x14ac:dyDescent="0.25">
      <c r="A7899" s="3"/>
      <c r="B7899" s="3"/>
      <c r="C7899" s="3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</row>
    <row r="7900" spans="1:15" ht="15" customHeight="1" x14ac:dyDescent="0.25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</row>
    <row r="7901" spans="1:15" ht="15" customHeight="1" x14ac:dyDescent="0.25">
      <c r="A7901" s="3"/>
      <c r="B7901" s="3"/>
      <c r="C7901" s="3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</row>
    <row r="7902" spans="1:15" ht="15" customHeight="1" x14ac:dyDescent="0.25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</row>
    <row r="7903" spans="1:15" ht="15" customHeight="1" x14ac:dyDescent="0.25">
      <c r="A7903" s="3"/>
      <c r="B7903" s="3"/>
      <c r="C7903" s="3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</row>
    <row r="7904" spans="1:15" ht="15" customHeight="1" x14ac:dyDescent="0.25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</row>
    <row r="7905" spans="1:15" ht="15" customHeight="1" x14ac:dyDescent="0.25">
      <c r="A7905" s="3"/>
      <c r="B7905" s="3"/>
      <c r="C7905" s="3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</row>
    <row r="7906" spans="1:15" ht="15" customHeight="1" x14ac:dyDescent="0.25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</row>
    <row r="7907" spans="1:15" ht="15" customHeight="1" x14ac:dyDescent="0.25">
      <c r="A7907" s="3"/>
      <c r="B7907" s="3"/>
      <c r="C7907" s="3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</row>
    <row r="7908" spans="1:15" ht="15" customHeight="1" x14ac:dyDescent="0.25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</row>
    <row r="7909" spans="1:15" ht="15" customHeight="1" x14ac:dyDescent="0.25">
      <c r="A7909" s="3"/>
      <c r="B7909" s="3"/>
      <c r="C7909" s="3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</row>
    <row r="7910" spans="1:15" ht="15" customHeight="1" x14ac:dyDescent="0.25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</row>
    <row r="7911" spans="1:15" ht="15" customHeight="1" x14ac:dyDescent="0.25">
      <c r="A7911" s="3"/>
      <c r="B7911" s="3"/>
      <c r="C7911" s="3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</row>
    <row r="7912" spans="1:15" ht="15" customHeight="1" x14ac:dyDescent="0.25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</row>
    <row r="7913" spans="1:15" ht="15" customHeight="1" x14ac:dyDescent="0.25">
      <c r="A7913" s="3"/>
      <c r="B7913" s="3"/>
      <c r="C7913" s="3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</row>
    <row r="7914" spans="1:15" ht="15" customHeight="1" x14ac:dyDescent="0.25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</row>
    <row r="7915" spans="1:15" ht="15" customHeight="1" x14ac:dyDescent="0.25">
      <c r="A7915" s="3"/>
      <c r="B7915" s="3"/>
      <c r="C7915" s="3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</row>
    <row r="7916" spans="1:15" ht="15" customHeight="1" x14ac:dyDescent="0.25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</row>
    <row r="7917" spans="1:15" ht="15" customHeight="1" x14ac:dyDescent="0.25">
      <c r="A7917" s="3"/>
      <c r="B7917" s="3"/>
      <c r="C7917" s="3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</row>
    <row r="7918" spans="1:15" ht="15" customHeight="1" x14ac:dyDescent="0.25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</row>
    <row r="7919" spans="1:15" ht="15" customHeight="1" x14ac:dyDescent="0.25">
      <c r="A7919" s="3"/>
      <c r="B7919" s="3"/>
      <c r="C7919" s="3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</row>
    <row r="7920" spans="1:15" ht="15" customHeight="1" x14ac:dyDescent="0.25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</row>
    <row r="7921" spans="1:15" ht="15" customHeight="1" x14ac:dyDescent="0.25">
      <c r="A7921" s="3"/>
      <c r="B7921" s="3"/>
      <c r="C7921" s="3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</row>
    <row r="7922" spans="1:15" ht="15" customHeight="1" x14ac:dyDescent="0.25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</row>
    <row r="7923" spans="1:15" ht="15" customHeight="1" x14ac:dyDescent="0.25">
      <c r="A7923" s="3"/>
      <c r="B7923" s="3"/>
      <c r="C7923" s="3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</row>
    <row r="7924" spans="1:15" ht="15" customHeight="1" x14ac:dyDescent="0.25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</row>
    <row r="7925" spans="1:15" ht="15" customHeight="1" x14ac:dyDescent="0.25">
      <c r="A7925" s="3"/>
      <c r="B7925" s="3"/>
      <c r="C7925" s="3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</row>
    <row r="7926" spans="1:15" ht="15" customHeight="1" x14ac:dyDescent="0.25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</row>
    <row r="7927" spans="1:15" ht="15" customHeight="1" x14ac:dyDescent="0.25">
      <c r="A7927" s="3"/>
      <c r="B7927" s="3"/>
      <c r="C7927" s="3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</row>
    <row r="7928" spans="1:15" ht="15" customHeight="1" x14ac:dyDescent="0.25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</row>
    <row r="7929" spans="1:15" ht="15" customHeight="1" x14ac:dyDescent="0.25">
      <c r="A7929" s="3"/>
      <c r="B7929" s="3"/>
      <c r="C7929" s="3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</row>
    <row r="7930" spans="1:15" ht="15" customHeight="1" x14ac:dyDescent="0.25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</row>
    <row r="7931" spans="1:15" ht="15" customHeight="1" x14ac:dyDescent="0.25">
      <c r="A7931" s="3"/>
      <c r="B7931" s="3"/>
      <c r="C7931" s="3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</row>
    <row r="7932" spans="1:15" ht="15" customHeight="1" x14ac:dyDescent="0.25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</row>
    <row r="7933" spans="1:15" ht="15" customHeight="1" x14ac:dyDescent="0.25">
      <c r="A7933" s="3"/>
      <c r="B7933" s="3"/>
      <c r="C7933" s="3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</row>
    <row r="7934" spans="1:15" ht="15" customHeight="1" x14ac:dyDescent="0.25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</row>
    <row r="7935" spans="1:15" ht="15" customHeight="1" x14ac:dyDescent="0.25">
      <c r="A7935" s="3"/>
      <c r="B7935" s="3"/>
      <c r="C7935" s="3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</row>
    <row r="7936" spans="1:15" ht="15" customHeight="1" x14ac:dyDescent="0.25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</row>
    <row r="7937" spans="1:15" ht="15" customHeight="1" x14ac:dyDescent="0.25">
      <c r="A7937" s="3"/>
      <c r="B7937" s="3"/>
      <c r="C7937" s="3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</row>
    <row r="7938" spans="1:15" ht="15" customHeight="1" x14ac:dyDescent="0.25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</row>
    <row r="7939" spans="1:15" ht="15" customHeight="1" x14ac:dyDescent="0.25">
      <c r="A7939" s="3"/>
      <c r="B7939" s="3"/>
      <c r="C7939" s="3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</row>
    <row r="7940" spans="1:15" ht="15" customHeight="1" x14ac:dyDescent="0.25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</row>
    <row r="7941" spans="1:15" ht="15" customHeight="1" x14ac:dyDescent="0.25">
      <c r="A7941" s="3"/>
      <c r="B7941" s="3"/>
      <c r="C7941" s="3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</row>
    <row r="7942" spans="1:15" ht="15" customHeight="1" x14ac:dyDescent="0.25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</row>
    <row r="7943" spans="1:15" ht="15" customHeight="1" x14ac:dyDescent="0.25">
      <c r="A7943" s="3"/>
      <c r="B7943" s="3"/>
      <c r="C7943" s="3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</row>
    <row r="7944" spans="1:15" ht="15" customHeight="1" x14ac:dyDescent="0.25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</row>
    <row r="7945" spans="1:15" ht="15" customHeight="1" x14ac:dyDescent="0.25">
      <c r="A7945" s="3"/>
      <c r="B7945" s="3"/>
      <c r="C7945" s="3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</row>
    <row r="7946" spans="1:15" ht="15" customHeight="1" x14ac:dyDescent="0.25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</row>
    <row r="7947" spans="1:15" ht="15" customHeight="1" x14ac:dyDescent="0.25">
      <c r="A7947" s="3"/>
      <c r="B7947" s="3"/>
      <c r="C7947" s="3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</row>
    <row r="7948" spans="1:15" ht="15" customHeight="1" x14ac:dyDescent="0.25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</row>
    <row r="7949" spans="1:15" ht="15" customHeight="1" x14ac:dyDescent="0.25">
      <c r="A7949" s="3"/>
      <c r="B7949" s="3"/>
      <c r="C7949" s="3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</row>
    <row r="7950" spans="1:15" ht="15" customHeight="1" x14ac:dyDescent="0.25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</row>
    <row r="7951" spans="1:15" ht="15" customHeight="1" x14ac:dyDescent="0.25">
      <c r="A7951" s="3"/>
      <c r="B7951" s="3"/>
      <c r="C7951" s="3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</row>
    <row r="7952" spans="1:15" ht="15" customHeight="1" x14ac:dyDescent="0.25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</row>
    <row r="7953" spans="1:15" ht="15" customHeight="1" x14ac:dyDescent="0.25">
      <c r="A7953" s="3"/>
      <c r="B7953" s="3"/>
      <c r="C7953" s="3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</row>
    <row r="7954" spans="1:15" ht="15" customHeight="1" x14ac:dyDescent="0.25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</row>
    <row r="7955" spans="1:15" ht="15" customHeight="1" x14ac:dyDescent="0.25">
      <c r="A7955" s="3"/>
      <c r="B7955" s="3"/>
      <c r="C7955" s="3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</row>
    <row r="7956" spans="1:15" ht="15" customHeight="1" x14ac:dyDescent="0.25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</row>
    <row r="7957" spans="1:15" ht="15" customHeight="1" x14ac:dyDescent="0.25">
      <c r="A7957" s="3"/>
      <c r="B7957" s="3"/>
      <c r="C7957" s="3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</row>
    <row r="7958" spans="1:15" ht="15" customHeight="1" x14ac:dyDescent="0.25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</row>
    <row r="7959" spans="1:15" ht="15" customHeight="1" x14ac:dyDescent="0.25">
      <c r="A7959" s="3"/>
      <c r="B7959" s="3"/>
      <c r="C7959" s="3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</row>
    <row r="7960" spans="1:15" ht="15" customHeight="1" x14ac:dyDescent="0.25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</row>
    <row r="7961" spans="1:15" ht="15" customHeight="1" x14ac:dyDescent="0.25">
      <c r="A7961" s="3"/>
      <c r="B7961" s="3"/>
      <c r="C7961" s="3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</row>
    <row r="7962" spans="1:15" ht="15" customHeight="1" x14ac:dyDescent="0.25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</row>
    <row r="7963" spans="1:15" ht="15" customHeight="1" x14ac:dyDescent="0.25">
      <c r="A7963" s="3"/>
      <c r="B7963" s="3"/>
      <c r="C7963" s="3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</row>
    <row r="7964" spans="1:15" ht="15" customHeight="1" x14ac:dyDescent="0.25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</row>
    <row r="7965" spans="1:15" ht="15" customHeight="1" x14ac:dyDescent="0.25">
      <c r="A7965" s="3"/>
      <c r="B7965" s="3"/>
      <c r="C7965" s="3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</row>
    <row r="7966" spans="1:15" ht="15" customHeight="1" x14ac:dyDescent="0.25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</row>
    <row r="7967" spans="1:15" ht="15" customHeight="1" x14ac:dyDescent="0.25">
      <c r="A7967" s="3"/>
      <c r="B7967" s="3"/>
      <c r="C7967" s="3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</row>
    <row r="7968" spans="1:15" ht="15" customHeight="1" x14ac:dyDescent="0.25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</row>
    <row r="7969" spans="1:15" ht="15" customHeight="1" x14ac:dyDescent="0.25">
      <c r="A7969" s="3"/>
      <c r="B7969" s="3"/>
      <c r="C7969" s="3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</row>
    <row r="7970" spans="1:15" ht="15" customHeight="1" x14ac:dyDescent="0.25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</row>
    <row r="7971" spans="1:15" ht="15" customHeight="1" x14ac:dyDescent="0.25">
      <c r="A7971" s="3"/>
      <c r="B7971" s="3"/>
      <c r="C7971" s="3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</row>
    <row r="7972" spans="1:15" ht="15" customHeight="1" x14ac:dyDescent="0.25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</row>
    <row r="7973" spans="1:15" ht="15" customHeight="1" x14ac:dyDescent="0.25">
      <c r="A7973" s="3"/>
      <c r="B7973" s="3"/>
      <c r="C7973" s="3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</row>
    <row r="7974" spans="1:15" ht="15" customHeight="1" x14ac:dyDescent="0.25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</row>
    <row r="7975" spans="1:15" ht="15" customHeight="1" x14ac:dyDescent="0.25">
      <c r="A7975" s="3"/>
      <c r="B7975" s="3"/>
      <c r="C7975" s="3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</row>
    <row r="7976" spans="1:15" ht="15" customHeight="1" x14ac:dyDescent="0.25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</row>
    <row r="7977" spans="1:15" ht="15" customHeight="1" x14ac:dyDescent="0.25">
      <c r="A7977" s="3"/>
      <c r="B7977" s="3"/>
      <c r="C7977" s="3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</row>
    <row r="7978" spans="1:15" ht="15" customHeight="1" x14ac:dyDescent="0.25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</row>
    <row r="7979" spans="1:15" ht="15" customHeight="1" x14ac:dyDescent="0.25">
      <c r="A7979" s="3"/>
      <c r="B7979" s="3"/>
      <c r="C7979" s="3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</row>
    <row r="7980" spans="1:15" ht="15" customHeight="1" x14ac:dyDescent="0.25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</row>
    <row r="7981" spans="1:15" ht="15" customHeight="1" x14ac:dyDescent="0.25">
      <c r="A7981" s="3"/>
      <c r="B7981" s="3"/>
      <c r="C7981" s="3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</row>
    <row r="7982" spans="1:15" ht="15" customHeight="1" x14ac:dyDescent="0.25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</row>
    <row r="7983" spans="1:15" ht="15" customHeight="1" x14ac:dyDescent="0.25">
      <c r="A7983" s="3"/>
      <c r="B7983" s="3"/>
      <c r="C7983" s="3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</row>
    <row r="7984" spans="1:15" ht="15" customHeight="1" x14ac:dyDescent="0.25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</row>
    <row r="7985" spans="1:15" ht="15" customHeight="1" x14ac:dyDescent="0.25">
      <c r="A7985" s="3"/>
      <c r="B7985" s="3"/>
      <c r="C7985" s="3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</row>
    <row r="7986" spans="1:15" ht="15" customHeight="1" x14ac:dyDescent="0.25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</row>
    <row r="7987" spans="1:15" ht="15" customHeight="1" x14ac:dyDescent="0.25">
      <c r="A7987" s="3"/>
      <c r="B7987" s="3"/>
      <c r="C7987" s="3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</row>
    <row r="7988" spans="1:15" ht="15" customHeight="1" x14ac:dyDescent="0.25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</row>
    <row r="7989" spans="1:15" ht="15" customHeight="1" x14ac:dyDescent="0.25">
      <c r="A7989" s="3"/>
      <c r="B7989" s="3"/>
      <c r="C7989" s="3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</row>
    <row r="7990" spans="1:15" ht="15" customHeight="1" x14ac:dyDescent="0.25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</row>
    <row r="7991" spans="1:15" ht="15" customHeight="1" x14ac:dyDescent="0.25">
      <c r="A7991" s="3"/>
      <c r="B7991" s="3"/>
      <c r="C7991" s="3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</row>
    <row r="7992" spans="1:15" ht="15" customHeight="1" x14ac:dyDescent="0.25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</row>
    <row r="7993" spans="1:15" ht="15" customHeight="1" x14ac:dyDescent="0.25">
      <c r="A7993" s="3"/>
      <c r="B7993" s="3"/>
      <c r="C7993" s="3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</row>
    <row r="7994" spans="1:15" ht="15" customHeight="1" x14ac:dyDescent="0.25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</row>
    <row r="7995" spans="1:15" ht="15" customHeight="1" x14ac:dyDescent="0.25">
      <c r="A7995" s="3"/>
      <c r="B7995" s="3"/>
      <c r="C7995" s="3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</row>
    <row r="7996" spans="1:15" ht="15" customHeight="1" x14ac:dyDescent="0.25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</row>
    <row r="7997" spans="1:15" ht="15" customHeight="1" x14ac:dyDescent="0.25">
      <c r="A7997" s="3"/>
      <c r="B7997" s="3"/>
      <c r="C7997" s="3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</row>
    <row r="7998" spans="1:15" ht="15" customHeight="1" x14ac:dyDescent="0.25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</row>
    <row r="7999" spans="1:15" ht="15" customHeight="1" x14ac:dyDescent="0.25">
      <c r="A7999" s="3"/>
      <c r="B7999" s="3"/>
      <c r="C7999" s="3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</row>
    <row r="8000" spans="1:15" ht="15" customHeight="1" x14ac:dyDescent="0.25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</row>
    <row r="8001" spans="1:15" ht="15" customHeight="1" x14ac:dyDescent="0.25">
      <c r="A8001" s="3"/>
      <c r="B8001" s="3"/>
      <c r="C8001" s="3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</row>
    <row r="8002" spans="1:15" ht="15" customHeight="1" x14ac:dyDescent="0.25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</row>
    <row r="8003" spans="1:15" ht="15" customHeight="1" x14ac:dyDescent="0.25">
      <c r="A8003" s="3"/>
      <c r="B8003" s="3"/>
      <c r="C8003" s="3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</row>
    <row r="8004" spans="1:15" ht="15" customHeight="1" x14ac:dyDescent="0.25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</row>
    <row r="8005" spans="1:15" ht="15" customHeight="1" x14ac:dyDescent="0.25">
      <c r="A8005" s="3"/>
      <c r="B8005" s="3"/>
      <c r="C8005" s="3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</row>
    <row r="8006" spans="1:15" ht="15" customHeight="1" x14ac:dyDescent="0.25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</row>
    <row r="8007" spans="1:15" ht="15" customHeight="1" x14ac:dyDescent="0.25">
      <c r="A8007" s="3"/>
      <c r="B8007" s="3"/>
      <c r="C8007" s="3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</row>
    <row r="8008" spans="1:15" ht="15" customHeight="1" x14ac:dyDescent="0.25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</row>
    <row r="8009" spans="1:15" ht="15" customHeight="1" x14ac:dyDescent="0.25">
      <c r="A8009" s="3"/>
      <c r="B8009" s="3"/>
      <c r="C8009" s="3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</row>
    <row r="8010" spans="1:15" ht="15" customHeight="1" x14ac:dyDescent="0.25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</row>
    <row r="8011" spans="1:15" ht="15" customHeight="1" x14ac:dyDescent="0.25">
      <c r="A8011" s="3"/>
      <c r="B8011" s="3"/>
      <c r="C8011" s="3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</row>
    <row r="8012" spans="1:15" ht="15" customHeight="1" x14ac:dyDescent="0.25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</row>
    <row r="8013" spans="1:15" ht="15" customHeight="1" x14ac:dyDescent="0.25">
      <c r="A8013" s="3"/>
      <c r="B8013" s="3"/>
      <c r="C8013" s="3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</row>
    <row r="8014" spans="1:15" ht="15" customHeight="1" x14ac:dyDescent="0.25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</row>
    <row r="8015" spans="1:15" ht="15" customHeight="1" x14ac:dyDescent="0.25">
      <c r="A8015" s="3"/>
      <c r="B8015" s="3"/>
      <c r="C8015" s="3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</row>
    <row r="8016" spans="1:15" ht="15" customHeight="1" x14ac:dyDescent="0.25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</row>
    <row r="8017" spans="1:15" ht="15" customHeight="1" x14ac:dyDescent="0.25">
      <c r="A8017" s="3"/>
      <c r="B8017" s="3"/>
      <c r="C8017" s="3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</row>
    <row r="8018" spans="1:15" ht="15" customHeight="1" x14ac:dyDescent="0.25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</row>
    <row r="8019" spans="1:15" ht="15" customHeight="1" x14ac:dyDescent="0.25">
      <c r="A8019" s="3"/>
      <c r="B8019" s="3"/>
      <c r="C8019" s="3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</row>
    <row r="8020" spans="1:15" ht="15" customHeight="1" x14ac:dyDescent="0.25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</row>
    <row r="8021" spans="1:15" ht="15" customHeight="1" x14ac:dyDescent="0.25">
      <c r="A8021" s="3"/>
      <c r="B8021" s="3"/>
      <c r="C8021" s="3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</row>
    <row r="8022" spans="1:15" ht="15" customHeight="1" x14ac:dyDescent="0.25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</row>
    <row r="8023" spans="1:15" ht="15" customHeight="1" x14ac:dyDescent="0.25">
      <c r="A8023" s="3"/>
      <c r="B8023" s="3"/>
      <c r="C8023" s="3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</row>
    <row r="8024" spans="1:15" ht="15" customHeight="1" x14ac:dyDescent="0.25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</row>
    <row r="8025" spans="1:15" ht="15" customHeight="1" x14ac:dyDescent="0.25">
      <c r="A8025" s="3"/>
      <c r="B8025" s="3"/>
      <c r="C8025" s="3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</row>
    <row r="8026" spans="1:15" ht="15" customHeight="1" x14ac:dyDescent="0.25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</row>
    <row r="8027" spans="1:15" ht="15" customHeight="1" x14ac:dyDescent="0.25">
      <c r="A8027" s="3"/>
      <c r="B8027" s="3"/>
      <c r="C8027" s="3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</row>
    <row r="8028" spans="1:15" ht="15" customHeight="1" x14ac:dyDescent="0.25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</row>
    <row r="8029" spans="1:15" ht="15" customHeight="1" x14ac:dyDescent="0.25">
      <c r="A8029" s="3"/>
      <c r="B8029" s="3"/>
      <c r="C8029" s="3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</row>
    <row r="8030" spans="1:15" ht="15" customHeight="1" x14ac:dyDescent="0.25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</row>
    <row r="8031" spans="1:15" ht="15" customHeight="1" x14ac:dyDescent="0.25">
      <c r="A8031" s="3"/>
      <c r="B8031" s="3"/>
      <c r="C8031" s="3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</row>
    <row r="8032" spans="1:15" ht="15" customHeight="1" x14ac:dyDescent="0.25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</row>
    <row r="8033" spans="1:15" ht="15" customHeight="1" x14ac:dyDescent="0.25">
      <c r="A8033" s="3"/>
      <c r="B8033" s="3"/>
      <c r="C8033" s="3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</row>
    <row r="8034" spans="1:15" ht="15" customHeight="1" x14ac:dyDescent="0.25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</row>
    <row r="8035" spans="1:15" ht="15" customHeight="1" x14ac:dyDescent="0.25">
      <c r="A8035" s="3"/>
      <c r="B8035" s="3"/>
      <c r="C8035" s="3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</row>
    <row r="8036" spans="1:15" ht="15" customHeight="1" x14ac:dyDescent="0.25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</row>
    <row r="8037" spans="1:15" ht="15" customHeight="1" x14ac:dyDescent="0.25">
      <c r="A8037" s="3"/>
      <c r="B8037" s="3"/>
      <c r="C8037" s="3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</row>
    <row r="8038" spans="1:15" ht="15" customHeight="1" x14ac:dyDescent="0.25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</row>
    <row r="8039" spans="1:15" ht="15" customHeight="1" x14ac:dyDescent="0.25">
      <c r="A8039" s="3"/>
      <c r="B8039" s="3"/>
      <c r="C8039" s="3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</row>
    <row r="8040" spans="1:15" ht="15" customHeight="1" x14ac:dyDescent="0.25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</row>
    <row r="8041" spans="1:15" ht="15" customHeight="1" x14ac:dyDescent="0.25">
      <c r="A8041" s="3"/>
      <c r="B8041" s="3"/>
      <c r="C8041" s="3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</row>
    <row r="8042" spans="1:15" ht="15" customHeight="1" x14ac:dyDescent="0.25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</row>
    <row r="8043" spans="1:15" ht="15" customHeight="1" x14ac:dyDescent="0.25">
      <c r="A8043" s="3"/>
      <c r="B8043" s="3"/>
      <c r="C8043" s="3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</row>
    <row r="8044" spans="1:15" ht="15" customHeight="1" x14ac:dyDescent="0.25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</row>
    <row r="8045" spans="1:15" ht="15" customHeight="1" x14ac:dyDescent="0.25">
      <c r="A8045" s="3"/>
      <c r="B8045" s="3"/>
      <c r="C8045" s="3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</row>
    <row r="8046" spans="1:15" ht="15" customHeight="1" x14ac:dyDescent="0.25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</row>
    <row r="8047" spans="1:15" ht="15" customHeight="1" x14ac:dyDescent="0.25">
      <c r="A8047" s="3"/>
      <c r="B8047" s="3"/>
      <c r="C8047" s="3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</row>
    <row r="8048" spans="1:15" ht="15" customHeight="1" x14ac:dyDescent="0.25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</row>
    <row r="8049" spans="1:15" ht="15" customHeight="1" x14ac:dyDescent="0.25">
      <c r="A8049" s="3"/>
      <c r="B8049" s="3"/>
      <c r="C8049" s="3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</row>
    <row r="8050" spans="1:15" ht="15" customHeight="1" x14ac:dyDescent="0.25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</row>
    <row r="8051" spans="1:15" ht="15" customHeight="1" x14ac:dyDescent="0.25">
      <c r="A8051" s="3"/>
      <c r="B8051" s="3"/>
      <c r="C8051" s="3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</row>
    <row r="8052" spans="1:15" ht="15" customHeight="1" x14ac:dyDescent="0.25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</row>
    <row r="8053" spans="1:15" ht="15" customHeight="1" x14ac:dyDescent="0.25">
      <c r="A8053" s="3"/>
      <c r="B8053" s="3"/>
      <c r="C8053" s="3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</row>
    <row r="8054" spans="1:15" ht="15" customHeight="1" x14ac:dyDescent="0.25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</row>
    <row r="8055" spans="1:15" ht="15" customHeight="1" x14ac:dyDescent="0.25">
      <c r="A8055" s="3"/>
      <c r="B8055" s="3"/>
      <c r="C8055" s="3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</row>
    <row r="8056" spans="1:15" ht="15" customHeight="1" x14ac:dyDescent="0.25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</row>
    <row r="8057" spans="1:15" ht="15" customHeight="1" x14ac:dyDescent="0.25">
      <c r="A8057" s="3"/>
      <c r="B8057" s="3"/>
      <c r="C8057" s="3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</row>
    <row r="8058" spans="1:15" ht="15" customHeight="1" x14ac:dyDescent="0.25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</row>
    <row r="8059" spans="1:15" ht="15" customHeight="1" x14ac:dyDescent="0.25">
      <c r="A8059" s="3"/>
      <c r="B8059" s="3"/>
      <c r="C8059" s="3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</row>
    <row r="8060" spans="1:15" ht="15" customHeight="1" x14ac:dyDescent="0.25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</row>
    <row r="8061" spans="1:15" ht="15" customHeight="1" x14ac:dyDescent="0.25">
      <c r="A8061" s="3"/>
      <c r="B8061" s="3"/>
      <c r="C8061" s="3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</row>
    <row r="8062" spans="1:15" ht="15" customHeight="1" x14ac:dyDescent="0.25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</row>
    <row r="8063" spans="1:15" ht="15" customHeight="1" x14ac:dyDescent="0.25">
      <c r="A8063" s="3"/>
      <c r="B8063" s="3"/>
      <c r="C8063" s="3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</row>
    <row r="8064" spans="1:15" ht="15" customHeight="1" x14ac:dyDescent="0.25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</row>
    <row r="8065" spans="1:15" ht="15" customHeight="1" x14ac:dyDescent="0.25">
      <c r="A8065" s="3"/>
      <c r="B8065" s="3"/>
      <c r="C8065" s="3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</row>
    <row r="8066" spans="1:15" ht="15" customHeight="1" x14ac:dyDescent="0.25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</row>
    <row r="8067" spans="1:15" ht="15" customHeight="1" x14ac:dyDescent="0.25">
      <c r="A8067" s="3"/>
      <c r="B8067" s="3"/>
      <c r="C8067" s="3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</row>
    <row r="8068" spans="1:15" ht="15" customHeight="1" x14ac:dyDescent="0.25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</row>
    <row r="8069" spans="1:15" ht="15" customHeight="1" x14ac:dyDescent="0.25">
      <c r="A8069" s="3"/>
      <c r="B8069" s="3"/>
      <c r="C8069" s="3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</row>
    <row r="8070" spans="1:15" ht="15" customHeight="1" x14ac:dyDescent="0.25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</row>
    <row r="8071" spans="1:15" ht="15" customHeight="1" x14ac:dyDescent="0.25">
      <c r="A8071" s="3"/>
      <c r="B8071" s="3"/>
      <c r="C8071" s="3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</row>
    <row r="8072" spans="1:15" ht="15" customHeight="1" x14ac:dyDescent="0.25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</row>
    <row r="8073" spans="1:15" ht="15" customHeight="1" x14ac:dyDescent="0.25">
      <c r="A8073" s="3"/>
      <c r="B8073" s="3"/>
      <c r="C8073" s="3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</row>
    <row r="8074" spans="1:15" ht="15" customHeight="1" x14ac:dyDescent="0.25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</row>
    <row r="8075" spans="1:15" ht="15" customHeight="1" x14ac:dyDescent="0.25">
      <c r="A8075" s="3"/>
      <c r="B8075" s="3"/>
      <c r="C8075" s="3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</row>
    <row r="8076" spans="1:15" ht="15" customHeight="1" x14ac:dyDescent="0.25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</row>
    <row r="8077" spans="1:15" ht="15" customHeight="1" x14ac:dyDescent="0.25">
      <c r="A8077" s="3"/>
      <c r="B8077" s="3"/>
      <c r="C8077" s="3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</row>
    <row r="8078" spans="1:15" ht="15" customHeight="1" x14ac:dyDescent="0.25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</row>
    <row r="8079" spans="1:15" ht="15" customHeight="1" x14ac:dyDescent="0.25">
      <c r="A8079" s="3"/>
      <c r="B8079" s="3"/>
      <c r="C8079" s="3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</row>
    <row r="8080" spans="1:15" ht="15" customHeight="1" x14ac:dyDescent="0.25">
      <c r="A8080" s="2"/>
      <c r="B8080" s="2"/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</row>
    <row r="8081" spans="1:15" ht="15" customHeight="1" x14ac:dyDescent="0.25">
      <c r="A8081" s="3"/>
      <c r="B8081" s="3"/>
      <c r="C8081" s="3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</row>
    <row r="8082" spans="1:15" ht="15" customHeight="1" x14ac:dyDescent="0.25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</row>
    <row r="8083" spans="1:15" ht="15" customHeight="1" x14ac:dyDescent="0.25">
      <c r="A8083" s="3"/>
      <c r="B8083" s="3"/>
      <c r="C8083" s="3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</row>
    <row r="8084" spans="1:15" ht="15" customHeight="1" x14ac:dyDescent="0.25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</row>
    <row r="8085" spans="1:15" ht="15" customHeight="1" x14ac:dyDescent="0.25">
      <c r="A8085" s="3"/>
      <c r="B8085" s="3"/>
      <c r="C8085" s="3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</row>
    <row r="8086" spans="1:15" ht="15" customHeight="1" x14ac:dyDescent="0.25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</row>
    <row r="8087" spans="1:15" ht="15" customHeight="1" x14ac:dyDescent="0.25">
      <c r="A8087" s="3"/>
      <c r="B8087" s="3"/>
      <c r="C8087" s="3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</row>
    <row r="8088" spans="1:15" ht="15" customHeight="1" x14ac:dyDescent="0.25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</row>
    <row r="8089" spans="1:15" ht="15" customHeight="1" x14ac:dyDescent="0.25">
      <c r="A8089" s="3"/>
      <c r="B8089" s="3"/>
      <c r="C8089" s="3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</row>
    <row r="8090" spans="1:15" ht="15" customHeight="1" x14ac:dyDescent="0.25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</row>
    <row r="8091" spans="1:15" ht="15" customHeight="1" x14ac:dyDescent="0.25">
      <c r="A8091" s="3"/>
      <c r="B8091" s="3"/>
      <c r="C8091" s="3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</row>
    <row r="8092" spans="1:15" ht="15" customHeight="1" x14ac:dyDescent="0.25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</row>
    <row r="8093" spans="1:15" ht="15" customHeight="1" x14ac:dyDescent="0.25">
      <c r="A8093" s="3"/>
      <c r="B8093" s="3"/>
      <c r="C8093" s="3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</row>
    <row r="8094" spans="1:15" ht="15" customHeight="1" x14ac:dyDescent="0.25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</row>
    <row r="8095" spans="1:15" ht="15" customHeight="1" x14ac:dyDescent="0.25">
      <c r="A8095" s="3"/>
      <c r="B8095" s="3"/>
      <c r="C8095" s="3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</row>
    <row r="8096" spans="1:15" ht="15" customHeight="1" x14ac:dyDescent="0.25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</row>
    <row r="8097" spans="1:15" ht="15" customHeight="1" x14ac:dyDescent="0.25">
      <c r="A8097" s="3"/>
      <c r="B8097" s="3"/>
      <c r="C8097" s="3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</row>
    <row r="8098" spans="1:15" ht="15" customHeight="1" x14ac:dyDescent="0.25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</row>
    <row r="8099" spans="1:15" ht="15" customHeight="1" x14ac:dyDescent="0.25">
      <c r="A8099" s="3"/>
      <c r="B8099" s="3"/>
      <c r="C8099" s="3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</row>
    <row r="8100" spans="1:15" ht="15" customHeight="1" x14ac:dyDescent="0.25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</row>
    <row r="8101" spans="1:15" ht="15" customHeight="1" x14ac:dyDescent="0.25">
      <c r="A8101" s="3"/>
      <c r="B8101" s="3"/>
      <c r="C8101" s="3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</row>
    <row r="8102" spans="1:15" ht="15" customHeight="1" x14ac:dyDescent="0.25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</row>
    <row r="8103" spans="1:15" ht="15" customHeight="1" x14ac:dyDescent="0.25">
      <c r="A8103" s="3"/>
      <c r="B8103" s="3"/>
      <c r="C8103" s="3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</row>
    <row r="8104" spans="1:15" ht="15" customHeight="1" x14ac:dyDescent="0.25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</row>
    <row r="8105" spans="1:15" ht="15" customHeight="1" x14ac:dyDescent="0.25">
      <c r="A8105" s="3"/>
      <c r="B8105" s="3"/>
      <c r="C8105" s="3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</row>
    <row r="8106" spans="1:15" ht="15" customHeight="1" x14ac:dyDescent="0.25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</row>
    <row r="8107" spans="1:15" ht="15" customHeight="1" x14ac:dyDescent="0.25">
      <c r="A8107" s="3"/>
      <c r="B8107" s="3"/>
      <c r="C8107" s="3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</row>
    <row r="8108" spans="1:15" ht="15" customHeight="1" x14ac:dyDescent="0.25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</row>
    <row r="8109" spans="1:15" ht="15" customHeight="1" x14ac:dyDescent="0.25">
      <c r="A8109" s="3"/>
      <c r="B8109" s="3"/>
      <c r="C8109" s="3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</row>
    <row r="8110" spans="1:15" ht="15" customHeight="1" x14ac:dyDescent="0.25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</row>
    <row r="8111" spans="1:15" ht="15" customHeight="1" x14ac:dyDescent="0.25">
      <c r="A8111" s="3"/>
      <c r="B8111" s="3"/>
      <c r="C8111" s="3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</row>
    <row r="8112" spans="1:15" ht="15" customHeight="1" x14ac:dyDescent="0.25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</row>
    <row r="8113" spans="1:15" ht="15" customHeight="1" x14ac:dyDescent="0.25">
      <c r="A8113" s="3"/>
      <c r="B8113" s="3"/>
      <c r="C8113" s="3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</row>
    <row r="8114" spans="1:15" ht="15" customHeight="1" x14ac:dyDescent="0.25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</row>
    <row r="8115" spans="1:15" ht="15" customHeight="1" x14ac:dyDescent="0.25">
      <c r="A8115" s="3"/>
      <c r="B8115" s="3"/>
      <c r="C8115" s="3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</row>
    <row r="8116" spans="1:15" ht="15" customHeight="1" x14ac:dyDescent="0.25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</row>
    <row r="8117" spans="1:15" ht="15" customHeight="1" x14ac:dyDescent="0.25">
      <c r="A8117" s="3"/>
      <c r="B8117" s="3"/>
      <c r="C8117" s="3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</row>
    <row r="8118" spans="1:15" ht="15" customHeight="1" x14ac:dyDescent="0.25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</row>
    <row r="8119" spans="1:15" ht="15" customHeight="1" x14ac:dyDescent="0.25">
      <c r="A8119" s="3"/>
      <c r="B8119" s="3"/>
      <c r="C8119" s="3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</row>
    <row r="8120" spans="1:15" ht="15" customHeight="1" x14ac:dyDescent="0.25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</row>
    <row r="8121" spans="1:15" ht="15" customHeight="1" x14ac:dyDescent="0.25">
      <c r="A8121" s="3"/>
      <c r="B8121" s="3"/>
      <c r="C8121" s="3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</row>
    <row r="8122" spans="1:15" ht="15" customHeight="1" x14ac:dyDescent="0.25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</row>
    <row r="8123" spans="1:15" ht="15" customHeight="1" x14ac:dyDescent="0.25">
      <c r="A8123" s="3"/>
      <c r="B8123" s="3"/>
      <c r="C8123" s="3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</row>
    <row r="8124" spans="1:15" ht="15" customHeight="1" x14ac:dyDescent="0.25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</row>
    <row r="8125" spans="1:15" ht="15" customHeight="1" x14ac:dyDescent="0.25">
      <c r="A8125" s="3"/>
      <c r="B8125" s="3"/>
      <c r="C8125" s="3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</row>
    <row r="8126" spans="1:15" ht="15" customHeight="1" x14ac:dyDescent="0.25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</row>
    <row r="8127" spans="1:15" ht="15" customHeight="1" x14ac:dyDescent="0.25">
      <c r="A8127" s="3"/>
      <c r="B8127" s="3"/>
      <c r="C8127" s="3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</row>
    <row r="8128" spans="1:15" ht="15" customHeight="1" x14ac:dyDescent="0.25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</row>
    <row r="8129" spans="1:15" ht="15" customHeight="1" x14ac:dyDescent="0.25">
      <c r="A8129" s="3"/>
      <c r="B8129" s="3"/>
      <c r="C8129" s="3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</row>
    <row r="8130" spans="1:15" ht="15" customHeight="1" x14ac:dyDescent="0.25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</row>
    <row r="8131" spans="1:15" ht="15" customHeight="1" x14ac:dyDescent="0.25">
      <c r="A8131" s="3"/>
      <c r="B8131" s="3"/>
      <c r="C8131" s="3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</row>
    <row r="8132" spans="1:15" ht="15" customHeight="1" x14ac:dyDescent="0.25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</row>
    <row r="8133" spans="1:15" ht="15" customHeight="1" x14ac:dyDescent="0.25">
      <c r="A8133" s="3"/>
      <c r="B8133" s="3"/>
      <c r="C8133" s="3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</row>
    <row r="8134" spans="1:15" ht="15" customHeight="1" x14ac:dyDescent="0.25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</row>
    <row r="8135" spans="1:15" ht="15" customHeight="1" x14ac:dyDescent="0.25">
      <c r="A8135" s="3"/>
      <c r="B8135" s="3"/>
      <c r="C8135" s="3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</row>
    <row r="8136" spans="1:15" ht="15" customHeight="1" x14ac:dyDescent="0.25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</row>
    <row r="8137" spans="1:15" ht="15" customHeight="1" x14ac:dyDescent="0.25">
      <c r="A8137" s="3"/>
      <c r="B8137" s="3"/>
      <c r="C8137" s="3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</row>
    <row r="8138" spans="1:15" ht="15" customHeight="1" x14ac:dyDescent="0.25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</row>
    <row r="8139" spans="1:15" ht="15" customHeight="1" x14ac:dyDescent="0.25">
      <c r="A8139" s="3"/>
      <c r="B8139" s="3"/>
      <c r="C8139" s="3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</row>
    <row r="8140" spans="1:15" ht="15" customHeight="1" x14ac:dyDescent="0.25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</row>
    <row r="8141" spans="1:15" ht="15" customHeight="1" x14ac:dyDescent="0.25">
      <c r="A8141" s="3"/>
      <c r="B8141" s="3"/>
      <c r="C8141" s="3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</row>
    <row r="8142" spans="1:15" ht="15" customHeight="1" x14ac:dyDescent="0.25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</row>
    <row r="8143" spans="1:15" ht="15" customHeight="1" x14ac:dyDescent="0.25">
      <c r="A8143" s="3"/>
      <c r="B8143" s="3"/>
      <c r="C8143" s="3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</row>
    <row r="8144" spans="1:15" ht="15" customHeight="1" x14ac:dyDescent="0.25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</row>
    <row r="8145" spans="1:15" ht="15" customHeight="1" x14ac:dyDescent="0.25">
      <c r="A8145" s="3"/>
      <c r="B8145" s="3"/>
      <c r="C8145" s="3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</row>
    <row r="8146" spans="1:15" ht="15" customHeight="1" x14ac:dyDescent="0.25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</row>
    <row r="8147" spans="1:15" ht="15" customHeight="1" x14ac:dyDescent="0.25">
      <c r="A8147" s="3"/>
      <c r="B8147" s="3"/>
      <c r="C8147" s="3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</row>
    <row r="8148" spans="1:15" ht="15" customHeight="1" x14ac:dyDescent="0.25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</row>
    <row r="8149" spans="1:15" ht="15" customHeight="1" x14ac:dyDescent="0.25">
      <c r="A8149" s="3"/>
      <c r="B8149" s="3"/>
      <c r="C8149" s="3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</row>
    <row r="8150" spans="1:15" ht="15" customHeight="1" x14ac:dyDescent="0.25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</row>
    <row r="8151" spans="1:15" ht="15" customHeight="1" x14ac:dyDescent="0.25">
      <c r="A8151" s="3"/>
      <c r="B8151" s="3"/>
      <c r="C8151" s="3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</row>
    <row r="8152" spans="1:15" ht="15" customHeight="1" x14ac:dyDescent="0.25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</row>
    <row r="8153" spans="1:15" ht="15" customHeight="1" x14ac:dyDescent="0.25">
      <c r="A8153" s="3"/>
      <c r="B8153" s="3"/>
      <c r="C8153" s="3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</row>
    <row r="8154" spans="1:15" ht="15" customHeight="1" x14ac:dyDescent="0.25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</row>
    <row r="8155" spans="1:15" ht="15" customHeight="1" x14ac:dyDescent="0.25">
      <c r="A8155" s="3"/>
      <c r="B8155" s="3"/>
      <c r="C8155" s="3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</row>
    <row r="8156" spans="1:15" ht="15" customHeight="1" x14ac:dyDescent="0.25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</row>
    <row r="8157" spans="1:15" ht="15" customHeight="1" x14ac:dyDescent="0.25">
      <c r="A8157" s="3"/>
      <c r="B8157" s="3"/>
      <c r="C8157" s="3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</row>
    <row r="8158" spans="1:15" ht="15" customHeight="1" x14ac:dyDescent="0.25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</row>
    <row r="8159" spans="1:15" ht="15" customHeight="1" x14ac:dyDescent="0.25">
      <c r="A8159" s="3"/>
      <c r="B8159" s="3"/>
      <c r="C8159" s="3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</row>
    <row r="8160" spans="1:15" ht="15" customHeight="1" x14ac:dyDescent="0.25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</row>
    <row r="8161" spans="1:15" ht="15" customHeight="1" x14ac:dyDescent="0.25">
      <c r="A8161" s="3"/>
      <c r="B8161" s="3"/>
      <c r="C8161" s="3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</row>
    <row r="8162" spans="1:15" ht="15" customHeight="1" x14ac:dyDescent="0.25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</row>
    <row r="8163" spans="1:15" ht="15" customHeight="1" x14ac:dyDescent="0.25">
      <c r="A8163" s="3"/>
      <c r="B8163" s="3"/>
      <c r="C8163" s="3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</row>
    <row r="8164" spans="1:15" ht="15" customHeight="1" x14ac:dyDescent="0.25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</row>
    <row r="8165" spans="1:15" ht="15" customHeight="1" x14ac:dyDescent="0.25">
      <c r="A8165" s="3"/>
      <c r="B8165" s="3"/>
      <c r="C8165" s="3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</row>
    <row r="8166" spans="1:15" ht="15" customHeight="1" x14ac:dyDescent="0.25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</row>
    <row r="8167" spans="1:15" ht="15" customHeight="1" x14ac:dyDescent="0.25">
      <c r="A8167" s="3"/>
      <c r="B8167" s="3"/>
      <c r="C8167" s="3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</row>
    <row r="8168" spans="1:15" ht="15" customHeight="1" x14ac:dyDescent="0.25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</row>
    <row r="8169" spans="1:15" ht="15" customHeight="1" x14ac:dyDescent="0.25">
      <c r="A8169" s="3"/>
      <c r="B8169" s="3"/>
      <c r="C8169" s="3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</row>
    <row r="8170" spans="1:15" ht="15" customHeight="1" x14ac:dyDescent="0.25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</row>
    <row r="8171" spans="1:15" ht="15" customHeight="1" x14ac:dyDescent="0.25">
      <c r="A8171" s="3"/>
      <c r="B8171" s="3"/>
      <c r="C8171" s="3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</row>
    <row r="8172" spans="1:15" ht="15" customHeight="1" x14ac:dyDescent="0.25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</row>
    <row r="8173" spans="1:15" ht="15" customHeight="1" x14ac:dyDescent="0.25">
      <c r="A8173" s="3"/>
      <c r="B8173" s="3"/>
      <c r="C8173" s="3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</row>
    <row r="8174" spans="1:15" ht="15" customHeight="1" x14ac:dyDescent="0.25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</row>
    <row r="8175" spans="1:15" ht="15" customHeight="1" x14ac:dyDescent="0.25">
      <c r="A8175" s="3"/>
      <c r="B8175" s="3"/>
      <c r="C8175" s="3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</row>
    <row r="8176" spans="1:15" ht="15" customHeight="1" x14ac:dyDescent="0.25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</row>
    <row r="8177" spans="1:15" ht="15" customHeight="1" x14ac:dyDescent="0.25">
      <c r="A8177" s="3"/>
      <c r="B8177" s="3"/>
      <c r="C8177" s="3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</row>
    <row r="8178" spans="1:15" ht="15" customHeight="1" x14ac:dyDescent="0.25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</row>
    <row r="8179" spans="1:15" ht="15" customHeight="1" x14ac:dyDescent="0.25">
      <c r="A8179" s="3"/>
      <c r="B8179" s="3"/>
      <c r="C8179" s="3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</row>
    <row r="8180" spans="1:15" ht="15" customHeight="1" x14ac:dyDescent="0.25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</row>
    <row r="8181" spans="1:15" ht="15" customHeight="1" x14ac:dyDescent="0.25">
      <c r="A8181" s="3"/>
      <c r="B8181" s="3"/>
      <c r="C8181" s="3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</row>
    <row r="8182" spans="1:15" ht="15" customHeight="1" x14ac:dyDescent="0.25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</row>
    <row r="8183" spans="1:15" ht="15" customHeight="1" x14ac:dyDescent="0.25">
      <c r="A8183" s="3"/>
      <c r="B8183" s="3"/>
      <c r="C8183" s="3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</row>
    <row r="8184" spans="1:15" ht="15" customHeight="1" x14ac:dyDescent="0.25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</row>
    <row r="8185" spans="1:15" ht="15" customHeight="1" x14ac:dyDescent="0.25">
      <c r="A8185" s="3"/>
      <c r="B8185" s="3"/>
      <c r="C8185" s="3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</row>
    <row r="8186" spans="1:15" ht="15" customHeight="1" x14ac:dyDescent="0.25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</row>
    <row r="8187" spans="1:15" ht="15" customHeight="1" x14ac:dyDescent="0.25">
      <c r="A8187" s="3"/>
      <c r="B8187" s="3"/>
      <c r="C8187" s="3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</row>
    <row r="8188" spans="1:15" ht="15" customHeight="1" x14ac:dyDescent="0.25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</row>
    <row r="8189" spans="1:15" ht="15" customHeight="1" x14ac:dyDescent="0.25">
      <c r="A8189" s="3"/>
      <c r="B8189" s="3"/>
      <c r="C8189" s="3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</row>
    <row r="8190" spans="1:15" ht="15" customHeight="1" x14ac:dyDescent="0.25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</row>
    <row r="8191" spans="1:15" ht="15" customHeight="1" x14ac:dyDescent="0.25">
      <c r="A8191" s="3"/>
      <c r="B8191" s="3"/>
      <c r="C8191" s="3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</row>
    <row r="8192" spans="1:15" ht="15" customHeight="1" x14ac:dyDescent="0.25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</row>
    <row r="8193" spans="1:15" ht="15" customHeight="1" x14ac:dyDescent="0.25">
      <c r="A8193" s="3"/>
      <c r="B8193" s="3"/>
      <c r="C8193" s="3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</row>
    <row r="8194" spans="1:15" ht="15" customHeight="1" x14ac:dyDescent="0.25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</row>
    <row r="8195" spans="1:15" ht="15" customHeight="1" x14ac:dyDescent="0.25">
      <c r="A8195" s="3"/>
      <c r="B8195" s="3"/>
      <c r="C8195" s="3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</row>
    <row r="8196" spans="1:15" ht="15" customHeight="1" x14ac:dyDescent="0.25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</row>
    <row r="8197" spans="1:15" ht="15" customHeight="1" x14ac:dyDescent="0.25">
      <c r="A8197" s="3"/>
      <c r="B8197" s="3"/>
      <c r="C8197" s="3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</row>
    <row r="8198" spans="1:15" ht="15" customHeight="1" x14ac:dyDescent="0.25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</row>
    <row r="8199" spans="1:15" ht="15" customHeight="1" x14ac:dyDescent="0.25">
      <c r="A8199" s="3"/>
      <c r="B8199" s="3"/>
      <c r="C8199" s="3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</row>
    <row r="8200" spans="1:15" ht="15" customHeight="1" x14ac:dyDescent="0.25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</row>
    <row r="8201" spans="1:15" ht="15" customHeight="1" x14ac:dyDescent="0.25">
      <c r="A8201" s="3"/>
      <c r="B8201" s="3"/>
      <c r="C8201" s="3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</row>
    <row r="8202" spans="1:15" ht="15" customHeight="1" x14ac:dyDescent="0.25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</row>
    <row r="8203" spans="1:15" ht="15" customHeight="1" x14ac:dyDescent="0.25">
      <c r="A8203" s="3"/>
      <c r="B8203" s="3"/>
      <c r="C8203" s="3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</row>
    <row r="8204" spans="1:15" ht="15" customHeight="1" x14ac:dyDescent="0.25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</row>
    <row r="8205" spans="1:15" ht="15" customHeight="1" x14ac:dyDescent="0.25">
      <c r="A8205" s="3"/>
      <c r="B8205" s="3"/>
      <c r="C8205" s="3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</row>
    <row r="8206" spans="1:15" ht="15" customHeight="1" x14ac:dyDescent="0.25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</row>
    <row r="8207" spans="1:15" ht="15" customHeight="1" x14ac:dyDescent="0.25">
      <c r="A8207" s="3"/>
      <c r="B8207" s="3"/>
      <c r="C8207" s="3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</row>
    <row r="8208" spans="1:15" ht="15" customHeight="1" x14ac:dyDescent="0.25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</row>
    <row r="8209" spans="1:15" ht="15" customHeight="1" x14ac:dyDescent="0.25">
      <c r="A8209" s="3"/>
      <c r="B8209" s="3"/>
      <c r="C8209" s="3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</row>
    <row r="8210" spans="1:15" ht="15" customHeight="1" x14ac:dyDescent="0.25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</row>
    <row r="8211" spans="1:15" ht="15" customHeight="1" x14ac:dyDescent="0.25">
      <c r="A8211" s="3"/>
      <c r="B8211" s="3"/>
      <c r="C8211" s="3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</row>
    <row r="8212" spans="1:15" ht="15" customHeight="1" x14ac:dyDescent="0.25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</row>
    <row r="8213" spans="1:15" ht="15" customHeight="1" x14ac:dyDescent="0.25">
      <c r="A8213" s="3"/>
      <c r="B8213" s="3"/>
      <c r="C8213" s="3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</row>
    <row r="8214" spans="1:15" ht="15" customHeight="1" x14ac:dyDescent="0.25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</row>
    <row r="8215" spans="1:15" ht="15" customHeight="1" x14ac:dyDescent="0.25">
      <c r="A8215" s="3"/>
      <c r="B8215" s="3"/>
      <c r="C8215" s="3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</row>
    <row r="8216" spans="1:15" ht="15" customHeight="1" x14ac:dyDescent="0.25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</row>
    <row r="8217" spans="1:15" ht="15" customHeight="1" x14ac:dyDescent="0.25">
      <c r="A8217" s="3"/>
      <c r="B8217" s="3"/>
      <c r="C8217" s="3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</row>
    <row r="8218" spans="1:15" ht="15" customHeight="1" x14ac:dyDescent="0.25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</row>
    <row r="8219" spans="1:15" ht="15" customHeight="1" x14ac:dyDescent="0.25">
      <c r="A8219" s="3"/>
      <c r="B8219" s="3"/>
      <c r="C8219" s="3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</row>
    <row r="8220" spans="1:15" ht="15" customHeight="1" x14ac:dyDescent="0.25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</row>
    <row r="8221" spans="1:15" ht="15" customHeight="1" x14ac:dyDescent="0.25">
      <c r="A8221" s="3"/>
      <c r="B8221" s="3"/>
      <c r="C8221" s="3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</row>
    <row r="8222" spans="1:15" ht="15" customHeight="1" x14ac:dyDescent="0.25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</row>
    <row r="8223" spans="1:15" ht="15" customHeight="1" x14ac:dyDescent="0.25">
      <c r="A8223" s="3"/>
      <c r="B8223" s="3"/>
      <c r="C8223" s="3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</row>
    <row r="8224" spans="1:15" ht="15" customHeight="1" x14ac:dyDescent="0.25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</row>
    <row r="8225" spans="1:15" ht="15" customHeight="1" x14ac:dyDescent="0.25">
      <c r="A8225" s="3"/>
      <c r="B8225" s="3"/>
      <c r="C8225" s="3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</row>
    <row r="8226" spans="1:15" ht="15" customHeight="1" x14ac:dyDescent="0.25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</row>
    <row r="8227" spans="1:15" ht="15" customHeight="1" x14ac:dyDescent="0.25">
      <c r="A8227" s="3"/>
      <c r="B8227" s="3"/>
      <c r="C8227" s="3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</row>
    <row r="8228" spans="1:15" ht="15" customHeight="1" x14ac:dyDescent="0.25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</row>
    <row r="8229" spans="1:15" ht="15" customHeight="1" x14ac:dyDescent="0.25">
      <c r="A8229" s="3"/>
      <c r="B8229" s="3"/>
      <c r="C8229" s="3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</row>
    <row r="8230" spans="1:15" ht="15" customHeight="1" x14ac:dyDescent="0.25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</row>
    <row r="8231" spans="1:15" ht="15" customHeight="1" x14ac:dyDescent="0.25">
      <c r="A8231" s="3"/>
      <c r="B8231" s="3"/>
      <c r="C8231" s="3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</row>
    <row r="8232" spans="1:15" ht="15" customHeight="1" x14ac:dyDescent="0.25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</row>
    <row r="8233" spans="1:15" ht="15" customHeight="1" x14ac:dyDescent="0.25">
      <c r="A8233" s="3"/>
      <c r="B8233" s="3"/>
      <c r="C8233" s="3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</row>
    <row r="8234" spans="1:15" ht="15" customHeight="1" x14ac:dyDescent="0.25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</row>
    <row r="8235" spans="1:15" ht="15" customHeight="1" x14ac:dyDescent="0.25">
      <c r="A8235" s="3"/>
      <c r="B8235" s="3"/>
      <c r="C8235" s="3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</row>
    <row r="8236" spans="1:15" ht="15" customHeight="1" x14ac:dyDescent="0.25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</row>
    <row r="8237" spans="1:15" ht="15" customHeight="1" x14ac:dyDescent="0.25">
      <c r="A8237" s="3"/>
      <c r="B8237" s="3"/>
      <c r="C8237" s="3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</row>
    <row r="8238" spans="1:15" ht="15" customHeight="1" x14ac:dyDescent="0.25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</row>
    <row r="8239" spans="1:15" ht="15" customHeight="1" x14ac:dyDescent="0.25">
      <c r="A8239" s="3"/>
      <c r="B8239" s="3"/>
      <c r="C8239" s="3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</row>
    <row r="8240" spans="1:15" ht="15" customHeight="1" x14ac:dyDescent="0.25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</row>
    <row r="8241" spans="1:15" ht="15" customHeight="1" x14ac:dyDescent="0.25">
      <c r="A8241" s="3"/>
      <c r="B8241" s="3"/>
      <c r="C8241" s="3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</row>
    <row r="8242" spans="1:15" ht="15" customHeight="1" x14ac:dyDescent="0.25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</row>
    <row r="8243" spans="1:15" ht="15" customHeight="1" x14ac:dyDescent="0.25">
      <c r="A8243" s="3"/>
      <c r="B8243" s="3"/>
      <c r="C8243" s="3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</row>
    <row r="8244" spans="1:15" ht="15" customHeight="1" x14ac:dyDescent="0.25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</row>
    <row r="8245" spans="1:15" ht="15" customHeight="1" x14ac:dyDescent="0.25">
      <c r="A8245" s="3"/>
      <c r="B8245" s="3"/>
      <c r="C8245" s="3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</row>
    <row r="8246" spans="1:15" ht="15" customHeight="1" x14ac:dyDescent="0.25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</row>
    <row r="8247" spans="1:15" ht="15" customHeight="1" x14ac:dyDescent="0.25">
      <c r="A8247" s="3"/>
      <c r="B8247" s="3"/>
      <c r="C8247" s="3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</row>
    <row r="8248" spans="1:15" ht="15" customHeight="1" x14ac:dyDescent="0.25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</row>
    <row r="8249" spans="1:15" ht="15" customHeight="1" x14ac:dyDescent="0.25">
      <c r="A8249" s="3"/>
      <c r="B8249" s="3"/>
      <c r="C8249" s="3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</row>
    <row r="8250" spans="1:15" ht="15" customHeight="1" x14ac:dyDescent="0.25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</row>
    <row r="8251" spans="1:15" ht="15" customHeight="1" x14ac:dyDescent="0.25">
      <c r="A8251" s="3"/>
      <c r="B8251" s="3"/>
      <c r="C8251" s="3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</row>
    <row r="8252" spans="1:15" ht="15" customHeight="1" x14ac:dyDescent="0.25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</row>
    <row r="8253" spans="1:15" ht="15" customHeight="1" x14ac:dyDescent="0.25">
      <c r="A8253" s="3"/>
      <c r="B8253" s="3"/>
      <c r="C8253" s="3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</row>
    <row r="8254" spans="1:15" ht="15" customHeight="1" x14ac:dyDescent="0.25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</row>
    <row r="8255" spans="1:15" ht="15" customHeight="1" x14ac:dyDescent="0.25">
      <c r="A8255" s="3"/>
      <c r="B8255" s="3"/>
      <c r="C8255" s="3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</row>
    <row r="8256" spans="1:15" ht="15" customHeight="1" x14ac:dyDescent="0.25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</row>
    <row r="8257" spans="1:15" ht="15" customHeight="1" x14ac:dyDescent="0.25">
      <c r="A8257" s="3"/>
      <c r="B8257" s="3"/>
      <c r="C8257" s="3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</row>
    <row r="8258" spans="1:15" ht="15" customHeight="1" x14ac:dyDescent="0.25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</row>
    <row r="8259" spans="1:15" ht="15" customHeight="1" x14ac:dyDescent="0.25">
      <c r="A8259" s="3"/>
      <c r="B8259" s="3"/>
      <c r="C8259" s="3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</row>
    <row r="8260" spans="1:15" ht="15" customHeight="1" x14ac:dyDescent="0.25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</row>
    <row r="8261" spans="1:15" ht="15" customHeight="1" x14ac:dyDescent="0.25">
      <c r="A8261" s="3"/>
      <c r="B8261" s="3"/>
      <c r="C8261" s="3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</row>
    <row r="8262" spans="1:15" ht="15" customHeight="1" x14ac:dyDescent="0.25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</row>
    <row r="8263" spans="1:15" ht="15" customHeight="1" x14ac:dyDescent="0.25">
      <c r="A8263" s="3"/>
      <c r="B8263" s="3"/>
      <c r="C8263" s="3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</row>
    <row r="8264" spans="1:15" ht="15" customHeight="1" x14ac:dyDescent="0.25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</row>
    <row r="8265" spans="1:15" ht="15" customHeight="1" x14ac:dyDescent="0.25">
      <c r="A8265" s="3"/>
      <c r="B8265" s="3"/>
      <c r="C8265" s="3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</row>
    <row r="8266" spans="1:15" ht="15" customHeight="1" x14ac:dyDescent="0.25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</row>
    <row r="8267" spans="1:15" ht="15" customHeight="1" x14ac:dyDescent="0.25">
      <c r="A8267" s="3"/>
      <c r="B8267" s="3"/>
      <c r="C8267" s="3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</row>
    <row r="8268" spans="1:15" ht="15" customHeight="1" x14ac:dyDescent="0.25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</row>
    <row r="8269" spans="1:15" ht="15" customHeight="1" x14ac:dyDescent="0.25">
      <c r="A8269" s="3"/>
      <c r="B8269" s="3"/>
      <c r="C8269" s="3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</row>
    <row r="8270" spans="1:15" ht="15" customHeight="1" x14ac:dyDescent="0.25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</row>
    <row r="8271" spans="1:15" ht="15" customHeight="1" x14ac:dyDescent="0.25">
      <c r="A8271" s="3"/>
      <c r="B8271" s="3"/>
      <c r="C8271" s="3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</row>
    <row r="8272" spans="1:15" ht="15" customHeight="1" x14ac:dyDescent="0.25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</row>
    <row r="8273" spans="1:15" ht="15" customHeight="1" x14ac:dyDescent="0.25">
      <c r="A8273" s="3"/>
      <c r="B8273" s="3"/>
      <c r="C8273" s="3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</row>
    <row r="8274" spans="1:15" ht="15" customHeight="1" x14ac:dyDescent="0.25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</row>
    <row r="8275" spans="1:15" ht="15" customHeight="1" x14ac:dyDescent="0.25">
      <c r="A8275" s="3"/>
      <c r="B8275" s="3"/>
      <c r="C8275" s="3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</row>
    <row r="8276" spans="1:15" ht="15" customHeight="1" x14ac:dyDescent="0.25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</row>
    <row r="8277" spans="1:15" ht="15" customHeight="1" x14ac:dyDescent="0.25">
      <c r="A8277" s="3"/>
      <c r="B8277" s="3"/>
      <c r="C8277" s="3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</row>
    <row r="8278" spans="1:15" ht="15" customHeight="1" x14ac:dyDescent="0.25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</row>
    <row r="8279" spans="1:15" ht="15" customHeight="1" x14ac:dyDescent="0.25">
      <c r="A8279" s="3"/>
      <c r="B8279" s="3"/>
      <c r="C8279" s="3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</row>
    <row r="8280" spans="1:15" ht="15" customHeight="1" x14ac:dyDescent="0.25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</row>
    <row r="8281" spans="1:15" ht="15" customHeight="1" x14ac:dyDescent="0.25">
      <c r="A8281" s="3"/>
      <c r="B8281" s="3"/>
      <c r="C8281" s="3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</row>
    <row r="8282" spans="1:15" ht="15" customHeight="1" x14ac:dyDescent="0.25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</row>
    <row r="8283" spans="1:15" ht="15" customHeight="1" x14ac:dyDescent="0.25">
      <c r="A8283" s="3"/>
      <c r="B8283" s="3"/>
      <c r="C8283" s="3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</row>
    <row r="8284" spans="1:15" ht="15" customHeight="1" x14ac:dyDescent="0.25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</row>
    <row r="8285" spans="1:15" ht="15" customHeight="1" x14ac:dyDescent="0.25">
      <c r="A8285" s="3"/>
      <c r="B8285" s="3"/>
      <c r="C8285" s="3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</row>
    <row r="8286" spans="1:15" ht="15" customHeight="1" x14ac:dyDescent="0.25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</row>
    <row r="8287" spans="1:15" ht="15" customHeight="1" x14ac:dyDescent="0.25">
      <c r="A8287" s="3"/>
      <c r="B8287" s="3"/>
      <c r="C8287" s="3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</row>
    <row r="8288" spans="1:15" ht="15" customHeight="1" x14ac:dyDescent="0.25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</row>
    <row r="8289" spans="1:15" ht="15" customHeight="1" x14ac:dyDescent="0.25">
      <c r="A8289" s="3"/>
      <c r="B8289" s="3"/>
      <c r="C8289" s="3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</row>
    <row r="8290" spans="1:15" ht="15" customHeight="1" x14ac:dyDescent="0.25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</row>
    <row r="8291" spans="1:15" ht="15" customHeight="1" x14ac:dyDescent="0.25">
      <c r="A8291" s="3"/>
      <c r="B8291" s="3"/>
      <c r="C8291" s="3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</row>
    <row r="8292" spans="1:15" ht="15" customHeight="1" x14ac:dyDescent="0.25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</row>
    <row r="8293" spans="1:15" ht="15" customHeight="1" x14ac:dyDescent="0.25">
      <c r="A8293" s="3"/>
      <c r="B8293" s="3"/>
      <c r="C8293" s="3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</row>
    <row r="8294" spans="1:15" ht="15" customHeight="1" x14ac:dyDescent="0.25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</row>
    <row r="8295" spans="1:15" ht="15" customHeight="1" x14ac:dyDescent="0.25">
      <c r="A8295" s="3"/>
      <c r="B8295" s="3"/>
      <c r="C8295" s="3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</row>
    <row r="8296" spans="1:15" ht="15" customHeight="1" x14ac:dyDescent="0.25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</row>
    <row r="8297" spans="1:15" ht="15" customHeight="1" x14ac:dyDescent="0.25">
      <c r="A8297" s="3"/>
      <c r="B8297" s="3"/>
      <c r="C8297" s="3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</row>
    <row r="8298" spans="1:15" ht="15" customHeight="1" x14ac:dyDescent="0.25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</row>
    <row r="8299" spans="1:15" ht="15" customHeight="1" x14ac:dyDescent="0.25">
      <c r="A8299" s="3"/>
      <c r="B8299" s="3"/>
      <c r="C8299" s="3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</row>
    <row r="8300" spans="1:15" ht="15" customHeight="1" x14ac:dyDescent="0.25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</row>
    <row r="8301" spans="1:15" ht="15" customHeight="1" x14ac:dyDescent="0.25">
      <c r="A8301" s="3"/>
      <c r="B8301" s="3"/>
      <c r="C8301" s="3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</row>
    <row r="8302" spans="1:15" ht="15" customHeight="1" x14ac:dyDescent="0.25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</row>
    <row r="8303" spans="1:15" ht="15" customHeight="1" x14ac:dyDescent="0.25">
      <c r="A8303" s="3"/>
      <c r="B8303" s="3"/>
      <c r="C8303" s="3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</row>
    <row r="8304" spans="1:15" ht="15" customHeight="1" x14ac:dyDescent="0.25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</row>
    <row r="8305" spans="1:15" ht="15" customHeight="1" x14ac:dyDescent="0.25">
      <c r="A8305" s="3"/>
      <c r="B8305" s="3"/>
      <c r="C8305" s="3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</row>
    <row r="8306" spans="1:15" ht="15" customHeight="1" x14ac:dyDescent="0.25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</row>
    <row r="8307" spans="1:15" ht="15" customHeight="1" x14ac:dyDescent="0.25">
      <c r="A8307" s="3"/>
      <c r="B8307" s="3"/>
      <c r="C8307" s="3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</row>
    <row r="8308" spans="1:15" ht="15" customHeight="1" x14ac:dyDescent="0.25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</row>
    <row r="8309" spans="1:15" ht="15" customHeight="1" x14ac:dyDescent="0.25">
      <c r="A8309" s="3"/>
      <c r="B8309" s="3"/>
      <c r="C8309" s="3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</row>
    <row r="8310" spans="1:15" ht="15" customHeight="1" x14ac:dyDescent="0.25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</row>
    <row r="8311" spans="1:15" ht="15" customHeight="1" x14ac:dyDescent="0.25">
      <c r="A8311" s="3"/>
      <c r="B8311" s="3"/>
      <c r="C8311" s="3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</row>
    <row r="8312" spans="1:15" ht="15" customHeight="1" x14ac:dyDescent="0.25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</row>
    <row r="8313" spans="1:15" ht="15" customHeight="1" x14ac:dyDescent="0.25">
      <c r="A8313" s="3"/>
      <c r="B8313" s="3"/>
      <c r="C8313" s="3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</row>
    <row r="8314" spans="1:15" ht="15" customHeight="1" x14ac:dyDescent="0.25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</row>
    <row r="8315" spans="1:15" ht="15" customHeight="1" x14ac:dyDescent="0.25">
      <c r="A8315" s="3"/>
      <c r="B8315" s="3"/>
      <c r="C8315" s="3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</row>
    <row r="8316" spans="1:15" ht="15" customHeight="1" x14ac:dyDescent="0.25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</row>
    <row r="8317" spans="1:15" ht="15" customHeight="1" x14ac:dyDescent="0.25">
      <c r="A8317" s="3"/>
      <c r="B8317" s="3"/>
      <c r="C8317" s="3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</row>
    <row r="8318" spans="1:15" ht="15" customHeight="1" x14ac:dyDescent="0.25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</row>
    <row r="8319" spans="1:15" ht="15" customHeight="1" x14ac:dyDescent="0.25">
      <c r="A8319" s="3"/>
      <c r="B8319" s="3"/>
      <c r="C8319" s="3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</row>
    <row r="8320" spans="1:15" ht="15" customHeight="1" x14ac:dyDescent="0.25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</row>
    <row r="8321" spans="1:15" ht="15" customHeight="1" x14ac:dyDescent="0.25">
      <c r="A8321" s="3"/>
      <c r="B8321" s="3"/>
      <c r="C8321" s="3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</row>
    <row r="8322" spans="1:15" ht="15" customHeight="1" x14ac:dyDescent="0.25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</row>
    <row r="8323" spans="1:15" ht="15" customHeight="1" x14ac:dyDescent="0.25">
      <c r="A8323" s="3"/>
      <c r="B8323" s="3"/>
      <c r="C8323" s="3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</row>
    <row r="8324" spans="1:15" ht="15" customHeight="1" x14ac:dyDescent="0.25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</row>
    <row r="8325" spans="1:15" ht="15" customHeight="1" x14ac:dyDescent="0.25">
      <c r="A8325" s="3"/>
      <c r="B8325" s="3"/>
      <c r="C8325" s="3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</row>
    <row r="8326" spans="1:15" ht="15" customHeight="1" x14ac:dyDescent="0.25">
      <c r="A8326" s="2"/>
      <c r="B8326" s="2"/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</row>
    <row r="8327" spans="1:15" ht="15" customHeight="1" x14ac:dyDescent="0.25">
      <c r="A8327" s="3"/>
      <c r="B8327" s="3"/>
      <c r="C8327" s="3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</row>
    <row r="8328" spans="1:15" ht="15" customHeight="1" x14ac:dyDescent="0.25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</row>
    <row r="8329" spans="1:15" ht="15" customHeight="1" x14ac:dyDescent="0.25">
      <c r="A8329" s="3"/>
      <c r="B8329" s="3"/>
      <c r="C8329" s="3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</row>
    <row r="8330" spans="1:15" ht="15" customHeight="1" x14ac:dyDescent="0.25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</row>
    <row r="8331" spans="1:15" ht="15" customHeight="1" x14ac:dyDescent="0.25">
      <c r="A8331" s="3"/>
      <c r="B8331" s="3"/>
      <c r="C8331" s="3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</row>
    <row r="8332" spans="1:15" ht="15" customHeight="1" x14ac:dyDescent="0.25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</row>
    <row r="8333" spans="1:15" ht="15" customHeight="1" x14ac:dyDescent="0.25">
      <c r="A8333" s="3"/>
      <c r="B8333" s="3"/>
      <c r="C8333" s="3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</row>
    <row r="8334" spans="1:15" ht="15" customHeight="1" x14ac:dyDescent="0.25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</row>
    <row r="8335" spans="1:15" ht="15" customHeight="1" x14ac:dyDescent="0.25">
      <c r="A8335" s="3"/>
      <c r="B8335" s="3"/>
      <c r="C8335" s="3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</row>
    <row r="8336" spans="1:15" ht="15" customHeight="1" x14ac:dyDescent="0.25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</row>
    <row r="8337" spans="1:15" ht="15" customHeight="1" x14ac:dyDescent="0.25">
      <c r="A8337" s="3"/>
      <c r="B8337" s="3"/>
      <c r="C8337" s="3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</row>
    <row r="8338" spans="1:15" ht="15" customHeight="1" x14ac:dyDescent="0.25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</row>
    <row r="8339" spans="1:15" ht="15" customHeight="1" x14ac:dyDescent="0.25">
      <c r="A8339" s="3"/>
      <c r="B8339" s="3"/>
      <c r="C8339" s="3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</row>
    <row r="8340" spans="1:15" ht="15" customHeight="1" x14ac:dyDescent="0.25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</row>
    <row r="8341" spans="1:15" ht="15" customHeight="1" x14ac:dyDescent="0.25">
      <c r="A8341" s="3"/>
      <c r="B8341" s="3"/>
      <c r="C8341" s="3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</row>
    <row r="8342" spans="1:15" ht="15" customHeight="1" x14ac:dyDescent="0.25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</row>
    <row r="8343" spans="1:15" ht="15" customHeight="1" x14ac:dyDescent="0.25">
      <c r="A8343" s="3"/>
      <c r="B8343" s="3"/>
      <c r="C8343" s="3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</row>
    <row r="8344" spans="1:15" ht="15" customHeight="1" x14ac:dyDescent="0.25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</row>
    <row r="8345" spans="1:15" ht="15" customHeight="1" x14ac:dyDescent="0.25">
      <c r="A8345" s="3"/>
      <c r="B8345" s="3"/>
      <c r="C8345" s="3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</row>
    <row r="8346" spans="1:15" ht="15" customHeight="1" x14ac:dyDescent="0.25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</row>
    <row r="8347" spans="1:15" ht="15" customHeight="1" x14ac:dyDescent="0.25">
      <c r="A8347" s="3"/>
      <c r="B8347" s="3"/>
      <c r="C8347" s="3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</row>
    <row r="8348" spans="1:15" ht="15" customHeight="1" x14ac:dyDescent="0.25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</row>
    <row r="8349" spans="1:15" ht="15" customHeight="1" x14ac:dyDescent="0.25">
      <c r="A8349" s="3"/>
      <c r="B8349" s="3"/>
      <c r="C8349" s="3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</row>
    <row r="8350" spans="1:15" ht="15" customHeight="1" x14ac:dyDescent="0.25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</row>
    <row r="8351" spans="1:15" ht="15" customHeight="1" x14ac:dyDescent="0.25">
      <c r="A8351" s="3"/>
      <c r="B8351" s="3"/>
      <c r="C8351" s="3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</row>
    <row r="8352" spans="1:15" ht="15" customHeight="1" x14ac:dyDescent="0.25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</row>
    <row r="8353" spans="1:15" ht="15" customHeight="1" x14ac:dyDescent="0.25">
      <c r="A8353" s="3"/>
      <c r="B8353" s="3"/>
      <c r="C8353" s="3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</row>
    <row r="8354" spans="1:15" ht="15" customHeight="1" x14ac:dyDescent="0.25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</row>
    <row r="8355" spans="1:15" ht="15" customHeight="1" x14ac:dyDescent="0.25">
      <c r="A8355" s="3"/>
      <c r="B8355" s="3"/>
      <c r="C8355" s="3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</row>
    <row r="8356" spans="1:15" ht="15" customHeight="1" x14ac:dyDescent="0.25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</row>
    <row r="8357" spans="1:15" ht="15" customHeight="1" x14ac:dyDescent="0.25">
      <c r="A8357" s="3"/>
      <c r="B8357" s="3"/>
      <c r="C8357" s="3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</row>
    <row r="8358" spans="1:15" ht="15" customHeight="1" x14ac:dyDescent="0.25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</row>
    <row r="8359" spans="1:15" ht="15" customHeight="1" x14ac:dyDescent="0.25">
      <c r="A8359" s="3"/>
      <c r="B8359" s="3"/>
      <c r="C8359" s="3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</row>
    <row r="8360" spans="1:15" ht="15" customHeight="1" x14ac:dyDescent="0.25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</row>
    <row r="8361" spans="1:15" ht="15" customHeight="1" x14ac:dyDescent="0.25">
      <c r="A8361" s="3"/>
      <c r="B8361" s="3"/>
      <c r="C8361" s="3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</row>
    <row r="8362" spans="1:15" ht="15" customHeight="1" x14ac:dyDescent="0.25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</row>
    <row r="8363" spans="1:15" ht="15" customHeight="1" x14ac:dyDescent="0.25">
      <c r="A8363" s="3"/>
      <c r="B8363" s="3"/>
      <c r="C8363" s="3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</row>
    <row r="8364" spans="1:15" ht="15" customHeight="1" x14ac:dyDescent="0.25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</row>
    <row r="8365" spans="1:15" ht="15" customHeight="1" x14ac:dyDescent="0.25">
      <c r="A8365" s="3"/>
      <c r="B8365" s="3"/>
      <c r="C8365" s="3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</row>
    <row r="8366" spans="1:15" ht="15" customHeight="1" x14ac:dyDescent="0.25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</row>
    <row r="8367" spans="1:15" ht="15" customHeight="1" x14ac:dyDescent="0.25">
      <c r="A8367" s="3"/>
      <c r="B8367" s="3"/>
      <c r="C8367" s="3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</row>
    <row r="8368" spans="1:15" ht="15" customHeight="1" x14ac:dyDescent="0.25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</row>
    <row r="8369" spans="1:15" ht="15" customHeight="1" x14ac:dyDescent="0.25">
      <c r="A8369" s="3"/>
      <c r="B8369" s="3"/>
      <c r="C8369" s="3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</row>
    <row r="8370" spans="1:15" ht="15" customHeight="1" x14ac:dyDescent="0.25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</row>
    <row r="8371" spans="1:15" ht="15" customHeight="1" x14ac:dyDescent="0.25">
      <c r="A8371" s="3"/>
      <c r="B8371" s="3"/>
      <c r="C8371" s="3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</row>
    <row r="8372" spans="1:15" ht="15" customHeight="1" x14ac:dyDescent="0.25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</row>
    <row r="8373" spans="1:15" ht="15" customHeight="1" x14ac:dyDescent="0.25">
      <c r="A8373" s="3"/>
      <c r="B8373" s="3"/>
      <c r="C8373" s="3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</row>
    <row r="8374" spans="1:15" ht="15" customHeight="1" x14ac:dyDescent="0.25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</row>
    <row r="8375" spans="1:15" ht="15" customHeight="1" x14ac:dyDescent="0.25">
      <c r="A8375" s="3"/>
      <c r="B8375" s="3"/>
      <c r="C8375" s="3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</row>
    <row r="8376" spans="1:15" ht="15" customHeight="1" x14ac:dyDescent="0.25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</row>
    <row r="8377" spans="1:15" ht="15" customHeight="1" x14ac:dyDescent="0.25">
      <c r="A8377" s="3"/>
      <c r="B8377" s="3"/>
      <c r="C8377" s="3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</row>
    <row r="8378" spans="1:15" ht="15" customHeight="1" x14ac:dyDescent="0.25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</row>
    <row r="8379" spans="1:15" ht="15" customHeight="1" x14ac:dyDescent="0.25">
      <c r="A8379" s="3"/>
      <c r="B8379" s="3"/>
      <c r="C8379" s="3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</row>
    <row r="8380" spans="1:15" ht="15" customHeight="1" x14ac:dyDescent="0.25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</row>
    <row r="8381" spans="1:15" ht="15" customHeight="1" x14ac:dyDescent="0.25">
      <c r="A8381" s="3"/>
      <c r="B8381" s="3"/>
      <c r="C8381" s="3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</row>
    <row r="8382" spans="1:15" ht="15" customHeight="1" x14ac:dyDescent="0.25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</row>
    <row r="8383" spans="1:15" ht="15" customHeight="1" x14ac:dyDescent="0.25">
      <c r="A8383" s="3"/>
      <c r="B8383" s="3"/>
      <c r="C8383" s="3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</row>
    <row r="8384" spans="1:15" ht="15" customHeight="1" x14ac:dyDescent="0.25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</row>
    <row r="8385" spans="1:15" ht="15" customHeight="1" x14ac:dyDescent="0.25">
      <c r="A8385" s="3"/>
      <c r="B8385" s="3"/>
      <c r="C8385" s="3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</row>
    <row r="8386" spans="1:15" ht="15" customHeight="1" x14ac:dyDescent="0.25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</row>
    <row r="8387" spans="1:15" ht="15" customHeight="1" x14ac:dyDescent="0.25">
      <c r="A8387" s="3"/>
      <c r="B8387" s="3"/>
      <c r="C8387" s="3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</row>
    <row r="8388" spans="1:15" ht="15" customHeight="1" x14ac:dyDescent="0.25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</row>
    <row r="8389" spans="1:15" ht="15" customHeight="1" x14ac:dyDescent="0.25">
      <c r="A8389" s="3"/>
      <c r="B8389" s="3"/>
      <c r="C8389" s="3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</row>
    <row r="8390" spans="1:15" ht="15" customHeight="1" x14ac:dyDescent="0.25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</row>
    <row r="8391" spans="1:15" ht="15" customHeight="1" x14ac:dyDescent="0.25">
      <c r="A8391" s="3"/>
      <c r="B8391" s="3"/>
      <c r="C8391" s="3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</row>
    <row r="8392" spans="1:15" ht="15" customHeight="1" x14ac:dyDescent="0.25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</row>
    <row r="8393" spans="1:15" ht="15" customHeight="1" x14ac:dyDescent="0.25">
      <c r="A8393" s="3"/>
      <c r="B8393" s="3"/>
      <c r="C8393" s="3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</row>
    <row r="8394" spans="1:15" ht="15" customHeight="1" x14ac:dyDescent="0.25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</row>
    <row r="8395" spans="1:15" ht="15" customHeight="1" x14ac:dyDescent="0.25">
      <c r="A8395" s="3"/>
      <c r="B8395" s="3"/>
      <c r="C8395" s="3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</row>
    <row r="8396" spans="1:15" ht="15" customHeight="1" x14ac:dyDescent="0.25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</row>
    <row r="8397" spans="1:15" ht="15" customHeight="1" x14ac:dyDescent="0.25">
      <c r="A8397" s="3"/>
      <c r="B8397" s="3"/>
      <c r="C8397" s="3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</row>
    <row r="8398" spans="1:15" ht="15" customHeight="1" x14ac:dyDescent="0.25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</row>
    <row r="8399" spans="1:15" ht="15" customHeight="1" x14ac:dyDescent="0.25">
      <c r="A8399" s="3"/>
      <c r="B8399" s="3"/>
      <c r="C8399" s="3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</row>
    <row r="8400" spans="1:15" ht="15" customHeight="1" x14ac:dyDescent="0.25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</row>
    <row r="8401" spans="1:15" ht="15" customHeight="1" x14ac:dyDescent="0.25">
      <c r="A8401" s="3"/>
      <c r="B8401" s="3"/>
      <c r="C8401" s="3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</row>
    <row r="8402" spans="1:15" ht="15" customHeight="1" x14ac:dyDescent="0.25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</row>
    <row r="8403" spans="1:15" ht="15" customHeight="1" x14ac:dyDescent="0.25">
      <c r="A8403" s="3"/>
      <c r="B8403" s="3"/>
      <c r="C8403" s="3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</row>
    <row r="8404" spans="1:15" ht="15" customHeight="1" x14ac:dyDescent="0.25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</row>
    <row r="8405" spans="1:15" ht="15" customHeight="1" x14ac:dyDescent="0.25">
      <c r="A8405" s="3"/>
      <c r="B8405" s="3"/>
      <c r="C8405" s="3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</row>
    <row r="8406" spans="1:15" ht="15" customHeight="1" x14ac:dyDescent="0.25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</row>
    <row r="8407" spans="1:15" ht="15" customHeight="1" x14ac:dyDescent="0.25">
      <c r="A8407" s="3"/>
      <c r="B8407" s="3"/>
      <c r="C8407" s="3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</row>
    <row r="8408" spans="1:15" ht="15" customHeight="1" x14ac:dyDescent="0.25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</row>
    <row r="8409" spans="1:15" ht="15" customHeight="1" x14ac:dyDescent="0.25">
      <c r="A8409" s="3"/>
      <c r="B8409" s="3"/>
      <c r="C8409" s="3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</row>
    <row r="8410" spans="1:15" ht="15" customHeight="1" x14ac:dyDescent="0.25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</row>
    <row r="8411" spans="1:15" ht="15" customHeight="1" x14ac:dyDescent="0.25">
      <c r="A8411" s="3"/>
      <c r="B8411" s="3"/>
      <c r="C8411" s="3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</row>
    <row r="8412" spans="1:15" ht="15" customHeight="1" x14ac:dyDescent="0.25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</row>
    <row r="8413" spans="1:15" ht="15" customHeight="1" x14ac:dyDescent="0.25">
      <c r="A8413" s="3"/>
      <c r="B8413" s="3"/>
      <c r="C8413" s="3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</row>
    <row r="8414" spans="1:15" ht="15" customHeight="1" x14ac:dyDescent="0.25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</row>
    <row r="8415" spans="1:15" ht="15" customHeight="1" x14ac:dyDescent="0.25">
      <c r="A8415" s="3"/>
      <c r="B8415" s="3"/>
      <c r="C8415" s="3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</row>
    <row r="8416" spans="1:15" ht="15" customHeight="1" x14ac:dyDescent="0.25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</row>
    <row r="8417" spans="1:15" ht="15" customHeight="1" x14ac:dyDescent="0.25">
      <c r="A8417" s="3"/>
      <c r="B8417" s="3"/>
      <c r="C8417" s="3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</row>
    <row r="8418" spans="1:15" ht="15" customHeight="1" x14ac:dyDescent="0.25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</row>
    <row r="8419" spans="1:15" ht="15" customHeight="1" x14ac:dyDescent="0.25">
      <c r="A8419" s="3"/>
      <c r="B8419" s="3"/>
      <c r="C8419" s="3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</row>
    <row r="8420" spans="1:15" ht="15" customHeight="1" x14ac:dyDescent="0.25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</row>
    <row r="8421" spans="1:15" ht="15" customHeight="1" x14ac:dyDescent="0.25">
      <c r="A8421" s="3"/>
      <c r="B8421" s="3"/>
      <c r="C8421" s="3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</row>
    <row r="8422" spans="1:15" ht="15" customHeight="1" x14ac:dyDescent="0.25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</row>
    <row r="8423" spans="1:15" ht="15" customHeight="1" x14ac:dyDescent="0.25">
      <c r="A8423" s="3"/>
      <c r="B8423" s="3"/>
      <c r="C8423" s="3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</row>
    <row r="8424" spans="1:15" ht="15" customHeight="1" x14ac:dyDescent="0.25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</row>
    <row r="8425" spans="1:15" ht="15" customHeight="1" x14ac:dyDescent="0.25">
      <c r="A8425" s="3"/>
      <c r="B8425" s="3"/>
      <c r="C8425" s="3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</row>
    <row r="8426" spans="1:15" ht="15" customHeight="1" x14ac:dyDescent="0.25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</row>
    <row r="8427" spans="1:15" ht="15" customHeight="1" x14ac:dyDescent="0.25">
      <c r="A8427" s="3"/>
      <c r="B8427" s="3"/>
      <c r="C8427" s="3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</row>
    <row r="8428" spans="1:15" ht="15" customHeight="1" x14ac:dyDescent="0.25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</row>
    <row r="8429" spans="1:15" ht="15" customHeight="1" x14ac:dyDescent="0.25">
      <c r="A8429" s="3"/>
      <c r="B8429" s="3"/>
      <c r="C8429" s="3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</row>
    <row r="8430" spans="1:15" ht="15" customHeight="1" x14ac:dyDescent="0.25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</row>
    <row r="8431" spans="1:15" ht="15" customHeight="1" x14ac:dyDescent="0.25">
      <c r="A8431" s="3"/>
      <c r="B8431" s="3"/>
      <c r="C8431" s="3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</row>
    <row r="8432" spans="1:15" ht="15" customHeight="1" x14ac:dyDescent="0.25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</row>
    <row r="8433" spans="1:15" ht="15" customHeight="1" x14ac:dyDescent="0.25">
      <c r="A8433" s="3"/>
      <c r="B8433" s="3"/>
      <c r="C8433" s="3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</row>
    <row r="8434" spans="1:15" ht="15" customHeight="1" x14ac:dyDescent="0.25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</row>
    <row r="8435" spans="1:15" ht="15" customHeight="1" x14ac:dyDescent="0.25">
      <c r="A8435" s="3"/>
      <c r="B8435" s="3"/>
      <c r="C8435" s="3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</row>
    <row r="8436" spans="1:15" ht="15" customHeight="1" x14ac:dyDescent="0.25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</row>
    <row r="8437" spans="1:15" ht="15" customHeight="1" x14ac:dyDescent="0.25">
      <c r="A8437" s="3"/>
      <c r="B8437" s="3"/>
      <c r="C8437" s="3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</row>
    <row r="8438" spans="1:15" ht="15" customHeight="1" x14ac:dyDescent="0.25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</row>
    <row r="8439" spans="1:15" ht="15" customHeight="1" x14ac:dyDescent="0.25">
      <c r="A8439" s="3"/>
      <c r="B8439" s="3"/>
      <c r="C8439" s="3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</row>
    <row r="8440" spans="1:15" ht="15" customHeight="1" x14ac:dyDescent="0.25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</row>
    <row r="8441" spans="1:15" ht="15" customHeight="1" x14ac:dyDescent="0.25">
      <c r="A8441" s="3"/>
      <c r="B8441" s="3"/>
      <c r="C8441" s="3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</row>
    <row r="8442" spans="1:15" ht="15" customHeight="1" x14ac:dyDescent="0.25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</row>
    <row r="8443" spans="1:15" ht="15" customHeight="1" x14ac:dyDescent="0.25">
      <c r="A8443" s="3"/>
      <c r="B8443" s="3"/>
      <c r="C8443" s="3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</row>
    <row r="8444" spans="1:15" ht="15" customHeight="1" x14ac:dyDescent="0.25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</row>
    <row r="8445" spans="1:15" ht="15" customHeight="1" x14ac:dyDescent="0.25">
      <c r="A8445" s="3"/>
      <c r="B8445" s="3"/>
      <c r="C8445" s="3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</row>
    <row r="8446" spans="1:15" ht="15" customHeight="1" x14ac:dyDescent="0.25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</row>
    <row r="8447" spans="1:15" ht="15" customHeight="1" x14ac:dyDescent="0.25">
      <c r="A8447" s="3"/>
      <c r="B8447" s="3"/>
      <c r="C8447" s="3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</row>
    <row r="8448" spans="1:15" ht="15" customHeight="1" x14ac:dyDescent="0.25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</row>
    <row r="8449" spans="1:15" ht="15" customHeight="1" x14ac:dyDescent="0.25">
      <c r="A8449" s="3"/>
      <c r="B8449" s="3"/>
      <c r="C8449" s="3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</row>
    <row r="8450" spans="1:15" ht="15" customHeight="1" x14ac:dyDescent="0.25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</row>
    <row r="8451" spans="1:15" ht="15" customHeight="1" x14ac:dyDescent="0.25">
      <c r="A8451" s="3"/>
      <c r="B8451" s="3"/>
      <c r="C8451" s="3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</row>
    <row r="8452" spans="1:15" ht="15" customHeight="1" x14ac:dyDescent="0.25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</row>
    <row r="8453" spans="1:15" ht="15" customHeight="1" x14ac:dyDescent="0.25">
      <c r="A8453" s="3"/>
      <c r="B8453" s="3"/>
      <c r="C8453" s="3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</row>
    <row r="8454" spans="1:15" ht="15" customHeight="1" x14ac:dyDescent="0.25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</row>
    <row r="8455" spans="1:15" ht="15" customHeight="1" x14ac:dyDescent="0.25">
      <c r="A8455" s="3"/>
      <c r="B8455" s="3"/>
      <c r="C8455" s="3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</row>
    <row r="8456" spans="1:15" ht="15" customHeight="1" x14ac:dyDescent="0.25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</row>
    <row r="8457" spans="1:15" ht="15" customHeight="1" x14ac:dyDescent="0.25">
      <c r="A8457" s="3"/>
      <c r="B8457" s="3"/>
      <c r="C8457" s="3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</row>
    <row r="8458" spans="1:15" ht="15" customHeight="1" x14ac:dyDescent="0.25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</row>
    <row r="8459" spans="1:15" ht="15" customHeight="1" x14ac:dyDescent="0.25">
      <c r="A8459" s="3"/>
      <c r="B8459" s="3"/>
      <c r="C8459" s="3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</row>
    <row r="8460" spans="1:15" ht="15" customHeight="1" x14ac:dyDescent="0.25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</row>
    <row r="8461" spans="1:15" ht="15" customHeight="1" x14ac:dyDescent="0.25">
      <c r="A8461" s="3"/>
      <c r="B8461" s="3"/>
      <c r="C8461" s="3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</row>
    <row r="8462" spans="1:15" ht="15" customHeight="1" x14ac:dyDescent="0.25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</row>
    <row r="8463" spans="1:15" ht="15" customHeight="1" x14ac:dyDescent="0.25">
      <c r="A8463" s="3"/>
      <c r="B8463" s="3"/>
      <c r="C8463" s="3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</row>
    <row r="8464" spans="1:15" ht="15" customHeight="1" x14ac:dyDescent="0.25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</row>
    <row r="8465" spans="1:15" ht="15" customHeight="1" x14ac:dyDescent="0.25">
      <c r="A8465" s="3"/>
      <c r="B8465" s="3"/>
      <c r="C8465" s="3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</row>
    <row r="8466" spans="1:15" ht="15" customHeight="1" x14ac:dyDescent="0.25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</row>
    <row r="8467" spans="1:15" ht="15" customHeight="1" x14ac:dyDescent="0.25">
      <c r="A8467" s="3"/>
      <c r="B8467" s="3"/>
      <c r="C8467" s="3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</row>
    <row r="8468" spans="1:15" ht="15" customHeight="1" x14ac:dyDescent="0.25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</row>
    <row r="8469" spans="1:15" ht="15" customHeight="1" x14ac:dyDescent="0.25">
      <c r="A8469" s="3"/>
      <c r="B8469" s="3"/>
      <c r="C8469" s="3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</row>
    <row r="8470" spans="1:15" ht="15" customHeight="1" x14ac:dyDescent="0.25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</row>
    <row r="8471" spans="1:15" ht="15" customHeight="1" x14ac:dyDescent="0.25">
      <c r="A8471" s="3"/>
      <c r="B8471" s="3"/>
      <c r="C8471" s="3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</row>
    <row r="8472" spans="1:15" ht="15" customHeight="1" x14ac:dyDescent="0.25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</row>
    <row r="8473" spans="1:15" ht="15" customHeight="1" x14ac:dyDescent="0.25">
      <c r="A8473" s="3"/>
      <c r="B8473" s="3"/>
      <c r="C8473" s="3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</row>
    <row r="8474" spans="1:15" ht="15" customHeight="1" x14ac:dyDescent="0.25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</row>
    <row r="8475" spans="1:15" ht="15" customHeight="1" x14ac:dyDescent="0.25">
      <c r="A8475" s="3"/>
      <c r="B8475" s="3"/>
      <c r="C8475" s="3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</row>
    <row r="8476" spans="1:15" ht="15" customHeight="1" x14ac:dyDescent="0.25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</row>
    <row r="8477" spans="1:15" ht="15" customHeight="1" x14ac:dyDescent="0.25">
      <c r="A8477" s="3"/>
      <c r="B8477" s="3"/>
      <c r="C8477" s="3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</row>
    <row r="8478" spans="1:15" ht="15" customHeight="1" x14ac:dyDescent="0.25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</row>
    <row r="8479" spans="1:15" ht="15" customHeight="1" x14ac:dyDescent="0.25">
      <c r="A8479" s="3"/>
      <c r="B8479" s="3"/>
      <c r="C8479" s="3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</row>
    <row r="8480" spans="1:15" ht="15" customHeight="1" x14ac:dyDescent="0.25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</row>
    <row r="8481" spans="1:15" ht="15" customHeight="1" x14ac:dyDescent="0.25">
      <c r="A8481" s="3"/>
      <c r="B8481" s="3"/>
      <c r="C8481" s="3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</row>
    <row r="8482" spans="1:15" ht="15" customHeight="1" x14ac:dyDescent="0.25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</row>
    <row r="8483" spans="1:15" ht="15" customHeight="1" x14ac:dyDescent="0.25">
      <c r="A8483" s="3"/>
      <c r="B8483" s="3"/>
      <c r="C8483" s="3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</row>
    <row r="8484" spans="1:15" ht="15" customHeight="1" x14ac:dyDescent="0.25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</row>
    <row r="8485" spans="1:15" ht="15" customHeight="1" x14ac:dyDescent="0.25">
      <c r="A8485" s="3"/>
      <c r="B8485" s="3"/>
      <c r="C8485" s="3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</row>
    <row r="8486" spans="1:15" ht="15" customHeight="1" x14ac:dyDescent="0.25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</row>
    <row r="8487" spans="1:15" ht="15" customHeight="1" x14ac:dyDescent="0.25">
      <c r="A8487" s="3"/>
      <c r="B8487" s="3"/>
      <c r="C8487" s="3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</row>
    <row r="8488" spans="1:15" ht="15" customHeight="1" x14ac:dyDescent="0.25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</row>
    <row r="8489" spans="1:15" ht="15" customHeight="1" x14ac:dyDescent="0.25">
      <c r="A8489" s="3"/>
      <c r="B8489" s="3"/>
      <c r="C8489" s="3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</row>
    <row r="8490" spans="1:15" ht="15" customHeight="1" x14ac:dyDescent="0.25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</row>
    <row r="8491" spans="1:15" ht="15" customHeight="1" x14ac:dyDescent="0.25">
      <c r="A8491" s="3"/>
      <c r="B8491" s="3"/>
      <c r="C8491" s="3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</row>
    <row r="8492" spans="1:15" ht="15" customHeight="1" x14ac:dyDescent="0.25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</row>
    <row r="8493" spans="1:15" ht="15" customHeight="1" x14ac:dyDescent="0.25">
      <c r="A8493" s="3"/>
      <c r="B8493" s="3"/>
      <c r="C8493" s="3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</row>
    <row r="8494" spans="1:15" ht="15" customHeight="1" x14ac:dyDescent="0.25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</row>
    <row r="8495" spans="1:15" ht="15" customHeight="1" x14ac:dyDescent="0.25">
      <c r="A8495" s="3"/>
      <c r="B8495" s="3"/>
      <c r="C8495" s="3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</row>
    <row r="8496" spans="1:15" ht="15" customHeight="1" x14ac:dyDescent="0.25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</row>
    <row r="8497" spans="1:15" ht="15" customHeight="1" x14ac:dyDescent="0.25">
      <c r="A8497" s="3"/>
      <c r="B8497" s="3"/>
      <c r="C8497" s="3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</row>
    <row r="8498" spans="1:15" ht="15" customHeight="1" x14ac:dyDescent="0.25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</row>
    <row r="8499" spans="1:15" ht="15" customHeight="1" x14ac:dyDescent="0.25">
      <c r="A8499" s="3"/>
      <c r="B8499" s="3"/>
      <c r="C8499" s="3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</row>
    <row r="8500" spans="1:15" ht="15" customHeight="1" x14ac:dyDescent="0.25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</row>
    <row r="8501" spans="1:15" ht="15" customHeight="1" x14ac:dyDescent="0.25">
      <c r="A8501" s="3"/>
      <c r="B8501" s="3"/>
      <c r="C8501" s="3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</row>
    <row r="8502" spans="1:15" ht="15" customHeight="1" x14ac:dyDescent="0.25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</row>
    <row r="8503" spans="1:15" ht="15" customHeight="1" x14ac:dyDescent="0.25">
      <c r="A8503" s="3"/>
      <c r="B8503" s="3"/>
      <c r="C8503" s="3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</row>
    <row r="8504" spans="1:15" ht="15" customHeight="1" x14ac:dyDescent="0.25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</row>
    <row r="8505" spans="1:15" ht="15" customHeight="1" x14ac:dyDescent="0.25">
      <c r="A8505" s="3"/>
      <c r="B8505" s="3"/>
      <c r="C8505" s="3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</row>
    <row r="8506" spans="1:15" ht="15" customHeight="1" x14ac:dyDescent="0.25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</row>
    <row r="8507" spans="1:15" ht="15" customHeight="1" x14ac:dyDescent="0.25">
      <c r="A8507" s="3"/>
      <c r="B8507" s="3"/>
      <c r="C8507" s="3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</row>
    <row r="8508" spans="1:15" ht="15" customHeight="1" x14ac:dyDescent="0.25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</row>
    <row r="8509" spans="1:15" ht="15" customHeight="1" x14ac:dyDescent="0.25">
      <c r="A8509" s="3"/>
      <c r="B8509" s="3"/>
      <c r="C8509" s="3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</row>
    <row r="8510" spans="1:15" ht="15" customHeight="1" x14ac:dyDescent="0.25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</row>
    <row r="8511" spans="1:15" ht="15" customHeight="1" x14ac:dyDescent="0.25">
      <c r="A8511" s="3"/>
      <c r="B8511" s="3"/>
      <c r="C8511" s="3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</row>
    <row r="8512" spans="1:15" ht="15" customHeight="1" x14ac:dyDescent="0.25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</row>
    <row r="8513" spans="1:15" ht="15" customHeight="1" x14ac:dyDescent="0.25">
      <c r="A8513" s="3"/>
      <c r="B8513" s="3"/>
      <c r="C8513" s="3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</row>
    <row r="8514" spans="1:15" ht="15" customHeight="1" x14ac:dyDescent="0.25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</row>
    <row r="8515" spans="1:15" ht="15" customHeight="1" x14ac:dyDescent="0.25">
      <c r="A8515" s="3"/>
      <c r="B8515" s="3"/>
      <c r="C8515" s="3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</row>
    <row r="8516" spans="1:15" ht="15" customHeight="1" x14ac:dyDescent="0.25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</row>
    <row r="8517" spans="1:15" ht="15" customHeight="1" x14ac:dyDescent="0.25">
      <c r="A8517" s="3"/>
      <c r="B8517" s="3"/>
      <c r="C8517" s="3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</row>
    <row r="8518" spans="1:15" ht="15" customHeight="1" x14ac:dyDescent="0.25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</row>
    <row r="8519" spans="1:15" ht="15" customHeight="1" x14ac:dyDescent="0.25">
      <c r="A8519" s="3"/>
      <c r="B8519" s="3"/>
      <c r="C8519" s="3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</row>
    <row r="8520" spans="1:15" ht="15" customHeight="1" x14ac:dyDescent="0.25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</row>
    <row r="8521" spans="1:15" ht="15" customHeight="1" x14ac:dyDescent="0.25">
      <c r="A8521" s="3"/>
      <c r="B8521" s="3"/>
      <c r="C8521" s="3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</row>
    <row r="8522" spans="1:15" ht="15" customHeight="1" x14ac:dyDescent="0.25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</row>
    <row r="8523" spans="1:15" ht="15" customHeight="1" x14ac:dyDescent="0.25">
      <c r="A8523" s="3"/>
      <c r="B8523" s="3"/>
      <c r="C8523" s="3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</row>
    <row r="8524" spans="1:15" ht="15" customHeight="1" x14ac:dyDescent="0.25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</row>
    <row r="8525" spans="1:15" ht="15" customHeight="1" x14ac:dyDescent="0.25">
      <c r="A8525" s="3"/>
      <c r="B8525" s="3"/>
      <c r="C8525" s="3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</row>
    <row r="8526" spans="1:15" ht="15" customHeight="1" x14ac:dyDescent="0.25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</row>
    <row r="8527" spans="1:15" ht="15" customHeight="1" x14ac:dyDescent="0.25">
      <c r="A8527" s="3"/>
      <c r="B8527" s="3"/>
      <c r="C8527" s="3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</row>
    <row r="8528" spans="1:15" ht="15" customHeight="1" x14ac:dyDescent="0.25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</row>
    <row r="8529" spans="1:15" ht="15" customHeight="1" x14ac:dyDescent="0.25">
      <c r="A8529" s="3"/>
      <c r="B8529" s="3"/>
      <c r="C8529" s="3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</row>
    <row r="8530" spans="1:15" ht="15" customHeight="1" x14ac:dyDescent="0.25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</row>
    <row r="8531" spans="1:15" ht="15" customHeight="1" x14ac:dyDescent="0.25">
      <c r="A8531" s="3"/>
      <c r="B8531" s="3"/>
      <c r="C8531" s="3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</row>
    <row r="8532" spans="1:15" ht="15" customHeight="1" x14ac:dyDescent="0.25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</row>
    <row r="8533" spans="1:15" ht="15" customHeight="1" x14ac:dyDescent="0.25">
      <c r="A8533" s="3"/>
      <c r="B8533" s="3"/>
      <c r="C8533" s="3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</row>
    <row r="8534" spans="1:15" ht="15" customHeight="1" x14ac:dyDescent="0.25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</row>
    <row r="8535" spans="1:15" ht="15" customHeight="1" x14ac:dyDescent="0.25">
      <c r="A8535" s="3"/>
      <c r="B8535" s="3"/>
      <c r="C8535" s="3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</row>
    <row r="8536" spans="1:15" ht="15" customHeight="1" x14ac:dyDescent="0.25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</row>
    <row r="8537" spans="1:15" ht="15" customHeight="1" x14ac:dyDescent="0.25">
      <c r="A8537" s="3"/>
      <c r="B8537" s="3"/>
      <c r="C8537" s="3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</row>
    <row r="8538" spans="1:15" ht="15" customHeight="1" x14ac:dyDescent="0.25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</row>
    <row r="8539" spans="1:15" ht="15" customHeight="1" x14ac:dyDescent="0.25">
      <c r="A8539" s="3"/>
      <c r="B8539" s="3"/>
      <c r="C8539" s="3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</row>
    <row r="8540" spans="1:15" ht="15" customHeight="1" x14ac:dyDescent="0.25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</row>
    <row r="8541" spans="1:15" ht="15" customHeight="1" x14ac:dyDescent="0.25">
      <c r="A8541" s="3"/>
      <c r="B8541" s="3"/>
      <c r="C8541" s="3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</row>
    <row r="8542" spans="1:15" ht="15" customHeight="1" x14ac:dyDescent="0.25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</row>
    <row r="8543" spans="1:15" ht="15" customHeight="1" x14ac:dyDescent="0.25">
      <c r="A8543" s="3"/>
      <c r="B8543" s="3"/>
      <c r="C8543" s="3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</row>
    <row r="8544" spans="1:15" ht="15" customHeight="1" x14ac:dyDescent="0.25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</row>
    <row r="8545" spans="1:15" ht="15" customHeight="1" x14ac:dyDescent="0.25">
      <c r="A8545" s="3"/>
      <c r="B8545" s="3"/>
      <c r="C8545" s="3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</row>
    <row r="8546" spans="1:15" ht="15" customHeight="1" x14ac:dyDescent="0.25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</row>
    <row r="8547" spans="1:15" ht="15" customHeight="1" x14ac:dyDescent="0.25">
      <c r="A8547" s="3"/>
      <c r="B8547" s="3"/>
      <c r="C8547" s="3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</row>
    <row r="8548" spans="1:15" ht="15" customHeight="1" x14ac:dyDescent="0.25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</row>
    <row r="8549" spans="1:15" ht="15" customHeight="1" x14ac:dyDescent="0.25">
      <c r="A8549" s="3"/>
      <c r="B8549" s="3"/>
      <c r="C8549" s="3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</row>
    <row r="8550" spans="1:15" ht="15" customHeight="1" x14ac:dyDescent="0.25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</row>
    <row r="8551" spans="1:15" ht="15" customHeight="1" x14ac:dyDescent="0.25">
      <c r="A8551" s="3"/>
      <c r="B8551" s="3"/>
      <c r="C8551" s="3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</row>
    <row r="8552" spans="1:15" ht="15" customHeight="1" x14ac:dyDescent="0.25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</row>
    <row r="8553" spans="1:15" ht="15" customHeight="1" x14ac:dyDescent="0.25">
      <c r="A8553" s="3"/>
      <c r="B8553" s="3"/>
      <c r="C8553" s="3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</row>
    <row r="8554" spans="1:15" ht="15" customHeight="1" x14ac:dyDescent="0.25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</row>
    <row r="8555" spans="1:15" ht="15" customHeight="1" x14ac:dyDescent="0.25">
      <c r="A8555" s="3"/>
      <c r="B8555" s="3"/>
      <c r="C8555" s="3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</row>
    <row r="8556" spans="1:15" ht="15" customHeight="1" x14ac:dyDescent="0.25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</row>
    <row r="8557" spans="1:15" ht="15" customHeight="1" x14ac:dyDescent="0.25">
      <c r="A8557" s="3"/>
      <c r="B8557" s="3"/>
      <c r="C8557" s="3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</row>
    <row r="8558" spans="1:15" ht="15" customHeight="1" x14ac:dyDescent="0.25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</row>
    <row r="8559" spans="1:15" ht="15" customHeight="1" x14ac:dyDescent="0.25">
      <c r="A8559" s="3"/>
      <c r="B8559" s="3"/>
      <c r="C8559" s="3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</row>
    <row r="8560" spans="1:15" ht="15" customHeight="1" x14ac:dyDescent="0.25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</row>
    <row r="8561" spans="1:15" ht="15" customHeight="1" x14ac:dyDescent="0.25">
      <c r="A8561" s="3"/>
      <c r="B8561" s="3"/>
      <c r="C8561" s="3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</row>
    <row r="8562" spans="1:15" ht="15" customHeight="1" x14ac:dyDescent="0.25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</row>
    <row r="8563" spans="1:15" ht="15" customHeight="1" x14ac:dyDescent="0.25">
      <c r="A8563" s="3"/>
      <c r="B8563" s="3"/>
      <c r="C8563" s="3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</row>
    <row r="8564" spans="1:15" ht="15" customHeight="1" x14ac:dyDescent="0.25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</row>
    <row r="8565" spans="1:15" ht="15" customHeight="1" x14ac:dyDescent="0.25">
      <c r="A8565" s="3"/>
      <c r="B8565" s="3"/>
      <c r="C8565" s="3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</row>
    <row r="8566" spans="1:15" ht="15" customHeight="1" x14ac:dyDescent="0.25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</row>
    <row r="8567" spans="1:15" ht="15" customHeight="1" x14ac:dyDescent="0.25">
      <c r="A8567" s="3"/>
      <c r="B8567" s="3"/>
      <c r="C8567" s="3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</row>
    <row r="8568" spans="1:15" ht="15" customHeight="1" x14ac:dyDescent="0.25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</row>
    <row r="8569" spans="1:15" ht="15" customHeight="1" x14ac:dyDescent="0.25">
      <c r="A8569" s="3"/>
      <c r="B8569" s="3"/>
      <c r="C8569" s="3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</row>
    <row r="8570" spans="1:15" ht="15" customHeight="1" x14ac:dyDescent="0.25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</row>
    <row r="8571" spans="1:15" ht="15" customHeight="1" x14ac:dyDescent="0.25">
      <c r="A8571" s="3"/>
      <c r="B8571" s="3"/>
      <c r="C8571" s="3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</row>
    <row r="8572" spans="1:15" ht="15" customHeight="1" x14ac:dyDescent="0.25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</row>
    <row r="8573" spans="1:15" ht="15" customHeight="1" x14ac:dyDescent="0.25">
      <c r="A8573" s="3"/>
      <c r="B8573" s="3"/>
      <c r="C8573" s="3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</row>
    <row r="8574" spans="1:15" ht="15" customHeight="1" x14ac:dyDescent="0.25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</row>
    <row r="8575" spans="1:15" ht="15" customHeight="1" x14ac:dyDescent="0.25">
      <c r="A8575" s="3"/>
      <c r="B8575" s="3"/>
      <c r="C8575" s="3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</row>
    <row r="8576" spans="1:15" ht="15" customHeight="1" x14ac:dyDescent="0.25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</row>
    <row r="8577" spans="1:15" ht="15" customHeight="1" x14ac:dyDescent="0.25">
      <c r="A8577" s="3"/>
      <c r="B8577" s="3"/>
      <c r="C8577" s="3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</row>
    <row r="8578" spans="1:15" ht="15" customHeight="1" x14ac:dyDescent="0.25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</row>
    <row r="8579" spans="1:15" ht="15" customHeight="1" x14ac:dyDescent="0.25">
      <c r="A8579" s="3"/>
      <c r="B8579" s="3"/>
      <c r="C8579" s="3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</row>
    <row r="8580" spans="1:15" ht="15" customHeight="1" x14ac:dyDescent="0.25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</row>
    <row r="8581" spans="1:15" ht="15" customHeight="1" x14ac:dyDescent="0.25">
      <c r="A8581" s="3"/>
      <c r="B8581" s="3"/>
      <c r="C8581" s="3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</row>
    <row r="8582" spans="1:15" ht="15" customHeight="1" x14ac:dyDescent="0.25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</row>
    <row r="8583" spans="1:15" ht="15" customHeight="1" x14ac:dyDescent="0.25">
      <c r="A8583" s="3"/>
      <c r="B8583" s="3"/>
      <c r="C8583" s="3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</row>
    <row r="8584" spans="1:15" ht="15" customHeight="1" x14ac:dyDescent="0.25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</row>
    <row r="8585" spans="1:15" ht="15" customHeight="1" x14ac:dyDescent="0.25">
      <c r="A8585" s="3"/>
      <c r="B8585" s="3"/>
      <c r="C8585" s="3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</row>
    <row r="8586" spans="1:15" ht="15" customHeight="1" x14ac:dyDescent="0.25">
      <c r="A8586" s="2"/>
      <c r="B8586" s="2"/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</row>
    <row r="8587" spans="1:15" ht="15" customHeight="1" x14ac:dyDescent="0.25">
      <c r="A8587" s="3"/>
      <c r="B8587" s="3"/>
      <c r="C8587" s="3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</row>
    <row r="8588" spans="1:15" ht="15" customHeight="1" x14ac:dyDescent="0.25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</row>
    <row r="8589" spans="1:15" ht="15" customHeight="1" x14ac:dyDescent="0.25">
      <c r="A8589" s="3"/>
      <c r="B8589" s="3"/>
      <c r="C8589" s="3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</row>
    <row r="8590" spans="1:15" ht="15" customHeight="1" x14ac:dyDescent="0.25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</row>
    <row r="8591" spans="1:15" ht="15" customHeight="1" x14ac:dyDescent="0.25">
      <c r="A8591" s="3"/>
      <c r="B8591" s="3"/>
      <c r="C8591" s="3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</row>
    <row r="8592" spans="1:15" ht="15" customHeight="1" x14ac:dyDescent="0.25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</row>
    <row r="8593" spans="1:15" ht="15" customHeight="1" x14ac:dyDescent="0.25">
      <c r="A8593" s="3"/>
      <c r="B8593" s="3"/>
      <c r="C8593" s="3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</row>
    <row r="8594" spans="1:15" ht="15" customHeight="1" x14ac:dyDescent="0.25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</row>
    <row r="8595" spans="1:15" ht="15" customHeight="1" x14ac:dyDescent="0.25">
      <c r="A8595" s="3"/>
      <c r="B8595" s="3"/>
      <c r="C8595" s="3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</row>
    <row r="8596" spans="1:15" ht="15" customHeight="1" x14ac:dyDescent="0.25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</row>
    <row r="8597" spans="1:15" ht="15" customHeight="1" x14ac:dyDescent="0.25">
      <c r="A8597" s="3"/>
      <c r="B8597" s="3"/>
      <c r="C8597" s="3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</row>
    <row r="8598" spans="1:15" ht="15" customHeight="1" x14ac:dyDescent="0.25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</row>
    <row r="8599" spans="1:15" ht="15" customHeight="1" x14ac:dyDescent="0.25">
      <c r="A8599" s="3"/>
      <c r="B8599" s="3"/>
      <c r="C8599" s="3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</row>
    <row r="8600" spans="1:15" ht="15" customHeight="1" x14ac:dyDescent="0.25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</row>
    <row r="8601" spans="1:15" ht="15" customHeight="1" x14ac:dyDescent="0.25">
      <c r="A8601" s="3"/>
      <c r="B8601" s="3"/>
      <c r="C8601" s="3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</row>
    <row r="8602" spans="1:15" ht="15" customHeight="1" x14ac:dyDescent="0.25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</row>
    <row r="8603" spans="1:15" ht="15" customHeight="1" x14ac:dyDescent="0.25">
      <c r="A8603" s="3"/>
      <c r="B8603" s="3"/>
      <c r="C8603" s="3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</row>
    <row r="8604" spans="1:15" ht="15" customHeight="1" x14ac:dyDescent="0.25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</row>
    <row r="8605" spans="1:15" ht="15" customHeight="1" x14ac:dyDescent="0.25">
      <c r="A8605" s="3"/>
      <c r="B8605" s="3"/>
      <c r="C8605" s="3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</row>
    <row r="8606" spans="1:15" ht="15" customHeight="1" x14ac:dyDescent="0.25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</row>
    <row r="8607" spans="1:15" ht="15" customHeight="1" x14ac:dyDescent="0.25">
      <c r="A8607" s="3"/>
      <c r="B8607" s="3"/>
      <c r="C8607" s="3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</row>
    <row r="8608" spans="1:15" ht="15" customHeight="1" x14ac:dyDescent="0.25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</row>
    <row r="8609" spans="1:15" ht="15" customHeight="1" x14ac:dyDescent="0.25">
      <c r="A8609" s="3"/>
      <c r="B8609" s="3"/>
      <c r="C8609" s="3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</row>
    <row r="8610" spans="1:15" ht="15" customHeight="1" x14ac:dyDescent="0.25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</row>
    <row r="8611" spans="1:15" ht="15" customHeight="1" x14ac:dyDescent="0.25">
      <c r="A8611" s="3"/>
      <c r="B8611" s="3"/>
      <c r="C8611" s="3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</row>
    <row r="8612" spans="1:15" ht="15" customHeight="1" x14ac:dyDescent="0.25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</row>
    <row r="8613" spans="1:15" ht="15" customHeight="1" x14ac:dyDescent="0.25">
      <c r="A8613" s="3"/>
      <c r="B8613" s="3"/>
      <c r="C8613" s="3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</row>
    <row r="8614" spans="1:15" ht="15" customHeight="1" x14ac:dyDescent="0.25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</row>
    <row r="8615" spans="1:15" ht="15" customHeight="1" x14ac:dyDescent="0.25">
      <c r="A8615" s="3"/>
      <c r="B8615" s="3"/>
      <c r="C8615" s="3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</row>
    <row r="8616" spans="1:15" ht="15" customHeight="1" x14ac:dyDescent="0.25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</row>
    <row r="8617" spans="1:15" ht="15" customHeight="1" x14ac:dyDescent="0.25">
      <c r="A8617" s="3"/>
      <c r="B8617" s="3"/>
      <c r="C8617" s="3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</row>
    <row r="8618" spans="1:15" ht="15" customHeight="1" x14ac:dyDescent="0.25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</row>
    <row r="8619" spans="1:15" ht="15" customHeight="1" x14ac:dyDescent="0.25">
      <c r="A8619" s="3"/>
      <c r="B8619" s="3"/>
      <c r="C8619" s="3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</row>
    <row r="8620" spans="1:15" ht="15" customHeight="1" x14ac:dyDescent="0.25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</row>
    <row r="8621" spans="1:15" ht="15" customHeight="1" x14ac:dyDescent="0.25">
      <c r="A8621" s="3"/>
      <c r="B8621" s="3"/>
      <c r="C8621" s="3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</row>
    <row r="8622" spans="1:15" ht="15" customHeight="1" x14ac:dyDescent="0.25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</row>
    <row r="8623" spans="1:15" ht="15" customHeight="1" x14ac:dyDescent="0.25">
      <c r="A8623" s="3"/>
      <c r="B8623" s="3"/>
      <c r="C8623" s="3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</row>
    <row r="8624" spans="1:15" ht="15" customHeight="1" x14ac:dyDescent="0.25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</row>
    <row r="8625" spans="1:15" ht="15" customHeight="1" x14ac:dyDescent="0.25">
      <c r="A8625" s="3"/>
      <c r="B8625" s="3"/>
      <c r="C8625" s="3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</row>
    <row r="8626" spans="1:15" ht="15" customHeight="1" x14ac:dyDescent="0.25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</row>
    <row r="8627" spans="1:15" ht="15" customHeight="1" x14ac:dyDescent="0.25">
      <c r="A8627" s="3"/>
      <c r="B8627" s="3"/>
      <c r="C8627" s="3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</row>
    <row r="8628" spans="1:15" ht="15" customHeight="1" x14ac:dyDescent="0.25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</row>
    <row r="8629" spans="1:15" ht="15" customHeight="1" x14ac:dyDescent="0.25">
      <c r="A8629" s="3"/>
      <c r="B8629" s="3"/>
      <c r="C8629" s="3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</row>
    <row r="8630" spans="1:15" ht="15" customHeight="1" x14ac:dyDescent="0.25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</row>
    <row r="8631" spans="1:15" ht="15" customHeight="1" x14ac:dyDescent="0.25">
      <c r="A8631" s="3"/>
      <c r="B8631" s="3"/>
      <c r="C8631" s="3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</row>
    <row r="8632" spans="1:15" ht="15" customHeight="1" x14ac:dyDescent="0.25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</row>
    <row r="8633" spans="1:15" ht="15" customHeight="1" x14ac:dyDescent="0.25">
      <c r="A8633" s="3"/>
      <c r="B8633" s="3"/>
      <c r="C8633" s="3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</row>
    <row r="8634" spans="1:15" ht="15" customHeight="1" x14ac:dyDescent="0.25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</row>
    <row r="8635" spans="1:15" ht="15" customHeight="1" x14ac:dyDescent="0.25">
      <c r="A8635" s="3"/>
      <c r="B8635" s="3"/>
      <c r="C8635" s="3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</row>
    <row r="8636" spans="1:15" ht="15" customHeight="1" x14ac:dyDescent="0.25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</row>
    <row r="8637" spans="1:15" ht="15" customHeight="1" x14ac:dyDescent="0.25">
      <c r="A8637" s="3"/>
      <c r="B8637" s="3"/>
      <c r="C8637" s="3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</row>
    <row r="8638" spans="1:15" ht="15" customHeight="1" x14ac:dyDescent="0.25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</row>
    <row r="8639" spans="1:15" ht="15" customHeight="1" x14ac:dyDescent="0.25">
      <c r="A8639" s="3"/>
      <c r="B8639" s="3"/>
      <c r="C8639" s="3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</row>
    <row r="8640" spans="1:15" ht="15" customHeight="1" x14ac:dyDescent="0.25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</row>
    <row r="8641" spans="1:15" ht="15" customHeight="1" x14ac:dyDescent="0.25">
      <c r="A8641" s="3"/>
      <c r="B8641" s="3"/>
      <c r="C8641" s="3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</row>
    <row r="8642" spans="1:15" ht="15" customHeight="1" x14ac:dyDescent="0.25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</row>
    <row r="8643" spans="1:15" ht="15" customHeight="1" x14ac:dyDescent="0.25">
      <c r="A8643" s="3"/>
      <c r="B8643" s="3"/>
      <c r="C8643" s="3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</row>
    <row r="8644" spans="1:15" ht="15" customHeight="1" x14ac:dyDescent="0.25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</row>
    <row r="8645" spans="1:15" ht="15" customHeight="1" x14ac:dyDescent="0.25">
      <c r="A8645" s="3"/>
      <c r="B8645" s="3"/>
      <c r="C8645" s="3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</row>
    <row r="8646" spans="1:15" ht="15" customHeight="1" x14ac:dyDescent="0.25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</row>
    <row r="8647" spans="1:15" ht="15" customHeight="1" x14ac:dyDescent="0.25">
      <c r="A8647" s="3"/>
      <c r="B8647" s="3"/>
      <c r="C8647" s="3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</row>
    <row r="8648" spans="1:15" ht="15" customHeight="1" x14ac:dyDescent="0.25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</row>
    <row r="8649" spans="1:15" ht="15" customHeight="1" x14ac:dyDescent="0.25">
      <c r="A8649" s="3"/>
      <c r="B8649" s="3"/>
      <c r="C8649" s="3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</row>
    <row r="8650" spans="1:15" ht="15" customHeight="1" x14ac:dyDescent="0.25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</row>
    <row r="8651" spans="1:15" ht="15" customHeight="1" x14ac:dyDescent="0.25">
      <c r="A8651" s="3"/>
      <c r="B8651" s="3"/>
      <c r="C8651" s="3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</row>
    <row r="8652" spans="1:15" ht="15" customHeight="1" x14ac:dyDescent="0.25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</row>
    <row r="8653" spans="1:15" ht="15" customHeight="1" x14ac:dyDescent="0.25">
      <c r="A8653" s="3"/>
      <c r="B8653" s="3"/>
      <c r="C8653" s="3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</row>
    <row r="8654" spans="1:15" ht="15" customHeight="1" x14ac:dyDescent="0.25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</row>
    <row r="8655" spans="1:15" ht="15" customHeight="1" x14ac:dyDescent="0.25">
      <c r="A8655" s="3"/>
      <c r="B8655" s="3"/>
      <c r="C8655" s="3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</row>
    <row r="8656" spans="1:15" ht="15" customHeight="1" x14ac:dyDescent="0.25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</row>
    <row r="8657" spans="1:15" ht="15" customHeight="1" x14ac:dyDescent="0.25">
      <c r="A8657" s="3"/>
      <c r="B8657" s="3"/>
      <c r="C8657" s="3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</row>
    <row r="8658" spans="1:15" ht="15" customHeight="1" x14ac:dyDescent="0.25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</row>
    <row r="8659" spans="1:15" ht="15" customHeight="1" x14ac:dyDescent="0.25">
      <c r="A8659" s="3"/>
      <c r="B8659" s="3"/>
      <c r="C8659" s="3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</row>
    <row r="8660" spans="1:15" ht="15" customHeight="1" x14ac:dyDescent="0.25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</row>
    <row r="8661" spans="1:15" ht="15" customHeight="1" x14ac:dyDescent="0.25">
      <c r="A8661" s="3"/>
      <c r="B8661" s="3"/>
      <c r="C8661" s="3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</row>
    <row r="8662" spans="1:15" ht="15" customHeight="1" x14ac:dyDescent="0.25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</row>
    <row r="8663" spans="1:15" ht="15" customHeight="1" x14ac:dyDescent="0.25">
      <c r="A8663" s="3"/>
      <c r="B8663" s="3"/>
      <c r="C8663" s="3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</row>
    <row r="8664" spans="1:15" ht="15" customHeight="1" x14ac:dyDescent="0.25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</row>
    <row r="8665" spans="1:15" ht="15" customHeight="1" x14ac:dyDescent="0.25">
      <c r="A8665" s="3"/>
      <c r="B8665" s="3"/>
      <c r="C8665" s="3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</row>
    <row r="8666" spans="1:15" ht="15" customHeight="1" x14ac:dyDescent="0.25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</row>
    <row r="8667" spans="1:15" ht="15" customHeight="1" x14ac:dyDescent="0.25">
      <c r="A8667" s="3"/>
      <c r="B8667" s="3"/>
      <c r="C8667" s="3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</row>
    <row r="8668" spans="1:15" ht="15" customHeight="1" x14ac:dyDescent="0.25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</row>
    <row r="8669" spans="1:15" ht="15" customHeight="1" x14ac:dyDescent="0.25">
      <c r="A8669" s="3"/>
      <c r="B8669" s="3"/>
      <c r="C8669" s="3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</row>
    <row r="8670" spans="1:15" ht="15" customHeight="1" x14ac:dyDescent="0.25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</row>
    <row r="8671" spans="1:15" ht="15" customHeight="1" x14ac:dyDescent="0.25">
      <c r="A8671" s="3"/>
      <c r="B8671" s="3"/>
      <c r="C8671" s="3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</row>
    <row r="8672" spans="1:15" ht="15" customHeight="1" x14ac:dyDescent="0.25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</row>
    <row r="8673" spans="1:15" ht="15" customHeight="1" x14ac:dyDescent="0.25">
      <c r="A8673" s="3"/>
      <c r="B8673" s="3"/>
      <c r="C8673" s="3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</row>
    <row r="8674" spans="1:15" ht="15" customHeight="1" x14ac:dyDescent="0.25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</row>
    <row r="8675" spans="1:15" ht="15" customHeight="1" x14ac:dyDescent="0.25">
      <c r="A8675" s="3"/>
      <c r="B8675" s="3"/>
      <c r="C8675" s="3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</row>
    <row r="8676" spans="1:15" ht="15" customHeight="1" x14ac:dyDescent="0.25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</row>
    <row r="8677" spans="1:15" ht="15" customHeight="1" x14ac:dyDescent="0.25">
      <c r="A8677" s="3"/>
      <c r="B8677" s="3"/>
      <c r="C8677" s="3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</row>
    <row r="8678" spans="1:15" ht="15" customHeight="1" x14ac:dyDescent="0.25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</row>
    <row r="8679" spans="1:15" ht="15" customHeight="1" x14ac:dyDescent="0.25">
      <c r="A8679" s="3"/>
      <c r="B8679" s="3"/>
      <c r="C8679" s="3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</row>
    <row r="8680" spans="1:15" ht="15" customHeight="1" x14ac:dyDescent="0.25">
      <c r="A8680" s="2"/>
      <c r="B8680" s="2"/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</row>
    <row r="8681" spans="1:15" ht="15" customHeight="1" x14ac:dyDescent="0.25">
      <c r="A8681" s="3"/>
      <c r="B8681" s="3"/>
      <c r="C8681" s="3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</row>
    <row r="8682" spans="1:15" ht="15" customHeight="1" x14ac:dyDescent="0.25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</row>
    <row r="8683" spans="1:15" ht="15" customHeight="1" x14ac:dyDescent="0.25">
      <c r="A8683" s="3"/>
      <c r="B8683" s="3"/>
      <c r="C8683" s="3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</row>
    <row r="8684" spans="1:15" ht="15" customHeight="1" x14ac:dyDescent="0.25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</row>
    <row r="8685" spans="1:15" ht="15" customHeight="1" x14ac:dyDescent="0.25">
      <c r="A8685" s="3"/>
      <c r="B8685" s="3"/>
      <c r="C8685" s="3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</row>
    <row r="8686" spans="1:15" ht="15" customHeight="1" x14ac:dyDescent="0.25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</row>
    <row r="8687" spans="1:15" ht="15" customHeight="1" x14ac:dyDescent="0.25">
      <c r="A8687" s="3"/>
      <c r="B8687" s="3"/>
      <c r="C8687" s="3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</row>
    <row r="8688" spans="1:15" ht="15" customHeight="1" x14ac:dyDescent="0.25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</row>
    <row r="8689" spans="1:15" ht="15" customHeight="1" x14ac:dyDescent="0.25">
      <c r="A8689" s="3"/>
      <c r="B8689" s="3"/>
      <c r="C8689" s="3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</row>
    <row r="8690" spans="1:15" ht="15" customHeight="1" x14ac:dyDescent="0.25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</row>
    <row r="8691" spans="1:15" ht="15" customHeight="1" x14ac:dyDescent="0.25">
      <c r="A8691" s="3"/>
      <c r="B8691" s="3"/>
      <c r="C8691" s="3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</row>
    <row r="8692" spans="1:15" ht="15" customHeight="1" x14ac:dyDescent="0.25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</row>
    <row r="8693" spans="1:15" ht="15" customHeight="1" x14ac:dyDescent="0.25">
      <c r="A8693" s="3"/>
      <c r="B8693" s="3"/>
      <c r="C8693" s="3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</row>
    <row r="8694" spans="1:15" ht="15" customHeight="1" x14ac:dyDescent="0.25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</row>
    <row r="8695" spans="1:15" ht="15" customHeight="1" x14ac:dyDescent="0.25">
      <c r="A8695" s="3"/>
      <c r="B8695" s="3"/>
      <c r="C8695" s="3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</row>
    <row r="8696" spans="1:15" ht="15" customHeight="1" x14ac:dyDescent="0.25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</row>
    <row r="8697" spans="1:15" ht="15" customHeight="1" x14ac:dyDescent="0.25">
      <c r="A8697" s="3"/>
      <c r="B8697" s="3"/>
      <c r="C8697" s="3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</row>
    <row r="8698" spans="1:15" ht="15" customHeight="1" x14ac:dyDescent="0.25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</row>
    <row r="8699" spans="1:15" ht="15" customHeight="1" x14ac:dyDescent="0.25">
      <c r="A8699" s="3"/>
      <c r="B8699" s="3"/>
      <c r="C8699" s="3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</row>
    <row r="8700" spans="1:15" ht="15" customHeight="1" x14ac:dyDescent="0.25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</row>
    <row r="8701" spans="1:15" ht="15" customHeight="1" x14ac:dyDescent="0.25">
      <c r="A8701" s="3"/>
      <c r="B8701" s="3"/>
      <c r="C8701" s="3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</row>
    <row r="8702" spans="1:15" ht="15" customHeight="1" x14ac:dyDescent="0.25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</row>
    <row r="8703" spans="1:15" ht="15" customHeight="1" x14ac:dyDescent="0.25">
      <c r="A8703" s="3"/>
      <c r="B8703" s="3"/>
      <c r="C8703" s="3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</row>
    <row r="8704" spans="1:15" ht="15" customHeight="1" x14ac:dyDescent="0.25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</row>
    <row r="8705" spans="1:15" ht="15" customHeight="1" x14ac:dyDescent="0.25">
      <c r="A8705" s="3"/>
      <c r="B8705" s="3"/>
      <c r="C8705" s="3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</row>
    <row r="8706" spans="1:15" ht="15" customHeight="1" x14ac:dyDescent="0.25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</row>
    <row r="8707" spans="1:15" ht="15" customHeight="1" x14ac:dyDescent="0.25">
      <c r="A8707" s="3"/>
      <c r="B8707" s="3"/>
      <c r="C8707" s="3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</row>
    <row r="8708" spans="1:15" ht="15" customHeight="1" x14ac:dyDescent="0.25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</row>
    <row r="8709" spans="1:15" ht="15" customHeight="1" x14ac:dyDescent="0.25">
      <c r="A8709" s="3"/>
      <c r="B8709" s="3"/>
      <c r="C8709" s="3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</row>
    <row r="8710" spans="1:15" ht="15" customHeight="1" x14ac:dyDescent="0.25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</row>
    <row r="8711" spans="1:15" ht="15" customHeight="1" x14ac:dyDescent="0.25">
      <c r="A8711" s="3"/>
      <c r="B8711" s="3"/>
      <c r="C8711" s="3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</row>
    <row r="8712" spans="1:15" ht="15" customHeight="1" x14ac:dyDescent="0.25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</row>
    <row r="8713" spans="1:15" ht="15" customHeight="1" x14ac:dyDescent="0.25">
      <c r="A8713" s="3"/>
      <c r="B8713" s="3"/>
      <c r="C8713" s="3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</row>
    <row r="8714" spans="1:15" ht="15" customHeight="1" x14ac:dyDescent="0.25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</row>
    <row r="8715" spans="1:15" ht="15" customHeight="1" x14ac:dyDescent="0.25">
      <c r="A8715" s="3"/>
      <c r="B8715" s="3"/>
      <c r="C8715" s="3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</row>
    <row r="8716" spans="1:15" ht="15" customHeight="1" x14ac:dyDescent="0.25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</row>
    <row r="8717" spans="1:15" ht="15" customHeight="1" x14ac:dyDescent="0.25">
      <c r="A8717" s="3"/>
      <c r="B8717" s="3"/>
      <c r="C8717" s="3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</row>
    <row r="8718" spans="1:15" ht="15" customHeight="1" x14ac:dyDescent="0.25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</row>
    <row r="8719" spans="1:15" ht="15" customHeight="1" x14ac:dyDescent="0.25">
      <c r="A8719" s="3"/>
      <c r="B8719" s="3"/>
      <c r="C8719" s="3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</row>
    <row r="8720" spans="1:15" ht="15" customHeight="1" x14ac:dyDescent="0.25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</row>
    <row r="8721" spans="1:15" ht="15" customHeight="1" x14ac:dyDescent="0.25">
      <c r="A8721" s="3"/>
      <c r="B8721" s="3"/>
      <c r="C8721" s="3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</row>
    <row r="8722" spans="1:15" ht="15" customHeight="1" x14ac:dyDescent="0.25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</row>
    <row r="8723" spans="1:15" ht="15" customHeight="1" x14ac:dyDescent="0.25">
      <c r="A8723" s="3"/>
      <c r="B8723" s="3"/>
      <c r="C8723" s="3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</row>
    <row r="8724" spans="1:15" ht="15" customHeight="1" x14ac:dyDescent="0.25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</row>
    <row r="8725" spans="1:15" ht="15" customHeight="1" x14ac:dyDescent="0.25">
      <c r="A8725" s="3"/>
      <c r="B8725" s="3"/>
      <c r="C8725" s="3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</row>
    <row r="8726" spans="1:15" ht="15" customHeight="1" x14ac:dyDescent="0.25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</row>
    <row r="8727" spans="1:15" ht="15" customHeight="1" x14ac:dyDescent="0.25">
      <c r="A8727" s="3"/>
      <c r="B8727" s="3"/>
      <c r="C8727" s="3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</row>
    <row r="8728" spans="1:15" ht="15" customHeight="1" x14ac:dyDescent="0.25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</row>
    <row r="8729" spans="1:15" ht="15" customHeight="1" x14ac:dyDescent="0.25">
      <c r="A8729" s="3"/>
      <c r="B8729" s="3"/>
      <c r="C8729" s="3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</row>
    <row r="8730" spans="1:15" ht="15" customHeight="1" x14ac:dyDescent="0.25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</row>
    <row r="8731" spans="1:15" ht="15" customHeight="1" x14ac:dyDescent="0.25">
      <c r="A8731" s="3"/>
      <c r="B8731" s="3"/>
      <c r="C8731" s="3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</row>
    <row r="8732" spans="1:15" ht="15" customHeight="1" x14ac:dyDescent="0.25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</row>
    <row r="8733" spans="1:15" ht="15" customHeight="1" x14ac:dyDescent="0.25">
      <c r="A8733" s="3"/>
      <c r="B8733" s="3"/>
      <c r="C8733" s="3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</row>
    <row r="8734" spans="1:15" ht="15" customHeight="1" x14ac:dyDescent="0.25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</row>
    <row r="8735" spans="1:15" ht="15" customHeight="1" x14ac:dyDescent="0.25">
      <c r="A8735" s="3"/>
      <c r="B8735" s="3"/>
      <c r="C8735" s="3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</row>
    <row r="8736" spans="1:15" ht="15" customHeight="1" x14ac:dyDescent="0.25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</row>
    <row r="8737" spans="1:15" ht="15" customHeight="1" x14ac:dyDescent="0.25">
      <c r="A8737" s="3"/>
      <c r="B8737" s="3"/>
      <c r="C8737" s="3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</row>
    <row r="8738" spans="1:15" ht="15" customHeight="1" x14ac:dyDescent="0.25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</row>
    <row r="8739" spans="1:15" ht="15" customHeight="1" x14ac:dyDescent="0.25">
      <c r="A8739" s="3"/>
      <c r="B8739" s="3"/>
      <c r="C8739" s="3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</row>
    <row r="8740" spans="1:15" ht="15" customHeight="1" x14ac:dyDescent="0.25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</row>
    <row r="8741" spans="1:15" ht="15" customHeight="1" x14ac:dyDescent="0.25">
      <c r="A8741" s="3"/>
      <c r="B8741" s="3"/>
      <c r="C8741" s="3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</row>
    <row r="8742" spans="1:15" ht="15" customHeight="1" x14ac:dyDescent="0.25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</row>
    <row r="8743" spans="1:15" ht="15" customHeight="1" x14ac:dyDescent="0.25">
      <c r="A8743" s="3"/>
      <c r="B8743" s="3"/>
      <c r="C8743" s="3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</row>
    <row r="8744" spans="1:15" ht="15" customHeight="1" x14ac:dyDescent="0.25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</row>
    <row r="8745" spans="1:15" ht="15" customHeight="1" x14ac:dyDescent="0.25">
      <c r="A8745" s="3"/>
      <c r="B8745" s="3"/>
      <c r="C8745" s="3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</row>
    <row r="8746" spans="1:15" ht="15" customHeight="1" x14ac:dyDescent="0.25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</row>
    <row r="8747" spans="1:15" ht="15" customHeight="1" x14ac:dyDescent="0.25">
      <c r="A8747" s="3"/>
      <c r="B8747" s="3"/>
      <c r="C8747" s="3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</row>
    <row r="8748" spans="1:15" ht="15" customHeight="1" x14ac:dyDescent="0.25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</row>
    <row r="8749" spans="1:15" ht="15" customHeight="1" x14ac:dyDescent="0.25">
      <c r="A8749" s="3"/>
      <c r="B8749" s="3"/>
      <c r="C8749" s="3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</row>
    <row r="8750" spans="1:15" ht="15" customHeight="1" x14ac:dyDescent="0.25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</row>
    <row r="8751" spans="1:15" ht="15" customHeight="1" x14ac:dyDescent="0.25">
      <c r="A8751" s="3"/>
      <c r="B8751" s="3"/>
      <c r="C8751" s="3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</row>
    <row r="8752" spans="1:15" ht="15" customHeight="1" x14ac:dyDescent="0.25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</row>
    <row r="8753" spans="1:15" ht="15" customHeight="1" x14ac:dyDescent="0.25">
      <c r="A8753" s="3"/>
      <c r="B8753" s="3"/>
      <c r="C8753" s="3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</row>
    <row r="8754" spans="1:15" ht="15" customHeight="1" x14ac:dyDescent="0.25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</row>
    <row r="8755" spans="1:15" ht="15" customHeight="1" x14ac:dyDescent="0.25">
      <c r="A8755" s="3"/>
      <c r="B8755" s="3"/>
      <c r="C8755" s="3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</row>
    <row r="8756" spans="1:15" ht="15" customHeight="1" x14ac:dyDescent="0.25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</row>
    <row r="8757" spans="1:15" ht="15" customHeight="1" x14ac:dyDescent="0.25">
      <c r="A8757" s="3"/>
      <c r="B8757" s="3"/>
      <c r="C8757" s="3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</row>
    <row r="8758" spans="1:15" ht="15" customHeight="1" x14ac:dyDescent="0.25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</row>
    <row r="8759" spans="1:15" ht="15" customHeight="1" x14ac:dyDescent="0.25">
      <c r="A8759" s="3"/>
      <c r="B8759" s="3"/>
      <c r="C8759" s="3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</row>
    <row r="8760" spans="1:15" ht="15" customHeight="1" x14ac:dyDescent="0.25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</row>
    <row r="8761" spans="1:15" ht="15" customHeight="1" x14ac:dyDescent="0.25">
      <c r="A8761" s="3"/>
      <c r="B8761" s="3"/>
      <c r="C8761" s="3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</row>
    <row r="8762" spans="1:15" ht="15" customHeight="1" x14ac:dyDescent="0.25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</row>
    <row r="8763" spans="1:15" ht="15" customHeight="1" x14ac:dyDescent="0.25">
      <c r="A8763" s="3"/>
      <c r="B8763" s="3"/>
      <c r="C8763" s="3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</row>
    <row r="8764" spans="1:15" ht="15" customHeight="1" x14ac:dyDescent="0.25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</row>
    <row r="8765" spans="1:15" ht="15" customHeight="1" x14ac:dyDescent="0.25">
      <c r="A8765" s="3"/>
      <c r="B8765" s="3"/>
      <c r="C8765" s="3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</row>
    <row r="8766" spans="1:15" ht="15" customHeight="1" x14ac:dyDescent="0.25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</row>
    <row r="8767" spans="1:15" ht="15" customHeight="1" x14ac:dyDescent="0.25">
      <c r="A8767" s="3"/>
      <c r="B8767" s="3"/>
      <c r="C8767" s="3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</row>
    <row r="8768" spans="1:15" ht="15" customHeight="1" x14ac:dyDescent="0.25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</row>
    <row r="8769" spans="1:15" ht="15" customHeight="1" x14ac:dyDescent="0.25">
      <c r="A8769" s="3"/>
      <c r="B8769" s="3"/>
      <c r="C8769" s="3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</row>
    <row r="8770" spans="1:15" ht="15" customHeight="1" x14ac:dyDescent="0.25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</row>
    <row r="8771" spans="1:15" ht="15" customHeight="1" x14ac:dyDescent="0.25">
      <c r="A8771" s="3"/>
      <c r="B8771" s="3"/>
      <c r="C8771" s="3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</row>
    <row r="8772" spans="1:15" ht="15" customHeight="1" x14ac:dyDescent="0.25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</row>
    <row r="8773" spans="1:15" ht="15" customHeight="1" x14ac:dyDescent="0.25">
      <c r="A8773" s="3"/>
      <c r="B8773" s="3"/>
      <c r="C8773" s="3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</row>
    <row r="8774" spans="1:15" ht="15" customHeight="1" x14ac:dyDescent="0.25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</row>
    <row r="8775" spans="1:15" ht="15" customHeight="1" x14ac:dyDescent="0.25">
      <c r="A8775" s="3"/>
      <c r="B8775" s="3"/>
      <c r="C8775" s="3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</row>
    <row r="8776" spans="1:15" ht="15" customHeight="1" x14ac:dyDescent="0.25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</row>
    <row r="8777" spans="1:15" ht="15" customHeight="1" x14ac:dyDescent="0.25">
      <c r="A8777" s="3"/>
      <c r="B8777" s="3"/>
      <c r="C8777" s="3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</row>
    <row r="8778" spans="1:15" ht="15" customHeight="1" x14ac:dyDescent="0.25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</row>
    <row r="8779" spans="1:15" ht="15" customHeight="1" x14ac:dyDescent="0.25">
      <c r="A8779" s="3"/>
      <c r="B8779" s="3"/>
      <c r="C8779" s="3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</row>
    <row r="8780" spans="1:15" ht="15" customHeight="1" x14ac:dyDescent="0.25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</row>
    <row r="8781" spans="1:15" ht="15" customHeight="1" x14ac:dyDescent="0.25">
      <c r="A8781" s="3"/>
      <c r="B8781" s="3"/>
      <c r="C8781" s="3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</row>
    <row r="8782" spans="1:15" ht="15" customHeight="1" x14ac:dyDescent="0.25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</row>
    <row r="8783" spans="1:15" ht="15" customHeight="1" x14ac:dyDescent="0.25">
      <c r="A8783" s="3"/>
      <c r="B8783" s="3"/>
      <c r="C8783" s="3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</row>
    <row r="8784" spans="1:15" ht="15" customHeight="1" x14ac:dyDescent="0.25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</row>
    <row r="8785" spans="1:15" ht="15" customHeight="1" x14ac:dyDescent="0.25">
      <c r="A8785" s="3"/>
      <c r="B8785" s="3"/>
      <c r="C8785" s="3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</row>
    <row r="8786" spans="1:15" ht="15" customHeight="1" x14ac:dyDescent="0.25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</row>
    <row r="8787" spans="1:15" ht="15" customHeight="1" x14ac:dyDescent="0.25">
      <c r="A8787" s="3"/>
      <c r="B8787" s="3"/>
      <c r="C8787" s="3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</row>
    <row r="8788" spans="1:15" ht="15" customHeight="1" x14ac:dyDescent="0.25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</row>
    <row r="8789" spans="1:15" ht="15" customHeight="1" x14ac:dyDescent="0.25">
      <c r="A8789" s="3"/>
      <c r="B8789" s="3"/>
      <c r="C8789" s="3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</row>
    <row r="8790" spans="1:15" ht="15" customHeight="1" x14ac:dyDescent="0.25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</row>
    <row r="8791" spans="1:15" ht="15" customHeight="1" x14ac:dyDescent="0.25">
      <c r="A8791" s="3"/>
      <c r="B8791" s="3"/>
      <c r="C8791" s="3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</row>
    <row r="8792" spans="1:15" ht="15" customHeight="1" x14ac:dyDescent="0.25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</row>
    <row r="8793" spans="1:15" ht="15" customHeight="1" x14ac:dyDescent="0.25">
      <c r="A8793" s="3"/>
      <c r="B8793" s="3"/>
      <c r="C8793" s="3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</row>
    <row r="8794" spans="1:15" ht="15" customHeight="1" x14ac:dyDescent="0.25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</row>
    <row r="8795" spans="1:15" ht="15" customHeight="1" x14ac:dyDescent="0.25">
      <c r="A8795" s="3"/>
      <c r="B8795" s="3"/>
      <c r="C8795" s="3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</row>
    <row r="8796" spans="1:15" ht="15" customHeight="1" x14ac:dyDescent="0.25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</row>
    <row r="8797" spans="1:15" ht="15" customHeight="1" x14ac:dyDescent="0.25">
      <c r="A8797" s="3"/>
      <c r="B8797" s="3"/>
      <c r="C8797" s="3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</row>
    <row r="8798" spans="1:15" ht="15" customHeight="1" x14ac:dyDescent="0.25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</row>
    <row r="8799" spans="1:15" ht="15" customHeight="1" x14ac:dyDescent="0.25">
      <c r="A8799" s="3"/>
      <c r="B8799" s="3"/>
      <c r="C8799" s="3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</row>
    <row r="8800" spans="1:15" ht="15" customHeight="1" x14ac:dyDescent="0.25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</row>
    <row r="8801" spans="1:15" ht="15" customHeight="1" x14ac:dyDescent="0.25">
      <c r="A8801" s="3"/>
      <c r="B8801" s="3"/>
      <c r="C8801" s="3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</row>
    <row r="8802" spans="1:15" ht="15" customHeight="1" x14ac:dyDescent="0.25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</row>
    <row r="8803" spans="1:15" ht="15" customHeight="1" x14ac:dyDescent="0.25">
      <c r="A8803" s="3"/>
      <c r="B8803" s="3"/>
      <c r="C8803" s="3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</row>
    <row r="8804" spans="1:15" ht="15" customHeight="1" x14ac:dyDescent="0.25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</row>
    <row r="8805" spans="1:15" ht="15" customHeight="1" x14ac:dyDescent="0.25">
      <c r="A8805" s="3"/>
      <c r="B8805" s="3"/>
      <c r="C8805" s="3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</row>
    <row r="8806" spans="1:15" ht="15" customHeight="1" x14ac:dyDescent="0.25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</row>
    <row r="8807" spans="1:15" ht="15" customHeight="1" x14ac:dyDescent="0.25">
      <c r="A8807" s="3"/>
      <c r="B8807" s="3"/>
      <c r="C8807" s="3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</row>
    <row r="8808" spans="1:15" ht="15" customHeight="1" x14ac:dyDescent="0.25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</row>
    <row r="8809" spans="1:15" ht="15" customHeight="1" x14ac:dyDescent="0.25">
      <c r="A8809" s="3"/>
      <c r="B8809" s="3"/>
      <c r="C8809" s="3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</row>
    <row r="8810" spans="1:15" ht="15" customHeight="1" x14ac:dyDescent="0.25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</row>
    <row r="8811" spans="1:15" ht="15" customHeight="1" x14ac:dyDescent="0.25">
      <c r="A8811" s="3"/>
      <c r="B8811" s="3"/>
      <c r="C8811" s="3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</row>
    <row r="8812" spans="1:15" ht="15" customHeight="1" x14ac:dyDescent="0.25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</row>
    <row r="8813" spans="1:15" ht="15" customHeight="1" x14ac:dyDescent="0.25">
      <c r="A8813" s="3"/>
      <c r="B8813" s="3"/>
      <c r="C8813" s="3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</row>
    <row r="8814" spans="1:15" ht="15" customHeight="1" x14ac:dyDescent="0.25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</row>
    <row r="8815" spans="1:15" ht="15" customHeight="1" x14ac:dyDescent="0.25">
      <c r="A8815" s="3"/>
      <c r="B8815" s="3"/>
      <c r="C8815" s="3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</row>
    <row r="8816" spans="1:15" ht="15" customHeight="1" x14ac:dyDescent="0.25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</row>
    <row r="8817" spans="1:15" ht="15" customHeight="1" x14ac:dyDescent="0.25">
      <c r="A8817" s="3"/>
      <c r="B8817" s="3"/>
      <c r="C8817" s="3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</row>
    <row r="8818" spans="1:15" ht="15" customHeight="1" x14ac:dyDescent="0.25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</row>
    <row r="8819" spans="1:15" ht="15" customHeight="1" x14ac:dyDescent="0.25">
      <c r="A8819" s="3"/>
      <c r="B8819" s="3"/>
      <c r="C8819" s="3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</row>
    <row r="8820" spans="1:15" ht="15" customHeight="1" x14ac:dyDescent="0.25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</row>
    <row r="8821" spans="1:15" ht="15" customHeight="1" x14ac:dyDescent="0.25">
      <c r="A8821" s="3"/>
      <c r="B8821" s="3"/>
      <c r="C8821" s="3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</row>
    <row r="8822" spans="1:15" ht="15" customHeight="1" x14ac:dyDescent="0.25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</row>
    <row r="8823" spans="1:15" ht="15" customHeight="1" x14ac:dyDescent="0.25">
      <c r="A8823" s="3"/>
      <c r="B8823" s="3"/>
      <c r="C8823" s="3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</row>
    <row r="8824" spans="1:15" ht="15" customHeight="1" x14ac:dyDescent="0.25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</row>
    <row r="8825" spans="1:15" ht="15" customHeight="1" x14ac:dyDescent="0.25">
      <c r="A8825" s="3"/>
      <c r="B8825" s="3"/>
      <c r="C8825" s="3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</row>
    <row r="8826" spans="1:15" ht="15" customHeight="1" x14ac:dyDescent="0.25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</row>
    <row r="8827" spans="1:15" ht="15" customHeight="1" x14ac:dyDescent="0.25">
      <c r="A8827" s="3"/>
      <c r="B8827" s="3"/>
      <c r="C8827" s="3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</row>
    <row r="8828" spans="1:15" ht="15" customHeight="1" x14ac:dyDescent="0.25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</row>
    <row r="8829" spans="1:15" ht="15" customHeight="1" x14ac:dyDescent="0.25">
      <c r="A8829" s="3"/>
      <c r="B8829" s="3"/>
      <c r="C8829" s="3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</row>
    <row r="8830" spans="1:15" ht="15" customHeight="1" x14ac:dyDescent="0.25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</row>
    <row r="8831" spans="1:15" ht="15" customHeight="1" x14ac:dyDescent="0.25">
      <c r="A8831" s="3"/>
      <c r="B8831" s="3"/>
      <c r="C8831" s="3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</row>
    <row r="8832" spans="1:15" ht="15" customHeight="1" x14ac:dyDescent="0.25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</row>
    <row r="8833" spans="1:15" ht="15" customHeight="1" x14ac:dyDescent="0.25">
      <c r="A8833" s="3"/>
      <c r="B8833" s="3"/>
      <c r="C8833" s="3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</row>
    <row r="8834" spans="1:15" ht="15" customHeight="1" x14ac:dyDescent="0.25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</row>
    <row r="8835" spans="1:15" ht="15" customHeight="1" x14ac:dyDescent="0.25">
      <c r="A8835" s="3"/>
      <c r="B8835" s="3"/>
      <c r="C8835" s="3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</row>
    <row r="8836" spans="1:15" ht="15" customHeight="1" x14ac:dyDescent="0.25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</row>
    <row r="8837" spans="1:15" ht="15" customHeight="1" x14ac:dyDescent="0.25">
      <c r="A8837" s="3"/>
      <c r="B8837" s="3"/>
      <c r="C8837" s="3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</row>
    <row r="8838" spans="1:15" ht="15" customHeight="1" x14ac:dyDescent="0.25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</row>
    <row r="8839" spans="1:15" ht="15" customHeight="1" x14ac:dyDescent="0.25">
      <c r="A8839" s="3"/>
      <c r="B8839" s="3"/>
      <c r="C8839" s="3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</row>
    <row r="8840" spans="1:15" ht="15" customHeight="1" x14ac:dyDescent="0.25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</row>
    <row r="8841" spans="1:15" ht="15" customHeight="1" x14ac:dyDescent="0.25">
      <c r="A8841" s="3"/>
      <c r="B8841" s="3"/>
      <c r="C8841" s="3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</row>
    <row r="8842" spans="1:15" ht="15" customHeight="1" x14ac:dyDescent="0.25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</row>
    <row r="8843" spans="1:15" ht="15" customHeight="1" x14ac:dyDescent="0.25">
      <c r="A8843" s="3"/>
      <c r="B8843" s="3"/>
      <c r="C8843" s="3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</row>
    <row r="8844" spans="1:15" ht="15" customHeight="1" x14ac:dyDescent="0.25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</row>
    <row r="8845" spans="1:15" ht="15" customHeight="1" x14ac:dyDescent="0.25">
      <c r="A8845" s="3"/>
      <c r="B8845" s="3"/>
      <c r="C8845" s="3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</row>
    <row r="8846" spans="1:15" ht="15" customHeight="1" x14ac:dyDescent="0.25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</row>
    <row r="8847" spans="1:15" ht="15" customHeight="1" x14ac:dyDescent="0.25">
      <c r="A8847" s="3"/>
      <c r="B8847" s="3"/>
      <c r="C8847" s="3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</row>
    <row r="8848" spans="1:15" ht="15" customHeight="1" x14ac:dyDescent="0.25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</row>
    <row r="8849" spans="1:15" ht="15" customHeight="1" x14ac:dyDescent="0.25">
      <c r="A8849" s="3"/>
      <c r="B8849" s="3"/>
      <c r="C8849" s="3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</row>
    <row r="8850" spans="1:15" ht="15" customHeight="1" x14ac:dyDescent="0.25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</row>
    <row r="8851" spans="1:15" ht="15" customHeight="1" x14ac:dyDescent="0.25">
      <c r="A8851" s="3"/>
      <c r="B8851" s="3"/>
      <c r="C8851" s="3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</row>
    <row r="8852" spans="1:15" ht="15" customHeight="1" x14ac:dyDescent="0.25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</row>
    <row r="8853" spans="1:15" ht="15" customHeight="1" x14ac:dyDescent="0.25">
      <c r="A8853" s="3"/>
      <c r="B8853" s="3"/>
      <c r="C8853" s="3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</row>
    <row r="8854" spans="1:15" ht="15" customHeight="1" x14ac:dyDescent="0.25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</row>
    <row r="8855" spans="1:15" ht="15" customHeight="1" x14ac:dyDescent="0.25">
      <c r="A8855" s="3"/>
      <c r="B8855" s="3"/>
      <c r="C8855" s="3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</row>
    <row r="8856" spans="1:15" ht="15" customHeight="1" x14ac:dyDescent="0.25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</row>
    <row r="8857" spans="1:15" ht="15" customHeight="1" x14ac:dyDescent="0.25">
      <c r="A8857" s="3"/>
      <c r="B8857" s="3"/>
      <c r="C8857" s="3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</row>
    <row r="8858" spans="1:15" ht="15" customHeight="1" x14ac:dyDescent="0.25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</row>
    <row r="8859" spans="1:15" ht="15" customHeight="1" x14ac:dyDescent="0.25">
      <c r="A8859" s="3"/>
      <c r="B8859" s="3"/>
      <c r="C8859" s="3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</row>
    <row r="8860" spans="1:15" ht="15" customHeight="1" x14ac:dyDescent="0.25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</row>
    <row r="8861" spans="1:15" ht="15" customHeight="1" x14ac:dyDescent="0.25">
      <c r="A8861" s="3"/>
      <c r="B8861" s="3"/>
      <c r="C8861" s="3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</row>
    <row r="8862" spans="1:15" ht="15" customHeight="1" x14ac:dyDescent="0.25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</row>
    <row r="8863" spans="1:15" ht="15" customHeight="1" x14ac:dyDescent="0.25">
      <c r="A8863" s="3"/>
      <c r="B8863" s="3"/>
      <c r="C8863" s="3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</row>
    <row r="8864" spans="1:15" ht="15" customHeight="1" x14ac:dyDescent="0.25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</row>
    <row r="8865" spans="1:15" ht="15" customHeight="1" x14ac:dyDescent="0.25">
      <c r="A8865" s="3"/>
      <c r="B8865" s="3"/>
      <c r="C8865" s="3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</row>
    <row r="8866" spans="1:15" ht="15" customHeight="1" x14ac:dyDescent="0.25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</row>
    <row r="8867" spans="1:15" ht="15" customHeight="1" x14ac:dyDescent="0.25">
      <c r="A8867" s="3"/>
      <c r="B8867" s="3"/>
      <c r="C8867" s="3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</row>
    <row r="8868" spans="1:15" ht="15" customHeight="1" x14ac:dyDescent="0.25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</row>
    <row r="8869" spans="1:15" ht="15" customHeight="1" x14ac:dyDescent="0.25">
      <c r="A8869" s="3"/>
      <c r="B8869" s="3"/>
      <c r="C8869" s="3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</row>
    <row r="8870" spans="1:15" ht="15" customHeight="1" x14ac:dyDescent="0.25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</row>
    <row r="8871" spans="1:15" ht="15" customHeight="1" x14ac:dyDescent="0.25">
      <c r="A8871" s="3"/>
      <c r="B8871" s="3"/>
      <c r="C8871" s="3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</row>
    <row r="8872" spans="1:15" ht="15" customHeight="1" x14ac:dyDescent="0.25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</row>
    <row r="8873" spans="1:15" ht="15" customHeight="1" x14ac:dyDescent="0.25">
      <c r="A8873" s="3"/>
      <c r="B8873" s="3"/>
      <c r="C8873" s="3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</row>
    <row r="8874" spans="1:15" ht="15" customHeight="1" x14ac:dyDescent="0.25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</row>
    <row r="8875" spans="1:15" ht="15" customHeight="1" x14ac:dyDescent="0.25">
      <c r="A8875" s="3"/>
      <c r="B8875" s="3"/>
      <c r="C8875" s="3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</row>
    <row r="8876" spans="1:15" ht="15" customHeight="1" x14ac:dyDescent="0.25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</row>
    <row r="8877" spans="1:15" ht="15" customHeight="1" x14ac:dyDescent="0.25">
      <c r="A8877" s="3"/>
      <c r="B8877" s="3"/>
      <c r="C8877" s="3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</row>
    <row r="8878" spans="1:15" ht="15" customHeight="1" x14ac:dyDescent="0.25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</row>
    <row r="8879" spans="1:15" ht="15" customHeight="1" x14ac:dyDescent="0.25">
      <c r="A8879" s="3"/>
      <c r="B8879" s="3"/>
      <c r="C8879" s="3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</row>
    <row r="8880" spans="1:15" ht="15" customHeight="1" x14ac:dyDescent="0.25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</row>
    <row r="8881" spans="1:15" ht="15" customHeight="1" x14ac:dyDescent="0.25">
      <c r="A8881" s="3"/>
      <c r="B8881" s="3"/>
      <c r="C8881" s="3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</row>
    <row r="8882" spans="1:15" ht="15" customHeight="1" x14ac:dyDescent="0.25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</row>
    <row r="8883" spans="1:15" ht="15" customHeight="1" x14ac:dyDescent="0.25">
      <c r="A8883" s="3"/>
      <c r="B8883" s="3"/>
      <c r="C8883" s="3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</row>
    <row r="8884" spans="1:15" ht="15" customHeight="1" x14ac:dyDescent="0.25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</row>
    <row r="8885" spans="1:15" ht="15" customHeight="1" x14ac:dyDescent="0.25">
      <c r="A8885" s="3"/>
      <c r="B8885" s="3"/>
      <c r="C8885" s="3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</row>
    <row r="8886" spans="1:15" ht="15" customHeight="1" x14ac:dyDescent="0.25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</row>
    <row r="8887" spans="1:15" ht="15" customHeight="1" x14ac:dyDescent="0.25">
      <c r="A8887" s="3"/>
      <c r="B8887" s="3"/>
      <c r="C8887" s="3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</row>
    <row r="8888" spans="1:15" ht="15" customHeight="1" x14ac:dyDescent="0.25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</row>
    <row r="8889" spans="1:15" ht="15" customHeight="1" x14ac:dyDescent="0.25">
      <c r="A8889" s="3"/>
      <c r="B8889" s="3"/>
      <c r="C8889" s="3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</row>
    <row r="8890" spans="1:15" ht="15" customHeight="1" x14ac:dyDescent="0.25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</row>
    <row r="8891" spans="1:15" ht="15" customHeight="1" x14ac:dyDescent="0.25">
      <c r="A8891" s="3"/>
      <c r="B8891" s="3"/>
      <c r="C8891" s="3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</row>
    <row r="8892" spans="1:15" ht="15" customHeight="1" x14ac:dyDescent="0.25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</row>
    <row r="8893" spans="1:15" ht="15" customHeight="1" x14ac:dyDescent="0.25">
      <c r="A8893" s="3"/>
      <c r="B8893" s="3"/>
      <c r="C8893" s="3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</row>
    <row r="8894" spans="1:15" ht="15" customHeight="1" x14ac:dyDescent="0.25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</row>
    <row r="8895" spans="1:15" ht="15" customHeight="1" x14ac:dyDescent="0.25">
      <c r="A8895" s="3"/>
      <c r="B8895" s="3"/>
      <c r="C8895" s="3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</row>
    <row r="8896" spans="1:15" ht="15" customHeight="1" x14ac:dyDescent="0.25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</row>
    <row r="8897" spans="1:15" ht="15" customHeight="1" x14ac:dyDescent="0.25">
      <c r="A8897" s="3"/>
      <c r="B8897" s="3"/>
      <c r="C8897" s="3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</row>
    <row r="8898" spans="1:15" ht="15" customHeight="1" x14ac:dyDescent="0.25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</row>
    <row r="8899" spans="1:15" ht="15" customHeight="1" x14ac:dyDescent="0.25">
      <c r="A8899" s="3"/>
      <c r="B8899" s="3"/>
      <c r="C8899" s="3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</row>
    <row r="8900" spans="1:15" ht="15" customHeight="1" x14ac:dyDescent="0.25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</row>
    <row r="8901" spans="1:15" ht="15" customHeight="1" x14ac:dyDescent="0.25">
      <c r="A8901" s="3"/>
      <c r="B8901" s="3"/>
      <c r="C8901" s="3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</row>
    <row r="8902" spans="1:15" ht="15" customHeight="1" x14ac:dyDescent="0.25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</row>
    <row r="8903" spans="1:15" ht="15" customHeight="1" x14ac:dyDescent="0.25">
      <c r="A8903" s="3"/>
      <c r="B8903" s="3"/>
      <c r="C8903" s="3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</row>
    <row r="8904" spans="1:15" ht="15" customHeight="1" x14ac:dyDescent="0.25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</row>
    <row r="8905" spans="1:15" ht="15" customHeight="1" x14ac:dyDescent="0.25">
      <c r="A8905" s="3"/>
      <c r="B8905" s="3"/>
      <c r="C8905" s="3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</row>
    <row r="8906" spans="1:15" ht="15" customHeight="1" x14ac:dyDescent="0.25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</row>
    <row r="8907" spans="1:15" ht="15" customHeight="1" x14ac:dyDescent="0.25">
      <c r="A8907" s="3"/>
      <c r="B8907" s="3"/>
      <c r="C8907" s="3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</row>
    <row r="8908" spans="1:15" ht="15" customHeight="1" x14ac:dyDescent="0.25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</row>
    <row r="8909" spans="1:15" ht="15" customHeight="1" x14ac:dyDescent="0.25">
      <c r="A8909" s="3"/>
      <c r="B8909" s="3"/>
      <c r="C8909" s="3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</row>
    <row r="8910" spans="1:15" ht="15" customHeight="1" x14ac:dyDescent="0.25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</row>
    <row r="8911" spans="1:15" ht="15" customHeight="1" x14ac:dyDescent="0.25">
      <c r="A8911" s="3"/>
      <c r="B8911" s="3"/>
      <c r="C8911" s="3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</row>
    <row r="8912" spans="1:15" ht="15" customHeight="1" x14ac:dyDescent="0.25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</row>
    <row r="8913" spans="1:15" ht="15" customHeight="1" x14ac:dyDescent="0.25">
      <c r="A8913" s="3"/>
      <c r="B8913" s="3"/>
      <c r="C8913" s="3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</row>
    <row r="8914" spans="1:15" ht="15" customHeight="1" x14ac:dyDescent="0.25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</row>
    <row r="8915" spans="1:15" ht="15" customHeight="1" x14ac:dyDescent="0.25">
      <c r="A8915" s="3"/>
      <c r="B8915" s="3"/>
      <c r="C8915" s="3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</row>
    <row r="8916" spans="1:15" ht="15" customHeight="1" x14ac:dyDescent="0.25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</row>
    <row r="8917" spans="1:15" ht="15" customHeight="1" x14ac:dyDescent="0.25">
      <c r="A8917" s="3"/>
      <c r="B8917" s="3"/>
      <c r="C8917" s="3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</row>
    <row r="8918" spans="1:15" ht="15" customHeight="1" x14ac:dyDescent="0.25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</row>
    <row r="8919" spans="1:15" ht="15" customHeight="1" x14ac:dyDescent="0.25">
      <c r="A8919" s="3"/>
      <c r="B8919" s="3"/>
      <c r="C8919" s="3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</row>
    <row r="8920" spans="1:15" ht="15" customHeight="1" x14ac:dyDescent="0.25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</row>
    <row r="8921" spans="1:15" ht="15" customHeight="1" x14ac:dyDescent="0.25">
      <c r="A8921" s="3"/>
      <c r="B8921" s="3"/>
      <c r="C8921" s="3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</row>
    <row r="8922" spans="1:15" ht="15" customHeight="1" x14ac:dyDescent="0.25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</row>
    <row r="8923" spans="1:15" ht="15" customHeight="1" x14ac:dyDescent="0.25">
      <c r="A8923" s="3"/>
      <c r="B8923" s="3"/>
      <c r="C8923" s="3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</row>
    <row r="8924" spans="1:15" ht="15" customHeight="1" x14ac:dyDescent="0.25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</row>
    <row r="8925" spans="1:15" ht="15" customHeight="1" x14ac:dyDescent="0.25">
      <c r="A8925" s="3"/>
      <c r="B8925" s="3"/>
      <c r="C8925" s="3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</row>
    <row r="8926" spans="1:15" ht="15" customHeight="1" x14ac:dyDescent="0.25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</row>
    <row r="8927" spans="1:15" ht="15" customHeight="1" x14ac:dyDescent="0.25">
      <c r="A8927" s="3"/>
      <c r="B8927" s="3"/>
      <c r="C8927" s="3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</row>
    <row r="8928" spans="1:15" ht="15" customHeight="1" x14ac:dyDescent="0.25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</row>
    <row r="8929" spans="1:15" ht="15" customHeight="1" x14ac:dyDescent="0.25">
      <c r="A8929" s="3"/>
      <c r="B8929" s="3"/>
      <c r="C8929" s="3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</row>
    <row r="8930" spans="1:15" ht="15" customHeight="1" x14ac:dyDescent="0.25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</row>
    <row r="8931" spans="1:15" ht="15" customHeight="1" x14ac:dyDescent="0.25">
      <c r="A8931" s="3"/>
      <c r="B8931" s="3"/>
      <c r="C8931" s="3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</row>
    <row r="8932" spans="1:15" ht="15" customHeight="1" x14ac:dyDescent="0.25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</row>
    <row r="8933" spans="1:15" ht="15" customHeight="1" x14ac:dyDescent="0.25">
      <c r="A8933" s="3"/>
      <c r="B8933" s="3"/>
      <c r="C8933" s="3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</row>
    <row r="8934" spans="1:15" ht="15" customHeight="1" x14ac:dyDescent="0.25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</row>
    <row r="8935" spans="1:15" ht="15" customHeight="1" x14ac:dyDescent="0.25">
      <c r="A8935" s="3"/>
      <c r="B8935" s="3"/>
      <c r="C8935" s="3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</row>
    <row r="8936" spans="1:15" ht="15" customHeight="1" x14ac:dyDescent="0.25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</row>
    <row r="8937" spans="1:15" ht="15" customHeight="1" x14ac:dyDescent="0.25">
      <c r="A8937" s="3"/>
      <c r="B8937" s="3"/>
      <c r="C8937" s="3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</row>
    <row r="8938" spans="1:15" ht="15" customHeight="1" x14ac:dyDescent="0.25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</row>
    <row r="8939" spans="1:15" ht="15" customHeight="1" x14ac:dyDescent="0.25">
      <c r="A8939" s="3"/>
      <c r="B8939" s="3"/>
      <c r="C8939" s="3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</row>
    <row r="8940" spans="1:15" ht="15" customHeight="1" x14ac:dyDescent="0.25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</row>
    <row r="8941" spans="1:15" ht="15" customHeight="1" x14ac:dyDescent="0.25">
      <c r="A8941" s="3"/>
      <c r="B8941" s="3"/>
      <c r="C8941" s="3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</row>
    <row r="8942" spans="1:15" ht="15" customHeight="1" x14ac:dyDescent="0.25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</row>
    <row r="8943" spans="1:15" ht="15" customHeight="1" x14ac:dyDescent="0.25">
      <c r="A8943" s="3"/>
      <c r="B8943" s="3"/>
      <c r="C8943" s="3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</row>
    <row r="8944" spans="1:15" ht="15" customHeight="1" x14ac:dyDescent="0.25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</row>
    <row r="8945" spans="1:15" ht="15" customHeight="1" x14ac:dyDescent="0.25">
      <c r="A8945" s="3"/>
      <c r="B8945" s="3"/>
      <c r="C8945" s="3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</row>
    <row r="8946" spans="1:15" ht="15" customHeight="1" x14ac:dyDescent="0.25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</row>
    <row r="8947" spans="1:15" ht="15" customHeight="1" x14ac:dyDescent="0.25">
      <c r="A8947" s="3"/>
      <c r="B8947" s="3"/>
      <c r="C8947" s="3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</row>
    <row r="8948" spans="1:15" ht="15" customHeight="1" x14ac:dyDescent="0.25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</row>
    <row r="8949" spans="1:15" ht="15" customHeight="1" x14ac:dyDescent="0.25">
      <c r="A8949" s="3"/>
      <c r="B8949" s="3"/>
      <c r="C8949" s="3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</row>
    <row r="8950" spans="1:15" ht="15" customHeight="1" x14ac:dyDescent="0.25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</row>
    <row r="8951" spans="1:15" ht="15" customHeight="1" x14ac:dyDescent="0.25">
      <c r="A8951" s="3"/>
      <c r="B8951" s="3"/>
      <c r="C8951" s="3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</row>
    <row r="8952" spans="1:15" ht="15" customHeight="1" x14ac:dyDescent="0.25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</row>
    <row r="8953" spans="1:15" ht="15" customHeight="1" x14ac:dyDescent="0.25">
      <c r="A8953" s="3"/>
      <c r="B8953" s="3"/>
      <c r="C8953" s="3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</row>
    <row r="8954" spans="1:15" ht="15" customHeight="1" x14ac:dyDescent="0.25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</row>
    <row r="8955" spans="1:15" ht="15" customHeight="1" x14ac:dyDescent="0.25">
      <c r="A8955" s="3"/>
      <c r="B8955" s="3"/>
      <c r="C8955" s="3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</row>
    <row r="8956" spans="1:15" ht="15" customHeight="1" x14ac:dyDescent="0.25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</row>
    <row r="8957" spans="1:15" ht="15" customHeight="1" x14ac:dyDescent="0.25">
      <c r="A8957" s="3"/>
      <c r="B8957" s="3"/>
      <c r="C8957" s="3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</row>
    <row r="8958" spans="1:15" ht="15" customHeight="1" x14ac:dyDescent="0.25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</row>
    <row r="8959" spans="1:15" ht="15" customHeight="1" x14ac:dyDescent="0.25">
      <c r="A8959" s="3"/>
      <c r="B8959" s="3"/>
      <c r="C8959" s="3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</row>
    <row r="8960" spans="1:15" ht="15" customHeight="1" x14ac:dyDescent="0.25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</row>
    <row r="8961" spans="1:15" ht="15" customHeight="1" x14ac:dyDescent="0.25">
      <c r="A8961" s="3"/>
      <c r="B8961" s="3"/>
      <c r="C8961" s="3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</row>
    <row r="8962" spans="1:15" ht="15" customHeight="1" x14ac:dyDescent="0.25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</row>
    <row r="8963" spans="1:15" ht="15" customHeight="1" x14ac:dyDescent="0.25">
      <c r="A8963" s="3"/>
      <c r="B8963" s="3"/>
      <c r="C8963" s="3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</row>
    <row r="8964" spans="1:15" ht="15" customHeight="1" x14ac:dyDescent="0.25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</row>
    <row r="8965" spans="1:15" ht="15" customHeight="1" x14ac:dyDescent="0.25">
      <c r="A8965" s="3"/>
      <c r="B8965" s="3"/>
      <c r="C8965" s="3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</row>
    <row r="8966" spans="1:15" ht="15" customHeight="1" x14ac:dyDescent="0.25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</row>
    <row r="8967" spans="1:15" ht="15" customHeight="1" x14ac:dyDescent="0.25">
      <c r="A8967" s="3"/>
      <c r="B8967" s="3"/>
      <c r="C8967" s="3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</row>
    <row r="8968" spans="1:15" ht="15" customHeight="1" x14ac:dyDescent="0.25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</row>
    <row r="8969" spans="1:15" ht="15" customHeight="1" x14ac:dyDescent="0.25">
      <c r="A8969" s="3"/>
      <c r="B8969" s="3"/>
      <c r="C8969" s="3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</row>
    <row r="8970" spans="1:15" ht="15" customHeight="1" x14ac:dyDescent="0.25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</row>
    <row r="8971" spans="1:15" ht="15" customHeight="1" x14ac:dyDescent="0.25">
      <c r="A8971" s="3"/>
      <c r="B8971" s="3"/>
      <c r="C8971" s="3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</row>
    <row r="8972" spans="1:15" ht="15" customHeight="1" x14ac:dyDescent="0.25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</row>
    <row r="8973" spans="1:15" ht="15" customHeight="1" x14ac:dyDescent="0.25">
      <c r="A8973" s="3"/>
      <c r="B8973" s="3"/>
      <c r="C8973" s="3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</row>
    <row r="8974" spans="1:15" ht="15" customHeight="1" x14ac:dyDescent="0.25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</row>
    <row r="8975" spans="1:15" ht="15" customHeight="1" x14ac:dyDescent="0.25">
      <c r="A8975" s="3"/>
      <c r="B8975" s="3"/>
      <c r="C8975" s="3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</row>
    <row r="8976" spans="1:15" ht="15" customHeight="1" x14ac:dyDescent="0.25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</row>
    <row r="8977" spans="1:15" ht="15" customHeight="1" x14ac:dyDescent="0.25">
      <c r="A8977" s="3"/>
      <c r="B8977" s="3"/>
      <c r="C8977" s="3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</row>
    <row r="8978" spans="1:15" ht="15" customHeight="1" x14ac:dyDescent="0.25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</row>
    <row r="8979" spans="1:15" ht="15" customHeight="1" x14ac:dyDescent="0.25">
      <c r="A8979" s="3"/>
      <c r="B8979" s="3"/>
      <c r="C8979" s="3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</row>
    <row r="8980" spans="1:15" ht="15" customHeight="1" x14ac:dyDescent="0.25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</row>
    <row r="8981" spans="1:15" ht="15" customHeight="1" x14ac:dyDescent="0.25">
      <c r="A8981" s="3"/>
      <c r="B8981" s="3"/>
      <c r="C8981" s="3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</row>
    <row r="8982" spans="1:15" ht="15" customHeight="1" x14ac:dyDescent="0.25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</row>
    <row r="8983" spans="1:15" ht="15" customHeight="1" x14ac:dyDescent="0.25">
      <c r="A8983" s="3"/>
      <c r="B8983" s="3"/>
      <c r="C8983" s="3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</row>
    <row r="8984" spans="1:15" ht="15" customHeight="1" x14ac:dyDescent="0.25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</row>
    <row r="8985" spans="1:15" ht="15" customHeight="1" x14ac:dyDescent="0.25">
      <c r="A8985" s="3"/>
      <c r="B8985" s="3"/>
      <c r="C8985" s="3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</row>
    <row r="8986" spans="1:15" ht="15" customHeight="1" x14ac:dyDescent="0.25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</row>
    <row r="8987" spans="1:15" ht="15" customHeight="1" x14ac:dyDescent="0.25">
      <c r="A8987" s="3"/>
      <c r="B8987" s="3"/>
      <c r="C8987" s="3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</row>
    <row r="8988" spans="1:15" ht="15" customHeight="1" x14ac:dyDescent="0.25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</row>
    <row r="8989" spans="1:15" ht="15" customHeight="1" x14ac:dyDescent="0.25">
      <c r="A8989" s="3"/>
      <c r="B8989" s="3"/>
      <c r="C8989" s="3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</row>
    <row r="8990" spans="1:15" ht="15" customHeight="1" x14ac:dyDescent="0.25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</row>
    <row r="8991" spans="1:15" ht="15" customHeight="1" x14ac:dyDescent="0.25">
      <c r="A8991" s="3"/>
      <c r="B8991" s="3"/>
      <c r="C8991" s="3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</row>
    <row r="8992" spans="1:15" ht="15" customHeight="1" x14ac:dyDescent="0.25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</row>
    <row r="8993" spans="1:15" ht="15" customHeight="1" x14ac:dyDescent="0.25">
      <c r="A8993" s="3"/>
      <c r="B8993" s="3"/>
      <c r="C8993" s="3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</row>
    <row r="8994" spans="1:15" ht="15" customHeight="1" x14ac:dyDescent="0.25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</row>
    <row r="8995" spans="1:15" ht="15" customHeight="1" x14ac:dyDescent="0.25">
      <c r="A8995" s="3"/>
      <c r="B8995" s="3"/>
      <c r="C8995" s="3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</row>
    <row r="8996" spans="1:15" ht="15" customHeight="1" x14ac:dyDescent="0.25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</row>
    <row r="8997" spans="1:15" ht="15" customHeight="1" x14ac:dyDescent="0.25">
      <c r="A8997" s="3"/>
      <c r="B8997" s="3"/>
      <c r="C8997" s="3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</row>
    <row r="8998" spans="1:15" ht="15" customHeight="1" x14ac:dyDescent="0.25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</row>
    <row r="8999" spans="1:15" ht="15" customHeight="1" x14ac:dyDescent="0.25">
      <c r="A8999" s="3"/>
      <c r="B8999" s="3"/>
      <c r="C8999" s="3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</row>
    <row r="9000" spans="1:15" ht="15" customHeight="1" x14ac:dyDescent="0.25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</row>
    <row r="9001" spans="1:15" ht="15" customHeight="1" x14ac:dyDescent="0.25">
      <c r="A9001" s="3"/>
      <c r="B9001" s="3"/>
      <c r="C9001" s="3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</row>
    <row r="9002" spans="1:15" ht="15" customHeight="1" x14ac:dyDescent="0.25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</row>
    <row r="9003" spans="1:15" ht="15" customHeight="1" x14ac:dyDescent="0.25">
      <c r="A9003" s="3"/>
      <c r="B9003" s="3"/>
      <c r="C9003" s="3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</row>
    <row r="9004" spans="1:15" ht="15" customHeight="1" x14ac:dyDescent="0.25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</row>
    <row r="9005" spans="1:15" ht="15" customHeight="1" x14ac:dyDescent="0.25">
      <c r="A9005" s="3"/>
      <c r="B9005" s="3"/>
      <c r="C9005" s="3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</row>
    <row r="9006" spans="1:15" ht="15" customHeight="1" x14ac:dyDescent="0.25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</row>
    <row r="9007" spans="1:15" ht="15" customHeight="1" x14ac:dyDescent="0.25">
      <c r="A9007" s="3"/>
      <c r="B9007" s="3"/>
      <c r="C9007" s="3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</row>
    <row r="9008" spans="1:15" ht="15" customHeight="1" x14ac:dyDescent="0.25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</row>
    <row r="9009" spans="1:15" ht="15" customHeight="1" x14ac:dyDescent="0.25">
      <c r="A9009" s="3"/>
      <c r="B9009" s="3"/>
      <c r="C9009" s="3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</row>
    <row r="9010" spans="1:15" ht="15" customHeight="1" x14ac:dyDescent="0.25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</row>
    <row r="9011" spans="1:15" ht="15" customHeight="1" x14ac:dyDescent="0.25">
      <c r="A9011" s="3"/>
      <c r="B9011" s="3"/>
      <c r="C9011" s="3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</row>
    <row r="9012" spans="1:15" ht="15" customHeight="1" x14ac:dyDescent="0.25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</row>
    <row r="9013" spans="1:15" ht="15" customHeight="1" x14ac:dyDescent="0.25">
      <c r="A9013" s="3"/>
      <c r="B9013" s="3"/>
      <c r="C9013" s="3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</row>
    <row r="9014" spans="1:15" ht="15" customHeight="1" x14ac:dyDescent="0.25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</row>
    <row r="9015" spans="1:15" ht="15" customHeight="1" x14ac:dyDescent="0.25">
      <c r="A9015" s="3"/>
      <c r="B9015" s="3"/>
      <c r="C9015" s="3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</row>
    <row r="9016" spans="1:15" ht="15" customHeight="1" x14ac:dyDescent="0.25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</row>
    <row r="9017" spans="1:15" ht="15" customHeight="1" x14ac:dyDescent="0.25">
      <c r="A9017" s="3"/>
      <c r="B9017" s="3"/>
      <c r="C9017" s="3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</row>
    <row r="9018" spans="1:15" ht="15" customHeight="1" x14ac:dyDescent="0.25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</row>
    <row r="9019" spans="1:15" ht="15" customHeight="1" x14ac:dyDescent="0.25">
      <c r="A9019" s="3"/>
      <c r="B9019" s="3"/>
      <c r="C9019" s="3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</row>
    <row r="9020" spans="1:15" ht="15" customHeight="1" x14ac:dyDescent="0.25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</row>
    <row r="9021" spans="1:15" ht="15" customHeight="1" x14ac:dyDescent="0.25">
      <c r="A9021" s="3"/>
      <c r="B9021" s="3"/>
      <c r="C9021" s="3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</row>
    <row r="9022" spans="1:15" ht="15" customHeight="1" x14ac:dyDescent="0.25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</row>
    <row r="9023" spans="1:15" ht="15" customHeight="1" x14ac:dyDescent="0.25">
      <c r="A9023" s="3"/>
      <c r="B9023" s="3"/>
      <c r="C9023" s="3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</row>
    <row r="9024" spans="1:15" ht="15" customHeight="1" x14ac:dyDescent="0.25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</row>
    <row r="9025" spans="1:15" ht="15" customHeight="1" x14ac:dyDescent="0.25">
      <c r="A9025" s="3"/>
      <c r="B9025" s="3"/>
      <c r="C9025" s="3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</row>
    <row r="9026" spans="1:15" ht="15" customHeight="1" x14ac:dyDescent="0.25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</row>
    <row r="9027" spans="1:15" ht="15" customHeight="1" x14ac:dyDescent="0.25">
      <c r="A9027" s="3"/>
      <c r="B9027" s="3"/>
      <c r="C9027" s="3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</row>
    <row r="9028" spans="1:15" ht="15" customHeight="1" x14ac:dyDescent="0.25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</row>
    <row r="9029" spans="1:15" ht="15" customHeight="1" x14ac:dyDescent="0.25">
      <c r="A9029" s="3"/>
      <c r="B9029" s="3"/>
      <c r="C9029" s="3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</row>
    <row r="9030" spans="1:15" ht="15" customHeight="1" x14ac:dyDescent="0.25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</row>
    <row r="9031" spans="1:15" ht="15" customHeight="1" x14ac:dyDescent="0.25">
      <c r="A9031" s="3"/>
      <c r="B9031" s="3"/>
      <c r="C9031" s="3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</row>
    <row r="9032" spans="1:15" ht="15" customHeight="1" x14ac:dyDescent="0.25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</row>
    <row r="9033" spans="1:15" ht="15" customHeight="1" x14ac:dyDescent="0.25">
      <c r="A9033" s="3"/>
      <c r="B9033" s="3"/>
      <c r="C9033" s="3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</row>
    <row r="9034" spans="1:15" ht="15" customHeight="1" x14ac:dyDescent="0.25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</row>
    <row r="9035" spans="1:15" ht="15" customHeight="1" x14ac:dyDescent="0.25">
      <c r="A9035" s="3"/>
      <c r="B9035" s="3"/>
      <c r="C9035" s="3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</row>
    <row r="9036" spans="1:15" ht="15" customHeight="1" x14ac:dyDescent="0.25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</row>
    <row r="9037" spans="1:15" ht="15" customHeight="1" x14ac:dyDescent="0.25">
      <c r="A9037" s="3"/>
      <c r="B9037" s="3"/>
      <c r="C9037" s="3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</row>
    <row r="9038" spans="1:15" ht="15" customHeight="1" x14ac:dyDescent="0.25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</row>
    <row r="9039" spans="1:15" ht="15" customHeight="1" x14ac:dyDescent="0.25">
      <c r="A9039" s="3"/>
      <c r="B9039" s="3"/>
      <c r="C9039" s="3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</row>
    <row r="9040" spans="1:15" ht="15" customHeight="1" x14ac:dyDescent="0.25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</row>
    <row r="9041" spans="1:15" ht="15" customHeight="1" x14ac:dyDescent="0.25">
      <c r="A9041" s="3"/>
      <c r="B9041" s="3"/>
      <c r="C9041" s="3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</row>
    <row r="9042" spans="1:15" ht="15" customHeight="1" x14ac:dyDescent="0.25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</row>
    <row r="9043" spans="1:15" ht="15" customHeight="1" x14ac:dyDescent="0.25">
      <c r="A9043" s="3"/>
      <c r="B9043" s="3"/>
      <c r="C9043" s="3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</row>
    <row r="9044" spans="1:15" ht="15" customHeight="1" x14ac:dyDescent="0.25">
      <c r="A9044" s="2"/>
      <c r="B9044" s="2"/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</row>
    <row r="9045" spans="1:15" ht="15" customHeight="1" x14ac:dyDescent="0.25">
      <c r="A9045" s="3"/>
      <c r="B9045" s="3"/>
      <c r="C9045" s="3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</row>
    <row r="9046" spans="1:15" ht="15" customHeight="1" x14ac:dyDescent="0.25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</row>
    <row r="9047" spans="1:15" ht="15" customHeight="1" x14ac:dyDescent="0.25">
      <c r="A9047" s="3"/>
      <c r="B9047" s="3"/>
      <c r="C9047" s="3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</row>
    <row r="9048" spans="1:15" ht="15" customHeight="1" x14ac:dyDescent="0.25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</row>
    <row r="9049" spans="1:15" ht="15" customHeight="1" x14ac:dyDescent="0.25">
      <c r="A9049" s="3"/>
      <c r="B9049" s="3"/>
      <c r="C9049" s="3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</row>
    <row r="9050" spans="1:15" ht="15" customHeight="1" x14ac:dyDescent="0.25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</row>
    <row r="9051" spans="1:15" ht="15" customHeight="1" x14ac:dyDescent="0.25">
      <c r="A9051" s="3"/>
      <c r="B9051" s="3"/>
      <c r="C9051" s="3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</row>
    <row r="9052" spans="1:15" ht="15" customHeight="1" x14ac:dyDescent="0.25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</row>
    <row r="9053" spans="1:15" ht="15" customHeight="1" x14ac:dyDescent="0.25">
      <c r="A9053" s="3"/>
      <c r="B9053" s="3"/>
      <c r="C9053" s="3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</row>
    <row r="9054" spans="1:15" ht="15" customHeight="1" x14ac:dyDescent="0.25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</row>
    <row r="9055" spans="1:15" ht="15" customHeight="1" x14ac:dyDescent="0.25">
      <c r="A9055" s="3"/>
      <c r="B9055" s="3"/>
      <c r="C9055" s="3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</row>
    <row r="9056" spans="1:15" ht="15" customHeight="1" x14ac:dyDescent="0.25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</row>
    <row r="9057" spans="1:15" ht="15" customHeight="1" x14ac:dyDescent="0.25">
      <c r="A9057" s="3"/>
      <c r="B9057" s="3"/>
      <c r="C9057" s="3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</row>
    <row r="9058" spans="1:15" ht="15" customHeight="1" x14ac:dyDescent="0.25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</row>
    <row r="9059" spans="1:15" ht="15" customHeight="1" x14ac:dyDescent="0.25">
      <c r="A9059" s="3"/>
      <c r="B9059" s="3"/>
      <c r="C9059" s="3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</row>
    <row r="9060" spans="1:15" ht="15" customHeight="1" x14ac:dyDescent="0.25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</row>
    <row r="9061" spans="1:15" ht="15" customHeight="1" x14ac:dyDescent="0.25">
      <c r="A9061" s="3"/>
      <c r="B9061" s="3"/>
      <c r="C9061" s="3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</row>
    <row r="9062" spans="1:15" ht="15" customHeight="1" x14ac:dyDescent="0.25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</row>
    <row r="9063" spans="1:15" ht="15" customHeight="1" x14ac:dyDescent="0.25">
      <c r="A9063" s="3"/>
      <c r="B9063" s="3"/>
      <c r="C9063" s="3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</row>
    <row r="9064" spans="1:15" ht="15" customHeight="1" x14ac:dyDescent="0.25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</row>
    <row r="9065" spans="1:15" ht="15" customHeight="1" x14ac:dyDescent="0.25">
      <c r="A9065" s="3"/>
      <c r="B9065" s="3"/>
      <c r="C9065" s="3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</row>
    <row r="9066" spans="1:15" ht="15" customHeight="1" x14ac:dyDescent="0.25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</row>
    <row r="9067" spans="1:15" ht="15" customHeight="1" x14ac:dyDescent="0.25">
      <c r="A9067" s="3"/>
      <c r="B9067" s="3"/>
      <c r="C9067" s="3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</row>
    <row r="9068" spans="1:15" ht="15" customHeight="1" x14ac:dyDescent="0.25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</row>
    <row r="9069" spans="1:15" ht="15" customHeight="1" x14ac:dyDescent="0.25">
      <c r="A9069" s="3"/>
      <c r="B9069" s="3"/>
      <c r="C9069" s="3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</row>
    <row r="9070" spans="1:15" ht="15" customHeight="1" x14ac:dyDescent="0.25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</row>
    <row r="9071" spans="1:15" ht="15" customHeight="1" x14ac:dyDescent="0.25">
      <c r="A9071" s="3"/>
      <c r="B9071" s="3"/>
      <c r="C9071" s="3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</row>
    <row r="9072" spans="1:15" ht="15" customHeight="1" x14ac:dyDescent="0.25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</row>
    <row r="9073" spans="1:15" ht="15" customHeight="1" x14ac:dyDescent="0.25">
      <c r="A9073" s="3"/>
      <c r="B9073" s="3"/>
      <c r="C9073" s="3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</row>
    <row r="9074" spans="1:15" ht="15" customHeight="1" x14ac:dyDescent="0.25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</row>
    <row r="9075" spans="1:15" ht="15" customHeight="1" x14ac:dyDescent="0.25">
      <c r="A9075" s="3"/>
      <c r="B9075" s="3"/>
      <c r="C9075" s="3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</row>
    <row r="9076" spans="1:15" ht="15" customHeight="1" x14ac:dyDescent="0.25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</row>
    <row r="9077" spans="1:15" ht="15" customHeight="1" x14ac:dyDescent="0.25">
      <c r="A9077" s="3"/>
      <c r="B9077" s="3"/>
      <c r="C9077" s="3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</row>
    <row r="9078" spans="1:15" ht="15" customHeight="1" x14ac:dyDescent="0.25">
      <c r="A9078" s="2"/>
      <c r="B9078" s="2"/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</row>
    <row r="9079" spans="1:15" ht="15" customHeight="1" x14ac:dyDescent="0.25">
      <c r="A9079" s="3"/>
      <c r="B9079" s="3"/>
      <c r="C9079" s="3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</row>
    <row r="9080" spans="1:15" ht="15" customHeight="1" x14ac:dyDescent="0.25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</row>
    <row r="9081" spans="1:15" ht="15" customHeight="1" x14ac:dyDescent="0.25">
      <c r="A9081" s="3"/>
      <c r="B9081" s="3"/>
      <c r="C9081" s="3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</row>
    <row r="9082" spans="1:15" ht="15" customHeight="1" x14ac:dyDescent="0.25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</row>
    <row r="9083" spans="1:15" ht="15" customHeight="1" x14ac:dyDescent="0.25">
      <c r="A9083" s="3"/>
      <c r="B9083" s="3"/>
      <c r="C9083" s="3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</row>
    <row r="9084" spans="1:15" ht="15" customHeight="1" x14ac:dyDescent="0.25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</row>
    <row r="9085" spans="1:15" ht="15" customHeight="1" x14ac:dyDescent="0.25">
      <c r="A9085" s="3"/>
      <c r="B9085" s="3"/>
      <c r="C9085" s="3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</row>
    <row r="9086" spans="1:15" ht="15" customHeight="1" x14ac:dyDescent="0.25">
      <c r="A9086" s="2"/>
      <c r="B9086" s="2"/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</row>
    <row r="9087" spans="1:15" ht="15" customHeight="1" x14ac:dyDescent="0.25">
      <c r="A9087" s="3"/>
      <c r="B9087" s="3"/>
      <c r="C9087" s="3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</row>
    <row r="9088" spans="1:15" ht="15" customHeight="1" x14ac:dyDescent="0.25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</row>
    <row r="9089" spans="1:15" ht="15" customHeight="1" x14ac:dyDescent="0.25">
      <c r="A9089" s="3"/>
      <c r="B9089" s="3"/>
      <c r="C9089" s="3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</row>
    <row r="9090" spans="1:15" ht="15" customHeight="1" x14ac:dyDescent="0.25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</row>
    <row r="9091" spans="1:15" ht="15" customHeight="1" x14ac:dyDescent="0.25">
      <c r="A9091" s="3"/>
      <c r="B9091" s="3"/>
      <c r="C9091" s="3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</row>
    <row r="9092" spans="1:15" ht="15" customHeight="1" x14ac:dyDescent="0.25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</row>
    <row r="9093" spans="1:15" ht="15" customHeight="1" x14ac:dyDescent="0.25">
      <c r="A9093" s="3"/>
      <c r="B9093" s="3"/>
      <c r="C9093" s="3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</row>
    <row r="9094" spans="1:15" ht="15" customHeight="1" x14ac:dyDescent="0.25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</row>
    <row r="9095" spans="1:15" ht="15" customHeight="1" x14ac:dyDescent="0.25">
      <c r="A9095" s="3"/>
      <c r="B9095" s="3"/>
      <c r="C9095" s="3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</row>
    <row r="9096" spans="1:15" ht="15" customHeight="1" x14ac:dyDescent="0.25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</row>
    <row r="9097" spans="1:15" ht="15" customHeight="1" x14ac:dyDescent="0.25">
      <c r="A9097" s="3"/>
      <c r="B9097" s="3"/>
      <c r="C9097" s="3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</row>
    <row r="9098" spans="1:15" ht="15" customHeight="1" x14ac:dyDescent="0.25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</row>
    <row r="9099" spans="1:15" ht="15" customHeight="1" x14ac:dyDescent="0.25">
      <c r="A9099" s="3"/>
      <c r="B9099" s="3"/>
      <c r="C9099" s="3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</row>
    <row r="9100" spans="1:15" ht="15" customHeight="1" x14ac:dyDescent="0.25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</row>
    <row r="9101" spans="1:15" ht="15" customHeight="1" x14ac:dyDescent="0.25">
      <c r="A9101" s="3"/>
      <c r="B9101" s="3"/>
      <c r="C9101" s="3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</row>
    <row r="9102" spans="1:15" ht="15" customHeight="1" x14ac:dyDescent="0.25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</row>
    <row r="9103" spans="1:15" ht="15" customHeight="1" x14ac:dyDescent="0.25">
      <c r="A9103" s="3"/>
      <c r="B9103" s="3"/>
      <c r="C9103" s="3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</row>
    <row r="9104" spans="1:15" ht="15" customHeight="1" x14ac:dyDescent="0.25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</row>
    <row r="9105" spans="1:15" ht="15" customHeight="1" x14ac:dyDescent="0.25">
      <c r="A9105" s="3"/>
      <c r="B9105" s="3"/>
      <c r="C9105" s="3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</row>
    <row r="9106" spans="1:15" ht="15" customHeight="1" x14ac:dyDescent="0.25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</row>
    <row r="9107" spans="1:15" ht="15" customHeight="1" x14ac:dyDescent="0.25">
      <c r="A9107" s="3"/>
      <c r="B9107" s="3"/>
      <c r="C9107" s="3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</row>
    <row r="9108" spans="1:15" ht="15" customHeight="1" x14ac:dyDescent="0.25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</row>
    <row r="9109" spans="1:15" ht="15" customHeight="1" x14ac:dyDescent="0.25">
      <c r="A9109" s="3"/>
      <c r="B9109" s="3"/>
      <c r="C9109" s="3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</row>
    <row r="9110" spans="1:15" ht="15" customHeight="1" x14ac:dyDescent="0.25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</row>
    <row r="9111" spans="1:15" ht="15" customHeight="1" x14ac:dyDescent="0.25">
      <c r="A9111" s="3"/>
      <c r="B9111" s="3"/>
      <c r="C9111" s="3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</row>
    <row r="9112" spans="1:15" ht="15" customHeight="1" x14ac:dyDescent="0.25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</row>
    <row r="9113" spans="1:15" ht="15" customHeight="1" x14ac:dyDescent="0.25">
      <c r="A9113" s="3"/>
      <c r="B9113" s="3"/>
      <c r="C9113" s="3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</row>
    <row r="9114" spans="1:15" ht="15" customHeight="1" x14ac:dyDescent="0.25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</row>
    <row r="9115" spans="1:15" ht="15" customHeight="1" x14ac:dyDescent="0.25">
      <c r="A9115" s="3"/>
      <c r="B9115" s="3"/>
      <c r="C9115" s="3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</row>
    <row r="9116" spans="1:15" ht="15" customHeight="1" x14ac:dyDescent="0.25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</row>
    <row r="9117" spans="1:15" ht="15" customHeight="1" x14ac:dyDescent="0.25">
      <c r="A9117" s="3"/>
      <c r="B9117" s="3"/>
      <c r="C9117" s="3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</row>
    <row r="9118" spans="1:15" ht="15" customHeight="1" x14ac:dyDescent="0.25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</row>
    <row r="9119" spans="1:15" ht="15" customHeight="1" x14ac:dyDescent="0.25">
      <c r="A9119" s="3"/>
      <c r="B9119" s="3"/>
      <c r="C9119" s="3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</row>
    <row r="9120" spans="1:15" ht="15" customHeight="1" x14ac:dyDescent="0.25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</row>
    <row r="9121" spans="1:15" ht="15" customHeight="1" x14ac:dyDescent="0.25">
      <c r="A9121" s="3"/>
      <c r="B9121" s="3"/>
      <c r="C9121" s="3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</row>
    <row r="9122" spans="1:15" ht="15" customHeight="1" x14ac:dyDescent="0.25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</row>
    <row r="9123" spans="1:15" ht="15" customHeight="1" x14ac:dyDescent="0.25">
      <c r="A9123" s="3"/>
      <c r="B9123" s="3"/>
      <c r="C9123" s="3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</row>
    <row r="9124" spans="1:15" ht="15" customHeight="1" x14ac:dyDescent="0.25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</row>
    <row r="9125" spans="1:15" ht="15" customHeight="1" x14ac:dyDescent="0.25">
      <c r="A9125" s="3"/>
      <c r="B9125" s="3"/>
      <c r="C9125" s="3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</row>
    <row r="9126" spans="1:15" ht="15" customHeight="1" x14ac:dyDescent="0.25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</row>
    <row r="9127" spans="1:15" ht="15" customHeight="1" x14ac:dyDescent="0.25">
      <c r="A9127" s="3"/>
      <c r="B9127" s="3"/>
      <c r="C9127" s="3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</row>
    <row r="9128" spans="1:15" ht="15" customHeight="1" x14ac:dyDescent="0.25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</row>
    <row r="9129" spans="1:15" ht="15" customHeight="1" x14ac:dyDescent="0.25">
      <c r="A9129" s="3"/>
      <c r="B9129" s="3"/>
      <c r="C9129" s="3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</row>
    <row r="9130" spans="1:15" ht="15" customHeight="1" x14ac:dyDescent="0.25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</row>
    <row r="9131" spans="1:15" ht="15" customHeight="1" x14ac:dyDescent="0.25">
      <c r="A9131" s="3"/>
      <c r="B9131" s="3"/>
      <c r="C9131" s="3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</row>
    <row r="9132" spans="1:15" ht="15" customHeight="1" x14ac:dyDescent="0.25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</row>
    <row r="9133" spans="1:15" ht="15" customHeight="1" x14ac:dyDescent="0.25">
      <c r="A9133" s="3"/>
      <c r="B9133" s="3"/>
      <c r="C9133" s="3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</row>
    <row r="9134" spans="1:15" ht="15" customHeight="1" x14ac:dyDescent="0.25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</row>
    <row r="9135" spans="1:15" ht="15" customHeight="1" x14ac:dyDescent="0.25">
      <c r="A9135" s="3"/>
      <c r="B9135" s="3"/>
      <c r="C9135" s="3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</row>
    <row r="9136" spans="1:15" ht="15" customHeight="1" x14ac:dyDescent="0.25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</row>
    <row r="9137" spans="1:15" ht="15" customHeight="1" x14ac:dyDescent="0.25">
      <c r="A9137" s="3"/>
      <c r="B9137" s="3"/>
      <c r="C9137" s="3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</row>
    <row r="9138" spans="1:15" ht="15" customHeight="1" x14ac:dyDescent="0.25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</row>
    <row r="9139" spans="1:15" ht="15" customHeight="1" x14ac:dyDescent="0.25">
      <c r="A9139" s="3"/>
      <c r="B9139" s="3"/>
      <c r="C9139" s="3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</row>
    <row r="9140" spans="1:15" ht="15" customHeight="1" x14ac:dyDescent="0.25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</row>
    <row r="9141" spans="1:15" ht="15" customHeight="1" x14ac:dyDescent="0.25">
      <c r="A9141" s="3"/>
      <c r="B9141" s="3"/>
      <c r="C9141" s="3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</row>
    <row r="9142" spans="1:15" ht="15" customHeight="1" x14ac:dyDescent="0.25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</row>
    <row r="9143" spans="1:15" ht="15" customHeight="1" x14ac:dyDescent="0.25">
      <c r="A9143" s="3"/>
      <c r="B9143" s="3"/>
      <c r="C9143" s="3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</row>
    <row r="9144" spans="1:15" ht="15" customHeight="1" x14ac:dyDescent="0.25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</row>
    <row r="9145" spans="1:15" ht="15" customHeight="1" x14ac:dyDescent="0.25">
      <c r="A9145" s="3"/>
      <c r="B9145" s="3"/>
      <c r="C9145" s="3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</row>
    <row r="9146" spans="1:15" ht="15" customHeight="1" x14ac:dyDescent="0.25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</row>
    <row r="9147" spans="1:15" ht="15" customHeight="1" x14ac:dyDescent="0.25">
      <c r="A9147" s="3"/>
      <c r="B9147" s="3"/>
      <c r="C9147" s="3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</row>
    <row r="9148" spans="1:15" ht="15" customHeight="1" x14ac:dyDescent="0.25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</row>
    <row r="9149" spans="1:15" ht="15" customHeight="1" x14ac:dyDescent="0.25">
      <c r="A9149" s="3"/>
      <c r="B9149" s="3"/>
      <c r="C9149" s="3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</row>
    <row r="9150" spans="1:15" ht="15" customHeight="1" x14ac:dyDescent="0.25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</row>
    <row r="9151" spans="1:15" ht="15" customHeight="1" x14ac:dyDescent="0.25">
      <c r="A9151" s="3"/>
      <c r="B9151" s="3"/>
      <c r="C9151" s="3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</row>
    <row r="9152" spans="1:15" ht="15" customHeight="1" x14ac:dyDescent="0.25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</row>
    <row r="9153" spans="1:15" ht="15" customHeight="1" x14ac:dyDescent="0.25">
      <c r="A9153" s="3"/>
      <c r="B9153" s="3"/>
      <c r="C9153" s="3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</row>
    <row r="9154" spans="1:15" ht="15" customHeight="1" x14ac:dyDescent="0.25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</row>
    <row r="9155" spans="1:15" ht="15" customHeight="1" x14ac:dyDescent="0.25">
      <c r="A9155" s="3"/>
      <c r="B9155" s="3"/>
      <c r="C9155" s="3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</row>
    <row r="9156" spans="1:15" ht="15" customHeight="1" x14ac:dyDescent="0.25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</row>
    <row r="9157" spans="1:15" ht="15" customHeight="1" x14ac:dyDescent="0.25">
      <c r="A9157" s="3"/>
      <c r="B9157" s="3"/>
      <c r="C9157" s="3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</row>
    <row r="9158" spans="1:15" ht="15" customHeight="1" x14ac:dyDescent="0.25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</row>
    <row r="9159" spans="1:15" ht="15" customHeight="1" x14ac:dyDescent="0.25">
      <c r="A9159" s="3"/>
      <c r="B9159" s="3"/>
      <c r="C9159" s="3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</row>
    <row r="9160" spans="1:15" ht="15" customHeight="1" x14ac:dyDescent="0.25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</row>
    <row r="9161" spans="1:15" ht="15" customHeight="1" x14ac:dyDescent="0.25">
      <c r="A9161" s="3"/>
      <c r="B9161" s="3"/>
      <c r="C9161" s="3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</row>
    <row r="9162" spans="1:15" ht="15" customHeight="1" x14ac:dyDescent="0.25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</row>
    <row r="9163" spans="1:15" ht="15" customHeight="1" x14ac:dyDescent="0.25">
      <c r="A9163" s="3"/>
      <c r="B9163" s="3"/>
      <c r="C9163" s="3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</row>
    <row r="9164" spans="1:15" ht="15" customHeight="1" x14ac:dyDescent="0.25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</row>
    <row r="9165" spans="1:15" ht="15" customHeight="1" x14ac:dyDescent="0.25">
      <c r="A9165" s="3"/>
      <c r="B9165" s="3"/>
      <c r="C9165" s="3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</row>
    <row r="9166" spans="1:15" ht="15" customHeight="1" x14ac:dyDescent="0.25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</row>
    <row r="9167" spans="1:15" ht="15" customHeight="1" x14ac:dyDescent="0.25">
      <c r="A9167" s="3"/>
      <c r="B9167" s="3"/>
      <c r="C9167" s="3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</row>
    <row r="9168" spans="1:15" ht="15" customHeight="1" x14ac:dyDescent="0.25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</row>
    <row r="9169" spans="1:15" ht="15" customHeight="1" x14ac:dyDescent="0.25">
      <c r="A9169" s="3"/>
      <c r="B9169" s="3"/>
      <c r="C9169" s="3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</row>
    <row r="9170" spans="1:15" ht="15" customHeight="1" x14ac:dyDescent="0.25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</row>
    <row r="9171" spans="1:15" ht="15" customHeight="1" x14ac:dyDescent="0.25">
      <c r="A9171" s="3"/>
      <c r="B9171" s="3"/>
      <c r="C9171" s="3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</row>
    <row r="9172" spans="1:15" ht="15" customHeight="1" x14ac:dyDescent="0.25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</row>
    <row r="9173" spans="1:15" ht="15" customHeight="1" x14ac:dyDescent="0.25">
      <c r="A9173" s="3"/>
      <c r="B9173" s="3"/>
      <c r="C9173" s="3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</row>
    <row r="9174" spans="1:15" ht="15" customHeight="1" x14ac:dyDescent="0.25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</row>
    <row r="9175" spans="1:15" ht="15" customHeight="1" x14ac:dyDescent="0.25">
      <c r="A9175" s="3"/>
      <c r="B9175" s="3"/>
      <c r="C9175" s="3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</row>
    <row r="9176" spans="1:15" ht="15" customHeight="1" x14ac:dyDescent="0.25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</row>
    <row r="9177" spans="1:15" ht="15" customHeight="1" x14ac:dyDescent="0.25">
      <c r="A9177" s="3"/>
      <c r="B9177" s="3"/>
      <c r="C9177" s="3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</row>
    <row r="9178" spans="1:15" ht="15" customHeight="1" x14ac:dyDescent="0.25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</row>
    <row r="9179" spans="1:15" ht="15" customHeight="1" x14ac:dyDescent="0.25">
      <c r="A9179" s="3"/>
      <c r="B9179" s="3"/>
      <c r="C9179" s="3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</row>
    <row r="9180" spans="1:15" ht="15" customHeight="1" x14ac:dyDescent="0.25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</row>
    <row r="9181" spans="1:15" ht="15" customHeight="1" x14ac:dyDescent="0.25">
      <c r="A9181" s="3"/>
      <c r="B9181" s="3"/>
      <c r="C9181" s="3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</row>
    <row r="9182" spans="1:15" ht="15" customHeight="1" x14ac:dyDescent="0.25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</row>
    <row r="9183" spans="1:15" ht="15" customHeight="1" x14ac:dyDescent="0.25">
      <c r="A9183" s="3"/>
      <c r="B9183" s="3"/>
      <c r="C9183" s="3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</row>
    <row r="9184" spans="1:15" ht="15" customHeight="1" x14ac:dyDescent="0.25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</row>
    <row r="9185" spans="1:15" ht="15" customHeight="1" x14ac:dyDescent="0.25">
      <c r="A9185" s="3"/>
      <c r="B9185" s="3"/>
      <c r="C9185" s="3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</row>
    <row r="9186" spans="1:15" ht="15" customHeight="1" x14ac:dyDescent="0.25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</row>
    <row r="9187" spans="1:15" ht="15" customHeight="1" x14ac:dyDescent="0.25">
      <c r="A9187" s="3"/>
      <c r="B9187" s="3"/>
      <c r="C9187" s="3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</row>
    <row r="9188" spans="1:15" ht="15" customHeight="1" x14ac:dyDescent="0.25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</row>
    <row r="9189" spans="1:15" ht="15" customHeight="1" x14ac:dyDescent="0.25">
      <c r="A9189" s="3"/>
      <c r="B9189" s="3"/>
      <c r="C9189" s="3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</row>
    <row r="9190" spans="1:15" ht="15" customHeight="1" x14ac:dyDescent="0.25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</row>
    <row r="9191" spans="1:15" ht="15" customHeight="1" x14ac:dyDescent="0.25">
      <c r="A9191" s="3"/>
      <c r="B9191" s="3"/>
      <c r="C9191" s="3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</row>
    <row r="9192" spans="1:15" ht="15" customHeight="1" x14ac:dyDescent="0.25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</row>
    <row r="9193" spans="1:15" ht="15" customHeight="1" x14ac:dyDescent="0.25">
      <c r="A9193" s="3"/>
      <c r="B9193" s="3"/>
      <c r="C9193" s="3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</row>
    <row r="9194" spans="1:15" ht="15" customHeight="1" x14ac:dyDescent="0.25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</row>
    <row r="9195" spans="1:15" ht="15" customHeight="1" x14ac:dyDescent="0.25">
      <c r="A9195" s="3"/>
      <c r="B9195" s="3"/>
      <c r="C9195" s="3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</row>
    <row r="9196" spans="1:15" ht="15" customHeight="1" x14ac:dyDescent="0.25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</row>
    <row r="9197" spans="1:15" ht="15" customHeight="1" x14ac:dyDescent="0.25">
      <c r="A9197" s="3"/>
      <c r="B9197" s="3"/>
      <c r="C9197" s="3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</row>
    <row r="9198" spans="1:15" ht="15" customHeight="1" x14ac:dyDescent="0.25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</row>
    <row r="9199" spans="1:15" ht="15" customHeight="1" x14ac:dyDescent="0.25">
      <c r="A9199" s="3"/>
      <c r="B9199" s="3"/>
      <c r="C9199" s="3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</row>
    <row r="9200" spans="1:15" ht="15" customHeight="1" x14ac:dyDescent="0.25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</row>
    <row r="9201" spans="1:15" ht="15" customHeight="1" x14ac:dyDescent="0.25">
      <c r="A9201" s="3"/>
      <c r="B9201" s="3"/>
      <c r="C9201" s="3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</row>
    <row r="9202" spans="1:15" ht="15" customHeight="1" x14ac:dyDescent="0.25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</row>
    <row r="9203" spans="1:15" ht="15" customHeight="1" x14ac:dyDescent="0.25">
      <c r="A9203" s="3"/>
      <c r="B9203" s="3"/>
      <c r="C9203" s="3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</row>
    <row r="9204" spans="1:15" ht="15" customHeight="1" x14ac:dyDescent="0.25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</row>
    <row r="9205" spans="1:15" ht="15" customHeight="1" x14ac:dyDescent="0.25">
      <c r="A9205" s="3"/>
      <c r="B9205" s="3"/>
      <c r="C9205" s="3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</row>
    <row r="9206" spans="1:15" ht="15" customHeight="1" x14ac:dyDescent="0.25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</row>
    <row r="9207" spans="1:15" ht="15" customHeight="1" x14ac:dyDescent="0.25">
      <c r="A9207" s="3"/>
      <c r="B9207" s="3"/>
      <c r="C9207" s="3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</row>
    <row r="9208" spans="1:15" ht="15" customHeight="1" x14ac:dyDescent="0.25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</row>
    <row r="9209" spans="1:15" ht="15" customHeight="1" x14ac:dyDescent="0.25">
      <c r="A9209" s="3"/>
      <c r="B9209" s="3"/>
      <c r="C9209" s="3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</row>
    <row r="9210" spans="1:15" ht="15" customHeight="1" x14ac:dyDescent="0.25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</row>
    <row r="9211" spans="1:15" ht="15" customHeight="1" x14ac:dyDescent="0.25">
      <c r="A9211" s="3"/>
      <c r="B9211" s="3"/>
      <c r="C9211" s="3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</row>
    <row r="9212" spans="1:15" ht="15" customHeight="1" x14ac:dyDescent="0.25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</row>
    <row r="9213" spans="1:15" ht="15" customHeight="1" x14ac:dyDescent="0.25">
      <c r="A9213" s="3"/>
      <c r="B9213" s="3"/>
      <c r="C9213" s="3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</row>
    <row r="9214" spans="1:15" ht="15" customHeight="1" x14ac:dyDescent="0.25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</row>
    <row r="9215" spans="1:15" ht="15" customHeight="1" x14ac:dyDescent="0.25">
      <c r="A9215" s="3"/>
      <c r="B9215" s="3"/>
      <c r="C9215" s="3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</row>
    <row r="9216" spans="1:15" ht="15" customHeight="1" x14ac:dyDescent="0.25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</row>
    <row r="9217" spans="1:15" ht="15" customHeight="1" x14ac:dyDescent="0.25">
      <c r="A9217" s="3"/>
      <c r="B9217" s="3"/>
      <c r="C9217" s="3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</row>
    <row r="9218" spans="1:15" ht="15" customHeight="1" x14ac:dyDescent="0.25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</row>
    <row r="9219" spans="1:15" ht="15" customHeight="1" x14ac:dyDescent="0.25">
      <c r="A9219" s="3"/>
      <c r="B9219" s="3"/>
      <c r="C9219" s="3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</row>
    <row r="9220" spans="1:15" ht="15" customHeight="1" x14ac:dyDescent="0.25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</row>
    <row r="9221" spans="1:15" ht="15" customHeight="1" x14ac:dyDescent="0.25">
      <c r="A9221" s="3"/>
      <c r="B9221" s="3"/>
      <c r="C9221" s="3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</row>
    <row r="9222" spans="1:15" ht="15" customHeight="1" x14ac:dyDescent="0.25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</row>
    <row r="9223" spans="1:15" ht="15" customHeight="1" x14ac:dyDescent="0.25">
      <c r="A9223" s="3"/>
      <c r="B9223" s="3"/>
      <c r="C9223" s="3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</row>
    <row r="9224" spans="1:15" ht="15" customHeight="1" x14ac:dyDescent="0.25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</row>
    <row r="9225" spans="1:15" ht="15" customHeight="1" x14ac:dyDescent="0.25">
      <c r="A9225" s="3"/>
      <c r="B9225" s="3"/>
      <c r="C9225" s="3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</row>
    <row r="9226" spans="1:15" ht="15" customHeight="1" x14ac:dyDescent="0.25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</row>
    <row r="9227" spans="1:15" ht="15" customHeight="1" x14ac:dyDescent="0.25">
      <c r="A9227" s="3"/>
      <c r="B9227" s="3"/>
      <c r="C9227" s="3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</row>
    <row r="9228" spans="1:15" ht="15" customHeight="1" x14ac:dyDescent="0.25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</row>
    <row r="9229" spans="1:15" ht="15" customHeight="1" x14ac:dyDescent="0.25">
      <c r="A9229" s="3"/>
      <c r="B9229" s="3"/>
      <c r="C9229" s="3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</row>
    <row r="9230" spans="1:15" ht="15" customHeight="1" x14ac:dyDescent="0.25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</row>
    <row r="9231" spans="1:15" ht="15" customHeight="1" x14ac:dyDescent="0.25">
      <c r="A9231" s="3"/>
      <c r="B9231" s="3"/>
      <c r="C9231" s="3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</row>
    <row r="9232" spans="1:15" ht="15" customHeight="1" x14ac:dyDescent="0.25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</row>
    <row r="9233" spans="1:15" ht="15" customHeight="1" x14ac:dyDescent="0.25">
      <c r="A9233" s="3"/>
      <c r="B9233" s="3"/>
      <c r="C9233" s="3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</row>
    <row r="9234" spans="1:15" ht="15" customHeight="1" x14ac:dyDescent="0.25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</row>
    <row r="9235" spans="1:15" ht="15" customHeight="1" x14ac:dyDescent="0.25">
      <c r="A9235" s="3"/>
      <c r="B9235" s="3"/>
      <c r="C9235" s="3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</row>
    <row r="9236" spans="1:15" ht="15" customHeight="1" x14ac:dyDescent="0.25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</row>
    <row r="9237" spans="1:15" ht="15" customHeight="1" x14ac:dyDescent="0.25">
      <c r="A9237" s="3"/>
      <c r="B9237" s="3"/>
      <c r="C9237" s="3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</row>
    <row r="9238" spans="1:15" ht="15" customHeight="1" x14ac:dyDescent="0.25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</row>
    <row r="9239" spans="1:15" ht="15" customHeight="1" x14ac:dyDescent="0.25">
      <c r="A9239" s="3"/>
      <c r="B9239" s="3"/>
      <c r="C9239" s="3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</row>
    <row r="9240" spans="1:15" ht="15" customHeight="1" x14ac:dyDescent="0.25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</row>
    <row r="9241" spans="1:15" ht="15" customHeight="1" x14ac:dyDescent="0.25">
      <c r="A9241" s="3"/>
      <c r="B9241" s="3"/>
      <c r="C9241" s="3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</row>
    <row r="9242" spans="1:15" ht="15" customHeight="1" x14ac:dyDescent="0.25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</row>
    <row r="9243" spans="1:15" ht="15" customHeight="1" x14ac:dyDescent="0.25">
      <c r="A9243" s="3"/>
      <c r="B9243" s="3"/>
      <c r="C9243" s="3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</row>
    <row r="9244" spans="1:15" ht="15" customHeight="1" x14ac:dyDescent="0.25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</row>
    <row r="9245" spans="1:15" ht="15" customHeight="1" x14ac:dyDescent="0.25">
      <c r="A9245" s="3"/>
      <c r="B9245" s="3"/>
      <c r="C9245" s="3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</row>
    <row r="9246" spans="1:15" ht="15" customHeight="1" x14ac:dyDescent="0.25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</row>
    <row r="9247" spans="1:15" ht="15" customHeight="1" x14ac:dyDescent="0.25">
      <c r="A9247" s="3"/>
      <c r="B9247" s="3"/>
      <c r="C9247" s="3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</row>
    <row r="9248" spans="1:15" ht="15" customHeight="1" x14ac:dyDescent="0.25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</row>
    <row r="9249" spans="1:15" ht="15" customHeight="1" x14ac:dyDescent="0.25">
      <c r="A9249" s="3"/>
      <c r="B9249" s="3"/>
      <c r="C9249" s="3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</row>
    <row r="9250" spans="1:15" ht="15" customHeight="1" x14ac:dyDescent="0.25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</row>
    <row r="9251" spans="1:15" ht="15" customHeight="1" x14ac:dyDescent="0.25">
      <c r="A9251" s="3"/>
      <c r="B9251" s="3"/>
      <c r="C9251" s="3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</row>
    <row r="9252" spans="1:15" ht="15" customHeight="1" x14ac:dyDescent="0.25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</row>
    <row r="9253" spans="1:15" ht="15" customHeight="1" x14ac:dyDescent="0.25">
      <c r="A9253" s="3"/>
      <c r="B9253" s="3"/>
      <c r="C9253" s="3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</row>
    <row r="9254" spans="1:15" ht="15" customHeight="1" x14ac:dyDescent="0.25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</row>
    <row r="9255" spans="1:15" ht="15" customHeight="1" x14ac:dyDescent="0.25">
      <c r="A9255" s="3"/>
      <c r="B9255" s="3"/>
      <c r="C9255" s="3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</row>
    <row r="9256" spans="1:15" ht="15" customHeight="1" x14ac:dyDescent="0.25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</row>
    <row r="9257" spans="1:15" ht="15" customHeight="1" x14ac:dyDescent="0.25">
      <c r="A9257" s="3"/>
      <c r="B9257" s="3"/>
      <c r="C9257" s="3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</row>
    <row r="9258" spans="1:15" ht="15" customHeight="1" x14ac:dyDescent="0.25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</row>
    <row r="9259" spans="1:15" ht="15" customHeight="1" x14ac:dyDescent="0.25">
      <c r="A9259" s="3"/>
      <c r="B9259" s="3"/>
      <c r="C9259" s="3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</row>
    <row r="9260" spans="1:15" ht="15" customHeight="1" x14ac:dyDescent="0.25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</row>
    <row r="9261" spans="1:15" ht="15" customHeight="1" x14ac:dyDescent="0.25">
      <c r="A9261" s="3"/>
      <c r="B9261" s="3"/>
      <c r="C9261" s="3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</row>
    <row r="9262" spans="1:15" ht="15" customHeight="1" x14ac:dyDescent="0.25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</row>
    <row r="9263" spans="1:15" ht="15" customHeight="1" x14ac:dyDescent="0.25">
      <c r="A9263" s="3"/>
      <c r="B9263" s="3"/>
      <c r="C9263" s="3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</row>
    <row r="9264" spans="1:15" ht="15" customHeight="1" x14ac:dyDescent="0.25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</row>
    <row r="9265" spans="1:15" ht="15" customHeight="1" x14ac:dyDescent="0.25">
      <c r="A9265" s="3"/>
      <c r="B9265" s="3"/>
      <c r="C9265" s="3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</row>
    <row r="9266" spans="1:15" ht="15" customHeight="1" x14ac:dyDescent="0.25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</row>
    <row r="9267" spans="1:15" ht="15" customHeight="1" x14ac:dyDescent="0.25">
      <c r="A9267" s="3"/>
      <c r="B9267" s="3"/>
      <c r="C9267" s="3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</row>
    <row r="9268" spans="1:15" ht="15" customHeight="1" x14ac:dyDescent="0.25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</row>
    <row r="9269" spans="1:15" ht="15" customHeight="1" x14ac:dyDescent="0.25">
      <c r="A9269" s="3"/>
      <c r="B9269" s="3"/>
      <c r="C9269" s="3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</row>
    <row r="9270" spans="1:15" ht="15" customHeight="1" x14ac:dyDescent="0.25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</row>
    <row r="9271" spans="1:15" ht="15" customHeight="1" x14ac:dyDescent="0.25">
      <c r="A9271" s="3"/>
      <c r="B9271" s="3"/>
      <c r="C9271" s="3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</row>
    <row r="9272" spans="1:15" ht="15" customHeight="1" x14ac:dyDescent="0.25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</row>
    <row r="9273" spans="1:15" ht="15" customHeight="1" x14ac:dyDescent="0.25">
      <c r="A9273" s="3"/>
      <c r="B9273" s="3"/>
      <c r="C9273" s="3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</row>
    <row r="9274" spans="1:15" ht="15" customHeight="1" x14ac:dyDescent="0.25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</row>
    <row r="9275" spans="1:15" ht="15" customHeight="1" x14ac:dyDescent="0.25">
      <c r="A9275" s="3"/>
      <c r="B9275" s="3"/>
      <c r="C9275" s="3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</row>
    <row r="9276" spans="1:15" ht="15" customHeight="1" x14ac:dyDescent="0.25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</row>
    <row r="9277" spans="1:15" ht="15" customHeight="1" x14ac:dyDescent="0.25">
      <c r="A9277" s="3"/>
      <c r="B9277" s="3"/>
      <c r="C9277" s="3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</row>
    <row r="9278" spans="1:15" ht="15" customHeight="1" x14ac:dyDescent="0.25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</row>
    <row r="9279" spans="1:15" ht="15" customHeight="1" x14ac:dyDescent="0.25">
      <c r="A9279" s="3"/>
      <c r="B9279" s="3"/>
      <c r="C9279" s="3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</row>
    <row r="9280" spans="1:15" ht="15" customHeight="1" x14ac:dyDescent="0.25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</row>
    <row r="9281" spans="1:15" ht="15" customHeight="1" x14ac:dyDescent="0.25">
      <c r="A9281" s="3"/>
      <c r="B9281" s="3"/>
      <c r="C9281" s="3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</row>
    <row r="9282" spans="1:15" ht="15" customHeight="1" x14ac:dyDescent="0.25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</row>
    <row r="9283" spans="1:15" ht="15" customHeight="1" x14ac:dyDescent="0.25">
      <c r="A9283" s="3"/>
      <c r="B9283" s="3"/>
      <c r="C9283" s="3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</row>
    <row r="9284" spans="1:15" ht="15" customHeight="1" x14ac:dyDescent="0.25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</row>
    <row r="9285" spans="1:15" ht="15" customHeight="1" x14ac:dyDescent="0.25">
      <c r="A9285" s="3"/>
      <c r="B9285" s="3"/>
      <c r="C9285" s="3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</row>
    <row r="9286" spans="1:15" ht="15" customHeight="1" x14ac:dyDescent="0.25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</row>
    <row r="9287" spans="1:15" ht="15" customHeight="1" x14ac:dyDescent="0.25">
      <c r="A9287" s="3"/>
      <c r="B9287" s="3"/>
      <c r="C9287" s="3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</row>
    <row r="9288" spans="1:15" ht="15" customHeight="1" x14ac:dyDescent="0.25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</row>
    <row r="9289" spans="1:15" ht="15" customHeight="1" x14ac:dyDescent="0.25">
      <c r="A9289" s="3"/>
      <c r="B9289" s="3"/>
      <c r="C9289" s="3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</row>
    <row r="9290" spans="1:15" ht="15" customHeight="1" x14ac:dyDescent="0.25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</row>
    <row r="9291" spans="1:15" ht="15" customHeight="1" x14ac:dyDescent="0.25">
      <c r="A9291" s="3"/>
      <c r="B9291" s="3"/>
      <c r="C9291" s="3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</row>
    <row r="9292" spans="1:15" ht="15" customHeight="1" x14ac:dyDescent="0.25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</row>
    <row r="9293" spans="1:15" ht="15" customHeight="1" x14ac:dyDescent="0.25">
      <c r="A9293" s="3"/>
      <c r="B9293" s="3"/>
      <c r="C9293" s="3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</row>
    <row r="9294" spans="1:15" ht="15" customHeight="1" x14ac:dyDescent="0.25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</row>
    <row r="9295" spans="1:15" ht="15" customHeight="1" x14ac:dyDescent="0.25">
      <c r="A9295" s="3"/>
      <c r="B9295" s="3"/>
      <c r="C9295" s="3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</row>
    <row r="9296" spans="1:15" ht="15" customHeight="1" x14ac:dyDescent="0.25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</row>
    <row r="9297" spans="1:15" ht="15" customHeight="1" x14ac:dyDescent="0.25">
      <c r="A9297" s="3"/>
      <c r="B9297" s="3"/>
      <c r="C9297" s="3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</row>
    <row r="9298" spans="1:15" ht="15" customHeight="1" x14ac:dyDescent="0.25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</row>
    <row r="9299" spans="1:15" ht="15" customHeight="1" x14ac:dyDescent="0.25">
      <c r="A9299" s="3"/>
      <c r="B9299" s="3"/>
      <c r="C9299" s="3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</row>
    <row r="9300" spans="1:15" ht="15" customHeight="1" x14ac:dyDescent="0.25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</row>
    <row r="9301" spans="1:15" ht="15" customHeight="1" x14ac:dyDescent="0.25">
      <c r="A9301" s="3"/>
      <c r="B9301" s="3"/>
      <c r="C9301" s="3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</row>
    <row r="9302" spans="1:15" ht="15" customHeight="1" x14ac:dyDescent="0.25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</row>
    <row r="9303" spans="1:15" ht="15" customHeight="1" x14ac:dyDescent="0.25">
      <c r="A9303" s="3"/>
      <c r="B9303" s="3"/>
      <c r="C9303" s="3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</row>
    <row r="9304" spans="1:15" ht="15" customHeight="1" x14ac:dyDescent="0.25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</row>
    <row r="9305" spans="1:15" ht="15" customHeight="1" x14ac:dyDescent="0.25">
      <c r="A9305" s="3"/>
      <c r="B9305" s="3"/>
      <c r="C9305" s="3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</row>
    <row r="9306" spans="1:15" ht="15" customHeight="1" x14ac:dyDescent="0.25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</row>
    <row r="9307" spans="1:15" ht="15" customHeight="1" x14ac:dyDescent="0.25">
      <c r="A9307" s="3"/>
      <c r="B9307" s="3"/>
      <c r="C9307" s="3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</row>
    <row r="9308" spans="1:15" ht="15" customHeight="1" x14ac:dyDescent="0.25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</row>
    <row r="9309" spans="1:15" ht="15" customHeight="1" x14ac:dyDescent="0.25">
      <c r="A9309" s="3"/>
      <c r="B9309" s="3"/>
      <c r="C9309" s="3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</row>
    <row r="9310" spans="1:15" ht="15" customHeight="1" x14ac:dyDescent="0.25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</row>
    <row r="9311" spans="1:15" ht="15" customHeight="1" x14ac:dyDescent="0.25">
      <c r="A9311" s="3"/>
      <c r="B9311" s="3"/>
      <c r="C9311" s="3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</row>
    <row r="9312" spans="1:15" ht="15" customHeight="1" x14ac:dyDescent="0.25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</row>
    <row r="9313" spans="1:15" ht="15" customHeight="1" x14ac:dyDescent="0.25">
      <c r="A9313" s="3"/>
      <c r="B9313" s="3"/>
      <c r="C9313" s="3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</row>
    <row r="9314" spans="1:15" ht="15" customHeight="1" x14ac:dyDescent="0.25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</row>
    <row r="9315" spans="1:15" ht="15" customHeight="1" x14ac:dyDescent="0.25">
      <c r="A9315" s="3"/>
      <c r="B9315" s="3"/>
      <c r="C9315" s="3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</row>
    <row r="9316" spans="1:15" ht="15" customHeight="1" x14ac:dyDescent="0.25">
      <c r="A9316" s="2"/>
      <c r="B9316" s="2"/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</row>
    <row r="9317" spans="1:15" ht="15" customHeight="1" x14ac:dyDescent="0.25">
      <c r="A9317" s="3"/>
      <c r="B9317" s="3"/>
      <c r="C9317" s="3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</row>
    <row r="9318" spans="1:15" ht="15" customHeight="1" x14ac:dyDescent="0.25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</row>
    <row r="9319" spans="1:15" ht="15" customHeight="1" x14ac:dyDescent="0.25">
      <c r="A9319" s="3"/>
      <c r="B9319" s="3"/>
      <c r="C9319" s="3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</row>
    <row r="9320" spans="1:15" ht="15" customHeight="1" x14ac:dyDescent="0.25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</row>
    <row r="9321" spans="1:15" ht="15" customHeight="1" x14ac:dyDescent="0.25">
      <c r="A9321" s="3"/>
      <c r="B9321" s="3"/>
      <c r="C9321" s="3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</row>
    <row r="9322" spans="1:15" ht="15" customHeight="1" x14ac:dyDescent="0.25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</row>
    <row r="9323" spans="1:15" ht="15" customHeight="1" x14ac:dyDescent="0.25">
      <c r="A9323" s="3"/>
      <c r="B9323" s="3"/>
      <c r="C9323" s="3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</row>
    <row r="9324" spans="1:15" ht="15" customHeight="1" x14ac:dyDescent="0.25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</row>
    <row r="9325" spans="1:15" ht="15" customHeight="1" x14ac:dyDescent="0.25">
      <c r="A9325" s="3"/>
      <c r="B9325" s="3"/>
      <c r="C9325" s="3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</row>
    <row r="9326" spans="1:15" ht="15" customHeight="1" x14ac:dyDescent="0.25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</row>
    <row r="9327" spans="1:15" ht="15" customHeight="1" x14ac:dyDescent="0.25">
      <c r="A9327" s="3"/>
      <c r="B9327" s="3"/>
      <c r="C9327" s="3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</row>
    <row r="9328" spans="1:15" ht="15" customHeight="1" x14ac:dyDescent="0.25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</row>
    <row r="9329" spans="1:15" ht="15" customHeight="1" x14ac:dyDescent="0.25">
      <c r="A9329" s="3"/>
      <c r="B9329" s="3"/>
      <c r="C9329" s="3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</row>
    <row r="9330" spans="1:15" ht="15" customHeight="1" x14ac:dyDescent="0.25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</row>
    <row r="9331" spans="1:15" ht="15" customHeight="1" x14ac:dyDescent="0.25">
      <c r="A9331" s="3"/>
      <c r="B9331" s="3"/>
      <c r="C9331" s="3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</row>
    <row r="9332" spans="1:15" ht="15" customHeight="1" x14ac:dyDescent="0.25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</row>
    <row r="9333" spans="1:15" ht="15" customHeight="1" x14ac:dyDescent="0.25">
      <c r="A9333" s="3"/>
      <c r="B9333" s="3"/>
      <c r="C9333" s="3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</row>
    <row r="9334" spans="1:15" ht="15" customHeight="1" x14ac:dyDescent="0.25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</row>
    <row r="9335" spans="1:15" ht="15" customHeight="1" x14ac:dyDescent="0.25">
      <c r="A9335" s="3"/>
      <c r="B9335" s="3"/>
      <c r="C9335" s="3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</row>
    <row r="9336" spans="1:15" ht="15" customHeight="1" x14ac:dyDescent="0.25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</row>
    <row r="9337" spans="1:15" ht="15" customHeight="1" x14ac:dyDescent="0.25">
      <c r="A9337" s="3"/>
      <c r="B9337" s="3"/>
      <c r="C9337" s="3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</row>
    <row r="9338" spans="1:15" ht="15" customHeight="1" x14ac:dyDescent="0.25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</row>
    <row r="9339" spans="1:15" ht="15" customHeight="1" x14ac:dyDescent="0.25">
      <c r="A9339" s="3"/>
      <c r="B9339" s="3"/>
      <c r="C9339" s="3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</row>
    <row r="9340" spans="1:15" ht="15" customHeight="1" x14ac:dyDescent="0.25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</row>
    <row r="9341" spans="1:15" ht="15" customHeight="1" x14ac:dyDescent="0.25">
      <c r="A9341" s="3"/>
      <c r="B9341" s="3"/>
      <c r="C9341" s="3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</row>
    <row r="9342" spans="1:15" ht="15" customHeight="1" x14ac:dyDescent="0.25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</row>
    <row r="9343" spans="1:15" ht="15" customHeight="1" x14ac:dyDescent="0.25">
      <c r="A9343" s="3"/>
      <c r="B9343" s="3"/>
      <c r="C9343" s="3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</row>
    <row r="9344" spans="1:15" ht="15" customHeight="1" x14ac:dyDescent="0.25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</row>
    <row r="9345" spans="1:15" ht="15" customHeight="1" x14ac:dyDescent="0.25">
      <c r="A9345" s="3"/>
      <c r="B9345" s="3"/>
      <c r="C9345" s="3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</row>
    <row r="9346" spans="1:15" ht="15" customHeight="1" x14ac:dyDescent="0.25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</row>
    <row r="9347" spans="1:15" ht="15" customHeight="1" x14ac:dyDescent="0.25">
      <c r="A9347" s="3"/>
      <c r="B9347" s="3"/>
      <c r="C9347" s="3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</row>
    <row r="9348" spans="1:15" ht="15" customHeight="1" x14ac:dyDescent="0.25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</row>
    <row r="9349" spans="1:15" ht="15" customHeight="1" x14ac:dyDescent="0.25">
      <c r="A9349" s="3"/>
      <c r="B9349" s="3"/>
      <c r="C9349" s="3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</row>
    <row r="9350" spans="1:15" ht="15" customHeight="1" x14ac:dyDescent="0.25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</row>
    <row r="9351" spans="1:15" ht="15" customHeight="1" x14ac:dyDescent="0.25">
      <c r="A9351" s="3"/>
      <c r="B9351" s="3"/>
      <c r="C9351" s="3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</row>
    <row r="9352" spans="1:15" ht="15" customHeight="1" x14ac:dyDescent="0.25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</row>
    <row r="9353" spans="1:15" ht="15" customHeight="1" x14ac:dyDescent="0.25">
      <c r="A9353" s="3"/>
      <c r="B9353" s="3"/>
      <c r="C9353" s="3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</row>
    <row r="9354" spans="1:15" ht="15" customHeight="1" x14ac:dyDescent="0.25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</row>
    <row r="9355" spans="1:15" ht="15" customHeight="1" x14ac:dyDescent="0.25">
      <c r="A9355" s="3"/>
      <c r="B9355" s="3"/>
      <c r="C9355" s="3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</row>
    <row r="9356" spans="1:15" ht="15" customHeight="1" x14ac:dyDescent="0.25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</row>
    <row r="9357" spans="1:15" ht="15" customHeight="1" x14ac:dyDescent="0.25">
      <c r="A9357" s="3"/>
      <c r="B9357" s="3"/>
      <c r="C9357" s="3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</row>
    <row r="9358" spans="1:15" ht="15" customHeight="1" x14ac:dyDescent="0.25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</row>
    <row r="9359" spans="1:15" ht="15" customHeight="1" x14ac:dyDescent="0.25">
      <c r="A9359" s="3"/>
      <c r="B9359" s="3"/>
      <c r="C9359" s="3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</row>
    <row r="9360" spans="1:15" ht="15" customHeight="1" x14ac:dyDescent="0.25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</row>
    <row r="9361" spans="1:15" ht="15" customHeight="1" x14ac:dyDescent="0.25">
      <c r="A9361" s="3"/>
      <c r="B9361" s="3"/>
      <c r="C9361" s="3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</row>
    <row r="9362" spans="1:15" ht="15" customHeight="1" x14ac:dyDescent="0.25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</row>
    <row r="9363" spans="1:15" ht="15" customHeight="1" x14ac:dyDescent="0.25">
      <c r="A9363" s="3"/>
      <c r="B9363" s="3"/>
      <c r="C9363" s="3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</row>
    <row r="9364" spans="1:15" ht="15" customHeight="1" x14ac:dyDescent="0.25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</row>
    <row r="9365" spans="1:15" ht="15" customHeight="1" x14ac:dyDescent="0.25">
      <c r="A9365" s="3"/>
      <c r="B9365" s="3"/>
      <c r="C9365" s="3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</row>
    <row r="9366" spans="1:15" ht="15" customHeight="1" x14ac:dyDescent="0.25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</row>
    <row r="9367" spans="1:15" ht="15" customHeight="1" x14ac:dyDescent="0.25">
      <c r="A9367" s="3"/>
      <c r="B9367" s="3"/>
      <c r="C9367" s="3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</row>
    <row r="9368" spans="1:15" ht="15" customHeight="1" x14ac:dyDescent="0.25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</row>
    <row r="9369" spans="1:15" ht="15" customHeight="1" x14ac:dyDescent="0.25">
      <c r="A9369" s="3"/>
      <c r="B9369" s="3"/>
      <c r="C9369" s="3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</row>
    <row r="9370" spans="1:15" ht="15" customHeight="1" x14ac:dyDescent="0.25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</row>
    <row r="9371" spans="1:15" ht="15" customHeight="1" x14ac:dyDescent="0.25">
      <c r="A9371" s="3"/>
      <c r="B9371" s="3"/>
      <c r="C9371" s="3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</row>
    <row r="9372" spans="1:15" ht="15" customHeight="1" x14ac:dyDescent="0.25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</row>
    <row r="9373" spans="1:15" ht="15" customHeight="1" x14ac:dyDescent="0.25">
      <c r="A9373" s="3"/>
      <c r="B9373" s="3"/>
      <c r="C9373" s="3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</row>
    <row r="9374" spans="1:15" ht="15" customHeight="1" x14ac:dyDescent="0.25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</row>
    <row r="9375" spans="1:15" ht="15" customHeight="1" x14ac:dyDescent="0.25">
      <c r="A9375" s="3"/>
      <c r="B9375" s="3"/>
      <c r="C9375" s="3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</row>
    <row r="9376" spans="1:15" ht="15" customHeight="1" x14ac:dyDescent="0.25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</row>
    <row r="9377" spans="1:15" ht="15" customHeight="1" x14ac:dyDescent="0.25">
      <c r="A9377" s="3"/>
      <c r="B9377" s="3"/>
      <c r="C9377" s="3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</row>
    <row r="9378" spans="1:15" ht="15" customHeight="1" x14ac:dyDescent="0.25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</row>
    <row r="9379" spans="1:15" ht="15" customHeight="1" x14ac:dyDescent="0.25">
      <c r="A9379" s="3"/>
      <c r="B9379" s="3"/>
      <c r="C9379" s="3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</row>
    <row r="9380" spans="1:15" ht="15" customHeight="1" x14ac:dyDescent="0.25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</row>
    <row r="9381" spans="1:15" ht="15" customHeight="1" x14ac:dyDescent="0.25">
      <c r="A9381" s="3"/>
      <c r="B9381" s="3"/>
      <c r="C9381" s="3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</row>
    <row r="9382" spans="1:15" ht="15" customHeight="1" x14ac:dyDescent="0.25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</row>
    <row r="9383" spans="1:15" ht="15" customHeight="1" x14ac:dyDescent="0.25">
      <c r="A9383" s="3"/>
      <c r="B9383" s="3"/>
      <c r="C9383" s="3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</row>
    <row r="9384" spans="1:15" ht="15" customHeight="1" x14ac:dyDescent="0.25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</row>
    <row r="9385" spans="1:15" ht="15" customHeight="1" x14ac:dyDescent="0.25">
      <c r="A9385" s="3"/>
      <c r="B9385" s="3"/>
      <c r="C9385" s="3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</row>
    <row r="9386" spans="1:15" ht="15" customHeight="1" x14ac:dyDescent="0.25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</row>
    <row r="9387" spans="1:15" ht="15" customHeight="1" x14ac:dyDescent="0.25">
      <c r="A9387" s="3"/>
      <c r="B9387" s="3"/>
      <c r="C9387" s="3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</row>
    <row r="9388" spans="1:15" ht="15" customHeight="1" x14ac:dyDescent="0.25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</row>
    <row r="9389" spans="1:15" ht="15" customHeight="1" x14ac:dyDescent="0.25">
      <c r="A9389" s="3"/>
      <c r="B9389" s="3"/>
      <c r="C9389" s="3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</row>
    <row r="9390" spans="1:15" ht="15" customHeight="1" x14ac:dyDescent="0.25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</row>
    <row r="9391" spans="1:15" ht="15" customHeight="1" x14ac:dyDescent="0.25">
      <c r="A9391" s="3"/>
      <c r="B9391" s="3"/>
      <c r="C9391" s="3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</row>
    <row r="9392" spans="1:15" ht="15" customHeight="1" x14ac:dyDescent="0.25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</row>
    <row r="9393" spans="1:15" ht="15" customHeight="1" x14ac:dyDescent="0.25">
      <c r="A9393" s="3"/>
      <c r="B9393" s="3"/>
      <c r="C9393" s="3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</row>
    <row r="9394" spans="1:15" ht="15" customHeight="1" x14ac:dyDescent="0.25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</row>
    <row r="9395" spans="1:15" ht="15" customHeight="1" x14ac:dyDescent="0.25">
      <c r="A9395" s="3"/>
      <c r="B9395" s="3"/>
      <c r="C9395" s="3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</row>
    <row r="9396" spans="1:15" ht="15" customHeight="1" x14ac:dyDescent="0.25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</row>
    <row r="9397" spans="1:15" ht="15" customHeight="1" x14ac:dyDescent="0.25">
      <c r="A9397" s="3"/>
      <c r="B9397" s="3"/>
      <c r="C9397" s="3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</row>
    <row r="9398" spans="1:15" ht="15" customHeight="1" x14ac:dyDescent="0.25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</row>
    <row r="9399" spans="1:15" ht="15" customHeight="1" x14ac:dyDescent="0.25">
      <c r="A9399" s="3"/>
      <c r="B9399" s="3"/>
      <c r="C9399" s="3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</row>
    <row r="9400" spans="1:15" ht="15" customHeight="1" x14ac:dyDescent="0.25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</row>
    <row r="9401" spans="1:15" ht="15" customHeight="1" x14ac:dyDescent="0.25">
      <c r="A9401" s="3"/>
      <c r="B9401" s="3"/>
      <c r="C9401" s="3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</row>
    <row r="9402" spans="1:15" ht="15" customHeight="1" x14ac:dyDescent="0.25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</row>
    <row r="9403" spans="1:15" ht="15" customHeight="1" x14ac:dyDescent="0.25">
      <c r="A9403" s="3"/>
      <c r="B9403" s="3"/>
      <c r="C9403" s="3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</row>
    <row r="9404" spans="1:15" ht="15" customHeight="1" x14ac:dyDescent="0.25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</row>
    <row r="9405" spans="1:15" ht="15" customHeight="1" x14ac:dyDescent="0.25">
      <c r="A9405" s="3"/>
      <c r="B9405" s="3"/>
      <c r="C9405" s="3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</row>
    <row r="9406" spans="1:15" ht="15" customHeight="1" x14ac:dyDescent="0.25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</row>
    <row r="9407" spans="1:15" ht="15" customHeight="1" x14ac:dyDescent="0.25">
      <c r="A9407" s="3"/>
      <c r="B9407" s="3"/>
      <c r="C9407" s="3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</row>
    <row r="9408" spans="1:15" ht="15" customHeight="1" x14ac:dyDescent="0.25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</row>
    <row r="9409" spans="1:15" ht="15" customHeight="1" x14ac:dyDescent="0.25">
      <c r="A9409" s="3"/>
      <c r="B9409" s="3"/>
      <c r="C9409" s="3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</row>
    <row r="9410" spans="1:15" ht="15" customHeight="1" x14ac:dyDescent="0.25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</row>
    <row r="9411" spans="1:15" ht="15" customHeight="1" x14ac:dyDescent="0.25">
      <c r="A9411" s="3"/>
      <c r="B9411" s="3"/>
      <c r="C9411" s="3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</row>
    <row r="9412" spans="1:15" ht="15" customHeight="1" x14ac:dyDescent="0.25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</row>
    <row r="9413" spans="1:15" ht="15" customHeight="1" x14ac:dyDescent="0.25">
      <c r="A9413" s="3"/>
      <c r="B9413" s="3"/>
      <c r="C9413" s="3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</row>
    <row r="9414" spans="1:15" ht="15" customHeight="1" x14ac:dyDescent="0.25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</row>
    <row r="9415" spans="1:15" ht="15" customHeight="1" x14ac:dyDescent="0.25">
      <c r="A9415" s="3"/>
      <c r="B9415" s="3"/>
      <c r="C9415" s="3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</row>
    <row r="9416" spans="1:15" ht="15" customHeight="1" x14ac:dyDescent="0.25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</row>
    <row r="9417" spans="1:15" ht="15" customHeight="1" x14ac:dyDescent="0.25">
      <c r="A9417" s="3"/>
      <c r="B9417" s="3"/>
      <c r="C9417" s="3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</row>
    <row r="9418" spans="1:15" ht="15" customHeight="1" x14ac:dyDescent="0.25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</row>
    <row r="9419" spans="1:15" ht="15" customHeight="1" x14ac:dyDescent="0.25">
      <c r="A9419" s="3"/>
      <c r="B9419" s="3"/>
      <c r="C9419" s="3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</row>
    <row r="9420" spans="1:15" ht="15" customHeight="1" x14ac:dyDescent="0.25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</row>
    <row r="9421" spans="1:15" ht="15" customHeight="1" x14ac:dyDescent="0.25">
      <c r="A9421" s="3"/>
      <c r="B9421" s="3"/>
      <c r="C9421" s="3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</row>
    <row r="9422" spans="1:15" ht="15" customHeight="1" x14ac:dyDescent="0.25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</row>
    <row r="9423" spans="1:15" ht="15" customHeight="1" x14ac:dyDescent="0.25">
      <c r="A9423" s="3"/>
      <c r="B9423" s="3"/>
      <c r="C9423" s="3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</row>
    <row r="9424" spans="1:15" ht="15" customHeight="1" x14ac:dyDescent="0.25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</row>
    <row r="9425" spans="1:15" ht="15" customHeight="1" x14ac:dyDescent="0.25">
      <c r="A9425" s="3"/>
      <c r="B9425" s="3"/>
      <c r="C9425" s="3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</row>
    <row r="9426" spans="1:15" ht="15" customHeight="1" x14ac:dyDescent="0.25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</row>
    <row r="9427" spans="1:15" ht="15" customHeight="1" x14ac:dyDescent="0.25">
      <c r="A9427" s="3"/>
      <c r="B9427" s="3"/>
      <c r="C9427" s="3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</row>
    <row r="9428" spans="1:15" ht="15" customHeight="1" x14ac:dyDescent="0.25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</row>
    <row r="9429" spans="1:15" ht="15" customHeight="1" x14ac:dyDescent="0.25">
      <c r="A9429" s="3"/>
      <c r="B9429" s="3"/>
      <c r="C9429" s="3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</row>
    <row r="9430" spans="1:15" ht="15" customHeight="1" x14ac:dyDescent="0.25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</row>
    <row r="9431" spans="1:15" ht="15" customHeight="1" x14ac:dyDescent="0.25">
      <c r="A9431" s="3"/>
      <c r="B9431" s="3"/>
      <c r="C9431" s="3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</row>
    <row r="9432" spans="1:15" ht="15" customHeight="1" x14ac:dyDescent="0.25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</row>
    <row r="9433" spans="1:15" ht="15" customHeight="1" x14ac:dyDescent="0.25">
      <c r="A9433" s="3"/>
      <c r="B9433" s="3"/>
      <c r="C9433" s="3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</row>
    <row r="9434" spans="1:15" ht="15" customHeight="1" x14ac:dyDescent="0.25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</row>
    <row r="9435" spans="1:15" ht="15" customHeight="1" x14ac:dyDescent="0.25">
      <c r="A9435" s="3"/>
      <c r="B9435" s="3"/>
      <c r="C9435" s="3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</row>
    <row r="9436" spans="1:15" ht="15" customHeight="1" x14ac:dyDescent="0.25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</row>
    <row r="9437" spans="1:15" ht="15" customHeight="1" x14ac:dyDescent="0.25">
      <c r="A9437" s="3"/>
      <c r="B9437" s="3"/>
      <c r="C9437" s="3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</row>
    <row r="9438" spans="1:15" ht="15" customHeight="1" x14ac:dyDescent="0.25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</row>
    <row r="9439" spans="1:15" ht="15" customHeight="1" x14ac:dyDescent="0.25">
      <c r="A9439" s="3"/>
      <c r="B9439" s="3"/>
      <c r="C9439" s="3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</row>
    <row r="9440" spans="1:15" ht="15" customHeight="1" x14ac:dyDescent="0.25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</row>
    <row r="9441" spans="1:15" ht="15" customHeight="1" x14ac:dyDescent="0.25">
      <c r="A9441" s="3"/>
      <c r="B9441" s="3"/>
      <c r="C9441" s="3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</row>
    <row r="9442" spans="1:15" ht="15" customHeight="1" x14ac:dyDescent="0.25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</row>
    <row r="9443" spans="1:15" ht="15" customHeight="1" x14ac:dyDescent="0.25">
      <c r="A9443" s="3"/>
      <c r="B9443" s="3"/>
      <c r="C9443" s="3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</row>
    <row r="9444" spans="1:15" ht="15" customHeight="1" x14ac:dyDescent="0.25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</row>
    <row r="9445" spans="1:15" ht="15" customHeight="1" x14ac:dyDescent="0.25">
      <c r="A9445" s="3"/>
      <c r="B9445" s="3"/>
      <c r="C9445" s="3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</row>
    <row r="9446" spans="1:15" ht="15" customHeight="1" x14ac:dyDescent="0.25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</row>
    <row r="9447" spans="1:15" ht="15" customHeight="1" x14ac:dyDescent="0.25">
      <c r="A9447" s="3"/>
      <c r="B9447" s="3"/>
      <c r="C9447" s="3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</row>
    <row r="9448" spans="1:15" ht="15" customHeight="1" x14ac:dyDescent="0.25">
      <c r="A9448" s="2"/>
      <c r="B9448" s="2"/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</row>
    <row r="9449" spans="1:15" ht="15" customHeight="1" x14ac:dyDescent="0.25">
      <c r="A9449" s="3"/>
      <c r="B9449" s="3"/>
      <c r="C9449" s="3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</row>
    <row r="9450" spans="1:15" ht="15" customHeight="1" x14ac:dyDescent="0.25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</row>
    <row r="9451" spans="1:15" ht="15" customHeight="1" x14ac:dyDescent="0.25">
      <c r="A9451" s="3"/>
      <c r="B9451" s="3"/>
      <c r="C9451" s="3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</row>
    <row r="9452" spans="1:15" ht="15" customHeight="1" x14ac:dyDescent="0.25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</row>
    <row r="9453" spans="1:15" ht="15" customHeight="1" x14ac:dyDescent="0.25">
      <c r="A9453" s="3"/>
      <c r="B9453" s="3"/>
      <c r="C9453" s="3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</row>
    <row r="9454" spans="1:15" ht="15" customHeight="1" x14ac:dyDescent="0.25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</row>
    <row r="9455" spans="1:15" ht="15" customHeight="1" x14ac:dyDescent="0.25">
      <c r="A9455" s="3"/>
      <c r="B9455" s="3"/>
      <c r="C9455" s="3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</row>
    <row r="9456" spans="1:15" ht="15" customHeight="1" x14ac:dyDescent="0.25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</row>
    <row r="9457" spans="1:15" ht="15" customHeight="1" x14ac:dyDescent="0.25">
      <c r="A9457" s="3"/>
      <c r="B9457" s="3"/>
      <c r="C9457" s="3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</row>
    <row r="9458" spans="1:15" ht="15" customHeight="1" x14ac:dyDescent="0.25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</row>
    <row r="9459" spans="1:15" ht="15" customHeight="1" x14ac:dyDescent="0.25">
      <c r="A9459" s="3"/>
      <c r="B9459" s="3"/>
      <c r="C9459" s="3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</row>
    <row r="9460" spans="1:15" ht="15" customHeight="1" x14ac:dyDescent="0.25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</row>
    <row r="9461" spans="1:15" ht="15" customHeight="1" x14ac:dyDescent="0.25">
      <c r="A9461" s="3"/>
      <c r="B9461" s="3"/>
      <c r="C9461" s="3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</row>
    <row r="9462" spans="1:15" ht="15" customHeight="1" x14ac:dyDescent="0.25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</row>
    <row r="9463" spans="1:15" ht="15" customHeight="1" x14ac:dyDescent="0.25">
      <c r="A9463" s="3"/>
      <c r="B9463" s="3"/>
      <c r="C9463" s="3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</row>
    <row r="9464" spans="1:15" ht="15" customHeight="1" x14ac:dyDescent="0.25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</row>
    <row r="9465" spans="1:15" ht="15" customHeight="1" x14ac:dyDescent="0.25">
      <c r="A9465" s="3"/>
      <c r="B9465" s="3"/>
      <c r="C9465" s="3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</row>
    <row r="9466" spans="1:15" ht="15" customHeight="1" x14ac:dyDescent="0.25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</row>
    <row r="9467" spans="1:15" ht="15" customHeight="1" x14ac:dyDescent="0.25">
      <c r="A9467" s="3"/>
      <c r="B9467" s="3"/>
      <c r="C9467" s="3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</row>
    <row r="9468" spans="1:15" ht="15" customHeight="1" x14ac:dyDescent="0.25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</row>
    <row r="9469" spans="1:15" ht="15" customHeight="1" x14ac:dyDescent="0.25">
      <c r="A9469" s="3"/>
      <c r="B9469" s="3"/>
      <c r="C9469" s="3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</row>
    <row r="9470" spans="1:15" ht="15" customHeight="1" x14ac:dyDescent="0.25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</row>
    <row r="9471" spans="1:15" ht="15" customHeight="1" x14ac:dyDescent="0.25">
      <c r="A9471" s="3"/>
      <c r="B9471" s="3"/>
      <c r="C9471" s="3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</row>
    <row r="9472" spans="1:15" ht="15" customHeight="1" x14ac:dyDescent="0.25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</row>
    <row r="9473" spans="1:15" ht="15" customHeight="1" x14ac:dyDescent="0.25">
      <c r="A9473" s="3"/>
      <c r="B9473" s="3"/>
      <c r="C9473" s="3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</row>
    <row r="9474" spans="1:15" ht="15" customHeight="1" x14ac:dyDescent="0.25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</row>
    <row r="9475" spans="1:15" ht="15" customHeight="1" x14ac:dyDescent="0.25">
      <c r="A9475" s="3"/>
      <c r="B9475" s="3"/>
      <c r="C9475" s="3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</row>
    <row r="9476" spans="1:15" ht="15" customHeight="1" x14ac:dyDescent="0.25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</row>
    <row r="9477" spans="1:15" ht="15" customHeight="1" x14ac:dyDescent="0.25">
      <c r="A9477" s="3"/>
      <c r="B9477" s="3"/>
      <c r="C9477" s="3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</row>
    <row r="9478" spans="1:15" ht="15" customHeight="1" x14ac:dyDescent="0.25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</row>
    <row r="9479" spans="1:15" ht="15" customHeight="1" x14ac:dyDescent="0.25">
      <c r="A9479" s="3"/>
      <c r="B9479" s="3"/>
      <c r="C9479" s="3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</row>
    <row r="9480" spans="1:15" ht="15" customHeight="1" x14ac:dyDescent="0.25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</row>
    <row r="9481" spans="1:15" ht="15" customHeight="1" x14ac:dyDescent="0.25">
      <c r="A9481" s="3"/>
      <c r="B9481" s="3"/>
      <c r="C9481" s="3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</row>
    <row r="9482" spans="1:15" ht="15" customHeight="1" x14ac:dyDescent="0.25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</row>
    <row r="9483" spans="1:15" ht="15" customHeight="1" x14ac:dyDescent="0.25">
      <c r="A9483" s="3"/>
      <c r="B9483" s="3"/>
      <c r="C9483" s="3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</row>
    <row r="9484" spans="1:15" ht="15" customHeight="1" x14ac:dyDescent="0.25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</row>
    <row r="9485" spans="1:15" ht="15" customHeight="1" x14ac:dyDescent="0.25">
      <c r="A9485" s="3"/>
      <c r="B9485" s="3"/>
      <c r="C9485" s="3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</row>
    <row r="9486" spans="1:15" ht="15" customHeight="1" x14ac:dyDescent="0.25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</row>
    <row r="9487" spans="1:15" ht="15" customHeight="1" x14ac:dyDescent="0.25">
      <c r="A9487" s="3"/>
      <c r="B9487" s="3"/>
      <c r="C9487" s="3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</row>
    <row r="9488" spans="1:15" ht="15" customHeight="1" x14ac:dyDescent="0.25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</row>
    <row r="9489" spans="1:15" ht="15" customHeight="1" x14ac:dyDescent="0.25">
      <c r="A9489" s="3"/>
      <c r="B9489" s="3"/>
      <c r="C9489" s="3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</row>
    <row r="9490" spans="1:15" ht="15" customHeight="1" x14ac:dyDescent="0.25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</row>
    <row r="9491" spans="1:15" ht="15" customHeight="1" x14ac:dyDescent="0.25">
      <c r="A9491" s="3"/>
      <c r="B9491" s="3"/>
      <c r="C9491" s="3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</row>
    <row r="9492" spans="1:15" ht="15" customHeight="1" x14ac:dyDescent="0.25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</row>
    <row r="9493" spans="1:15" ht="15" customHeight="1" x14ac:dyDescent="0.25">
      <c r="A9493" s="3"/>
      <c r="B9493" s="3"/>
      <c r="C9493" s="3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</row>
    <row r="9494" spans="1:15" ht="15" customHeight="1" x14ac:dyDescent="0.25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</row>
    <row r="9495" spans="1:15" ht="15" customHeight="1" x14ac:dyDescent="0.25">
      <c r="A9495" s="3"/>
      <c r="B9495" s="3"/>
      <c r="C9495" s="3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</row>
    <row r="9496" spans="1:15" ht="15" customHeight="1" x14ac:dyDescent="0.25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</row>
    <row r="9497" spans="1:15" ht="15" customHeight="1" x14ac:dyDescent="0.25">
      <c r="A9497" s="3"/>
      <c r="B9497" s="3"/>
      <c r="C9497" s="3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</row>
    <row r="9498" spans="1:15" ht="15" customHeight="1" x14ac:dyDescent="0.25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</row>
    <row r="9499" spans="1:15" ht="15" customHeight="1" x14ac:dyDescent="0.25">
      <c r="A9499" s="3"/>
      <c r="B9499" s="3"/>
      <c r="C9499" s="3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</row>
    <row r="9500" spans="1:15" ht="15" customHeight="1" x14ac:dyDescent="0.25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</row>
    <row r="9501" spans="1:15" ht="15" customHeight="1" x14ac:dyDescent="0.25">
      <c r="A9501" s="3"/>
      <c r="B9501" s="3"/>
      <c r="C9501" s="3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</row>
    <row r="9502" spans="1:15" ht="15" customHeight="1" x14ac:dyDescent="0.25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</row>
    <row r="9503" spans="1:15" ht="15" customHeight="1" x14ac:dyDescent="0.25">
      <c r="A9503" s="3"/>
      <c r="B9503" s="3"/>
      <c r="C9503" s="3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</row>
    <row r="9504" spans="1:15" ht="15" customHeight="1" x14ac:dyDescent="0.25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</row>
    <row r="9505" spans="1:15" ht="15" customHeight="1" x14ac:dyDescent="0.25">
      <c r="A9505" s="3"/>
      <c r="B9505" s="3"/>
      <c r="C9505" s="3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</row>
    <row r="9506" spans="1:15" ht="15" customHeight="1" x14ac:dyDescent="0.25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</row>
    <row r="9507" spans="1:15" ht="15" customHeight="1" x14ac:dyDescent="0.25">
      <c r="A9507" s="3"/>
      <c r="B9507" s="3"/>
      <c r="C9507" s="3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</row>
    <row r="9508" spans="1:15" ht="15" customHeight="1" x14ac:dyDescent="0.25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</row>
    <row r="9509" spans="1:15" ht="15" customHeight="1" x14ac:dyDescent="0.25">
      <c r="A9509" s="3"/>
      <c r="B9509" s="3"/>
      <c r="C9509" s="3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</row>
    <row r="9510" spans="1:15" ht="15" customHeight="1" x14ac:dyDescent="0.25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</row>
    <row r="9511" spans="1:15" ht="15" customHeight="1" x14ac:dyDescent="0.25">
      <c r="A9511" s="3"/>
      <c r="B9511" s="3"/>
      <c r="C9511" s="3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</row>
    <row r="9512" spans="1:15" ht="15" customHeight="1" x14ac:dyDescent="0.25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</row>
    <row r="9513" spans="1:15" ht="15" customHeight="1" x14ac:dyDescent="0.25">
      <c r="A9513" s="3"/>
      <c r="B9513" s="3"/>
      <c r="C9513" s="3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</row>
    <row r="9514" spans="1:15" ht="15" customHeight="1" x14ac:dyDescent="0.25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</row>
    <row r="9515" spans="1:15" ht="15" customHeight="1" x14ac:dyDescent="0.25">
      <c r="A9515" s="3"/>
      <c r="B9515" s="3"/>
      <c r="C9515" s="3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</row>
    <row r="9516" spans="1:15" ht="15" customHeight="1" x14ac:dyDescent="0.25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</row>
    <row r="9517" spans="1:15" ht="15" customHeight="1" x14ac:dyDescent="0.25">
      <c r="A9517" s="3"/>
      <c r="B9517" s="3"/>
      <c r="C9517" s="3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</row>
    <row r="9518" spans="1:15" ht="15" customHeight="1" x14ac:dyDescent="0.25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</row>
    <row r="9519" spans="1:15" ht="15" customHeight="1" x14ac:dyDescent="0.25">
      <c r="A9519" s="3"/>
      <c r="B9519" s="3"/>
      <c r="C9519" s="3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</row>
    <row r="9520" spans="1:15" ht="15" customHeight="1" x14ac:dyDescent="0.25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</row>
    <row r="9521" spans="1:15" ht="15" customHeight="1" x14ac:dyDescent="0.25">
      <c r="A9521" s="3"/>
      <c r="B9521" s="3"/>
      <c r="C9521" s="3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</row>
    <row r="9522" spans="1:15" ht="15" customHeight="1" x14ac:dyDescent="0.25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</row>
    <row r="9523" spans="1:15" ht="15" customHeight="1" x14ac:dyDescent="0.25">
      <c r="A9523" s="3"/>
      <c r="B9523" s="3"/>
      <c r="C9523" s="3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</row>
    <row r="9524" spans="1:15" ht="15" customHeight="1" x14ac:dyDescent="0.25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</row>
    <row r="9525" spans="1:15" ht="15" customHeight="1" x14ac:dyDescent="0.25">
      <c r="A9525" s="3"/>
      <c r="B9525" s="3"/>
      <c r="C9525" s="3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</row>
    <row r="9526" spans="1:15" ht="15" customHeight="1" x14ac:dyDescent="0.25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</row>
    <row r="9527" spans="1:15" ht="15" customHeight="1" x14ac:dyDescent="0.25">
      <c r="A9527" s="3"/>
      <c r="B9527" s="3"/>
      <c r="C9527" s="3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</row>
    <row r="9528" spans="1:15" ht="15" customHeight="1" x14ac:dyDescent="0.25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</row>
    <row r="9529" spans="1:15" ht="15" customHeight="1" x14ac:dyDescent="0.25">
      <c r="A9529" s="3"/>
      <c r="B9529" s="3"/>
      <c r="C9529" s="3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</row>
    <row r="9530" spans="1:15" ht="15" customHeight="1" x14ac:dyDescent="0.25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</row>
    <row r="9531" spans="1:15" ht="15" customHeight="1" x14ac:dyDescent="0.25">
      <c r="A9531" s="3"/>
      <c r="B9531" s="3"/>
      <c r="C9531" s="3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</row>
    <row r="9532" spans="1:15" ht="15" customHeight="1" x14ac:dyDescent="0.25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</row>
    <row r="9533" spans="1:15" ht="15" customHeight="1" x14ac:dyDescent="0.25">
      <c r="A9533" s="3"/>
      <c r="B9533" s="3"/>
      <c r="C9533" s="3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</row>
    <row r="9534" spans="1:15" ht="15" customHeight="1" x14ac:dyDescent="0.25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</row>
    <row r="9535" spans="1:15" ht="15" customHeight="1" x14ac:dyDescent="0.25">
      <c r="A9535" s="3"/>
      <c r="B9535" s="3"/>
      <c r="C9535" s="3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</row>
    <row r="9536" spans="1:15" ht="15" customHeight="1" x14ac:dyDescent="0.25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</row>
    <row r="9537" spans="1:15" ht="15" customHeight="1" x14ac:dyDescent="0.25">
      <c r="A9537" s="3"/>
      <c r="B9537" s="3"/>
      <c r="C9537" s="3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</row>
    <row r="9538" spans="1:15" ht="15" customHeight="1" x14ac:dyDescent="0.25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</row>
    <row r="9539" spans="1:15" ht="15" customHeight="1" x14ac:dyDescent="0.25">
      <c r="A9539" s="3"/>
      <c r="B9539" s="3"/>
      <c r="C9539" s="3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</row>
    <row r="9540" spans="1:15" ht="15" customHeight="1" x14ac:dyDescent="0.25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</row>
    <row r="9541" spans="1:15" ht="15" customHeight="1" x14ac:dyDescent="0.25">
      <c r="A9541" s="3"/>
      <c r="B9541" s="3"/>
      <c r="C9541" s="3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</row>
    <row r="9542" spans="1:15" ht="15" customHeight="1" x14ac:dyDescent="0.25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</row>
    <row r="9543" spans="1:15" ht="15" customHeight="1" x14ac:dyDescent="0.25">
      <c r="A9543" s="3"/>
      <c r="B9543" s="3"/>
      <c r="C9543" s="3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</row>
    <row r="9544" spans="1:15" ht="15" customHeight="1" x14ac:dyDescent="0.25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</row>
    <row r="9545" spans="1:15" ht="15" customHeight="1" x14ac:dyDescent="0.25">
      <c r="A9545" s="3"/>
      <c r="B9545" s="3"/>
      <c r="C9545" s="3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</row>
    <row r="9546" spans="1:15" ht="15" customHeight="1" x14ac:dyDescent="0.25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</row>
    <row r="9547" spans="1:15" ht="15" customHeight="1" x14ac:dyDescent="0.25">
      <c r="A9547" s="3"/>
      <c r="B9547" s="3"/>
      <c r="C9547" s="3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</row>
    <row r="9548" spans="1:15" ht="15" customHeight="1" x14ac:dyDescent="0.25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</row>
    <row r="9549" spans="1:15" ht="15" customHeight="1" x14ac:dyDescent="0.25">
      <c r="A9549" s="3"/>
      <c r="B9549" s="3"/>
      <c r="C9549" s="3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</row>
    <row r="9550" spans="1:15" ht="15" customHeight="1" x14ac:dyDescent="0.25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</row>
    <row r="9551" spans="1:15" ht="15" customHeight="1" x14ac:dyDescent="0.25">
      <c r="A9551" s="3"/>
      <c r="B9551" s="3"/>
      <c r="C9551" s="3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</row>
    <row r="9552" spans="1:15" ht="15" customHeight="1" x14ac:dyDescent="0.25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</row>
    <row r="9553" spans="1:15" ht="15" customHeight="1" x14ac:dyDescent="0.25">
      <c r="A9553" s="3"/>
      <c r="B9553" s="3"/>
      <c r="C9553" s="3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</row>
    <row r="9554" spans="1:15" ht="15" customHeight="1" x14ac:dyDescent="0.25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</row>
    <row r="9555" spans="1:15" ht="15" customHeight="1" x14ac:dyDescent="0.25">
      <c r="A9555" s="3"/>
      <c r="B9555" s="3"/>
      <c r="C9555" s="3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</row>
    <row r="9556" spans="1:15" ht="15" customHeight="1" x14ac:dyDescent="0.25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</row>
    <row r="9557" spans="1:15" ht="15" customHeight="1" x14ac:dyDescent="0.25">
      <c r="A9557" s="3"/>
      <c r="B9557" s="3"/>
      <c r="C9557" s="3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</row>
    <row r="9558" spans="1:15" ht="15" customHeight="1" x14ac:dyDescent="0.25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</row>
    <row r="9559" spans="1:15" ht="15" customHeight="1" x14ac:dyDescent="0.25">
      <c r="A9559" s="3"/>
      <c r="B9559" s="3"/>
      <c r="C9559" s="3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</row>
    <row r="9560" spans="1:15" ht="15" customHeight="1" x14ac:dyDescent="0.25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</row>
    <row r="9561" spans="1:15" ht="15" customHeight="1" x14ac:dyDescent="0.25">
      <c r="A9561" s="3"/>
      <c r="B9561" s="3"/>
      <c r="C9561" s="3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</row>
    <row r="9562" spans="1:15" ht="15" customHeight="1" x14ac:dyDescent="0.25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</row>
    <row r="9563" spans="1:15" ht="15" customHeight="1" x14ac:dyDescent="0.25">
      <c r="A9563" s="3"/>
      <c r="B9563" s="3"/>
      <c r="C9563" s="3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</row>
    <row r="9564" spans="1:15" ht="15" customHeight="1" x14ac:dyDescent="0.25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</row>
    <row r="9565" spans="1:15" ht="15" customHeight="1" x14ac:dyDescent="0.25">
      <c r="A9565" s="3"/>
      <c r="B9565" s="3"/>
      <c r="C9565" s="3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</row>
    <row r="9566" spans="1:15" ht="15" customHeight="1" x14ac:dyDescent="0.25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</row>
    <row r="9567" spans="1:15" ht="15" customHeight="1" x14ac:dyDescent="0.25">
      <c r="A9567" s="3"/>
      <c r="B9567" s="3"/>
      <c r="C9567" s="3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</row>
    <row r="9568" spans="1:15" ht="15" customHeight="1" x14ac:dyDescent="0.25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</row>
    <row r="9569" spans="1:15" ht="15" customHeight="1" x14ac:dyDescent="0.25">
      <c r="A9569" s="3"/>
      <c r="B9569" s="3"/>
      <c r="C9569" s="3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</row>
    <row r="9570" spans="1:15" ht="15" customHeight="1" x14ac:dyDescent="0.25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</row>
    <row r="9571" spans="1:15" ht="15" customHeight="1" x14ac:dyDescent="0.25">
      <c r="A9571" s="3"/>
      <c r="B9571" s="3"/>
      <c r="C9571" s="3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</row>
    <row r="9572" spans="1:15" ht="15" customHeight="1" x14ac:dyDescent="0.25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</row>
    <row r="9573" spans="1:15" ht="15" customHeight="1" x14ac:dyDescent="0.25">
      <c r="A9573" s="3"/>
      <c r="B9573" s="3"/>
      <c r="C9573" s="3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</row>
    <row r="9574" spans="1:15" ht="15" customHeight="1" x14ac:dyDescent="0.25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</row>
    <row r="9575" spans="1:15" ht="15" customHeight="1" x14ac:dyDescent="0.25">
      <c r="A9575" s="3"/>
      <c r="B9575" s="3"/>
      <c r="C9575" s="3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</row>
    <row r="9576" spans="1:15" ht="15" customHeight="1" x14ac:dyDescent="0.25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</row>
    <row r="9577" spans="1:15" ht="15" customHeight="1" x14ac:dyDescent="0.25">
      <c r="A9577" s="3"/>
      <c r="B9577" s="3"/>
      <c r="C9577" s="3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</row>
    <row r="9578" spans="1:15" ht="15" customHeight="1" x14ac:dyDescent="0.25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</row>
    <row r="9579" spans="1:15" ht="15" customHeight="1" x14ac:dyDescent="0.25">
      <c r="A9579" s="3"/>
      <c r="B9579" s="3"/>
      <c r="C9579" s="3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</row>
    <row r="9580" spans="1:15" ht="15" customHeight="1" x14ac:dyDescent="0.25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</row>
    <row r="9581" spans="1:15" ht="15" customHeight="1" x14ac:dyDescent="0.25">
      <c r="A9581" s="3"/>
      <c r="B9581" s="3"/>
      <c r="C9581" s="3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</row>
    <row r="9582" spans="1:15" ht="15" customHeight="1" x14ac:dyDescent="0.25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</row>
    <row r="9583" spans="1:15" ht="15" customHeight="1" x14ac:dyDescent="0.25">
      <c r="A9583" s="3"/>
      <c r="B9583" s="3"/>
      <c r="C9583" s="3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</row>
    <row r="9584" spans="1:15" ht="15" customHeight="1" x14ac:dyDescent="0.25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</row>
    <row r="9585" spans="1:15" ht="15" customHeight="1" x14ac:dyDescent="0.25">
      <c r="A9585" s="3"/>
      <c r="B9585" s="3"/>
      <c r="C9585" s="3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</row>
    <row r="9586" spans="1:15" ht="15" customHeight="1" x14ac:dyDescent="0.25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</row>
    <row r="9587" spans="1:15" ht="15" customHeight="1" x14ac:dyDescent="0.25">
      <c r="A9587" s="3"/>
      <c r="B9587" s="3"/>
      <c r="C9587" s="3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</row>
    <row r="9588" spans="1:15" ht="15" customHeight="1" x14ac:dyDescent="0.25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</row>
    <row r="9589" spans="1:15" ht="15" customHeight="1" x14ac:dyDescent="0.25">
      <c r="A9589" s="3"/>
      <c r="B9589" s="3"/>
      <c r="C9589" s="3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</row>
    <row r="9590" spans="1:15" ht="15" customHeight="1" x14ac:dyDescent="0.25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</row>
    <row r="9591" spans="1:15" ht="15" customHeight="1" x14ac:dyDescent="0.25">
      <c r="A9591" s="3"/>
      <c r="B9591" s="3"/>
      <c r="C9591" s="3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</row>
    <row r="9592" spans="1:15" ht="15" customHeight="1" x14ac:dyDescent="0.25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</row>
    <row r="9593" spans="1:15" ht="15" customHeight="1" x14ac:dyDescent="0.25">
      <c r="A9593" s="3"/>
      <c r="B9593" s="3"/>
      <c r="C9593" s="3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</row>
    <row r="9594" spans="1:15" ht="15" customHeight="1" x14ac:dyDescent="0.25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</row>
    <row r="9595" spans="1:15" ht="15" customHeight="1" x14ac:dyDescent="0.25">
      <c r="A9595" s="3"/>
      <c r="B9595" s="3"/>
      <c r="C9595" s="3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</row>
    <row r="9596" spans="1:15" ht="15" customHeight="1" x14ac:dyDescent="0.25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</row>
    <row r="9597" spans="1:15" ht="15" customHeight="1" x14ac:dyDescent="0.25">
      <c r="A9597" s="3"/>
      <c r="B9597" s="3"/>
      <c r="C9597" s="3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</row>
    <row r="9598" spans="1:15" ht="15" customHeight="1" x14ac:dyDescent="0.25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</row>
    <row r="9599" spans="1:15" ht="15" customHeight="1" x14ac:dyDescent="0.25">
      <c r="A9599" s="3"/>
      <c r="B9599" s="3"/>
      <c r="C9599" s="3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</row>
    <row r="9600" spans="1:15" ht="15" customHeight="1" x14ac:dyDescent="0.25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</row>
    <row r="9601" spans="1:15" ht="15" customHeight="1" x14ac:dyDescent="0.25">
      <c r="A9601" s="3"/>
      <c r="B9601" s="3"/>
      <c r="C9601" s="3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</row>
    <row r="9602" spans="1:15" ht="15" customHeight="1" x14ac:dyDescent="0.25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</row>
    <row r="9603" spans="1:15" ht="15" customHeight="1" x14ac:dyDescent="0.25">
      <c r="A9603" s="3"/>
      <c r="B9603" s="3"/>
      <c r="C9603" s="3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</row>
    <row r="9604" spans="1:15" ht="15" customHeight="1" x14ac:dyDescent="0.25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</row>
    <row r="9605" spans="1:15" ht="15" customHeight="1" x14ac:dyDescent="0.25">
      <c r="A9605" s="3"/>
      <c r="B9605" s="3"/>
      <c r="C9605" s="3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</row>
    <row r="9606" spans="1:15" ht="15" customHeight="1" x14ac:dyDescent="0.25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</row>
    <row r="9607" spans="1:15" ht="15" customHeight="1" x14ac:dyDescent="0.25">
      <c r="A9607" s="3"/>
      <c r="B9607" s="3"/>
      <c r="C9607" s="3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</row>
    <row r="9608" spans="1:15" ht="15" customHeight="1" x14ac:dyDescent="0.25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</row>
    <row r="9609" spans="1:15" ht="15" customHeight="1" x14ac:dyDescent="0.25">
      <c r="A9609" s="3"/>
      <c r="B9609" s="3"/>
      <c r="C9609" s="3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</row>
    <row r="9610" spans="1:15" ht="15" customHeight="1" x14ac:dyDescent="0.25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</row>
    <row r="9611" spans="1:15" ht="15" customHeight="1" x14ac:dyDescent="0.25">
      <c r="A9611" s="3"/>
      <c r="B9611" s="3"/>
      <c r="C9611" s="3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</row>
    <row r="9612" spans="1:15" ht="15" customHeight="1" x14ac:dyDescent="0.25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</row>
    <row r="9613" spans="1:15" ht="15" customHeight="1" x14ac:dyDescent="0.25">
      <c r="A9613" s="3"/>
      <c r="B9613" s="3"/>
      <c r="C9613" s="3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</row>
    <row r="9614" spans="1:15" ht="15" customHeight="1" x14ac:dyDescent="0.25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</row>
    <row r="9615" spans="1:15" ht="15" customHeight="1" x14ac:dyDescent="0.25">
      <c r="A9615" s="3"/>
      <c r="B9615" s="3"/>
      <c r="C9615" s="3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</row>
    <row r="9616" spans="1:15" ht="15" customHeight="1" x14ac:dyDescent="0.25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</row>
    <row r="9617" spans="1:15" ht="15" customHeight="1" x14ac:dyDescent="0.25">
      <c r="A9617" s="3"/>
      <c r="B9617" s="3"/>
      <c r="C9617" s="3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</row>
    <row r="9618" spans="1:15" ht="15" customHeight="1" x14ac:dyDescent="0.25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</row>
    <row r="9619" spans="1:15" ht="15" customHeight="1" x14ac:dyDescent="0.25">
      <c r="A9619" s="3"/>
      <c r="B9619" s="3"/>
      <c r="C9619" s="3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</row>
    <row r="9620" spans="1:15" ht="15" customHeight="1" x14ac:dyDescent="0.25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</row>
    <row r="9621" spans="1:15" ht="15" customHeight="1" x14ac:dyDescent="0.25">
      <c r="A9621" s="3"/>
      <c r="B9621" s="3"/>
      <c r="C9621" s="3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</row>
    <row r="9622" spans="1:15" ht="15" customHeight="1" x14ac:dyDescent="0.25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</row>
    <row r="9623" spans="1:15" ht="15" customHeight="1" x14ac:dyDescent="0.25">
      <c r="A9623" s="3"/>
      <c r="B9623" s="3"/>
      <c r="C9623" s="3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</row>
    <row r="9624" spans="1:15" ht="15" customHeight="1" x14ac:dyDescent="0.25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</row>
    <row r="9625" spans="1:15" ht="15" customHeight="1" x14ac:dyDescent="0.25">
      <c r="A9625" s="3"/>
      <c r="B9625" s="3"/>
      <c r="C9625" s="3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</row>
    <row r="9626" spans="1:15" ht="15" customHeight="1" x14ac:dyDescent="0.25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</row>
    <row r="9627" spans="1:15" ht="15" customHeight="1" x14ac:dyDescent="0.25">
      <c r="A9627" s="3"/>
      <c r="B9627" s="3"/>
      <c r="C9627" s="3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</row>
    <row r="9628" spans="1:15" ht="15" customHeight="1" x14ac:dyDescent="0.25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</row>
    <row r="9629" spans="1:15" ht="15" customHeight="1" x14ac:dyDescent="0.25">
      <c r="A9629" s="3"/>
      <c r="B9629" s="3"/>
      <c r="C9629" s="3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</row>
    <row r="9630" spans="1:15" ht="15" customHeight="1" x14ac:dyDescent="0.25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</row>
    <row r="9631" spans="1:15" ht="15" customHeight="1" x14ac:dyDescent="0.25">
      <c r="A9631" s="3"/>
      <c r="B9631" s="3"/>
      <c r="C9631" s="3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</row>
    <row r="9632" spans="1:15" ht="15" customHeight="1" x14ac:dyDescent="0.25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</row>
    <row r="9633" spans="1:15" ht="15" customHeight="1" x14ac:dyDescent="0.25">
      <c r="A9633" s="3"/>
      <c r="B9633" s="3"/>
      <c r="C9633" s="3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</row>
    <row r="9634" spans="1:15" ht="15" customHeight="1" x14ac:dyDescent="0.25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</row>
    <row r="9635" spans="1:15" ht="15" customHeight="1" x14ac:dyDescent="0.25">
      <c r="A9635" s="3"/>
      <c r="B9635" s="3"/>
      <c r="C9635" s="3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</row>
    <row r="9636" spans="1:15" ht="15" customHeight="1" x14ac:dyDescent="0.25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</row>
    <row r="9637" spans="1:15" ht="15" customHeight="1" x14ac:dyDescent="0.25">
      <c r="A9637" s="3"/>
      <c r="B9637" s="3"/>
      <c r="C9637" s="3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</row>
    <row r="9638" spans="1:15" ht="15" customHeight="1" x14ac:dyDescent="0.25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</row>
    <row r="9639" spans="1:15" ht="15" customHeight="1" x14ac:dyDescent="0.25">
      <c r="A9639" s="3"/>
      <c r="B9639" s="3"/>
      <c r="C9639" s="3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</row>
    <row r="9640" spans="1:15" ht="15" customHeight="1" x14ac:dyDescent="0.25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</row>
    <row r="9641" spans="1:15" ht="15" customHeight="1" x14ac:dyDescent="0.25">
      <c r="A9641" s="3"/>
      <c r="B9641" s="3"/>
      <c r="C9641" s="3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</row>
    <row r="9642" spans="1:15" ht="15" customHeight="1" x14ac:dyDescent="0.25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</row>
    <row r="9643" spans="1:15" ht="15" customHeight="1" x14ac:dyDescent="0.25">
      <c r="A9643" s="3"/>
      <c r="B9643" s="3"/>
      <c r="C9643" s="3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</row>
    <row r="9644" spans="1:15" ht="15" customHeight="1" x14ac:dyDescent="0.25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</row>
    <row r="9645" spans="1:15" ht="15" customHeight="1" x14ac:dyDescent="0.25">
      <c r="A9645" s="3"/>
      <c r="B9645" s="3"/>
      <c r="C9645" s="3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</row>
    <row r="9646" spans="1:15" ht="15" customHeight="1" x14ac:dyDescent="0.25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</row>
    <row r="9647" spans="1:15" ht="15" customHeight="1" x14ac:dyDescent="0.25">
      <c r="A9647" s="3"/>
      <c r="B9647" s="3"/>
      <c r="C9647" s="3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</row>
    <row r="9648" spans="1:15" ht="15" customHeight="1" x14ac:dyDescent="0.25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</row>
    <row r="9649" spans="1:15" ht="15" customHeight="1" x14ac:dyDescent="0.25">
      <c r="A9649" s="3"/>
      <c r="B9649" s="3"/>
      <c r="C9649" s="3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</row>
    <row r="9650" spans="1:15" ht="15" customHeight="1" x14ac:dyDescent="0.25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</row>
    <row r="9651" spans="1:15" ht="15" customHeight="1" x14ac:dyDescent="0.25">
      <c r="A9651" s="3"/>
      <c r="B9651" s="3"/>
      <c r="C9651" s="3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</row>
    <row r="9652" spans="1:15" ht="15" customHeight="1" x14ac:dyDescent="0.25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</row>
    <row r="9653" spans="1:15" ht="15" customHeight="1" x14ac:dyDescent="0.25">
      <c r="A9653" s="3"/>
      <c r="B9653" s="3"/>
      <c r="C9653" s="3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</row>
    <row r="9654" spans="1:15" ht="15" customHeight="1" x14ac:dyDescent="0.25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</row>
    <row r="9655" spans="1:15" ht="15" customHeight="1" x14ac:dyDescent="0.25">
      <c r="A9655" s="3"/>
      <c r="B9655" s="3"/>
      <c r="C9655" s="3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</row>
    <row r="9656" spans="1:15" ht="15" customHeight="1" x14ac:dyDescent="0.25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</row>
    <row r="9657" spans="1:15" ht="15" customHeight="1" x14ac:dyDescent="0.25">
      <c r="A9657" s="3"/>
      <c r="B9657" s="3"/>
      <c r="C9657" s="3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</row>
    <row r="9658" spans="1:15" ht="15" customHeight="1" x14ac:dyDescent="0.25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</row>
    <row r="9659" spans="1:15" ht="15" customHeight="1" x14ac:dyDescent="0.25">
      <c r="A9659" s="3"/>
      <c r="B9659" s="3"/>
      <c r="C9659" s="3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</row>
    <row r="9660" spans="1:15" ht="15" customHeight="1" x14ac:dyDescent="0.25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</row>
    <row r="9661" spans="1:15" ht="15" customHeight="1" x14ac:dyDescent="0.25">
      <c r="A9661" s="3"/>
      <c r="B9661" s="3"/>
      <c r="C9661" s="3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</row>
    <row r="9662" spans="1:15" ht="15" customHeight="1" x14ac:dyDescent="0.25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</row>
    <row r="9663" spans="1:15" ht="15" customHeight="1" x14ac:dyDescent="0.25">
      <c r="A9663" s="3"/>
      <c r="B9663" s="3"/>
      <c r="C9663" s="3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</row>
    <row r="9664" spans="1:15" ht="15" customHeight="1" x14ac:dyDescent="0.25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</row>
    <row r="9665" spans="1:15" ht="15" customHeight="1" x14ac:dyDescent="0.25">
      <c r="A9665" s="3"/>
      <c r="B9665" s="3"/>
      <c r="C9665" s="3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</row>
    <row r="9666" spans="1:15" ht="15" customHeight="1" x14ac:dyDescent="0.25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</row>
    <row r="9667" spans="1:15" ht="15" customHeight="1" x14ac:dyDescent="0.25">
      <c r="A9667" s="3"/>
      <c r="B9667" s="3"/>
      <c r="C9667" s="3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</row>
    <row r="9668" spans="1:15" ht="15" customHeight="1" x14ac:dyDescent="0.25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</row>
    <row r="9669" spans="1:15" ht="15" customHeight="1" x14ac:dyDescent="0.25">
      <c r="A9669" s="3"/>
      <c r="B9669" s="3"/>
      <c r="C9669" s="3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</row>
    <row r="9670" spans="1:15" ht="15" customHeight="1" x14ac:dyDescent="0.25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</row>
    <row r="9671" spans="1:15" ht="15" customHeight="1" x14ac:dyDescent="0.25">
      <c r="A9671" s="3"/>
      <c r="B9671" s="3"/>
      <c r="C9671" s="3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</row>
    <row r="9672" spans="1:15" ht="15" customHeight="1" x14ac:dyDescent="0.25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</row>
    <row r="9673" spans="1:15" ht="15" customHeight="1" x14ac:dyDescent="0.25">
      <c r="A9673" s="3"/>
      <c r="B9673" s="3"/>
      <c r="C9673" s="3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</row>
    <row r="9674" spans="1:15" ht="15" customHeight="1" x14ac:dyDescent="0.25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</row>
    <row r="9675" spans="1:15" ht="15" customHeight="1" x14ac:dyDescent="0.25">
      <c r="A9675" s="3"/>
      <c r="B9675" s="3"/>
      <c r="C9675" s="3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</row>
    <row r="9676" spans="1:15" ht="15" customHeight="1" x14ac:dyDescent="0.25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</row>
    <row r="9677" spans="1:15" ht="15" customHeight="1" x14ac:dyDescent="0.25">
      <c r="A9677" s="3"/>
      <c r="B9677" s="3"/>
      <c r="C9677" s="3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</row>
    <row r="9678" spans="1:15" ht="15" customHeight="1" x14ac:dyDescent="0.25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</row>
    <row r="9679" spans="1:15" ht="15" customHeight="1" x14ac:dyDescent="0.25">
      <c r="A9679" s="3"/>
      <c r="B9679" s="3"/>
      <c r="C9679" s="3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</row>
    <row r="9680" spans="1:15" ht="15" customHeight="1" x14ac:dyDescent="0.25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</row>
    <row r="9681" spans="1:15" ht="15" customHeight="1" x14ac:dyDescent="0.25">
      <c r="A9681" s="3"/>
      <c r="B9681" s="3"/>
      <c r="C9681" s="3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</row>
    <row r="9682" spans="1:15" ht="15" customHeight="1" x14ac:dyDescent="0.25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</row>
    <row r="9683" spans="1:15" ht="15" customHeight="1" x14ac:dyDescent="0.25">
      <c r="A9683" s="3"/>
      <c r="B9683" s="3"/>
      <c r="C9683" s="3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</row>
    <row r="9684" spans="1:15" ht="15" customHeight="1" x14ac:dyDescent="0.25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</row>
    <row r="9685" spans="1:15" ht="15" customHeight="1" x14ac:dyDescent="0.25">
      <c r="A9685" s="3"/>
      <c r="B9685" s="3"/>
      <c r="C9685" s="3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</row>
    <row r="9686" spans="1:15" ht="15" customHeight="1" x14ac:dyDescent="0.25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</row>
    <row r="9687" spans="1:15" ht="15" customHeight="1" x14ac:dyDescent="0.25">
      <c r="A9687" s="3"/>
      <c r="B9687" s="3"/>
      <c r="C9687" s="3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</row>
    <row r="9688" spans="1:15" ht="15" customHeight="1" x14ac:dyDescent="0.25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</row>
    <row r="9689" spans="1:15" ht="15" customHeight="1" x14ac:dyDescent="0.25">
      <c r="A9689" s="3"/>
      <c r="B9689" s="3"/>
      <c r="C9689" s="3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</row>
    <row r="9690" spans="1:15" ht="15" customHeight="1" x14ac:dyDescent="0.25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</row>
    <row r="9691" spans="1:15" ht="15" customHeight="1" x14ac:dyDescent="0.25">
      <c r="A9691" s="3"/>
      <c r="B9691" s="3"/>
      <c r="C9691" s="3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</row>
    <row r="9692" spans="1:15" ht="15" customHeight="1" x14ac:dyDescent="0.25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</row>
    <row r="9693" spans="1:15" ht="15" customHeight="1" x14ac:dyDescent="0.25">
      <c r="A9693" s="3"/>
      <c r="B9693" s="3"/>
      <c r="C9693" s="3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</row>
    <row r="9694" spans="1:15" ht="15" customHeight="1" x14ac:dyDescent="0.25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</row>
    <row r="9695" spans="1:15" ht="15" customHeight="1" x14ac:dyDescent="0.25">
      <c r="A9695" s="3"/>
      <c r="B9695" s="3"/>
      <c r="C9695" s="3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</row>
    <row r="9696" spans="1:15" ht="15" customHeight="1" x14ac:dyDescent="0.25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</row>
    <row r="9697" spans="1:15" ht="15" customHeight="1" x14ac:dyDescent="0.25">
      <c r="A9697" s="3"/>
      <c r="B9697" s="3"/>
      <c r="C9697" s="3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</row>
    <row r="9698" spans="1:15" ht="15" customHeight="1" x14ac:dyDescent="0.25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</row>
    <row r="9699" spans="1:15" ht="15" customHeight="1" x14ac:dyDescent="0.25">
      <c r="A9699" s="3"/>
      <c r="B9699" s="3"/>
      <c r="C9699" s="3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</row>
    <row r="9700" spans="1:15" ht="15" customHeight="1" x14ac:dyDescent="0.25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</row>
    <row r="9701" spans="1:15" ht="15" customHeight="1" x14ac:dyDescent="0.25">
      <c r="A9701" s="3"/>
      <c r="B9701" s="3"/>
      <c r="C9701" s="3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</row>
    <row r="9702" spans="1:15" ht="15" customHeight="1" x14ac:dyDescent="0.25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</row>
    <row r="9703" spans="1:15" ht="15" customHeight="1" x14ac:dyDescent="0.25">
      <c r="A9703" s="3"/>
      <c r="B9703" s="3"/>
      <c r="C9703" s="3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</row>
    <row r="9704" spans="1:15" ht="15" customHeight="1" x14ac:dyDescent="0.25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</row>
    <row r="9705" spans="1:15" ht="15" customHeight="1" x14ac:dyDescent="0.25">
      <c r="A9705" s="3"/>
      <c r="B9705" s="3"/>
      <c r="C9705" s="3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</row>
    <row r="9706" spans="1:15" ht="15" customHeight="1" x14ac:dyDescent="0.25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</row>
    <row r="9707" spans="1:15" ht="15" customHeight="1" x14ac:dyDescent="0.25">
      <c r="A9707" s="3"/>
      <c r="B9707" s="3"/>
      <c r="C9707" s="3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</row>
    <row r="9708" spans="1:15" ht="15" customHeight="1" x14ac:dyDescent="0.25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</row>
    <row r="9709" spans="1:15" ht="15" customHeight="1" x14ac:dyDescent="0.25">
      <c r="A9709" s="3"/>
      <c r="B9709" s="3"/>
      <c r="C9709" s="3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</row>
    <row r="9710" spans="1:15" ht="15" customHeight="1" x14ac:dyDescent="0.25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</row>
    <row r="9711" spans="1:15" ht="15" customHeight="1" x14ac:dyDescent="0.25">
      <c r="A9711" s="3"/>
      <c r="B9711" s="3"/>
      <c r="C9711" s="3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</row>
    <row r="9712" spans="1:15" ht="15" customHeight="1" x14ac:dyDescent="0.25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</row>
    <row r="9713" spans="1:15" ht="15" customHeight="1" x14ac:dyDescent="0.25">
      <c r="A9713" s="3"/>
      <c r="B9713" s="3"/>
      <c r="C9713" s="3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</row>
    <row r="9714" spans="1:15" ht="15" customHeight="1" x14ac:dyDescent="0.25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</row>
    <row r="9715" spans="1:15" ht="15" customHeight="1" x14ac:dyDescent="0.25">
      <c r="A9715" s="3"/>
      <c r="B9715" s="3"/>
      <c r="C9715" s="3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</row>
    <row r="9716" spans="1:15" ht="15" customHeight="1" x14ac:dyDescent="0.25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</row>
    <row r="9717" spans="1:15" ht="15" customHeight="1" x14ac:dyDescent="0.25">
      <c r="A9717" s="3"/>
      <c r="B9717" s="3"/>
      <c r="C9717" s="3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</row>
    <row r="9718" spans="1:15" ht="15" customHeight="1" x14ac:dyDescent="0.25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</row>
    <row r="9719" spans="1:15" ht="15" customHeight="1" x14ac:dyDescent="0.25">
      <c r="A9719" s="3"/>
      <c r="B9719" s="3"/>
      <c r="C9719" s="3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</row>
    <row r="9720" spans="1:15" ht="15" customHeight="1" x14ac:dyDescent="0.25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</row>
    <row r="9721" spans="1:15" ht="15" customHeight="1" x14ac:dyDescent="0.25">
      <c r="A9721" s="3"/>
      <c r="B9721" s="3"/>
      <c r="C9721" s="3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</row>
    <row r="9722" spans="1:15" ht="15" customHeight="1" x14ac:dyDescent="0.25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</row>
    <row r="9723" spans="1:15" ht="15" customHeight="1" x14ac:dyDescent="0.25">
      <c r="A9723" s="3"/>
      <c r="B9723" s="3"/>
      <c r="C9723" s="3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</row>
    <row r="9724" spans="1:15" ht="15" customHeight="1" x14ac:dyDescent="0.25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</row>
    <row r="9725" spans="1:15" ht="15" customHeight="1" x14ac:dyDescent="0.25">
      <c r="A9725" s="3"/>
      <c r="B9725" s="3"/>
      <c r="C9725" s="3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</row>
    <row r="9726" spans="1:15" ht="15" customHeight="1" x14ac:dyDescent="0.25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</row>
    <row r="9727" spans="1:15" ht="15" customHeight="1" x14ac:dyDescent="0.25">
      <c r="A9727" s="3"/>
      <c r="B9727" s="3"/>
      <c r="C9727" s="3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</row>
    <row r="9728" spans="1:15" ht="15" customHeight="1" x14ac:dyDescent="0.25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</row>
    <row r="9729" spans="1:15" ht="15" customHeight="1" x14ac:dyDescent="0.25">
      <c r="A9729" s="3"/>
      <c r="B9729" s="3"/>
      <c r="C9729" s="3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</row>
    <row r="9730" spans="1:15" ht="15" customHeight="1" x14ac:dyDescent="0.25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</row>
    <row r="9731" spans="1:15" ht="15" customHeight="1" x14ac:dyDescent="0.25">
      <c r="A9731" s="3"/>
      <c r="B9731" s="3"/>
      <c r="C9731" s="3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</row>
    <row r="9732" spans="1:15" ht="15" customHeight="1" x14ac:dyDescent="0.25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</row>
    <row r="9733" spans="1:15" ht="15" customHeight="1" x14ac:dyDescent="0.25">
      <c r="A9733" s="3"/>
      <c r="B9733" s="3"/>
      <c r="C9733" s="3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</row>
    <row r="9734" spans="1:15" ht="15" customHeight="1" x14ac:dyDescent="0.25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</row>
    <row r="9735" spans="1:15" ht="15" customHeight="1" x14ac:dyDescent="0.25">
      <c r="A9735" s="3"/>
      <c r="B9735" s="3"/>
      <c r="C9735" s="3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</row>
    <row r="9736" spans="1:15" ht="15" customHeight="1" x14ac:dyDescent="0.25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</row>
    <row r="9737" spans="1:15" ht="15" customHeight="1" x14ac:dyDescent="0.25">
      <c r="A9737" s="3"/>
      <c r="B9737" s="3"/>
      <c r="C9737" s="3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</row>
    <row r="9738" spans="1:15" ht="15" customHeight="1" x14ac:dyDescent="0.25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</row>
    <row r="9739" spans="1:15" ht="15" customHeight="1" x14ac:dyDescent="0.25">
      <c r="A9739" s="3"/>
      <c r="B9739" s="3"/>
      <c r="C9739" s="3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</row>
    <row r="9740" spans="1:15" ht="15" customHeight="1" x14ac:dyDescent="0.25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</row>
    <row r="9741" spans="1:15" ht="15" customHeight="1" x14ac:dyDescent="0.25">
      <c r="A9741" s="3"/>
      <c r="B9741" s="3"/>
      <c r="C9741" s="3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</row>
    <row r="9742" spans="1:15" ht="15" customHeight="1" x14ac:dyDescent="0.25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</row>
    <row r="9743" spans="1:15" ht="15" customHeight="1" x14ac:dyDescent="0.25">
      <c r="A9743" s="3"/>
      <c r="B9743" s="3"/>
      <c r="C9743" s="3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</row>
    <row r="9744" spans="1:15" ht="15" customHeight="1" x14ac:dyDescent="0.25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</row>
    <row r="9745" spans="1:15" ht="15" customHeight="1" x14ac:dyDescent="0.25">
      <c r="A9745" s="3"/>
      <c r="B9745" s="3"/>
      <c r="C9745" s="3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</row>
    <row r="9746" spans="1:15" ht="15" customHeight="1" x14ac:dyDescent="0.25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</row>
    <row r="9747" spans="1:15" ht="15" customHeight="1" x14ac:dyDescent="0.25">
      <c r="A9747" s="3"/>
      <c r="B9747" s="3"/>
      <c r="C9747" s="3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</row>
    <row r="9748" spans="1:15" ht="15" customHeight="1" x14ac:dyDescent="0.25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</row>
    <row r="9749" spans="1:15" ht="15" customHeight="1" x14ac:dyDescent="0.25">
      <c r="A9749" s="3"/>
      <c r="B9749" s="3"/>
      <c r="C9749" s="3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</row>
    <row r="9750" spans="1:15" ht="15" customHeight="1" x14ac:dyDescent="0.25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</row>
    <row r="9751" spans="1:15" ht="15" customHeight="1" x14ac:dyDescent="0.25">
      <c r="A9751" s="3"/>
      <c r="B9751" s="3"/>
      <c r="C9751" s="3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</row>
    <row r="9752" spans="1:15" ht="15" customHeight="1" x14ac:dyDescent="0.25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</row>
    <row r="9753" spans="1:15" ht="15" customHeight="1" x14ac:dyDescent="0.25">
      <c r="A9753" s="3"/>
      <c r="B9753" s="3"/>
      <c r="C9753" s="3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</row>
    <row r="9754" spans="1:15" ht="15" customHeight="1" x14ac:dyDescent="0.25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</row>
    <row r="9755" spans="1:15" ht="15" customHeight="1" x14ac:dyDescent="0.25">
      <c r="A9755" s="3"/>
      <c r="B9755" s="3"/>
      <c r="C9755" s="3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</row>
    <row r="9756" spans="1:15" ht="15" customHeight="1" x14ac:dyDescent="0.25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</row>
    <row r="9757" spans="1:15" ht="15" customHeight="1" x14ac:dyDescent="0.25">
      <c r="A9757" s="3"/>
      <c r="B9757" s="3"/>
      <c r="C9757" s="3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</row>
    <row r="9758" spans="1:15" ht="15" customHeight="1" x14ac:dyDescent="0.25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</row>
    <row r="9759" spans="1:15" ht="15" customHeight="1" x14ac:dyDescent="0.25">
      <c r="A9759" s="3"/>
      <c r="B9759" s="3"/>
      <c r="C9759" s="3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</row>
    <row r="9760" spans="1:15" ht="15" customHeight="1" x14ac:dyDescent="0.25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</row>
    <row r="9761" spans="1:15" ht="15" customHeight="1" x14ac:dyDescent="0.25">
      <c r="A9761" s="3"/>
      <c r="B9761" s="3"/>
      <c r="C9761" s="3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</row>
    <row r="9762" spans="1:15" ht="15" customHeight="1" x14ac:dyDescent="0.25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</row>
    <row r="9763" spans="1:15" ht="15" customHeight="1" x14ac:dyDescent="0.25">
      <c r="A9763" s="3"/>
      <c r="B9763" s="3"/>
      <c r="C9763" s="3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</row>
    <row r="9764" spans="1:15" ht="15" customHeight="1" x14ac:dyDescent="0.25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</row>
    <row r="9765" spans="1:15" ht="15" customHeight="1" x14ac:dyDescent="0.25">
      <c r="A9765" s="3"/>
      <c r="B9765" s="3"/>
      <c r="C9765" s="3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</row>
    <row r="9766" spans="1:15" ht="15" customHeight="1" x14ac:dyDescent="0.25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</row>
    <row r="9767" spans="1:15" ht="15" customHeight="1" x14ac:dyDescent="0.25">
      <c r="A9767" s="3"/>
      <c r="B9767" s="3"/>
      <c r="C9767" s="3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</row>
    <row r="9768" spans="1:15" ht="15" customHeight="1" x14ac:dyDescent="0.25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</row>
    <row r="9769" spans="1:15" ht="15" customHeight="1" x14ac:dyDescent="0.25">
      <c r="A9769" s="3"/>
      <c r="B9769" s="3"/>
      <c r="C9769" s="3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</row>
    <row r="9770" spans="1:15" ht="15" customHeight="1" x14ac:dyDescent="0.25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</row>
    <row r="9771" spans="1:15" ht="15" customHeight="1" x14ac:dyDescent="0.25">
      <c r="A9771" s="3"/>
      <c r="B9771" s="3"/>
      <c r="C9771" s="3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</row>
    <row r="9772" spans="1:15" ht="15" customHeight="1" x14ac:dyDescent="0.25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</row>
    <row r="9773" spans="1:15" ht="15" customHeight="1" x14ac:dyDescent="0.25">
      <c r="A9773" s="3"/>
      <c r="B9773" s="3"/>
      <c r="C9773" s="3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</row>
    <row r="9774" spans="1:15" ht="15" customHeight="1" x14ac:dyDescent="0.25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</row>
    <row r="9775" spans="1:15" ht="15" customHeight="1" x14ac:dyDescent="0.25">
      <c r="A9775" s="3"/>
      <c r="B9775" s="3"/>
      <c r="C9775" s="3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</row>
    <row r="9776" spans="1:15" ht="15" customHeight="1" x14ac:dyDescent="0.25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</row>
    <row r="9777" spans="1:15" ht="15" customHeight="1" x14ac:dyDescent="0.25">
      <c r="A9777" s="3"/>
      <c r="B9777" s="3"/>
      <c r="C9777" s="3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</row>
    <row r="9778" spans="1:15" ht="15" customHeight="1" x14ac:dyDescent="0.25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</row>
    <row r="9779" spans="1:15" ht="15" customHeight="1" x14ac:dyDescent="0.25">
      <c r="A9779" s="3"/>
      <c r="B9779" s="3"/>
      <c r="C9779" s="3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</row>
    <row r="9780" spans="1:15" ht="15" customHeight="1" x14ac:dyDescent="0.25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</row>
    <row r="9781" spans="1:15" ht="15" customHeight="1" x14ac:dyDescent="0.25">
      <c r="A9781" s="3"/>
      <c r="B9781" s="3"/>
      <c r="C9781" s="3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</row>
    <row r="9782" spans="1:15" ht="15" customHeight="1" x14ac:dyDescent="0.25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</row>
    <row r="9783" spans="1:15" ht="15" customHeight="1" x14ac:dyDescent="0.25">
      <c r="A9783" s="3"/>
      <c r="B9783" s="3"/>
      <c r="C9783" s="3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</row>
    <row r="9784" spans="1:15" ht="15" customHeight="1" x14ac:dyDescent="0.25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</row>
    <row r="9785" spans="1:15" ht="15" customHeight="1" x14ac:dyDescent="0.25">
      <c r="A9785" s="3"/>
      <c r="B9785" s="3"/>
      <c r="C9785" s="3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</row>
    <row r="9786" spans="1:15" ht="15" customHeight="1" x14ac:dyDescent="0.25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</row>
    <row r="9787" spans="1:15" ht="15" customHeight="1" x14ac:dyDescent="0.25">
      <c r="A9787" s="3"/>
      <c r="B9787" s="3"/>
      <c r="C9787" s="3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</row>
    <row r="9788" spans="1:15" ht="15" customHeight="1" x14ac:dyDescent="0.25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</row>
    <row r="9789" spans="1:15" ht="15" customHeight="1" x14ac:dyDescent="0.25">
      <c r="A9789" s="3"/>
      <c r="B9789" s="3"/>
      <c r="C9789" s="3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</row>
    <row r="9790" spans="1:15" ht="15" customHeight="1" x14ac:dyDescent="0.25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</row>
    <row r="9791" spans="1:15" ht="15" customHeight="1" x14ac:dyDescent="0.25">
      <c r="A9791" s="3"/>
      <c r="B9791" s="3"/>
      <c r="C9791" s="3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</row>
    <row r="9792" spans="1:15" ht="15" customHeight="1" x14ac:dyDescent="0.25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</row>
    <row r="9793" spans="1:15" ht="15" customHeight="1" x14ac:dyDescent="0.25">
      <c r="A9793" s="3"/>
      <c r="B9793" s="3"/>
      <c r="C9793" s="3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</row>
    <row r="9794" spans="1:15" ht="15" customHeight="1" x14ac:dyDescent="0.25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</row>
    <row r="9795" spans="1:15" ht="15" customHeight="1" x14ac:dyDescent="0.25">
      <c r="A9795" s="3"/>
      <c r="B9795" s="3"/>
      <c r="C9795" s="3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</row>
    <row r="9796" spans="1:15" ht="15" customHeight="1" x14ac:dyDescent="0.25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</row>
    <row r="9797" spans="1:15" ht="15" customHeight="1" x14ac:dyDescent="0.25">
      <c r="A9797" s="3"/>
      <c r="B9797" s="3"/>
      <c r="C9797" s="3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</row>
    <row r="9798" spans="1:15" ht="15" customHeight="1" x14ac:dyDescent="0.25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</row>
    <row r="9799" spans="1:15" ht="15" customHeight="1" x14ac:dyDescent="0.25">
      <c r="A9799" s="3"/>
      <c r="B9799" s="3"/>
      <c r="C9799" s="3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</row>
    <row r="9800" spans="1:15" ht="15" customHeight="1" x14ac:dyDescent="0.25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</row>
    <row r="9801" spans="1:15" ht="15" customHeight="1" x14ac:dyDescent="0.25">
      <c r="A9801" s="3"/>
      <c r="B9801" s="3"/>
      <c r="C9801" s="3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</row>
    <row r="9802" spans="1:15" ht="15" customHeight="1" x14ac:dyDescent="0.25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</row>
    <row r="9803" spans="1:15" ht="15" customHeight="1" x14ac:dyDescent="0.25">
      <c r="A9803" s="3"/>
      <c r="B9803" s="3"/>
      <c r="C9803" s="3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</row>
    <row r="9804" spans="1:15" ht="15" customHeight="1" x14ac:dyDescent="0.25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</row>
    <row r="9805" spans="1:15" ht="15" customHeight="1" x14ac:dyDescent="0.25">
      <c r="A9805" s="3"/>
      <c r="B9805" s="3"/>
      <c r="C9805" s="3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</row>
    <row r="9806" spans="1:15" ht="15" customHeight="1" x14ac:dyDescent="0.25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</row>
    <row r="9807" spans="1:15" ht="15" customHeight="1" x14ac:dyDescent="0.25">
      <c r="A9807" s="3"/>
      <c r="B9807" s="3"/>
      <c r="C9807" s="3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</row>
    <row r="9808" spans="1:15" ht="15" customHeight="1" x14ac:dyDescent="0.25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</row>
    <row r="9809" spans="1:15" ht="15" customHeight="1" x14ac:dyDescent="0.25">
      <c r="A9809" s="3"/>
      <c r="B9809" s="3"/>
      <c r="C9809" s="3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</row>
    <row r="9810" spans="1:15" ht="15" customHeight="1" x14ac:dyDescent="0.25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</row>
    <row r="9811" spans="1:15" ht="15" customHeight="1" x14ac:dyDescent="0.25">
      <c r="A9811" s="3"/>
      <c r="B9811" s="3"/>
      <c r="C9811" s="3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</row>
    <row r="9812" spans="1:15" ht="15" customHeight="1" x14ac:dyDescent="0.25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</row>
    <row r="9813" spans="1:15" ht="15" customHeight="1" x14ac:dyDescent="0.25">
      <c r="A9813" s="3"/>
      <c r="B9813" s="3"/>
      <c r="C9813" s="3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</row>
    <row r="9814" spans="1:15" ht="15" customHeight="1" x14ac:dyDescent="0.25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</row>
    <row r="9815" spans="1:15" ht="15" customHeight="1" x14ac:dyDescent="0.25">
      <c r="A9815" s="3"/>
      <c r="B9815" s="3"/>
      <c r="C9815" s="3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</row>
    <row r="9816" spans="1:15" ht="15" customHeight="1" x14ac:dyDescent="0.25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</row>
    <row r="9817" spans="1:15" ht="15" customHeight="1" x14ac:dyDescent="0.25">
      <c r="A9817" s="3"/>
      <c r="B9817" s="3"/>
      <c r="C9817" s="3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</row>
    <row r="9818" spans="1:15" ht="15" customHeight="1" x14ac:dyDescent="0.25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</row>
    <row r="9819" spans="1:15" ht="15" customHeight="1" x14ac:dyDescent="0.25">
      <c r="A9819" s="3"/>
      <c r="B9819" s="3"/>
      <c r="C9819" s="3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</row>
    <row r="9820" spans="1:15" ht="15" customHeight="1" x14ac:dyDescent="0.25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</row>
    <row r="9821" spans="1:15" ht="15" customHeight="1" x14ac:dyDescent="0.25">
      <c r="A9821" s="3"/>
      <c r="B9821" s="3"/>
      <c r="C9821" s="3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</row>
    <row r="9822" spans="1:15" ht="15" customHeight="1" x14ac:dyDescent="0.25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</row>
    <row r="9823" spans="1:15" ht="15" customHeight="1" x14ac:dyDescent="0.25">
      <c r="A9823" s="3"/>
      <c r="B9823" s="3"/>
      <c r="C9823" s="3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</row>
    <row r="9824" spans="1:15" ht="15" customHeight="1" x14ac:dyDescent="0.25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</row>
    <row r="9825" spans="1:15" ht="15" customHeight="1" x14ac:dyDescent="0.25">
      <c r="A9825" s="3"/>
      <c r="B9825" s="3"/>
      <c r="C9825" s="3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</row>
    <row r="9826" spans="1:15" ht="15" customHeight="1" x14ac:dyDescent="0.25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</row>
    <row r="9827" spans="1:15" ht="15" customHeight="1" x14ac:dyDescent="0.25">
      <c r="A9827" s="3"/>
      <c r="B9827" s="3"/>
      <c r="C9827" s="3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</row>
    <row r="9828" spans="1:15" ht="15" customHeight="1" x14ac:dyDescent="0.25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</row>
    <row r="9829" spans="1:15" ht="15" customHeight="1" x14ac:dyDescent="0.25">
      <c r="A9829" s="3"/>
      <c r="B9829" s="3"/>
      <c r="C9829" s="3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</row>
    <row r="9830" spans="1:15" ht="15" customHeight="1" x14ac:dyDescent="0.25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</row>
    <row r="9831" spans="1:15" ht="15" customHeight="1" x14ac:dyDescent="0.25">
      <c r="A9831" s="3"/>
      <c r="B9831" s="3"/>
      <c r="C9831" s="3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</row>
    <row r="9832" spans="1:15" ht="15" customHeight="1" x14ac:dyDescent="0.25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</row>
    <row r="9833" spans="1:15" ht="15" customHeight="1" x14ac:dyDescent="0.25">
      <c r="A9833" s="3"/>
      <c r="B9833" s="3"/>
      <c r="C9833" s="3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</row>
    <row r="9834" spans="1:15" ht="15" customHeight="1" x14ac:dyDescent="0.25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</row>
    <row r="9835" spans="1:15" ht="15" customHeight="1" x14ac:dyDescent="0.25">
      <c r="A9835" s="3"/>
      <c r="B9835" s="3"/>
      <c r="C9835" s="3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</row>
    <row r="9836" spans="1:15" ht="15" customHeight="1" x14ac:dyDescent="0.25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</row>
    <row r="9837" spans="1:15" ht="15" customHeight="1" x14ac:dyDescent="0.25">
      <c r="A9837" s="3"/>
      <c r="B9837" s="3"/>
      <c r="C9837" s="3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</row>
    <row r="9838" spans="1:15" ht="15" customHeight="1" x14ac:dyDescent="0.25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</row>
    <row r="9839" spans="1:15" ht="15" customHeight="1" x14ac:dyDescent="0.25">
      <c r="A9839" s="3"/>
      <c r="B9839" s="3"/>
      <c r="C9839" s="3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</row>
    <row r="9840" spans="1:15" ht="15" customHeight="1" x14ac:dyDescent="0.25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</row>
    <row r="9841" spans="1:15" ht="15" customHeight="1" x14ac:dyDescent="0.25">
      <c r="A9841" s="3"/>
      <c r="B9841" s="3"/>
      <c r="C9841" s="3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</row>
    <row r="9842" spans="1:15" ht="15" customHeight="1" x14ac:dyDescent="0.25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</row>
    <row r="9843" spans="1:15" ht="15" customHeight="1" x14ac:dyDescent="0.25">
      <c r="A9843" s="3"/>
      <c r="B9843" s="3"/>
      <c r="C9843" s="3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</row>
    <row r="9844" spans="1:15" ht="15" customHeight="1" x14ac:dyDescent="0.25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</row>
    <row r="9845" spans="1:15" ht="15" customHeight="1" x14ac:dyDescent="0.25">
      <c r="A9845" s="3"/>
      <c r="B9845" s="3"/>
      <c r="C9845" s="3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</row>
    <row r="9846" spans="1:15" ht="15" customHeight="1" x14ac:dyDescent="0.25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</row>
    <row r="9847" spans="1:15" ht="15" customHeight="1" x14ac:dyDescent="0.25">
      <c r="A9847" s="3"/>
      <c r="B9847" s="3"/>
      <c r="C9847" s="3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</row>
    <row r="9848" spans="1:15" ht="15" customHeight="1" x14ac:dyDescent="0.25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</row>
    <row r="9849" spans="1:15" ht="15" customHeight="1" x14ac:dyDescent="0.25">
      <c r="A9849" s="3"/>
      <c r="B9849" s="3"/>
      <c r="C9849" s="3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</row>
    <row r="9850" spans="1:15" ht="15" customHeight="1" x14ac:dyDescent="0.25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</row>
    <row r="9851" spans="1:15" ht="15" customHeight="1" x14ac:dyDescent="0.25">
      <c r="A9851" s="3"/>
      <c r="B9851" s="3"/>
      <c r="C9851" s="3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</row>
    <row r="9852" spans="1:15" ht="15" customHeight="1" x14ac:dyDescent="0.25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</row>
    <row r="9853" spans="1:15" ht="15" customHeight="1" x14ac:dyDescent="0.25">
      <c r="A9853" s="3"/>
      <c r="B9853" s="3"/>
      <c r="C9853" s="3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</row>
    <row r="9854" spans="1:15" ht="15" customHeight="1" x14ac:dyDescent="0.25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</row>
    <row r="9855" spans="1:15" ht="15" customHeight="1" x14ac:dyDescent="0.25">
      <c r="A9855" s="3"/>
      <c r="B9855" s="3"/>
      <c r="C9855" s="3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</row>
    <row r="9856" spans="1:15" ht="15" customHeight="1" x14ac:dyDescent="0.25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</row>
    <row r="9857" spans="1:15" ht="15" customHeight="1" x14ac:dyDescent="0.25">
      <c r="A9857" s="3"/>
      <c r="B9857" s="3"/>
      <c r="C9857" s="3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</row>
    <row r="9858" spans="1:15" ht="15" customHeight="1" x14ac:dyDescent="0.25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</row>
    <row r="9859" spans="1:15" ht="15" customHeight="1" x14ac:dyDescent="0.25">
      <c r="A9859" s="3"/>
      <c r="B9859" s="3"/>
      <c r="C9859" s="3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</row>
    <row r="9860" spans="1:15" ht="15" customHeight="1" x14ac:dyDescent="0.25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</row>
    <row r="9861" spans="1:15" ht="15" customHeight="1" x14ac:dyDescent="0.25">
      <c r="A9861" s="3"/>
      <c r="B9861" s="3"/>
      <c r="C9861" s="3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</row>
    <row r="9862" spans="1:15" ht="15" customHeight="1" x14ac:dyDescent="0.25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</row>
    <row r="9863" spans="1:15" ht="15" customHeight="1" x14ac:dyDescent="0.25">
      <c r="A9863" s="3"/>
      <c r="B9863" s="3"/>
      <c r="C9863" s="3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</row>
    <row r="9864" spans="1:15" ht="15" customHeight="1" x14ac:dyDescent="0.25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</row>
    <row r="9865" spans="1:15" ht="15" customHeight="1" x14ac:dyDescent="0.25">
      <c r="A9865" s="3"/>
      <c r="B9865" s="3"/>
      <c r="C9865" s="3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</row>
    <row r="9866" spans="1:15" ht="15" customHeight="1" x14ac:dyDescent="0.25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</row>
    <row r="9867" spans="1:15" ht="15" customHeight="1" x14ac:dyDescent="0.25">
      <c r="A9867" s="3"/>
      <c r="B9867" s="3"/>
      <c r="C9867" s="3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</row>
    <row r="9868" spans="1:15" ht="15" customHeight="1" x14ac:dyDescent="0.25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</row>
    <row r="9869" spans="1:15" ht="15" customHeight="1" x14ac:dyDescent="0.25">
      <c r="A9869" s="3"/>
      <c r="B9869" s="3"/>
      <c r="C9869" s="3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</row>
    <row r="9870" spans="1:15" ht="15" customHeight="1" x14ac:dyDescent="0.25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</row>
    <row r="9871" spans="1:15" ht="15" customHeight="1" x14ac:dyDescent="0.25">
      <c r="A9871" s="3"/>
      <c r="B9871" s="3"/>
      <c r="C9871" s="3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</row>
    <row r="9872" spans="1:15" ht="15" customHeight="1" x14ac:dyDescent="0.25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</row>
    <row r="9873" spans="1:15" ht="15" customHeight="1" x14ac:dyDescent="0.25">
      <c r="A9873" s="3"/>
      <c r="B9873" s="3"/>
      <c r="C9873" s="3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</row>
    <row r="9874" spans="1:15" ht="15" customHeight="1" x14ac:dyDescent="0.25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</row>
    <row r="9875" spans="1:15" ht="15" customHeight="1" x14ac:dyDescent="0.25">
      <c r="A9875" s="3"/>
      <c r="B9875" s="3"/>
      <c r="C9875" s="3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</row>
    <row r="9876" spans="1:15" ht="15" customHeight="1" x14ac:dyDescent="0.25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</row>
    <row r="9877" spans="1:15" ht="15" customHeight="1" x14ac:dyDescent="0.25">
      <c r="A9877" s="3"/>
      <c r="B9877" s="3"/>
      <c r="C9877" s="3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</row>
    <row r="9878" spans="1:15" ht="15" customHeight="1" x14ac:dyDescent="0.25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</row>
    <row r="9879" spans="1:15" ht="15" customHeight="1" x14ac:dyDescent="0.25">
      <c r="A9879" s="3"/>
      <c r="B9879" s="3"/>
      <c r="C9879" s="3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</row>
    <row r="9880" spans="1:15" ht="15" customHeight="1" x14ac:dyDescent="0.25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</row>
    <row r="9881" spans="1:15" ht="15" customHeight="1" x14ac:dyDescent="0.25">
      <c r="A9881" s="3"/>
      <c r="B9881" s="3"/>
      <c r="C9881" s="3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</row>
    <row r="9882" spans="1:15" ht="15" customHeight="1" x14ac:dyDescent="0.25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</row>
    <row r="9883" spans="1:15" ht="15" customHeight="1" x14ac:dyDescent="0.25">
      <c r="A9883" s="3"/>
      <c r="B9883" s="3"/>
      <c r="C9883" s="3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</row>
    <row r="9884" spans="1:15" ht="15" customHeight="1" x14ac:dyDescent="0.25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</row>
    <row r="9885" spans="1:15" ht="15" customHeight="1" x14ac:dyDescent="0.25">
      <c r="A9885" s="3"/>
      <c r="B9885" s="3"/>
      <c r="C9885" s="3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</row>
    <row r="9886" spans="1:15" ht="15" customHeight="1" x14ac:dyDescent="0.25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</row>
    <row r="9887" spans="1:15" ht="15" customHeight="1" x14ac:dyDescent="0.25">
      <c r="A9887" s="3"/>
      <c r="B9887" s="3"/>
      <c r="C9887" s="3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</row>
    <row r="9888" spans="1:15" ht="15" customHeight="1" x14ac:dyDescent="0.25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</row>
    <row r="9889" spans="1:15" ht="15" customHeight="1" x14ac:dyDescent="0.25">
      <c r="A9889" s="3"/>
      <c r="B9889" s="3"/>
      <c r="C9889" s="3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</row>
    <row r="9890" spans="1:15" ht="15" customHeight="1" x14ac:dyDescent="0.25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</row>
    <row r="9891" spans="1:15" ht="15" customHeight="1" x14ac:dyDescent="0.25">
      <c r="A9891" s="3"/>
      <c r="B9891" s="3"/>
      <c r="C9891" s="3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</row>
    <row r="9892" spans="1:15" ht="15" customHeight="1" x14ac:dyDescent="0.25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</row>
    <row r="9893" spans="1:15" ht="15" customHeight="1" x14ac:dyDescent="0.25">
      <c r="A9893" s="3"/>
      <c r="B9893" s="3"/>
      <c r="C9893" s="3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</row>
    <row r="9894" spans="1:15" ht="15" customHeight="1" x14ac:dyDescent="0.25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</row>
    <row r="9895" spans="1:15" ht="15" customHeight="1" x14ac:dyDescent="0.25">
      <c r="A9895" s="3"/>
      <c r="B9895" s="3"/>
      <c r="C9895" s="3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</row>
    <row r="9896" spans="1:15" ht="15" customHeight="1" x14ac:dyDescent="0.25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</row>
    <row r="9897" spans="1:15" ht="15" customHeight="1" x14ac:dyDescent="0.25">
      <c r="A9897" s="3"/>
      <c r="B9897" s="3"/>
      <c r="C9897" s="3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</row>
    <row r="9898" spans="1:15" ht="15" customHeight="1" x14ac:dyDescent="0.25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</row>
    <row r="9899" spans="1:15" ht="15" customHeight="1" x14ac:dyDescent="0.25">
      <c r="A9899" s="3"/>
      <c r="B9899" s="3"/>
      <c r="C9899" s="3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</row>
    <row r="9900" spans="1:15" ht="15" customHeight="1" x14ac:dyDescent="0.25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</row>
    <row r="9901" spans="1:15" ht="15" customHeight="1" x14ac:dyDescent="0.25">
      <c r="A9901" s="3"/>
      <c r="B9901" s="3"/>
      <c r="C9901" s="3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</row>
    <row r="9902" spans="1:15" ht="15" customHeight="1" x14ac:dyDescent="0.25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</row>
    <row r="9903" spans="1:15" ht="15" customHeight="1" x14ac:dyDescent="0.25">
      <c r="A9903" s="3"/>
      <c r="B9903" s="3"/>
      <c r="C9903" s="3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</row>
    <row r="9904" spans="1:15" ht="15" customHeight="1" x14ac:dyDescent="0.25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</row>
    <row r="9905" spans="1:15" ht="15" customHeight="1" x14ac:dyDescent="0.25">
      <c r="A9905" s="3"/>
      <c r="B9905" s="3"/>
      <c r="C9905" s="3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</row>
    <row r="9906" spans="1:15" ht="15" customHeight="1" x14ac:dyDescent="0.25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</row>
    <row r="9907" spans="1:15" ht="15" customHeight="1" x14ac:dyDescent="0.25">
      <c r="A9907" s="3"/>
      <c r="B9907" s="3"/>
      <c r="C9907" s="3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</row>
    <row r="9908" spans="1:15" ht="15" customHeight="1" x14ac:dyDescent="0.25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</row>
    <row r="9909" spans="1:15" ht="15" customHeight="1" x14ac:dyDescent="0.25">
      <c r="A9909" s="3"/>
      <c r="B9909" s="3"/>
      <c r="C9909" s="3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</row>
    <row r="9910" spans="1:15" ht="15" customHeight="1" x14ac:dyDescent="0.25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</row>
    <row r="9911" spans="1:15" ht="15" customHeight="1" x14ac:dyDescent="0.25">
      <c r="A9911" s="3"/>
      <c r="B9911" s="3"/>
      <c r="C9911" s="3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</row>
    <row r="9912" spans="1:15" ht="15" customHeight="1" x14ac:dyDescent="0.25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</row>
    <row r="9913" spans="1:15" ht="15" customHeight="1" x14ac:dyDescent="0.25">
      <c r="A9913" s="3"/>
      <c r="B9913" s="3"/>
      <c r="C9913" s="3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</row>
    <row r="9914" spans="1:15" ht="15" customHeight="1" x14ac:dyDescent="0.25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</row>
    <row r="9915" spans="1:15" ht="15" customHeight="1" x14ac:dyDescent="0.25">
      <c r="A9915" s="3"/>
      <c r="B9915" s="3"/>
      <c r="C9915" s="3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</row>
    <row r="9916" spans="1:15" ht="15" customHeight="1" x14ac:dyDescent="0.25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</row>
    <row r="9917" spans="1:15" ht="15" customHeight="1" x14ac:dyDescent="0.25">
      <c r="A9917" s="3"/>
      <c r="B9917" s="3"/>
      <c r="C9917" s="3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</row>
    <row r="9918" spans="1:15" ht="15" customHeight="1" x14ac:dyDescent="0.25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</row>
    <row r="9919" spans="1:15" ht="15" customHeight="1" x14ac:dyDescent="0.25">
      <c r="A9919" s="3"/>
      <c r="B9919" s="3"/>
      <c r="C9919" s="3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</row>
    <row r="9920" spans="1:15" ht="15" customHeight="1" x14ac:dyDescent="0.25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</row>
    <row r="9921" spans="1:15" ht="15" customHeight="1" x14ac:dyDescent="0.25">
      <c r="A9921" s="3"/>
      <c r="B9921" s="3"/>
      <c r="C9921" s="3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</row>
    <row r="9922" spans="1:15" ht="15" customHeight="1" x14ac:dyDescent="0.25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</row>
    <row r="9923" spans="1:15" ht="15" customHeight="1" x14ac:dyDescent="0.25">
      <c r="A9923" s="3"/>
      <c r="B9923" s="3"/>
      <c r="C9923" s="3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</row>
    <row r="9924" spans="1:15" ht="15" customHeight="1" x14ac:dyDescent="0.25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</row>
    <row r="9925" spans="1:15" ht="15" customHeight="1" x14ac:dyDescent="0.25">
      <c r="A9925" s="3"/>
      <c r="B9925" s="3"/>
      <c r="C9925" s="3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</row>
    <row r="9926" spans="1:15" ht="15" customHeight="1" x14ac:dyDescent="0.25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</row>
    <row r="9927" spans="1:15" ht="15" customHeight="1" x14ac:dyDescent="0.25">
      <c r="A9927" s="3"/>
      <c r="B9927" s="3"/>
      <c r="C9927" s="3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</row>
    <row r="9928" spans="1:15" ht="15" customHeight="1" x14ac:dyDescent="0.25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</row>
    <row r="9929" spans="1:15" ht="15" customHeight="1" x14ac:dyDescent="0.25">
      <c r="A9929" s="3"/>
      <c r="B9929" s="3"/>
      <c r="C9929" s="3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</row>
    <row r="9930" spans="1:15" ht="15" customHeight="1" x14ac:dyDescent="0.25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</row>
    <row r="9931" spans="1:15" ht="15" customHeight="1" x14ac:dyDescent="0.25">
      <c r="A9931" s="3"/>
      <c r="B9931" s="3"/>
      <c r="C9931" s="3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</row>
    <row r="9932" spans="1:15" ht="15" customHeight="1" x14ac:dyDescent="0.25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</row>
    <row r="9933" spans="1:15" ht="15" customHeight="1" x14ac:dyDescent="0.25">
      <c r="A9933" s="3"/>
      <c r="B9933" s="3"/>
      <c r="C9933" s="3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</row>
    <row r="9934" spans="1:15" ht="15" customHeight="1" x14ac:dyDescent="0.25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</row>
    <row r="9935" spans="1:15" ht="15" customHeight="1" x14ac:dyDescent="0.25">
      <c r="A9935" s="3"/>
      <c r="B9935" s="3"/>
      <c r="C9935" s="3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</row>
    <row r="9936" spans="1:15" ht="15" customHeight="1" x14ac:dyDescent="0.25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</row>
    <row r="9937" spans="1:15" ht="15" customHeight="1" x14ac:dyDescent="0.25">
      <c r="A9937" s="3"/>
      <c r="B9937" s="3"/>
      <c r="C9937" s="3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</row>
    <row r="9938" spans="1:15" ht="15" customHeight="1" x14ac:dyDescent="0.25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</row>
    <row r="9939" spans="1:15" ht="15" customHeight="1" x14ac:dyDescent="0.25">
      <c r="A9939" s="3"/>
      <c r="B9939" s="3"/>
      <c r="C9939" s="3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</row>
    <row r="9940" spans="1:15" ht="15" customHeight="1" x14ac:dyDescent="0.25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</row>
    <row r="9941" spans="1:15" ht="15" customHeight="1" x14ac:dyDescent="0.25">
      <c r="A9941" s="3"/>
      <c r="B9941" s="3"/>
      <c r="C9941" s="3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</row>
    <row r="9942" spans="1:15" ht="15" customHeight="1" x14ac:dyDescent="0.25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</row>
    <row r="9943" spans="1:15" ht="15" customHeight="1" x14ac:dyDescent="0.25">
      <c r="A9943" s="3"/>
      <c r="B9943" s="3"/>
      <c r="C9943" s="3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</row>
    <row r="9944" spans="1:15" ht="15" customHeight="1" x14ac:dyDescent="0.25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</row>
    <row r="9945" spans="1:15" ht="15" customHeight="1" x14ac:dyDescent="0.25">
      <c r="A9945" s="3"/>
      <c r="B9945" s="3"/>
      <c r="C9945" s="3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</row>
    <row r="9946" spans="1:15" ht="15" customHeight="1" x14ac:dyDescent="0.25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</row>
    <row r="9947" spans="1:15" ht="15" customHeight="1" x14ac:dyDescent="0.25">
      <c r="A9947" s="3"/>
      <c r="B9947" s="3"/>
      <c r="C9947" s="3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</row>
    <row r="9948" spans="1:15" ht="15" customHeight="1" x14ac:dyDescent="0.25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</row>
    <row r="9949" spans="1:15" ht="15" customHeight="1" x14ac:dyDescent="0.25">
      <c r="A9949" s="3"/>
      <c r="B9949" s="3"/>
      <c r="C9949" s="3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</row>
    <row r="9950" spans="1:15" ht="15" customHeight="1" x14ac:dyDescent="0.25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</row>
    <row r="9951" spans="1:15" ht="15" customHeight="1" x14ac:dyDescent="0.25">
      <c r="A9951" s="3"/>
      <c r="B9951" s="3"/>
      <c r="C9951" s="3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</row>
    <row r="9952" spans="1:15" ht="15" customHeight="1" x14ac:dyDescent="0.25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</row>
    <row r="9953" spans="1:15" ht="15" customHeight="1" x14ac:dyDescent="0.25">
      <c r="A9953" s="3"/>
      <c r="B9953" s="3"/>
      <c r="C9953" s="3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</row>
    <row r="9954" spans="1:15" ht="15" customHeight="1" x14ac:dyDescent="0.25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</row>
    <row r="9955" spans="1:15" ht="15" customHeight="1" x14ac:dyDescent="0.25">
      <c r="A9955" s="3"/>
      <c r="B9955" s="3"/>
      <c r="C9955" s="3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</row>
    <row r="9956" spans="1:15" ht="15" customHeight="1" x14ac:dyDescent="0.25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</row>
    <row r="9957" spans="1:15" ht="15" customHeight="1" x14ac:dyDescent="0.25">
      <c r="A9957" s="3"/>
      <c r="B9957" s="3"/>
      <c r="C9957" s="3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</row>
    <row r="9958" spans="1:15" ht="15" customHeight="1" x14ac:dyDescent="0.25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</row>
    <row r="9959" spans="1:15" ht="15" customHeight="1" x14ac:dyDescent="0.25">
      <c r="A9959" s="3"/>
      <c r="B9959" s="3"/>
      <c r="C9959" s="3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</row>
    <row r="9960" spans="1:15" ht="15" customHeight="1" x14ac:dyDescent="0.25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</row>
    <row r="9961" spans="1:15" ht="15" customHeight="1" x14ac:dyDescent="0.25">
      <c r="A9961" s="3"/>
      <c r="B9961" s="3"/>
      <c r="C9961" s="3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</row>
    <row r="9962" spans="1:15" ht="15" customHeight="1" x14ac:dyDescent="0.25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</row>
    <row r="9963" spans="1:15" ht="15" customHeight="1" x14ac:dyDescent="0.25">
      <c r="A9963" s="3"/>
      <c r="B9963" s="3"/>
      <c r="C9963" s="3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</row>
    <row r="9964" spans="1:15" ht="15" customHeight="1" x14ac:dyDescent="0.25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</row>
    <row r="9965" spans="1:15" ht="15" customHeight="1" x14ac:dyDescent="0.25">
      <c r="A9965" s="3"/>
      <c r="B9965" s="3"/>
      <c r="C9965" s="3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</row>
    <row r="9966" spans="1:15" ht="15" customHeight="1" x14ac:dyDescent="0.25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</row>
    <row r="9967" spans="1:15" ht="15" customHeight="1" x14ac:dyDescent="0.25">
      <c r="A9967" s="3"/>
      <c r="B9967" s="3"/>
      <c r="C9967" s="3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</row>
    <row r="9968" spans="1:15" ht="15" customHeight="1" x14ac:dyDescent="0.25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</row>
    <row r="9969" spans="1:15" ht="15" customHeight="1" x14ac:dyDescent="0.25">
      <c r="A9969" s="3"/>
      <c r="B9969" s="3"/>
      <c r="C9969" s="3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</row>
    <row r="9970" spans="1:15" ht="15" customHeight="1" x14ac:dyDescent="0.25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</row>
    <row r="9971" spans="1:15" ht="15" customHeight="1" x14ac:dyDescent="0.25">
      <c r="A9971" s="3"/>
      <c r="B9971" s="3"/>
      <c r="C9971" s="3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</row>
    <row r="9972" spans="1:15" ht="15" customHeight="1" x14ac:dyDescent="0.25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</row>
    <row r="9973" spans="1:15" ht="15" customHeight="1" x14ac:dyDescent="0.25">
      <c r="A9973" s="3"/>
      <c r="B9973" s="3"/>
      <c r="C9973" s="3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</row>
    <row r="9974" spans="1:15" ht="15" customHeight="1" x14ac:dyDescent="0.25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</row>
    <row r="9975" spans="1:15" ht="15" customHeight="1" x14ac:dyDescent="0.25">
      <c r="A9975" s="3"/>
      <c r="B9975" s="3"/>
      <c r="C9975" s="3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</row>
    <row r="9976" spans="1:15" ht="15" customHeight="1" x14ac:dyDescent="0.25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</row>
    <row r="9977" spans="1:15" ht="15" customHeight="1" x14ac:dyDescent="0.25">
      <c r="A9977" s="3"/>
      <c r="B9977" s="3"/>
      <c r="C9977" s="3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</row>
    <row r="9978" spans="1:15" ht="15" customHeight="1" x14ac:dyDescent="0.25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</row>
    <row r="9979" spans="1:15" ht="15" customHeight="1" x14ac:dyDescent="0.25">
      <c r="A9979" s="3"/>
      <c r="B9979" s="3"/>
      <c r="C9979" s="3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</row>
    <row r="9980" spans="1:15" ht="15" customHeight="1" x14ac:dyDescent="0.25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</row>
    <row r="9981" spans="1:15" ht="15" customHeight="1" x14ac:dyDescent="0.25">
      <c r="A9981" s="3"/>
      <c r="B9981" s="3"/>
      <c r="C9981" s="3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</row>
    <row r="9982" spans="1:15" ht="15" customHeight="1" x14ac:dyDescent="0.25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</row>
    <row r="9983" spans="1:15" ht="15" customHeight="1" x14ac:dyDescent="0.25">
      <c r="A9983" s="3"/>
      <c r="B9983" s="3"/>
      <c r="C9983" s="3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</row>
    <row r="9984" spans="1:15" ht="15" customHeight="1" x14ac:dyDescent="0.25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</row>
    <row r="9985" spans="1:15" ht="15" customHeight="1" x14ac:dyDescent="0.25">
      <c r="A9985" s="3"/>
      <c r="B9985" s="3"/>
      <c r="C9985" s="3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</row>
    <row r="9986" spans="1:15" ht="15" customHeight="1" x14ac:dyDescent="0.25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</row>
    <row r="9987" spans="1:15" ht="15" customHeight="1" x14ac:dyDescent="0.25">
      <c r="A9987" s="3"/>
      <c r="B9987" s="3"/>
      <c r="C9987" s="3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</row>
    <row r="9988" spans="1:15" ht="15" customHeight="1" x14ac:dyDescent="0.25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</row>
    <row r="9989" spans="1:15" ht="15" customHeight="1" x14ac:dyDescent="0.25">
      <c r="A9989" s="3"/>
      <c r="B9989" s="3"/>
      <c r="C9989" s="3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</row>
    <row r="9990" spans="1:15" ht="15" customHeight="1" x14ac:dyDescent="0.25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</row>
    <row r="9991" spans="1:15" ht="15" customHeight="1" x14ac:dyDescent="0.25">
      <c r="A9991" s="3"/>
      <c r="B9991" s="3"/>
      <c r="C9991" s="3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</row>
    <row r="9992" spans="1:15" ht="15" customHeight="1" x14ac:dyDescent="0.25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</row>
    <row r="9993" spans="1:15" ht="15" customHeight="1" x14ac:dyDescent="0.25">
      <c r="A9993" s="3"/>
      <c r="B9993" s="3"/>
      <c r="C9993" s="3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</row>
    <row r="9994" spans="1:15" ht="15" customHeight="1" x14ac:dyDescent="0.25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</row>
    <row r="9995" spans="1:15" ht="15" customHeight="1" x14ac:dyDescent="0.25">
      <c r="A9995" s="3"/>
      <c r="B9995" s="3"/>
      <c r="C9995" s="3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</row>
    <row r="9996" spans="1:15" ht="15" customHeight="1" x14ac:dyDescent="0.25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</row>
    <row r="9997" spans="1:15" ht="15" customHeight="1" x14ac:dyDescent="0.25">
      <c r="A9997" s="3"/>
      <c r="B9997" s="3"/>
      <c r="C9997" s="3"/>
      <c r="D9997" s="3"/>
      <c r="E9997" s="3"/>
      <c r="F9997" s="3"/>
      <c r="G9997" s="3"/>
      <c r="H9997" s="3"/>
      <c r="I9997" s="3"/>
      <c r="J9997" s="3"/>
      <c r="K9997" s="3"/>
      <c r="L9997" s="3"/>
      <c r="M9997" s="3"/>
      <c r="N9997" s="3"/>
      <c r="O9997" s="3"/>
    </row>
    <row r="9998" spans="1:15" ht="15" customHeight="1" x14ac:dyDescent="0.25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</row>
    <row r="9999" spans="1:15" ht="15" customHeight="1" x14ac:dyDescent="0.25">
      <c r="A9999" s="3"/>
      <c r="B9999" s="3"/>
      <c r="C9999" s="3"/>
      <c r="D9999" s="3"/>
      <c r="E9999" s="3"/>
      <c r="F9999" s="3"/>
      <c r="G9999" s="3"/>
      <c r="H9999" s="3"/>
      <c r="I9999" s="3"/>
      <c r="J9999" s="3"/>
      <c r="K9999" s="3"/>
      <c r="L9999" s="3"/>
      <c r="M9999" s="3"/>
      <c r="N9999" s="3"/>
      <c r="O9999" s="3"/>
    </row>
  </sheetData>
  <dataValidations count="11">
    <dataValidation type="list" allowBlank="1" sqref="I2 E1:E1048576" xr:uid="{A8D91937-A053-4DF5-8527-1E10DF105C1A}">
      <formula1>"1,2,3"</formula1>
    </dataValidation>
    <dataValidation type="list" allowBlank="1" sqref="B2:B9999" xr:uid="{00000000-0002-0000-0000-000000000000}">
      <formula1>"0,5,10,20,30"</formula1>
      <formula2>0</formula2>
    </dataValidation>
    <dataValidation type="list" allowBlank="1" sqref="C2:C9999" xr:uid="{00000000-0002-0000-0000-000001000000}">
      <formula1>"F,N,B"</formula1>
      <formula2>0</formula2>
    </dataValidation>
    <dataValidation type="list" allowBlank="1" sqref="D2:D9999" xr:uid="{00000000-0002-0000-0000-000002000000}">
      <formula1>"A,M,D"</formula1>
      <formula2>0</formula2>
    </dataValidation>
    <dataValidation type="list" allowBlank="1" sqref="F2:F9999" xr:uid="{00000000-0002-0000-0000-000003000000}">
      <formula1>"0,1,2,3"</formula1>
      <formula2>0</formula2>
    </dataValidation>
    <dataValidation type="list" allowBlank="1" sqref="G2:G9999" xr:uid="{00000000-0002-0000-0000-000004000000}">
      <formula1>"F,H,B"</formula1>
      <formula2>0</formula2>
    </dataValidation>
    <dataValidation type="list" allowBlank="1" sqref="I3:I9999" xr:uid="{00000000-0002-0000-0000-000006000000}">
      <formula1>"1,2,3+"</formula1>
      <formula2>0</formula2>
    </dataValidation>
    <dataValidation type="list" allowBlank="1" sqref="J2:N9999" xr:uid="{00000000-0002-0000-0000-000007000000}">
      <formula1>"Y,N"</formula1>
      <formula2>0</formula2>
    </dataValidation>
    <dataValidation type="list" allowBlank="1" sqref="A1:A1048576" xr:uid="{5C3C6B4E-5E25-4891-A1CA-B965158C2A9A}">
      <formula1>"W,L,D"</formula1>
    </dataValidation>
    <dataValidation type="list" allowBlank="1" sqref="O1:O1048576" xr:uid="{18C1DE76-5A32-49F5-A1F0-4CFFE0BE759E}">
      <formula1>"0,1"</formula1>
    </dataValidation>
    <dataValidation type="list" allowBlank="1" sqref="H1:H1048576" xr:uid="{E6A5B0DE-391E-4489-94A2-C996D10896D1}">
      <formula1>"S,W, NA"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0"/>
  <sheetViews>
    <sheetView topLeftCell="A16" zoomScaleNormal="100" workbookViewId="0">
      <selection activeCell="G53" sqref="G53"/>
    </sheetView>
  </sheetViews>
  <sheetFormatPr defaultColWidth="8.7109375" defaultRowHeight="15" x14ac:dyDescent="0.25"/>
  <cols>
    <col min="1" max="1" width="12" customWidth="1"/>
    <col min="2" max="2" width="10" customWidth="1"/>
    <col min="3" max="3" width="12" customWidth="1"/>
    <col min="4" max="4" width="16" customWidth="1"/>
    <col min="5" max="5" width="14" customWidth="1"/>
  </cols>
  <sheetData>
    <row r="1" spans="1:5" ht="27.75" customHeight="1" x14ac:dyDescent="0.25">
      <c r="A1" s="28" t="s">
        <v>21</v>
      </c>
      <c r="B1" s="28"/>
      <c r="C1" s="28"/>
      <c r="D1" s="28"/>
      <c r="E1" s="28"/>
    </row>
    <row r="3" spans="1:5" ht="19.5" customHeight="1" x14ac:dyDescent="0.25">
      <c r="A3" s="29" t="s">
        <v>0</v>
      </c>
      <c r="B3" s="29"/>
      <c r="C3" s="29"/>
      <c r="D3" s="29"/>
      <c r="E3" s="29"/>
    </row>
    <row r="4" spans="1:5" ht="19.5" customHeight="1" x14ac:dyDescent="0.25">
      <c r="A4" s="4" t="s">
        <v>22</v>
      </c>
      <c r="B4" s="4" t="s">
        <v>23</v>
      </c>
      <c r="C4" s="4" t="s">
        <v>9</v>
      </c>
      <c r="D4" s="4" t="s">
        <v>24</v>
      </c>
      <c r="E4" s="4" t="s">
        <v>25</v>
      </c>
    </row>
    <row r="5" spans="1:5" ht="15" customHeight="1" x14ac:dyDescent="0.25">
      <c r="A5" s="5">
        <v>0</v>
      </c>
      <c r="B5" s="5">
        <f>COUNTIF('Data Entry'!B2:B9999,0)</f>
        <v>65</v>
      </c>
      <c r="C5" s="5">
        <f>COUNTIFS('Data Entry'!B2:B9999,0,'Data Entry'!O2:O9999,"1")</f>
        <v>53</v>
      </c>
      <c r="D5" s="5">
        <f>COUNTIFS('Data Entry'!B2:B9999,0,'Data Entry'!O2:O9999,"0")</f>
        <v>12</v>
      </c>
      <c r="E5" s="6">
        <f t="shared" ref="E5:E10" si="0">IF(B5=0,"-",C5/B5)</f>
        <v>0.81538461538461537</v>
      </c>
    </row>
    <row r="6" spans="1:5" ht="15" customHeight="1" x14ac:dyDescent="0.25">
      <c r="A6" s="7">
        <v>5</v>
      </c>
      <c r="B6" s="7">
        <f>COUNTIF('Data Entry'!B2:B9999,5)</f>
        <v>154</v>
      </c>
      <c r="C6" s="7">
        <f>COUNTIFS('Data Entry'!B2:B9999,5,'Data Entry'!O2:O9999,"1")</f>
        <v>132</v>
      </c>
      <c r="D6" s="7">
        <f>COUNTIFS('Data Entry'!B2:B9999,5,'Data Entry'!O2:O9999,"0")</f>
        <v>22</v>
      </c>
      <c r="E6" s="8">
        <f t="shared" si="0"/>
        <v>0.8571428571428571</v>
      </c>
    </row>
    <row r="7" spans="1:5" ht="15" customHeight="1" x14ac:dyDescent="0.25">
      <c r="A7" s="5">
        <v>10</v>
      </c>
      <c r="B7" s="5">
        <f>COUNTIF('Data Entry'!B2:B9999,10)</f>
        <v>240</v>
      </c>
      <c r="C7" s="5">
        <f>COUNTIFS('Data Entry'!B2:B9999,10,'Data Entry'!O2:O9999,"1")</f>
        <v>206</v>
      </c>
      <c r="D7" s="5">
        <f>COUNTIFS('Data Entry'!B2:B9999,10,'Data Entry'!O2:O9999,"0")</f>
        <v>34</v>
      </c>
      <c r="E7" s="6">
        <f t="shared" si="0"/>
        <v>0.85833333333333328</v>
      </c>
    </row>
    <row r="8" spans="1:5" ht="15" customHeight="1" x14ac:dyDescent="0.25">
      <c r="A8" s="7">
        <v>20</v>
      </c>
      <c r="B8" s="7">
        <f>COUNTIF('Data Entry'!B2:B9999,20)</f>
        <v>77</v>
      </c>
      <c r="C8" s="7">
        <f>COUNTIFS('Data Entry'!B2:B9999,20,'Data Entry'!O2:O9999,"1")</f>
        <v>52</v>
      </c>
      <c r="D8" s="7">
        <f>COUNTIFS('Data Entry'!B2:B9999,20,'Data Entry'!O2:O9999,"0")</f>
        <v>25</v>
      </c>
      <c r="E8" s="8">
        <f t="shared" si="0"/>
        <v>0.67532467532467533</v>
      </c>
    </row>
    <row r="9" spans="1:5" ht="15" customHeight="1" x14ac:dyDescent="0.25">
      <c r="A9" s="5">
        <v>30</v>
      </c>
      <c r="B9" s="5">
        <f>COUNTIF('Data Entry'!B2:B9999,30)</f>
        <v>52</v>
      </c>
      <c r="C9" s="5">
        <f>COUNTIFS('Data Entry'!B2:B9999,30,'Data Entry'!O2:O9999,"1")</f>
        <v>18</v>
      </c>
      <c r="D9" s="5">
        <f>COUNTIFS('Data Entry'!B2:B9999,30,'Data Entry'!O2:O9999,"0")</f>
        <v>34</v>
      </c>
      <c r="E9" s="6">
        <f t="shared" si="0"/>
        <v>0.34615384615384615</v>
      </c>
    </row>
    <row r="10" spans="1:5" ht="15" customHeight="1" x14ac:dyDescent="0.25">
      <c r="A10" s="9" t="s">
        <v>26</v>
      </c>
      <c r="B10" s="9">
        <f>SUM(B5:B9)</f>
        <v>588</v>
      </c>
      <c r="C10" s="9">
        <f>SUM(C5:C9)</f>
        <v>461</v>
      </c>
      <c r="D10" s="9">
        <f>SUM(D5:D9)</f>
        <v>127</v>
      </c>
      <c r="E10" s="10">
        <f t="shared" si="0"/>
        <v>0.78401360544217691</v>
      </c>
    </row>
    <row r="12" spans="1:5" ht="19.5" customHeight="1" x14ac:dyDescent="0.25">
      <c r="A12" s="29" t="s">
        <v>1</v>
      </c>
      <c r="B12" s="29"/>
      <c r="C12" s="29"/>
      <c r="D12" s="29"/>
      <c r="E12" s="29"/>
    </row>
    <row r="13" spans="1:5" ht="19.5" customHeight="1" x14ac:dyDescent="0.25">
      <c r="A13" s="4" t="s">
        <v>22</v>
      </c>
      <c r="B13" s="4" t="s">
        <v>23</v>
      </c>
      <c r="C13" s="4" t="s">
        <v>9</v>
      </c>
      <c r="D13" s="4" t="s">
        <v>24</v>
      </c>
      <c r="E13" s="4" t="s">
        <v>25</v>
      </c>
    </row>
    <row r="14" spans="1:5" ht="15" customHeight="1" x14ac:dyDescent="0.25">
      <c r="A14" s="5" t="s">
        <v>10</v>
      </c>
      <c r="B14" s="5">
        <f>COUNTIF('Data Entry'!C2:C9999,"F")</f>
        <v>307</v>
      </c>
      <c r="C14" s="5">
        <f>COUNTIFS('Data Entry'!C2:C9999,"F",'Data Entry'!O2:O9999,"1")</f>
        <v>203</v>
      </c>
      <c r="D14" s="5">
        <f>COUNTIFS('Data Entry'!C2:C9999,"F",'Data Entry'!O2:O9999,"0")</f>
        <v>104</v>
      </c>
      <c r="E14" s="6">
        <f>IF(B14=0,"-",C14/B14)</f>
        <v>0.66123778501628661</v>
      </c>
    </row>
    <row r="15" spans="1:5" ht="15" customHeight="1" x14ac:dyDescent="0.25">
      <c r="A15" s="7" t="s">
        <v>14</v>
      </c>
      <c r="B15" s="7">
        <f>COUNTIF('Data Entry'!C2:C9999,"N")</f>
        <v>132</v>
      </c>
      <c r="C15" s="7">
        <f>COUNTIFS('Data Entry'!C2:C9999,"N",'Data Entry'!O2:O9999,"1")</f>
        <v>115</v>
      </c>
      <c r="D15" s="7">
        <f>COUNTIFS('Data Entry'!C2:C9999,"N",'Data Entry'!O2:O9999,"0")</f>
        <v>17</v>
      </c>
      <c r="E15" s="8">
        <f>IF(B15=0,"-",C15/B15)</f>
        <v>0.87121212121212122</v>
      </c>
    </row>
    <row r="16" spans="1:5" ht="15" customHeight="1" x14ac:dyDescent="0.25">
      <c r="A16" s="5" t="s">
        <v>18</v>
      </c>
      <c r="B16" s="5">
        <f>COUNTIF('Data Entry'!C2:C9999,"B")</f>
        <v>149</v>
      </c>
      <c r="C16" s="5">
        <f>COUNTIFS('Data Entry'!C2:C9999,"B",'Data Entry'!O2:O9999,"1")</f>
        <v>143</v>
      </c>
      <c r="D16" s="5">
        <f>COUNTIFS('Data Entry'!C2:C9999,"B",'Data Entry'!O2:O9999,"0")</f>
        <v>6</v>
      </c>
      <c r="E16" s="6">
        <f>IF(B16=0,"-",C16/B16)</f>
        <v>0.95973154362416102</v>
      </c>
    </row>
    <row r="17" spans="1:5" ht="15" customHeight="1" x14ac:dyDescent="0.25">
      <c r="A17" s="9" t="s">
        <v>26</v>
      </c>
      <c r="B17" s="9">
        <f>SUM(B14:B16)</f>
        <v>588</v>
      </c>
      <c r="C17" s="9">
        <f>SUM(C14:C16)</f>
        <v>461</v>
      </c>
      <c r="D17" s="9">
        <f>SUM(D14:D16)</f>
        <v>127</v>
      </c>
      <c r="E17" s="10">
        <f>IF(B17=0,"-",C17/B17)</f>
        <v>0.78401360544217691</v>
      </c>
    </row>
    <row r="19" spans="1:5" ht="19.5" customHeight="1" x14ac:dyDescent="0.25">
      <c r="A19" s="29" t="s">
        <v>2</v>
      </c>
      <c r="B19" s="29"/>
      <c r="C19" s="29"/>
      <c r="D19" s="29"/>
      <c r="E19" s="29"/>
    </row>
    <row r="20" spans="1:5" ht="19.5" customHeight="1" x14ac:dyDescent="0.25">
      <c r="A20" s="4" t="s">
        <v>22</v>
      </c>
      <c r="B20" s="4" t="s">
        <v>23</v>
      </c>
      <c r="C20" s="4" t="s">
        <v>9</v>
      </c>
      <c r="D20" s="4" t="s">
        <v>24</v>
      </c>
      <c r="E20" s="4" t="s">
        <v>25</v>
      </c>
    </row>
    <row r="21" spans="1:5" ht="15" customHeight="1" x14ac:dyDescent="0.25">
      <c r="A21" s="5" t="s">
        <v>11</v>
      </c>
      <c r="B21" s="5">
        <f>COUNTIF('Data Entry'!D2:D9999,"A")</f>
        <v>122</v>
      </c>
      <c r="C21" s="5">
        <f>COUNTIFS('Data Entry'!D2:D9999,"A",'Data Entry'!O2:O9999,"1")</f>
        <v>62</v>
      </c>
      <c r="D21" s="5">
        <f>COUNTIFS('Data Entry'!D2:D9999,"A",'Data Entry'!O2:O9999,"0")</f>
        <v>60</v>
      </c>
      <c r="E21" s="6">
        <f>IF(B21=0,"-",C21/B21)</f>
        <v>0.50819672131147542</v>
      </c>
    </row>
    <row r="22" spans="1:5" ht="15" customHeight="1" x14ac:dyDescent="0.25">
      <c r="A22" s="7" t="s">
        <v>19</v>
      </c>
      <c r="B22" s="7">
        <f>COUNTIF('Data Entry'!D2:D9999,"M")</f>
        <v>317</v>
      </c>
      <c r="C22" s="7">
        <f>COUNTIFS('Data Entry'!D2:D9999,"M",'Data Entry'!O2:O9999,"1")</f>
        <v>261</v>
      </c>
      <c r="D22" s="7">
        <f>COUNTIFS('Data Entry'!D2:D9999,"M",'Data Entry'!O2:O9999,"0")</f>
        <v>56</v>
      </c>
      <c r="E22" s="8">
        <f>IF(B22=0,"-",C22/B22)</f>
        <v>0.82334384858044163</v>
      </c>
    </row>
    <row r="23" spans="1:5" ht="15" customHeight="1" x14ac:dyDescent="0.25">
      <c r="A23" s="5" t="s">
        <v>20</v>
      </c>
      <c r="B23" s="5">
        <f>COUNTIF('Data Entry'!D2:D9999,"D")</f>
        <v>149</v>
      </c>
      <c r="C23" s="5">
        <f>COUNTIFS('Data Entry'!D2:D9999,"D",'Data Entry'!O2:O9999,"1")</f>
        <v>138</v>
      </c>
      <c r="D23" s="5">
        <f>COUNTIFS('Data Entry'!D2:D9999,"D",'Data Entry'!O2:O9999,"0")</f>
        <v>11</v>
      </c>
      <c r="E23" s="6">
        <f>IF(B23=0,"-",C23/B23)</f>
        <v>0.9261744966442953</v>
      </c>
    </row>
    <row r="24" spans="1:5" ht="15" customHeight="1" x14ac:dyDescent="0.25">
      <c r="A24" s="9" t="s">
        <v>26</v>
      </c>
      <c r="B24" s="9">
        <f>SUM(B21:B23)</f>
        <v>588</v>
      </c>
      <c r="C24" s="9">
        <f>SUM(C21:C23)</f>
        <v>461</v>
      </c>
      <c r="D24" s="9">
        <f>SUM(D21:D23)</f>
        <v>127</v>
      </c>
      <c r="E24" s="10">
        <f>IF(B24=0,"-",C24/B24)</f>
        <v>0.78401360544217691</v>
      </c>
    </row>
    <row r="26" spans="1:5" ht="19.5" customHeight="1" x14ac:dyDescent="0.25">
      <c r="A26" s="29" t="s">
        <v>3</v>
      </c>
      <c r="B26" s="29"/>
      <c r="C26" s="29"/>
      <c r="D26" s="29"/>
      <c r="E26" s="29"/>
    </row>
    <row r="27" spans="1:5" ht="19.5" customHeight="1" x14ac:dyDescent="0.25">
      <c r="A27" s="4" t="s">
        <v>22</v>
      </c>
      <c r="B27" s="4" t="s">
        <v>23</v>
      </c>
      <c r="C27" s="4" t="s">
        <v>9</v>
      </c>
      <c r="D27" s="4" t="s">
        <v>24</v>
      </c>
      <c r="E27" s="4" t="s">
        <v>25</v>
      </c>
    </row>
    <row r="28" spans="1:5" ht="15" customHeight="1" x14ac:dyDescent="0.25">
      <c r="A28" s="5">
        <v>0</v>
      </c>
      <c r="B28" s="5">
        <f>COUNTIF('Data Entry'!F2:F9999,0)</f>
        <v>443</v>
      </c>
      <c r="C28" s="5">
        <f>COUNTIFS('Data Entry'!F2:F9999,0,'Data Entry'!O2:O9999,"1")</f>
        <v>361</v>
      </c>
      <c r="D28" s="5">
        <f>COUNTIFS('Data Entry'!F2:F9999,0,'Data Entry'!O2:O9999,"0")</f>
        <v>82</v>
      </c>
      <c r="E28" s="6">
        <f>IF(B28=0,"-",C28/B28)</f>
        <v>0.8148984198645598</v>
      </c>
    </row>
    <row r="29" spans="1:5" ht="15" customHeight="1" x14ac:dyDescent="0.25">
      <c r="A29" s="7">
        <v>1</v>
      </c>
      <c r="B29" s="7">
        <f>COUNTIF('Data Entry'!F2:F9999,1)</f>
        <v>136</v>
      </c>
      <c r="C29" s="7">
        <f>COUNTIFS('Data Entry'!F2:F9999,1,'Data Entry'!O2:O9999,"1")</f>
        <v>92</v>
      </c>
      <c r="D29" s="7">
        <f>COUNTIFS('Data Entry'!F2:F9999,1,'Data Entry'!O2:O9999,"0")</f>
        <v>44</v>
      </c>
      <c r="E29" s="8">
        <f>IF(B29=0,"-",C29/B29)</f>
        <v>0.67647058823529416</v>
      </c>
    </row>
    <row r="30" spans="1:5" ht="15" customHeight="1" x14ac:dyDescent="0.25">
      <c r="A30" s="5">
        <v>2</v>
      </c>
      <c r="B30" s="5">
        <f>COUNTIF('Data Entry'!F2:F9999,2)</f>
        <v>7</v>
      </c>
      <c r="C30" s="5">
        <f>COUNTIFS('Data Entry'!F2:F9999,2,'Data Entry'!O2:O9999,"1")</f>
        <v>6</v>
      </c>
      <c r="D30" s="5">
        <f>COUNTIFS('Data Entry'!F2:F9999,2,'Data Entry'!O2:O9999,"0")</f>
        <v>1</v>
      </c>
      <c r="E30" s="6">
        <f>IF(B30=0,"-",C30/B30)</f>
        <v>0.8571428571428571</v>
      </c>
    </row>
    <row r="31" spans="1:5" ht="15" customHeight="1" x14ac:dyDescent="0.25">
      <c r="A31" s="7">
        <v>3</v>
      </c>
      <c r="B31" s="7">
        <f>COUNTIF('Data Entry'!F2:F9999,3)</f>
        <v>1</v>
      </c>
      <c r="C31" s="7">
        <f>COUNTIFS('Data Entry'!F2:F9999,3,'Data Entry'!O2:O9999,"1")</f>
        <v>1</v>
      </c>
      <c r="D31" s="7">
        <f>COUNTIFS('Data Entry'!F2:F9999,3,'Data Entry'!O2:O9999,"0")</f>
        <v>0</v>
      </c>
      <c r="E31" s="8">
        <f>IF(B31=0,"-",C31/B31)</f>
        <v>1</v>
      </c>
    </row>
    <row r="32" spans="1:5" ht="15" customHeight="1" x14ac:dyDescent="0.25">
      <c r="A32" s="9" t="s">
        <v>26</v>
      </c>
      <c r="B32" s="9">
        <f>SUM(B28:B31)</f>
        <v>587</v>
      </c>
      <c r="C32" s="9">
        <f>SUM(C28:C31)</f>
        <v>460</v>
      </c>
      <c r="D32" s="9">
        <f>SUM(D28:D31)</f>
        <v>127</v>
      </c>
      <c r="E32" s="10">
        <f>IF(B32=0,"-",C32/B32)</f>
        <v>0.78364565587734247</v>
      </c>
    </row>
    <row r="34" spans="1:5" ht="19.5" customHeight="1" x14ac:dyDescent="0.25">
      <c r="A34" s="29" t="s">
        <v>4</v>
      </c>
      <c r="B34" s="29"/>
      <c r="C34" s="29"/>
      <c r="D34" s="29"/>
      <c r="E34" s="29"/>
    </row>
    <row r="35" spans="1:5" ht="19.5" customHeight="1" x14ac:dyDescent="0.25">
      <c r="A35" s="4" t="s">
        <v>22</v>
      </c>
      <c r="B35" s="4" t="s">
        <v>23</v>
      </c>
      <c r="C35" s="4" t="s">
        <v>9</v>
      </c>
      <c r="D35" s="4" t="s">
        <v>24</v>
      </c>
      <c r="E35" s="4" t="s">
        <v>25</v>
      </c>
    </row>
    <row r="36" spans="1:5" ht="15" customHeight="1" x14ac:dyDescent="0.25">
      <c r="A36" s="5" t="s">
        <v>10</v>
      </c>
      <c r="B36" s="5">
        <f>COUNTIF('Data Entry'!G2:G9999,"F")</f>
        <v>533</v>
      </c>
      <c r="C36" s="5">
        <f>COUNTIFS('Data Entry'!G2:G9999,"F",'Data Entry'!O2:O9999,"1")</f>
        <v>432</v>
      </c>
      <c r="D36" s="5">
        <f>COUNTIFS('Data Entry'!G2:G9999,"F",'Data Entry'!O2:O9999,"0")</f>
        <v>101</v>
      </c>
      <c r="E36" s="6">
        <f>IF(B36=0,"-",C36/B36)</f>
        <v>0.81050656660412757</v>
      </c>
    </row>
    <row r="37" spans="1:5" ht="15" customHeight="1" x14ac:dyDescent="0.25">
      <c r="A37" s="7" t="s">
        <v>17</v>
      </c>
      <c r="B37" s="7">
        <f>COUNTIF('Data Entry'!G2:G9999,"H")</f>
        <v>52</v>
      </c>
      <c r="C37" s="7">
        <f>COUNTIFS('Data Entry'!G2:G9999,"H",'Data Entry'!O2:O9999,"1")</f>
        <v>26</v>
      </c>
      <c r="D37" s="7">
        <f>COUNTIFS('Data Entry'!G2:G9999,"H",'Data Entry'!O2:O9999,"0")</f>
        <v>26</v>
      </c>
      <c r="E37" s="8">
        <f>IF(B37=0,"-",C37/B37)</f>
        <v>0.5</v>
      </c>
    </row>
    <row r="38" spans="1:5" ht="15" customHeight="1" x14ac:dyDescent="0.25">
      <c r="A38" s="5" t="s">
        <v>18</v>
      </c>
      <c r="B38" s="5">
        <f>COUNTIF('Data Entry'!G2:G9999,"B")</f>
        <v>3</v>
      </c>
      <c r="C38" s="5">
        <f>COUNTIFS('Data Entry'!G2:G9999,"B",'Data Entry'!O2:O9999,"1")</f>
        <v>3</v>
      </c>
      <c r="D38" s="5">
        <f>COUNTIFS('Data Entry'!G2:G9999,"B",'Data Entry'!O2:O9999,"0")</f>
        <v>0</v>
      </c>
      <c r="E38" s="6">
        <f>IF(B38=0,"-",C38/B38)</f>
        <v>1</v>
      </c>
    </row>
    <row r="39" spans="1:5" ht="15" customHeight="1" x14ac:dyDescent="0.25">
      <c r="A39" s="9" t="s">
        <v>26</v>
      </c>
      <c r="B39" s="9">
        <f>SUM(B36:B38)</f>
        <v>588</v>
      </c>
      <c r="C39" s="9">
        <f>SUM(C36:C38)</f>
        <v>461</v>
      </c>
      <c r="D39" s="9">
        <f>SUM(D36:D38)</f>
        <v>127</v>
      </c>
      <c r="E39" s="10">
        <f>IF(B39=0,"-",C39/B39)</f>
        <v>0.78401360544217691</v>
      </c>
    </row>
    <row r="41" spans="1:5" ht="19.5" customHeight="1" x14ac:dyDescent="0.25">
      <c r="A41" s="29" t="s">
        <v>5</v>
      </c>
      <c r="B41" s="29"/>
      <c r="C41" s="29"/>
      <c r="D41" s="29"/>
      <c r="E41" s="29"/>
    </row>
    <row r="42" spans="1:5" ht="19.5" customHeight="1" x14ac:dyDescent="0.25">
      <c r="A42" s="4" t="s">
        <v>22</v>
      </c>
      <c r="B42" s="4" t="s">
        <v>23</v>
      </c>
      <c r="C42" s="4" t="s">
        <v>9</v>
      </c>
      <c r="D42" s="4" t="s">
        <v>24</v>
      </c>
      <c r="E42" s="4" t="s">
        <v>25</v>
      </c>
    </row>
    <row r="43" spans="1:5" ht="15" customHeight="1" x14ac:dyDescent="0.25">
      <c r="A43" s="5" t="s">
        <v>12</v>
      </c>
      <c r="B43" s="5">
        <f>COUNTIF('Data Entry'!H2:H9999,"S")</f>
        <v>454</v>
      </c>
      <c r="C43" s="5">
        <f>COUNTIFS('Data Entry'!H2:H9999,"S",'Data Entry'!O2:O9999,"1")</f>
        <v>373</v>
      </c>
      <c r="D43" s="5">
        <f>COUNTIFS('Data Entry'!H2:H9999,"S",'Data Entry'!O2:O9999,"0")</f>
        <v>81</v>
      </c>
      <c r="E43" s="6">
        <f>IF(B43=0,"-",C43/B43)</f>
        <v>0.82158590308370039</v>
      </c>
    </row>
    <row r="44" spans="1:5" ht="15" customHeight="1" x14ac:dyDescent="0.25">
      <c r="A44" s="7" t="s">
        <v>16</v>
      </c>
      <c r="B44" s="7">
        <f>COUNTIF('Data Entry'!H2:H9999,"W")</f>
        <v>79</v>
      </c>
      <c r="C44" s="7">
        <f>COUNTIFS('Data Entry'!H2:H9999,"W",'Data Entry'!O2:O9999,"1")</f>
        <v>59</v>
      </c>
      <c r="D44" s="7">
        <f>COUNTIFS('Data Entry'!H2:H9999,"W",'Data Entry'!O2:O9999,"0")</f>
        <v>20</v>
      </c>
      <c r="E44" s="8">
        <f>IF(B44=0,"-",C44/B44)</f>
        <v>0.74683544303797467</v>
      </c>
    </row>
    <row r="45" spans="1:5" ht="15" customHeight="1" x14ac:dyDescent="0.25">
      <c r="A45" s="9" t="s">
        <v>26</v>
      </c>
      <c r="B45" s="9">
        <f>SUM(B43:B44)</f>
        <v>533</v>
      </c>
      <c r="C45" s="9">
        <f>SUM(C43:C44)</f>
        <v>432</v>
      </c>
      <c r="D45" s="9">
        <f>SUM(D43:D44)</f>
        <v>101</v>
      </c>
      <c r="E45" s="10">
        <f>IF(B45=0,"-",C45/B45)</f>
        <v>0.81050656660412757</v>
      </c>
    </row>
    <row r="47" spans="1:5" ht="19.5" customHeight="1" x14ac:dyDescent="0.25">
      <c r="A47" s="29" t="s">
        <v>6</v>
      </c>
      <c r="B47" s="29"/>
      <c r="C47" s="29"/>
      <c r="D47" s="29"/>
      <c r="E47" s="29"/>
    </row>
    <row r="48" spans="1:5" ht="19.5" customHeight="1" x14ac:dyDescent="0.25">
      <c r="A48" s="4" t="s">
        <v>22</v>
      </c>
      <c r="B48" s="4" t="s">
        <v>23</v>
      </c>
      <c r="C48" s="4" t="s">
        <v>9</v>
      </c>
      <c r="D48" s="4" t="s">
        <v>24</v>
      </c>
      <c r="E48" s="4" t="s">
        <v>25</v>
      </c>
    </row>
    <row r="49" spans="1:5" ht="15" customHeight="1" x14ac:dyDescent="0.25">
      <c r="A49" s="5">
        <v>1</v>
      </c>
      <c r="B49" s="5">
        <f>COUNTIF('Data Entry'!I2:I9999,1)</f>
        <v>203</v>
      </c>
      <c r="C49" s="5">
        <f>COUNTIFS('Data Entry'!I2:I9999,1,'Data Entry'!O2:O9999,"1")</f>
        <v>140</v>
      </c>
      <c r="D49" s="5">
        <f>COUNTIFS('Data Entry'!I2:I9999,1,'Data Entry'!O2:O9999,"0")</f>
        <v>63</v>
      </c>
      <c r="E49" s="6">
        <f>IF(B49=0,"-",C49/B49)</f>
        <v>0.68965517241379315</v>
      </c>
    </row>
    <row r="50" spans="1:5" ht="15" customHeight="1" x14ac:dyDescent="0.25">
      <c r="A50" s="7">
        <v>2</v>
      </c>
      <c r="B50" s="7">
        <f>COUNTIF('Data Entry'!I2:I9999,2)</f>
        <v>216</v>
      </c>
      <c r="C50" s="7">
        <f>COUNTIFS('Data Entry'!I2:I9999,2,'Data Entry'!O2:O9999,"1")</f>
        <v>181</v>
      </c>
      <c r="D50" s="7">
        <f>COUNTIFS('Data Entry'!I2:I9999,2,'Data Entry'!O2:O9999,"0")</f>
        <v>35</v>
      </c>
      <c r="E50" s="8">
        <f>IF(B50=0,"-",C50/B50)</f>
        <v>0.83796296296296291</v>
      </c>
    </row>
    <row r="51" spans="1:5" ht="15" customHeight="1" x14ac:dyDescent="0.25">
      <c r="A51" s="5" t="s">
        <v>15</v>
      </c>
      <c r="B51" s="5">
        <f>COUNTIF('Data Entry'!I2:I9999,"3+")</f>
        <v>169</v>
      </c>
      <c r="C51" s="5">
        <f>COUNTIFS('Data Entry'!I2:I9999,"3+",'Data Entry'!O2:O9999,"1")</f>
        <v>140</v>
      </c>
      <c r="D51" s="5">
        <f>COUNTIFS('Data Entry'!I2:I9999,"3+",'Data Entry'!O2:O9999,"0")</f>
        <v>29</v>
      </c>
      <c r="E51" s="6">
        <f>IF(B51=0,"-",C51/B51)</f>
        <v>0.82840236686390534</v>
      </c>
    </row>
    <row r="52" spans="1:5" ht="15" customHeight="1" x14ac:dyDescent="0.25">
      <c r="A52" s="9" t="s">
        <v>26</v>
      </c>
      <c r="B52" s="9">
        <f>SUM(B49:B51)</f>
        <v>588</v>
      </c>
      <c r="C52" s="9">
        <f>SUM(C49:C51)</f>
        <v>461</v>
      </c>
      <c r="D52" s="9">
        <f>SUM(D49:D51)</f>
        <v>127</v>
      </c>
      <c r="E52" s="10">
        <f>IF(B52=0,"-",C52/B52)</f>
        <v>0.78401360544217691</v>
      </c>
    </row>
    <row r="54" spans="1:5" ht="19.5" customHeight="1" x14ac:dyDescent="0.25">
      <c r="A54" s="29" t="s">
        <v>7</v>
      </c>
      <c r="B54" s="29"/>
      <c r="C54" s="29"/>
      <c r="D54" s="29"/>
      <c r="E54" s="29"/>
    </row>
    <row r="55" spans="1:5" ht="19.5" customHeight="1" x14ac:dyDescent="0.25">
      <c r="A55" s="4" t="s">
        <v>22</v>
      </c>
      <c r="B55" s="4" t="s">
        <v>23</v>
      </c>
      <c r="C55" s="4" t="s">
        <v>9</v>
      </c>
      <c r="D55" s="4" t="s">
        <v>24</v>
      </c>
      <c r="E55" s="4" t="s">
        <v>25</v>
      </c>
    </row>
    <row r="56" spans="1:5" ht="15" customHeight="1" x14ac:dyDescent="0.25">
      <c r="A56" s="5" t="s">
        <v>13</v>
      </c>
      <c r="B56" s="5">
        <f>COUNTIF('Data Entry'!J2:J9999,"Y")</f>
        <v>46</v>
      </c>
      <c r="C56" s="5">
        <f>COUNTIFS('Data Entry'!J2:J9999,"Y",'Data Entry'!O2:O9999,"1")</f>
        <v>19</v>
      </c>
      <c r="D56" s="5">
        <f>COUNTIFS('Data Entry'!J2:J9999,"Y",'Data Entry'!O2:O9999,"N")</f>
        <v>0</v>
      </c>
      <c r="E56" s="6">
        <f>IF(B56=0,"-",C56/B56)</f>
        <v>0.41304347826086957</v>
      </c>
    </row>
    <row r="57" spans="1:5" ht="15" customHeight="1" x14ac:dyDescent="0.25">
      <c r="A57" s="7" t="s">
        <v>14</v>
      </c>
      <c r="B57" s="7">
        <f>COUNTIF('Data Entry'!J2:J9999,"N")</f>
        <v>542</v>
      </c>
      <c r="C57" s="7">
        <f>COUNTIFS('Data Entry'!J2:J9999,"N",'Data Entry'!O2:O9999,"1")</f>
        <v>442</v>
      </c>
      <c r="D57" s="7">
        <f>COUNTIFS('Data Entry'!J2:J9999,"N",'Data Entry'!O2:O9999,"N")</f>
        <v>0</v>
      </c>
      <c r="E57" s="8">
        <f>IF(B57=0,"-",C57/B57)</f>
        <v>0.81549815498154976</v>
      </c>
    </row>
    <row r="58" spans="1:5" ht="15" customHeight="1" x14ac:dyDescent="0.25">
      <c r="A58" s="9" t="s">
        <v>26</v>
      </c>
      <c r="B58" s="9">
        <f>SUM(B56:B57)</f>
        <v>588</v>
      </c>
      <c r="C58" s="9">
        <f>SUM(C56:C57)</f>
        <v>461</v>
      </c>
      <c r="D58" s="9">
        <f>SUM(D56:D57)</f>
        <v>0</v>
      </c>
      <c r="E58" s="10">
        <f>IF(B58=0,"-",C58/B58)</f>
        <v>0.78401360544217691</v>
      </c>
    </row>
    <row r="60" spans="1:5" ht="19.5" customHeight="1" x14ac:dyDescent="0.25">
      <c r="A60" s="29" t="s">
        <v>82</v>
      </c>
      <c r="B60" s="29"/>
      <c r="C60" s="29"/>
      <c r="D60" s="29"/>
      <c r="E60" s="29"/>
    </row>
    <row r="61" spans="1:5" ht="19.5" customHeight="1" x14ac:dyDescent="0.25">
      <c r="A61" s="4" t="s">
        <v>22</v>
      </c>
      <c r="B61" s="4" t="s">
        <v>23</v>
      </c>
      <c r="C61" s="4" t="s">
        <v>9</v>
      </c>
      <c r="D61" s="4" t="s">
        <v>24</v>
      </c>
      <c r="E61" s="4" t="s">
        <v>25</v>
      </c>
    </row>
    <row r="62" spans="1:5" ht="15" customHeight="1" x14ac:dyDescent="0.25">
      <c r="A62" s="5" t="s">
        <v>13</v>
      </c>
      <c r="B62" s="5">
        <f>COUNTIF('Data Entry'!L2:L9999,"Y")</f>
        <v>86</v>
      </c>
      <c r="C62" s="5">
        <f>COUNTIFS('Data Entry'!L2:L9999,"Y",'Data Entry'!O2:O9999,"1")</f>
        <v>46</v>
      </c>
      <c r="D62" s="5">
        <f>COUNTIFS('Data Entry'!L2:L9999,"Y",'Data Entry'!O2:O9999,"0")</f>
        <v>40</v>
      </c>
      <c r="E62" s="6">
        <f>IF(B62=0,"-",C62/B62)</f>
        <v>0.53488372093023251</v>
      </c>
    </row>
    <row r="63" spans="1:5" ht="15" customHeight="1" x14ac:dyDescent="0.25">
      <c r="A63" s="7" t="s">
        <v>14</v>
      </c>
      <c r="B63" s="7">
        <f>COUNTIF('Data Entry'!L2:L9999,"N")</f>
        <v>502</v>
      </c>
      <c r="C63" s="7">
        <f>COUNTIFS('Data Entry'!L2:L9999,"N",'Data Entry'!O2:O9999,"1")</f>
        <v>415</v>
      </c>
      <c r="D63" s="7">
        <f>COUNTIFS('Data Entry'!L2:L9999,"N",'Data Entry'!O2:O9999,"0")</f>
        <v>87</v>
      </c>
      <c r="E63" s="8">
        <f>IF(B63=0,"-",C63/B63)</f>
        <v>0.82669322709163351</v>
      </c>
    </row>
    <row r="64" spans="1:5" ht="15" customHeight="1" x14ac:dyDescent="0.25">
      <c r="A64" s="9" t="s">
        <v>26</v>
      </c>
      <c r="B64" s="9">
        <f>SUM(B62:B63)</f>
        <v>588</v>
      </c>
      <c r="C64" s="9">
        <f>SUM(C62:C63)</f>
        <v>461</v>
      </c>
      <c r="D64" s="9">
        <f>SUM(D62:D63)</f>
        <v>127</v>
      </c>
      <c r="E64" s="10">
        <f>IF(B64=0,"-",C64/B64)</f>
        <v>0.78401360544217691</v>
      </c>
    </row>
    <row r="66" spans="1:5" ht="19.5" customHeight="1" x14ac:dyDescent="0.25">
      <c r="A66" s="29" t="s">
        <v>83</v>
      </c>
      <c r="B66" s="29"/>
      <c r="C66" s="29"/>
      <c r="D66" s="29"/>
      <c r="E66" s="29"/>
    </row>
    <row r="67" spans="1:5" ht="19.5" customHeight="1" x14ac:dyDescent="0.25">
      <c r="A67" s="4" t="s">
        <v>22</v>
      </c>
      <c r="B67" s="4" t="s">
        <v>23</v>
      </c>
      <c r="C67" s="4" t="s">
        <v>9</v>
      </c>
      <c r="D67" s="4" t="s">
        <v>24</v>
      </c>
      <c r="E67" s="4" t="s">
        <v>25</v>
      </c>
    </row>
    <row r="68" spans="1:5" ht="15" customHeight="1" x14ac:dyDescent="0.25">
      <c r="A68" s="5" t="s">
        <v>13</v>
      </c>
      <c r="B68" s="5">
        <f>COUNTIF('Data Entry'!M2:M9999,"Y")</f>
        <v>144</v>
      </c>
      <c r="C68" s="5">
        <f>COUNTIFS('Data Entry'!M2:M9999,"Y",'Data Entry'!O2:O9999,"1")</f>
        <v>60</v>
      </c>
      <c r="D68" s="5">
        <f>COUNTIFS('Data Entry'!M2:M9999,"Y",'Data Entry'!O2:O9999,"0")</f>
        <v>84</v>
      </c>
      <c r="E68" s="6">
        <f>IF(B68=0,"-",C68/B68)</f>
        <v>0.41666666666666669</v>
      </c>
    </row>
    <row r="69" spans="1:5" ht="15" customHeight="1" x14ac:dyDescent="0.25">
      <c r="A69" s="7" t="s">
        <v>14</v>
      </c>
      <c r="B69" s="7">
        <f>COUNTIF('Data Entry'!M2:M9999,"N")</f>
        <v>444</v>
      </c>
      <c r="C69" s="7">
        <f>COUNTIFS('Data Entry'!M2:M9999,"N",'Data Entry'!O2:O9999,"1")</f>
        <v>401</v>
      </c>
      <c r="D69" s="7">
        <f>COUNTIFS('Data Entry'!M2:M9999,"N",'Data Entry'!O2:O9999,"0")</f>
        <v>43</v>
      </c>
      <c r="E69" s="8">
        <f>IF(B69=0,"-",C69/B69)</f>
        <v>0.90315315315315314</v>
      </c>
    </row>
    <row r="70" spans="1:5" ht="15" customHeight="1" x14ac:dyDescent="0.25">
      <c r="A70" s="9" t="s">
        <v>26</v>
      </c>
      <c r="B70" s="9">
        <f>SUM(B68:B69)</f>
        <v>588</v>
      </c>
      <c r="C70" s="9">
        <f>SUM(C68:C69)</f>
        <v>461</v>
      </c>
      <c r="D70" s="9">
        <f>SUM(D68:D69)</f>
        <v>127</v>
      </c>
      <c r="E70" s="10">
        <f>IF(B70=0,"-",C70/B70)</f>
        <v>0.78401360544217691</v>
      </c>
    </row>
  </sheetData>
  <mergeCells count="11">
    <mergeCell ref="A66:E66"/>
    <mergeCell ref="A34:E34"/>
    <mergeCell ref="A41:E41"/>
    <mergeCell ref="A47:E47"/>
    <mergeCell ref="A54:E54"/>
    <mergeCell ref="A60:E60"/>
    <mergeCell ref="A1:E1"/>
    <mergeCell ref="A3:E3"/>
    <mergeCell ref="A12:E12"/>
    <mergeCell ref="A19:E19"/>
    <mergeCell ref="A26:E2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Information</vt:lpstr>
      <vt:lpstr>Data Entry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 Miller</cp:lastModifiedBy>
  <cp:revision>0</cp:revision>
  <dcterms:created xsi:type="dcterms:W3CDTF">2026-03-03T01:41:26Z</dcterms:created>
  <dcterms:modified xsi:type="dcterms:W3CDTF">2026-03-18T18:10:05Z</dcterms:modified>
  <dc:language>en-US</dc:language>
</cp:coreProperties>
</file>